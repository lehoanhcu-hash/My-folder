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Kiểm tra giá thành\"/>
    </mc:Choice>
  </mc:AlternateContent>
  <xr:revisionPtr revIDLastSave="0" documentId="13_ncr:1_{C9DEE7BA-0665-47C8-896E-28235C556914}" xr6:coauthVersionLast="47" xr6:coauthVersionMax="47" xr10:uidLastSave="{00000000-0000-0000-0000-000000000000}"/>
  <bookViews>
    <workbookView xWindow="-110" yWindow="-110" windowWidth="19420" windowHeight="10300" xr2:uid="{4803C0A3-4DC3-4903-B39A-753480434B0E}"/>
  </bookViews>
  <sheets>
    <sheet name="2024-2026" sheetId="12" r:id="rId1"/>
    <sheet name="2026" sheetId="11" r:id="rId2"/>
    <sheet name="2025" sheetId="10" r:id="rId3"/>
    <sheet name="2024" sheetId="2" r:id="rId4"/>
    <sheet name="Data-Nhập" sheetId="1" r:id="rId5"/>
    <sheet name="Data-Xuất" sheetId="9" r:id="rId6"/>
    <sheet name="MD-SKU" sheetId="3" r:id="rId7"/>
  </sheets>
  <definedNames>
    <definedName name="_xlnm._FilterDatabase" localSheetId="3" hidden="1">'2024'!$W$12:$W$23</definedName>
    <definedName name="_xlnm._FilterDatabase" localSheetId="0" hidden="1">'2024-2026'!$W$12:$W$23</definedName>
    <definedName name="_xlnm._FilterDatabase" localSheetId="2" hidden="1">'2025'!$W$12:$W$23</definedName>
    <definedName name="_xlnm._FilterDatabase" localSheetId="1" hidden="1">'2026'!$W$12:$W$23</definedName>
    <definedName name="_xlnm._FilterDatabase" localSheetId="5" hidden="1">'Data-Xuất'!$A$2:$G$1239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B34" i="10" l="1"/>
  <c r="IA34" i="10"/>
  <c r="HZ34" i="10"/>
  <c r="HY34" i="10"/>
  <c r="HX34" i="10"/>
  <c r="HW34" i="10"/>
  <c r="HV34" i="10"/>
  <c r="HU34" i="10"/>
  <c r="HT34" i="10"/>
  <c r="HS34" i="10"/>
  <c r="HR34" i="10"/>
  <c r="HQ34" i="10"/>
  <c r="HP34" i="10"/>
  <c r="HO34" i="10"/>
  <c r="HN34" i="10"/>
  <c r="HM34" i="10"/>
  <c r="HL34" i="10"/>
  <c r="HJ34" i="10"/>
  <c r="HI34" i="10"/>
  <c r="HH34" i="10"/>
  <c r="HG34" i="10"/>
  <c r="HF34" i="10"/>
  <c r="HE34" i="10"/>
  <c r="HD34" i="10"/>
  <c r="HC34" i="10"/>
  <c r="HB34" i="10"/>
  <c r="HA34" i="10"/>
  <c r="GZ34" i="10"/>
  <c r="GY34" i="10"/>
  <c r="GX34" i="10"/>
  <c r="GW34" i="10"/>
  <c r="GV34" i="10"/>
  <c r="GU34" i="10"/>
  <c r="GT34" i="10"/>
  <c r="GR34" i="10"/>
  <c r="GQ34" i="10"/>
  <c r="GP34" i="10"/>
  <c r="GO34" i="10"/>
  <c r="GN34" i="10"/>
  <c r="GM34" i="10"/>
  <c r="GL34" i="10"/>
  <c r="GK34" i="10"/>
  <c r="GJ34" i="10"/>
  <c r="GI34" i="10"/>
  <c r="GH34" i="10"/>
  <c r="GG34" i="10"/>
  <c r="GF34" i="10"/>
  <c r="GE34" i="10"/>
  <c r="GD34" i="10"/>
  <c r="GC34" i="10"/>
  <c r="GB34" i="10"/>
  <c r="FZ34" i="10"/>
  <c r="FY34" i="10"/>
  <c r="FX34" i="10"/>
  <c r="FW34" i="10"/>
  <c r="FV34" i="10"/>
  <c r="FU34" i="10"/>
  <c r="FT34" i="10"/>
  <c r="FS34" i="10"/>
  <c r="FR34" i="10"/>
  <c r="FQ34" i="10"/>
  <c r="FP34" i="10"/>
  <c r="FO34" i="10"/>
  <c r="FN34" i="10"/>
  <c r="FM34" i="10"/>
  <c r="FL34" i="10"/>
  <c r="FK34" i="10"/>
  <c r="FJ34" i="10"/>
  <c r="FH34" i="10"/>
  <c r="FG34" i="10"/>
  <c r="FF34" i="10"/>
  <c r="FE34" i="10"/>
  <c r="FD34" i="10"/>
  <c r="FC34" i="10"/>
  <c r="FB34" i="10"/>
  <c r="FA34" i="10"/>
  <c r="EZ34" i="10"/>
  <c r="EY34" i="10"/>
  <c r="EX34" i="10"/>
  <c r="EW34" i="10"/>
  <c r="EV34" i="10"/>
  <c r="EU34" i="10"/>
  <c r="ET34" i="10"/>
  <c r="ES34" i="10"/>
  <c r="ER34" i="10"/>
  <c r="EP34" i="10"/>
  <c r="EO34" i="10"/>
  <c r="EN34" i="10"/>
  <c r="EM34" i="10"/>
  <c r="EL34" i="10"/>
  <c r="EK34" i="10"/>
  <c r="EJ34" i="10"/>
  <c r="EI34" i="10"/>
  <c r="EH34" i="10"/>
  <c r="EG34" i="10"/>
  <c r="EF34" i="10"/>
  <c r="EE34" i="10"/>
  <c r="ED34" i="10"/>
  <c r="EC34" i="10"/>
  <c r="EB34" i="10"/>
  <c r="EA34" i="10"/>
  <c r="DZ34" i="10"/>
  <c r="DX34" i="10"/>
  <c r="DW34" i="10"/>
  <c r="DV34" i="10"/>
  <c r="DU34" i="10"/>
  <c r="DT34" i="10"/>
  <c r="DS34" i="10"/>
  <c r="DR34" i="10"/>
  <c r="DQ34" i="10"/>
  <c r="DP34" i="10"/>
  <c r="DO34" i="10"/>
  <c r="DN34" i="10"/>
  <c r="DM34" i="10"/>
  <c r="DL34" i="10"/>
  <c r="DK34" i="10"/>
  <c r="DJ34" i="10"/>
  <c r="DI34" i="10"/>
  <c r="DH34" i="10"/>
  <c r="DF34" i="10"/>
  <c r="DE34" i="10"/>
  <c r="DD34" i="10"/>
  <c r="DC34" i="10"/>
  <c r="DB34" i="10"/>
  <c r="DA34" i="10"/>
  <c r="CZ34" i="10"/>
  <c r="CY34" i="10"/>
  <c r="CX34" i="10"/>
  <c r="CW34" i="10"/>
  <c r="CV34" i="10"/>
  <c r="CU34" i="10"/>
  <c r="CT34" i="10"/>
  <c r="CS34" i="10"/>
  <c r="CR34" i="10"/>
  <c r="CQ34" i="10"/>
  <c r="CP34" i="10"/>
  <c r="CN34" i="10"/>
  <c r="CM34" i="10"/>
  <c r="CL34" i="10"/>
  <c r="CK34" i="10"/>
  <c r="CJ34" i="10"/>
  <c r="CI34" i="10"/>
  <c r="CH34" i="10"/>
  <c r="CG34" i="10"/>
  <c r="CF34" i="10"/>
  <c r="CE34" i="10"/>
  <c r="CD34" i="10"/>
  <c r="CC34" i="10"/>
  <c r="CB34" i="10"/>
  <c r="CA34" i="10"/>
  <c r="BZ34" i="10"/>
  <c r="BY34" i="10"/>
  <c r="BX34" i="10"/>
  <c r="BV34" i="10"/>
  <c r="BU34" i="10"/>
  <c r="BT34" i="10"/>
  <c r="BS34" i="10"/>
  <c r="BR34" i="10"/>
  <c r="BQ34" i="10"/>
  <c r="BP34" i="10"/>
  <c r="BO34" i="10"/>
  <c r="BN34" i="10"/>
  <c r="BM34" i="10"/>
  <c r="BL34" i="10"/>
  <c r="BK34" i="10"/>
  <c r="BJ34" i="10"/>
  <c r="BI34" i="10"/>
  <c r="BH34" i="10"/>
  <c r="BG34" i="10"/>
  <c r="BF34" i="10"/>
  <c r="BD34" i="10"/>
  <c r="BC34" i="10"/>
  <c r="BB34" i="10"/>
  <c r="BA34" i="10"/>
  <c r="AZ34" i="10"/>
  <c r="AY34" i="10"/>
  <c r="AX34" i="10"/>
  <c r="AW34" i="10"/>
  <c r="AV34" i="10"/>
  <c r="AU34" i="10"/>
  <c r="AT34" i="10"/>
  <c r="AS34" i="10"/>
  <c r="AR34" i="10"/>
  <c r="AQ34" i="10"/>
  <c r="AP34" i="10"/>
  <c r="AO34" i="10"/>
  <c r="AN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IB33" i="10"/>
  <c r="IA33" i="10"/>
  <c r="HZ33" i="10"/>
  <c r="HY33" i="10"/>
  <c r="HX33" i="10"/>
  <c r="HW33" i="10"/>
  <c r="HV33" i="10"/>
  <c r="HU33" i="10"/>
  <c r="HT33" i="10"/>
  <c r="HS33" i="10"/>
  <c r="HR33" i="10"/>
  <c r="HQ33" i="10"/>
  <c r="HP33" i="10"/>
  <c r="HO33" i="10"/>
  <c r="HN33" i="10"/>
  <c r="HM33" i="10"/>
  <c r="HL33" i="10"/>
  <c r="HJ33" i="10"/>
  <c r="HI33" i="10"/>
  <c r="HH33" i="10"/>
  <c r="HG33" i="10"/>
  <c r="HF33" i="10"/>
  <c r="HE33" i="10"/>
  <c r="HD33" i="10"/>
  <c r="HC33" i="10"/>
  <c r="HB33" i="10"/>
  <c r="HA33" i="10"/>
  <c r="GZ33" i="10"/>
  <c r="GY33" i="10"/>
  <c r="GX33" i="10"/>
  <c r="GW33" i="10"/>
  <c r="GV33" i="10"/>
  <c r="GU33" i="10"/>
  <c r="GT33" i="10"/>
  <c r="GR33" i="10"/>
  <c r="GQ33" i="10"/>
  <c r="GP33" i="10"/>
  <c r="GO33" i="10"/>
  <c r="GN33" i="10"/>
  <c r="GM33" i="10"/>
  <c r="GL33" i="10"/>
  <c r="GK33" i="10"/>
  <c r="GJ33" i="10"/>
  <c r="GI33" i="10"/>
  <c r="GH33" i="10"/>
  <c r="GG33" i="10"/>
  <c r="GF33" i="10"/>
  <c r="GE33" i="10"/>
  <c r="GD33" i="10"/>
  <c r="GC33" i="10"/>
  <c r="GB33" i="10"/>
  <c r="FZ33" i="10"/>
  <c r="FY33" i="10"/>
  <c r="FX33" i="10"/>
  <c r="FW33" i="10"/>
  <c r="FV33" i="10"/>
  <c r="FU33" i="10"/>
  <c r="FT33" i="10"/>
  <c r="FS33" i="10"/>
  <c r="FR33" i="10"/>
  <c r="FQ33" i="10"/>
  <c r="FP33" i="10"/>
  <c r="FO33" i="10"/>
  <c r="FN33" i="10"/>
  <c r="FM33" i="10"/>
  <c r="FL33" i="10"/>
  <c r="FK33" i="10"/>
  <c r="FJ33" i="10"/>
  <c r="FH33" i="10"/>
  <c r="FG33" i="10"/>
  <c r="FF33" i="10"/>
  <c r="FE33" i="10"/>
  <c r="FD33" i="10"/>
  <c r="FC33" i="10"/>
  <c r="FB33" i="10"/>
  <c r="FA33" i="10"/>
  <c r="EZ33" i="10"/>
  <c r="EY33" i="10"/>
  <c r="EX33" i="10"/>
  <c r="EW33" i="10"/>
  <c r="EV33" i="10"/>
  <c r="EU33" i="10"/>
  <c r="ET33" i="10"/>
  <c r="ES33" i="10"/>
  <c r="ER33" i="10"/>
  <c r="EP33" i="10"/>
  <c r="EO33" i="10"/>
  <c r="EN33" i="10"/>
  <c r="EM33" i="10"/>
  <c r="EL33" i="10"/>
  <c r="EK33" i="10"/>
  <c r="EJ33" i="10"/>
  <c r="EI33" i="10"/>
  <c r="EH33" i="10"/>
  <c r="EG33" i="10"/>
  <c r="EF33" i="10"/>
  <c r="EE33" i="10"/>
  <c r="ED33" i="10"/>
  <c r="EC33" i="10"/>
  <c r="EB33" i="10"/>
  <c r="EA33" i="10"/>
  <c r="DZ33" i="10"/>
  <c r="DX33" i="10"/>
  <c r="DW33" i="10"/>
  <c r="DV33" i="10"/>
  <c r="DU33" i="10"/>
  <c r="DT33" i="10"/>
  <c r="DS33" i="10"/>
  <c r="DR33" i="10"/>
  <c r="DQ33" i="10"/>
  <c r="DP33" i="10"/>
  <c r="DO33" i="10"/>
  <c r="DN33" i="10"/>
  <c r="DM33" i="10"/>
  <c r="DL33" i="10"/>
  <c r="DK33" i="10"/>
  <c r="DJ33" i="10"/>
  <c r="DI33" i="10"/>
  <c r="DH33" i="10"/>
  <c r="DF33" i="10"/>
  <c r="DE33" i="10"/>
  <c r="DD33" i="10"/>
  <c r="DC33" i="10"/>
  <c r="DB33" i="10"/>
  <c r="DA33" i="10"/>
  <c r="CZ33" i="10"/>
  <c r="CY33" i="10"/>
  <c r="CX33" i="10"/>
  <c r="CW33" i="10"/>
  <c r="CV33" i="10"/>
  <c r="CU33" i="10"/>
  <c r="CT33" i="10"/>
  <c r="CS33" i="10"/>
  <c r="CR33" i="10"/>
  <c r="CQ33" i="10"/>
  <c r="CP33" i="10"/>
  <c r="CN33" i="10"/>
  <c r="CM33" i="10"/>
  <c r="CL33" i="10"/>
  <c r="CK33" i="10"/>
  <c r="CJ33" i="10"/>
  <c r="CI33" i="10"/>
  <c r="CH33" i="10"/>
  <c r="CG33" i="10"/>
  <c r="CF33" i="10"/>
  <c r="CE33" i="10"/>
  <c r="CD33" i="10"/>
  <c r="CC33" i="10"/>
  <c r="CB33" i="10"/>
  <c r="CA33" i="10"/>
  <c r="BZ33" i="10"/>
  <c r="BY33" i="10"/>
  <c r="BX33" i="10"/>
  <c r="BV33" i="10"/>
  <c r="BU33" i="10"/>
  <c r="BT33" i="10"/>
  <c r="BS33" i="10"/>
  <c r="BR33" i="10"/>
  <c r="BQ33" i="10"/>
  <c r="BP33" i="10"/>
  <c r="BO33" i="10"/>
  <c r="BN33" i="10"/>
  <c r="BM33" i="10"/>
  <c r="BL33" i="10"/>
  <c r="BK33" i="10"/>
  <c r="BJ33" i="10"/>
  <c r="BI33" i="10"/>
  <c r="BH33" i="10"/>
  <c r="BG33" i="10"/>
  <c r="BF33" i="10"/>
  <c r="BD33" i="10"/>
  <c r="BC33" i="10"/>
  <c r="BB33" i="10"/>
  <c r="BA33" i="10"/>
  <c r="AZ33" i="10"/>
  <c r="AY33" i="10"/>
  <c r="AX33" i="10"/>
  <c r="AW33" i="10"/>
  <c r="AV33" i="10"/>
  <c r="AU33" i="10"/>
  <c r="AT33" i="10"/>
  <c r="AS33" i="10"/>
  <c r="AR33" i="10"/>
  <c r="AQ33" i="10"/>
  <c r="AP33" i="10"/>
  <c r="AO33" i="10"/>
  <c r="AN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IB32" i="10"/>
  <c r="IA32" i="10"/>
  <c r="HZ32" i="10"/>
  <c r="HY32" i="10"/>
  <c r="HX32" i="10"/>
  <c r="HW32" i="10"/>
  <c r="HV32" i="10"/>
  <c r="HU32" i="10"/>
  <c r="HT32" i="10"/>
  <c r="HS32" i="10"/>
  <c r="HR32" i="10"/>
  <c r="HQ32" i="10"/>
  <c r="HP32" i="10"/>
  <c r="HO32" i="10"/>
  <c r="HN32" i="10"/>
  <c r="HM32" i="10"/>
  <c r="HL32" i="10"/>
  <c r="HJ32" i="10"/>
  <c r="HI32" i="10"/>
  <c r="HH32" i="10"/>
  <c r="HG32" i="10"/>
  <c r="HF32" i="10"/>
  <c r="HE32" i="10"/>
  <c r="HD32" i="10"/>
  <c r="HC32" i="10"/>
  <c r="HB32" i="10"/>
  <c r="HA32" i="10"/>
  <c r="GZ32" i="10"/>
  <c r="GY32" i="10"/>
  <c r="GX32" i="10"/>
  <c r="GW32" i="10"/>
  <c r="GV32" i="10"/>
  <c r="GU32" i="10"/>
  <c r="GT32" i="10"/>
  <c r="GR32" i="10"/>
  <c r="GQ32" i="10"/>
  <c r="GP32" i="10"/>
  <c r="GO32" i="10"/>
  <c r="GN32" i="10"/>
  <c r="GM32" i="10"/>
  <c r="GL32" i="10"/>
  <c r="GK32" i="10"/>
  <c r="GJ32" i="10"/>
  <c r="GI32" i="10"/>
  <c r="GH32" i="10"/>
  <c r="GG32" i="10"/>
  <c r="GF32" i="10"/>
  <c r="GE32" i="10"/>
  <c r="GD32" i="10"/>
  <c r="GC32" i="10"/>
  <c r="GB32" i="10"/>
  <c r="FZ32" i="10"/>
  <c r="FY32" i="10"/>
  <c r="FX32" i="10"/>
  <c r="FW32" i="10"/>
  <c r="FV32" i="10"/>
  <c r="FU32" i="10"/>
  <c r="FT32" i="10"/>
  <c r="FS32" i="10"/>
  <c r="FR32" i="10"/>
  <c r="FQ32" i="10"/>
  <c r="FP32" i="10"/>
  <c r="FO32" i="10"/>
  <c r="FN32" i="10"/>
  <c r="FM32" i="10"/>
  <c r="FL32" i="10"/>
  <c r="FK32" i="10"/>
  <c r="FJ32" i="10"/>
  <c r="FH32" i="10"/>
  <c r="FG32" i="10"/>
  <c r="FF32" i="10"/>
  <c r="FE32" i="10"/>
  <c r="FD32" i="10"/>
  <c r="FC32" i="10"/>
  <c r="FB32" i="10"/>
  <c r="FA32" i="10"/>
  <c r="EZ32" i="10"/>
  <c r="EY32" i="10"/>
  <c r="EX32" i="10"/>
  <c r="EW32" i="10"/>
  <c r="EV32" i="10"/>
  <c r="EU32" i="10"/>
  <c r="ET32" i="10"/>
  <c r="ES32" i="10"/>
  <c r="ER32" i="10"/>
  <c r="EP32" i="10"/>
  <c r="EO32" i="10"/>
  <c r="EN32" i="10"/>
  <c r="EM32" i="10"/>
  <c r="EL32" i="10"/>
  <c r="EK32" i="10"/>
  <c r="EJ32" i="10"/>
  <c r="EI32" i="10"/>
  <c r="EH32" i="10"/>
  <c r="EG32" i="10"/>
  <c r="EF32" i="10"/>
  <c r="EE32" i="10"/>
  <c r="ED32" i="10"/>
  <c r="EC32" i="10"/>
  <c r="EB32" i="10"/>
  <c r="EA32" i="10"/>
  <c r="DZ32" i="10"/>
  <c r="DX32" i="10"/>
  <c r="DW32" i="10"/>
  <c r="DV32" i="10"/>
  <c r="DU32" i="10"/>
  <c r="DT32" i="10"/>
  <c r="DS32" i="10"/>
  <c r="DR32" i="10"/>
  <c r="DQ32" i="10"/>
  <c r="DP32" i="10"/>
  <c r="DO32" i="10"/>
  <c r="DN32" i="10"/>
  <c r="DM32" i="10"/>
  <c r="DL32" i="10"/>
  <c r="DK32" i="10"/>
  <c r="DJ32" i="10"/>
  <c r="DI32" i="10"/>
  <c r="DH32" i="10"/>
  <c r="DF32" i="10"/>
  <c r="DE32" i="10"/>
  <c r="DD32" i="10"/>
  <c r="DC32" i="10"/>
  <c r="DB32" i="10"/>
  <c r="DA32" i="10"/>
  <c r="CZ32" i="10"/>
  <c r="CY32" i="10"/>
  <c r="CX32" i="10"/>
  <c r="CW32" i="10"/>
  <c r="CV32" i="10"/>
  <c r="CU32" i="10"/>
  <c r="CT32" i="10"/>
  <c r="CS32" i="10"/>
  <c r="CR32" i="10"/>
  <c r="CQ32" i="10"/>
  <c r="CP32" i="10"/>
  <c r="CN32" i="10"/>
  <c r="CM32" i="10"/>
  <c r="CL32" i="10"/>
  <c r="CK32" i="10"/>
  <c r="CJ32" i="10"/>
  <c r="CI32" i="10"/>
  <c r="CH32" i="10"/>
  <c r="CG32" i="10"/>
  <c r="CF32" i="10"/>
  <c r="CE32" i="10"/>
  <c r="CD32" i="10"/>
  <c r="CC32" i="10"/>
  <c r="CB32" i="10"/>
  <c r="CA32" i="10"/>
  <c r="BZ32" i="10"/>
  <c r="BY32" i="10"/>
  <c r="BX32" i="10"/>
  <c r="BV32" i="10"/>
  <c r="BU32" i="10"/>
  <c r="BT32" i="10"/>
  <c r="BS32" i="10"/>
  <c r="BR32" i="10"/>
  <c r="BQ32" i="10"/>
  <c r="BP32" i="10"/>
  <c r="BO32" i="10"/>
  <c r="BN32" i="10"/>
  <c r="BM32" i="10"/>
  <c r="BL32" i="10"/>
  <c r="BK32" i="10"/>
  <c r="BJ32" i="10"/>
  <c r="BI32" i="10"/>
  <c r="BH32" i="10"/>
  <c r="BG32" i="10"/>
  <c r="BF32" i="10"/>
  <c r="BD32" i="10"/>
  <c r="BC32" i="10"/>
  <c r="BB32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IB31" i="10"/>
  <c r="IA31" i="10"/>
  <c r="HZ31" i="10"/>
  <c r="HY31" i="10"/>
  <c r="HX31" i="10"/>
  <c r="HW31" i="10"/>
  <c r="HV31" i="10"/>
  <c r="HU31" i="10"/>
  <c r="HT31" i="10"/>
  <c r="HS31" i="10"/>
  <c r="HR31" i="10"/>
  <c r="HQ31" i="10"/>
  <c r="HP31" i="10"/>
  <c r="HO31" i="10"/>
  <c r="HN31" i="10"/>
  <c r="HM31" i="10"/>
  <c r="HL31" i="10"/>
  <c r="HJ31" i="10"/>
  <c r="HI31" i="10"/>
  <c r="HH31" i="10"/>
  <c r="HG31" i="10"/>
  <c r="HF31" i="10"/>
  <c r="HE31" i="10"/>
  <c r="HD31" i="10"/>
  <c r="HC31" i="10"/>
  <c r="HB31" i="10"/>
  <c r="HA31" i="10"/>
  <c r="GZ31" i="10"/>
  <c r="GY31" i="10"/>
  <c r="GX31" i="10"/>
  <c r="GW31" i="10"/>
  <c r="GV31" i="10"/>
  <c r="GU31" i="10"/>
  <c r="GT31" i="10"/>
  <c r="GR31" i="10"/>
  <c r="GQ31" i="10"/>
  <c r="GP31" i="10"/>
  <c r="GO31" i="10"/>
  <c r="GN31" i="10"/>
  <c r="GM31" i="10"/>
  <c r="GL31" i="10"/>
  <c r="GK31" i="10"/>
  <c r="GJ31" i="10"/>
  <c r="GI31" i="10"/>
  <c r="GH31" i="10"/>
  <c r="GG31" i="10"/>
  <c r="GF31" i="10"/>
  <c r="GE31" i="10"/>
  <c r="GD31" i="10"/>
  <c r="GC31" i="10"/>
  <c r="GB31" i="10"/>
  <c r="FZ31" i="10"/>
  <c r="FY31" i="10"/>
  <c r="FX31" i="10"/>
  <c r="FW31" i="10"/>
  <c r="FV31" i="10"/>
  <c r="FU31" i="10"/>
  <c r="FT31" i="10"/>
  <c r="FS31" i="10"/>
  <c r="FR31" i="10"/>
  <c r="FQ31" i="10"/>
  <c r="FP31" i="10"/>
  <c r="FO31" i="10"/>
  <c r="FN31" i="10"/>
  <c r="FM31" i="10"/>
  <c r="FL31" i="10"/>
  <c r="FK31" i="10"/>
  <c r="FJ31" i="10"/>
  <c r="FH31" i="10"/>
  <c r="FG31" i="10"/>
  <c r="FF31" i="10"/>
  <c r="FE31" i="10"/>
  <c r="FD31" i="10"/>
  <c r="FC31" i="10"/>
  <c r="FB31" i="10"/>
  <c r="FA31" i="10"/>
  <c r="EZ31" i="10"/>
  <c r="EY31" i="10"/>
  <c r="EX31" i="10"/>
  <c r="EW31" i="10"/>
  <c r="EV31" i="10"/>
  <c r="EU31" i="10"/>
  <c r="ET31" i="10"/>
  <c r="ES31" i="10"/>
  <c r="ER31" i="10"/>
  <c r="EP31" i="10"/>
  <c r="EO31" i="10"/>
  <c r="EN31" i="10"/>
  <c r="EM31" i="10"/>
  <c r="EL31" i="10"/>
  <c r="EK31" i="10"/>
  <c r="EJ31" i="10"/>
  <c r="EI31" i="10"/>
  <c r="EH31" i="10"/>
  <c r="EG31" i="10"/>
  <c r="EF31" i="10"/>
  <c r="EE31" i="10"/>
  <c r="ED31" i="10"/>
  <c r="EC31" i="10"/>
  <c r="EB31" i="10"/>
  <c r="EA31" i="10"/>
  <c r="DZ31" i="10"/>
  <c r="DX31" i="10"/>
  <c r="DW31" i="10"/>
  <c r="DV31" i="10"/>
  <c r="DU31" i="10"/>
  <c r="DT31" i="10"/>
  <c r="DS31" i="10"/>
  <c r="DR31" i="10"/>
  <c r="DQ31" i="10"/>
  <c r="DP31" i="10"/>
  <c r="DO31" i="10"/>
  <c r="DN31" i="10"/>
  <c r="DM31" i="10"/>
  <c r="DL31" i="10"/>
  <c r="DK31" i="10"/>
  <c r="DJ31" i="10"/>
  <c r="DI31" i="10"/>
  <c r="DH31" i="10"/>
  <c r="DF31" i="10"/>
  <c r="DE31" i="10"/>
  <c r="DD31" i="10"/>
  <c r="DC31" i="10"/>
  <c r="DB31" i="10"/>
  <c r="DA31" i="10"/>
  <c r="CZ31" i="10"/>
  <c r="CY31" i="10"/>
  <c r="CX31" i="10"/>
  <c r="CW31" i="10"/>
  <c r="CV31" i="10"/>
  <c r="CU31" i="10"/>
  <c r="CT31" i="10"/>
  <c r="CS31" i="10"/>
  <c r="CR31" i="10"/>
  <c r="CQ31" i="10"/>
  <c r="CP31" i="10"/>
  <c r="CN31" i="10"/>
  <c r="CM31" i="10"/>
  <c r="CL31" i="10"/>
  <c r="CK31" i="10"/>
  <c r="CJ31" i="10"/>
  <c r="CI31" i="10"/>
  <c r="CH31" i="10"/>
  <c r="CG31" i="10"/>
  <c r="CF31" i="10"/>
  <c r="CE31" i="10"/>
  <c r="CD31" i="10"/>
  <c r="CC31" i="10"/>
  <c r="CB31" i="10"/>
  <c r="CA31" i="10"/>
  <c r="BZ31" i="10"/>
  <c r="BY31" i="10"/>
  <c r="BX31" i="10"/>
  <c r="BV31" i="10"/>
  <c r="BU31" i="10"/>
  <c r="BT31" i="10"/>
  <c r="BS31" i="10"/>
  <c r="BR31" i="10"/>
  <c r="BQ31" i="10"/>
  <c r="BP31" i="10"/>
  <c r="BO31" i="10"/>
  <c r="BN31" i="10"/>
  <c r="BM31" i="10"/>
  <c r="BL31" i="10"/>
  <c r="BK31" i="10"/>
  <c r="BJ31" i="10"/>
  <c r="BI31" i="10"/>
  <c r="BH31" i="10"/>
  <c r="BG31" i="10"/>
  <c r="BF31" i="10"/>
  <c r="BD31" i="10"/>
  <c r="BC31" i="10"/>
  <c r="BB31" i="10"/>
  <c r="BA31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IB30" i="10"/>
  <c r="IA30" i="10"/>
  <c r="HZ30" i="10"/>
  <c r="HY30" i="10"/>
  <c r="HX30" i="10"/>
  <c r="HW30" i="10"/>
  <c r="HV30" i="10"/>
  <c r="HU30" i="10"/>
  <c r="HT30" i="10"/>
  <c r="HS30" i="10"/>
  <c r="HR30" i="10"/>
  <c r="HQ30" i="10"/>
  <c r="HP30" i="10"/>
  <c r="HO30" i="10"/>
  <c r="HN30" i="10"/>
  <c r="HM30" i="10"/>
  <c r="HL30" i="10"/>
  <c r="HJ30" i="10"/>
  <c r="HI30" i="10"/>
  <c r="HH30" i="10"/>
  <c r="HG30" i="10"/>
  <c r="HF30" i="10"/>
  <c r="HE30" i="10"/>
  <c r="HD30" i="10"/>
  <c r="HC30" i="10"/>
  <c r="HB30" i="10"/>
  <c r="HA30" i="10"/>
  <c r="GZ30" i="10"/>
  <c r="GY30" i="10"/>
  <c r="GX30" i="10"/>
  <c r="GW30" i="10"/>
  <c r="GV30" i="10"/>
  <c r="GU30" i="10"/>
  <c r="GT30" i="10"/>
  <c r="GR30" i="10"/>
  <c r="GQ30" i="10"/>
  <c r="GP30" i="10"/>
  <c r="GO30" i="10"/>
  <c r="GN30" i="10"/>
  <c r="GM30" i="10"/>
  <c r="GL30" i="10"/>
  <c r="GK30" i="10"/>
  <c r="GJ30" i="10"/>
  <c r="GI30" i="10"/>
  <c r="GH30" i="10"/>
  <c r="GG30" i="10"/>
  <c r="GF30" i="10"/>
  <c r="GE30" i="10"/>
  <c r="GD30" i="10"/>
  <c r="GC30" i="10"/>
  <c r="GB30" i="10"/>
  <c r="FZ30" i="10"/>
  <c r="FY30" i="10"/>
  <c r="FX30" i="10"/>
  <c r="FW30" i="10"/>
  <c r="FV30" i="10"/>
  <c r="FU30" i="10"/>
  <c r="FT30" i="10"/>
  <c r="FS30" i="10"/>
  <c r="FR30" i="10"/>
  <c r="FQ30" i="10"/>
  <c r="FP30" i="10"/>
  <c r="FO30" i="10"/>
  <c r="FN30" i="10"/>
  <c r="FM30" i="10"/>
  <c r="FL30" i="10"/>
  <c r="FK30" i="10"/>
  <c r="FJ30" i="10"/>
  <c r="FH30" i="10"/>
  <c r="FG30" i="10"/>
  <c r="FF30" i="10"/>
  <c r="FE30" i="10"/>
  <c r="FD30" i="10"/>
  <c r="FC30" i="10"/>
  <c r="FB30" i="10"/>
  <c r="FA30" i="10"/>
  <c r="EZ30" i="10"/>
  <c r="EY30" i="10"/>
  <c r="EX30" i="10"/>
  <c r="EW30" i="10"/>
  <c r="EV30" i="10"/>
  <c r="EU30" i="10"/>
  <c r="ET30" i="10"/>
  <c r="ES30" i="10"/>
  <c r="ER30" i="10"/>
  <c r="EP30" i="10"/>
  <c r="EO30" i="10"/>
  <c r="EN30" i="10"/>
  <c r="EM30" i="10"/>
  <c r="EL30" i="10"/>
  <c r="EK30" i="10"/>
  <c r="EJ30" i="10"/>
  <c r="EI30" i="10"/>
  <c r="EH30" i="10"/>
  <c r="EG30" i="10"/>
  <c r="EF30" i="10"/>
  <c r="EE30" i="10"/>
  <c r="ED30" i="10"/>
  <c r="EC30" i="10"/>
  <c r="EB30" i="10"/>
  <c r="EA30" i="10"/>
  <c r="DZ30" i="10"/>
  <c r="DX30" i="10"/>
  <c r="DW30" i="10"/>
  <c r="DV30" i="10"/>
  <c r="DU30" i="10"/>
  <c r="DT30" i="10"/>
  <c r="DS30" i="10"/>
  <c r="DR30" i="10"/>
  <c r="DQ30" i="10"/>
  <c r="DP30" i="10"/>
  <c r="DO30" i="10"/>
  <c r="DN30" i="10"/>
  <c r="DM30" i="10"/>
  <c r="DL30" i="10"/>
  <c r="DK30" i="10"/>
  <c r="DJ30" i="10"/>
  <c r="DI30" i="10"/>
  <c r="DH30" i="10"/>
  <c r="DF30" i="10"/>
  <c r="DE30" i="10"/>
  <c r="DD30" i="10"/>
  <c r="DC30" i="10"/>
  <c r="DB30" i="10"/>
  <c r="DA30" i="10"/>
  <c r="CZ30" i="10"/>
  <c r="CY30" i="10"/>
  <c r="CX30" i="10"/>
  <c r="CW30" i="10"/>
  <c r="CV30" i="10"/>
  <c r="CU30" i="10"/>
  <c r="CT30" i="10"/>
  <c r="CS30" i="10"/>
  <c r="CR30" i="10"/>
  <c r="CQ30" i="10"/>
  <c r="CP30" i="10"/>
  <c r="CN30" i="10"/>
  <c r="CM30" i="10"/>
  <c r="CL30" i="10"/>
  <c r="CK30" i="10"/>
  <c r="CJ30" i="10"/>
  <c r="CI30" i="10"/>
  <c r="CH30" i="10"/>
  <c r="CG30" i="10"/>
  <c r="CF30" i="10"/>
  <c r="CE30" i="10"/>
  <c r="CD30" i="10"/>
  <c r="CC30" i="10"/>
  <c r="CB30" i="10"/>
  <c r="CA30" i="10"/>
  <c r="BZ30" i="10"/>
  <c r="BY30" i="10"/>
  <c r="BX30" i="10"/>
  <c r="BV30" i="10"/>
  <c r="BU30" i="10"/>
  <c r="BT30" i="10"/>
  <c r="BS30" i="10"/>
  <c r="BR30" i="10"/>
  <c r="BQ30" i="10"/>
  <c r="BP30" i="10"/>
  <c r="BO30" i="10"/>
  <c r="BN30" i="10"/>
  <c r="BM30" i="10"/>
  <c r="BL30" i="10"/>
  <c r="BK30" i="10"/>
  <c r="BJ30" i="10"/>
  <c r="BI30" i="10"/>
  <c r="BH30" i="10"/>
  <c r="BG30" i="10"/>
  <c r="BF30" i="10"/>
  <c r="BD30" i="10"/>
  <c r="BC30" i="10"/>
  <c r="BB30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IB29" i="10"/>
  <c r="IA29" i="10"/>
  <c r="HZ29" i="10"/>
  <c r="HY29" i="10"/>
  <c r="HX29" i="10"/>
  <c r="HW29" i="10"/>
  <c r="HV29" i="10"/>
  <c r="HU29" i="10"/>
  <c r="HT29" i="10"/>
  <c r="HS29" i="10"/>
  <c r="HR29" i="10"/>
  <c r="HQ29" i="10"/>
  <c r="HP29" i="10"/>
  <c r="HO29" i="10"/>
  <c r="HN29" i="10"/>
  <c r="HM29" i="10"/>
  <c r="HL29" i="10"/>
  <c r="HJ29" i="10"/>
  <c r="HI29" i="10"/>
  <c r="HH29" i="10"/>
  <c r="HG29" i="10"/>
  <c r="HF29" i="10"/>
  <c r="HE29" i="10"/>
  <c r="HD29" i="10"/>
  <c r="HC29" i="10"/>
  <c r="HB29" i="10"/>
  <c r="HA29" i="10"/>
  <c r="GZ29" i="10"/>
  <c r="GY29" i="10"/>
  <c r="GX29" i="10"/>
  <c r="GW29" i="10"/>
  <c r="GV29" i="10"/>
  <c r="GU29" i="10"/>
  <c r="GT29" i="10"/>
  <c r="GR29" i="10"/>
  <c r="GQ29" i="10"/>
  <c r="GP29" i="10"/>
  <c r="GO29" i="10"/>
  <c r="GN29" i="10"/>
  <c r="GM29" i="10"/>
  <c r="GL29" i="10"/>
  <c r="GK29" i="10"/>
  <c r="GJ29" i="10"/>
  <c r="GI29" i="10"/>
  <c r="GH29" i="10"/>
  <c r="GG29" i="10"/>
  <c r="GF29" i="10"/>
  <c r="GE29" i="10"/>
  <c r="GD29" i="10"/>
  <c r="GC29" i="10"/>
  <c r="GB29" i="10"/>
  <c r="FZ29" i="10"/>
  <c r="FY29" i="10"/>
  <c r="FX29" i="10"/>
  <c r="FW29" i="10"/>
  <c r="FV29" i="10"/>
  <c r="FU29" i="10"/>
  <c r="FT29" i="10"/>
  <c r="FS29" i="10"/>
  <c r="FR29" i="10"/>
  <c r="FQ29" i="10"/>
  <c r="FP29" i="10"/>
  <c r="FO29" i="10"/>
  <c r="FN29" i="10"/>
  <c r="FM29" i="10"/>
  <c r="FL29" i="10"/>
  <c r="FK29" i="10"/>
  <c r="FJ29" i="10"/>
  <c r="FH29" i="10"/>
  <c r="FG29" i="10"/>
  <c r="FF29" i="10"/>
  <c r="FE29" i="10"/>
  <c r="FD29" i="10"/>
  <c r="FC29" i="10"/>
  <c r="FB29" i="10"/>
  <c r="FA29" i="10"/>
  <c r="EZ29" i="10"/>
  <c r="EY29" i="10"/>
  <c r="EX29" i="10"/>
  <c r="EW29" i="10"/>
  <c r="EV29" i="10"/>
  <c r="EU29" i="10"/>
  <c r="ET29" i="10"/>
  <c r="ES29" i="10"/>
  <c r="ER29" i="10"/>
  <c r="EP29" i="10"/>
  <c r="EO29" i="10"/>
  <c r="EN29" i="10"/>
  <c r="EM29" i="10"/>
  <c r="EL29" i="10"/>
  <c r="EK29" i="10"/>
  <c r="EJ29" i="10"/>
  <c r="EI29" i="10"/>
  <c r="EH29" i="10"/>
  <c r="EG29" i="10"/>
  <c r="EF29" i="10"/>
  <c r="EE29" i="10"/>
  <c r="ED29" i="10"/>
  <c r="EC29" i="10"/>
  <c r="EB29" i="10"/>
  <c r="EA29" i="10"/>
  <c r="DZ29" i="10"/>
  <c r="DX29" i="10"/>
  <c r="DW29" i="10"/>
  <c r="DV29" i="10"/>
  <c r="DU29" i="10"/>
  <c r="DT29" i="10"/>
  <c r="DS29" i="10"/>
  <c r="DR29" i="10"/>
  <c r="DQ29" i="10"/>
  <c r="DP29" i="10"/>
  <c r="DO29" i="10"/>
  <c r="DN29" i="10"/>
  <c r="DM29" i="10"/>
  <c r="DL29" i="10"/>
  <c r="DK29" i="10"/>
  <c r="DJ29" i="10"/>
  <c r="DI29" i="10"/>
  <c r="DH29" i="10"/>
  <c r="DF29" i="10"/>
  <c r="DE29" i="10"/>
  <c r="DD29" i="10"/>
  <c r="DC29" i="10"/>
  <c r="DB29" i="10"/>
  <c r="DA29" i="10"/>
  <c r="CZ29" i="10"/>
  <c r="CY29" i="10"/>
  <c r="CX29" i="10"/>
  <c r="CW29" i="10"/>
  <c r="CV29" i="10"/>
  <c r="CU29" i="10"/>
  <c r="CT29" i="10"/>
  <c r="CS29" i="10"/>
  <c r="CR29" i="10"/>
  <c r="CQ29" i="10"/>
  <c r="CP29" i="10"/>
  <c r="CN29" i="10"/>
  <c r="CM29" i="10"/>
  <c r="CL29" i="10"/>
  <c r="CK29" i="10"/>
  <c r="CJ29" i="10"/>
  <c r="CI29" i="10"/>
  <c r="CH29" i="10"/>
  <c r="CG29" i="10"/>
  <c r="CF29" i="10"/>
  <c r="CE29" i="10"/>
  <c r="CD29" i="10"/>
  <c r="CC29" i="10"/>
  <c r="CB29" i="10"/>
  <c r="CA29" i="10"/>
  <c r="BZ29" i="10"/>
  <c r="BY29" i="10"/>
  <c r="BX29" i="10"/>
  <c r="BV29" i="10"/>
  <c r="BU29" i="10"/>
  <c r="BT29" i="10"/>
  <c r="BS29" i="10"/>
  <c r="BR29" i="10"/>
  <c r="BQ29" i="10"/>
  <c r="BP29" i="10"/>
  <c r="BO29" i="10"/>
  <c r="BN29" i="10"/>
  <c r="BM29" i="10"/>
  <c r="BL29" i="10"/>
  <c r="BK29" i="10"/>
  <c r="BJ29" i="10"/>
  <c r="BI29" i="10"/>
  <c r="BH29" i="10"/>
  <c r="BG29" i="10"/>
  <c r="BF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IB28" i="10"/>
  <c r="IA28" i="10"/>
  <c r="HZ28" i="10"/>
  <c r="HY28" i="10"/>
  <c r="HX28" i="10"/>
  <c r="HW28" i="10"/>
  <c r="HV28" i="10"/>
  <c r="HU28" i="10"/>
  <c r="HT28" i="10"/>
  <c r="HS28" i="10"/>
  <c r="HR28" i="10"/>
  <c r="HQ28" i="10"/>
  <c r="HP28" i="10"/>
  <c r="HO28" i="10"/>
  <c r="HN28" i="10"/>
  <c r="HM28" i="10"/>
  <c r="HL28" i="10"/>
  <c r="HJ28" i="10"/>
  <c r="HI28" i="10"/>
  <c r="HH28" i="10"/>
  <c r="HG28" i="10"/>
  <c r="HF28" i="10"/>
  <c r="HE28" i="10"/>
  <c r="HD28" i="10"/>
  <c r="HC28" i="10"/>
  <c r="HB28" i="10"/>
  <c r="HA28" i="10"/>
  <c r="GZ28" i="10"/>
  <c r="GY28" i="10"/>
  <c r="GX28" i="10"/>
  <c r="GW28" i="10"/>
  <c r="GV28" i="10"/>
  <c r="GU28" i="10"/>
  <c r="GT28" i="10"/>
  <c r="GR28" i="10"/>
  <c r="GQ28" i="10"/>
  <c r="GP28" i="10"/>
  <c r="GO28" i="10"/>
  <c r="GN28" i="10"/>
  <c r="GM28" i="10"/>
  <c r="GL28" i="10"/>
  <c r="GK28" i="10"/>
  <c r="GJ28" i="10"/>
  <c r="GI28" i="10"/>
  <c r="GH28" i="10"/>
  <c r="GG28" i="10"/>
  <c r="GF28" i="10"/>
  <c r="GE28" i="10"/>
  <c r="GD28" i="10"/>
  <c r="GC28" i="10"/>
  <c r="GB28" i="10"/>
  <c r="FZ28" i="10"/>
  <c r="FY28" i="10"/>
  <c r="FX28" i="10"/>
  <c r="FW28" i="10"/>
  <c r="FV28" i="10"/>
  <c r="FU28" i="10"/>
  <c r="FT28" i="10"/>
  <c r="FS28" i="10"/>
  <c r="FR28" i="10"/>
  <c r="FQ28" i="10"/>
  <c r="FP28" i="10"/>
  <c r="FO28" i="10"/>
  <c r="FN28" i="10"/>
  <c r="FM28" i="10"/>
  <c r="FL28" i="10"/>
  <c r="FK28" i="10"/>
  <c r="FJ28" i="10"/>
  <c r="FH28" i="10"/>
  <c r="FG28" i="10"/>
  <c r="FF28" i="10"/>
  <c r="FE28" i="10"/>
  <c r="FD28" i="10"/>
  <c r="FC28" i="10"/>
  <c r="FB28" i="10"/>
  <c r="FA28" i="10"/>
  <c r="EZ28" i="10"/>
  <c r="EY28" i="10"/>
  <c r="EX28" i="10"/>
  <c r="EW28" i="10"/>
  <c r="EV28" i="10"/>
  <c r="EU28" i="10"/>
  <c r="ET28" i="10"/>
  <c r="ES28" i="10"/>
  <c r="ER28" i="10"/>
  <c r="EP28" i="10"/>
  <c r="EO28" i="10"/>
  <c r="EN28" i="10"/>
  <c r="EM28" i="10"/>
  <c r="EL28" i="10"/>
  <c r="EK28" i="10"/>
  <c r="EJ28" i="10"/>
  <c r="EI28" i="10"/>
  <c r="EH28" i="10"/>
  <c r="EG28" i="10"/>
  <c r="EF28" i="10"/>
  <c r="EE28" i="10"/>
  <c r="ED28" i="10"/>
  <c r="EC28" i="10"/>
  <c r="EB28" i="10"/>
  <c r="EA28" i="10"/>
  <c r="DZ28" i="10"/>
  <c r="DX28" i="10"/>
  <c r="DW28" i="10"/>
  <c r="DV28" i="10"/>
  <c r="DU28" i="10"/>
  <c r="DT28" i="10"/>
  <c r="DS28" i="10"/>
  <c r="DR28" i="10"/>
  <c r="DQ28" i="10"/>
  <c r="DP28" i="10"/>
  <c r="DO28" i="10"/>
  <c r="DN28" i="10"/>
  <c r="DM28" i="10"/>
  <c r="DL28" i="10"/>
  <c r="DK28" i="10"/>
  <c r="DJ28" i="10"/>
  <c r="DI28" i="10"/>
  <c r="DH28" i="10"/>
  <c r="DF28" i="10"/>
  <c r="DE28" i="10"/>
  <c r="DD28" i="10"/>
  <c r="DC28" i="10"/>
  <c r="DB28" i="10"/>
  <c r="DA28" i="10"/>
  <c r="CZ28" i="10"/>
  <c r="CY28" i="10"/>
  <c r="CX28" i="10"/>
  <c r="CW28" i="10"/>
  <c r="CV28" i="10"/>
  <c r="CU28" i="10"/>
  <c r="CT28" i="10"/>
  <c r="CS28" i="10"/>
  <c r="CR28" i="10"/>
  <c r="CQ28" i="10"/>
  <c r="CP28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IB27" i="10"/>
  <c r="IA27" i="10"/>
  <c r="HZ27" i="10"/>
  <c r="HY27" i="10"/>
  <c r="HX27" i="10"/>
  <c r="HW27" i="10"/>
  <c r="HV27" i="10"/>
  <c r="HU27" i="10"/>
  <c r="HT27" i="10"/>
  <c r="HS27" i="10"/>
  <c r="HR27" i="10"/>
  <c r="HQ27" i="10"/>
  <c r="HP27" i="10"/>
  <c r="HO27" i="10"/>
  <c r="HN27" i="10"/>
  <c r="HM27" i="10"/>
  <c r="HL27" i="10"/>
  <c r="HJ27" i="10"/>
  <c r="HI27" i="10"/>
  <c r="HH27" i="10"/>
  <c r="HG27" i="10"/>
  <c r="HF27" i="10"/>
  <c r="HE27" i="10"/>
  <c r="HD27" i="10"/>
  <c r="HC27" i="10"/>
  <c r="HB27" i="10"/>
  <c r="HA27" i="10"/>
  <c r="GZ27" i="10"/>
  <c r="GY27" i="10"/>
  <c r="GX27" i="10"/>
  <c r="GW27" i="10"/>
  <c r="GV27" i="10"/>
  <c r="GU27" i="10"/>
  <c r="GT27" i="10"/>
  <c r="GR27" i="10"/>
  <c r="GQ27" i="10"/>
  <c r="GP27" i="10"/>
  <c r="GO27" i="10"/>
  <c r="GN27" i="10"/>
  <c r="GM27" i="10"/>
  <c r="GL27" i="10"/>
  <c r="GK27" i="10"/>
  <c r="GJ27" i="10"/>
  <c r="GI27" i="10"/>
  <c r="GH27" i="10"/>
  <c r="GG27" i="10"/>
  <c r="GF27" i="10"/>
  <c r="GE27" i="10"/>
  <c r="GD27" i="10"/>
  <c r="GC27" i="10"/>
  <c r="GB27" i="10"/>
  <c r="FZ27" i="10"/>
  <c r="FY27" i="10"/>
  <c r="FX27" i="10"/>
  <c r="FW27" i="10"/>
  <c r="FV27" i="10"/>
  <c r="FU27" i="10"/>
  <c r="FT27" i="10"/>
  <c r="FS27" i="10"/>
  <c r="FR27" i="10"/>
  <c r="FQ27" i="10"/>
  <c r="FP27" i="10"/>
  <c r="FO27" i="10"/>
  <c r="FN27" i="10"/>
  <c r="FM27" i="10"/>
  <c r="FL27" i="10"/>
  <c r="FK27" i="10"/>
  <c r="FJ27" i="10"/>
  <c r="FH27" i="10"/>
  <c r="FG27" i="10"/>
  <c r="FF27" i="10"/>
  <c r="FE27" i="10"/>
  <c r="FD27" i="10"/>
  <c r="FC27" i="10"/>
  <c r="FB27" i="10"/>
  <c r="FA27" i="10"/>
  <c r="EZ27" i="10"/>
  <c r="EY27" i="10"/>
  <c r="EX27" i="10"/>
  <c r="EW27" i="10"/>
  <c r="EV27" i="10"/>
  <c r="EU27" i="10"/>
  <c r="ET27" i="10"/>
  <c r="ES27" i="10"/>
  <c r="ER27" i="10"/>
  <c r="EP27" i="10"/>
  <c r="EO27" i="10"/>
  <c r="EN27" i="10"/>
  <c r="EM27" i="10"/>
  <c r="EL27" i="10"/>
  <c r="EK27" i="10"/>
  <c r="EJ27" i="10"/>
  <c r="EI27" i="10"/>
  <c r="EH27" i="10"/>
  <c r="EG27" i="10"/>
  <c r="EF27" i="10"/>
  <c r="EE27" i="10"/>
  <c r="ED27" i="10"/>
  <c r="EC27" i="10"/>
  <c r="EB27" i="10"/>
  <c r="EA27" i="10"/>
  <c r="DZ27" i="10"/>
  <c r="DX27" i="10"/>
  <c r="DW27" i="10"/>
  <c r="DV27" i="10"/>
  <c r="DU27" i="10"/>
  <c r="DT27" i="10"/>
  <c r="DS27" i="10"/>
  <c r="DR27" i="10"/>
  <c r="DQ27" i="10"/>
  <c r="DP27" i="10"/>
  <c r="DO27" i="10"/>
  <c r="DN27" i="10"/>
  <c r="DM27" i="10"/>
  <c r="DL27" i="10"/>
  <c r="DK27" i="10"/>
  <c r="DJ27" i="10"/>
  <c r="DI27" i="10"/>
  <c r="DH27" i="10"/>
  <c r="DF27" i="10"/>
  <c r="DE27" i="10"/>
  <c r="DD27" i="10"/>
  <c r="DC27" i="10"/>
  <c r="DB27" i="10"/>
  <c r="DA27" i="10"/>
  <c r="CZ27" i="10"/>
  <c r="CY27" i="10"/>
  <c r="CX27" i="10"/>
  <c r="CW27" i="10"/>
  <c r="CV27" i="10"/>
  <c r="CU27" i="10"/>
  <c r="CT27" i="10"/>
  <c r="CS27" i="10"/>
  <c r="CR27" i="10"/>
  <c r="CQ27" i="10"/>
  <c r="CP27" i="10"/>
  <c r="CN27" i="10"/>
  <c r="CM27" i="10"/>
  <c r="CL27" i="10"/>
  <c r="CK27" i="10"/>
  <c r="CJ27" i="10"/>
  <c r="CI27" i="10"/>
  <c r="CH27" i="10"/>
  <c r="CG27" i="10"/>
  <c r="CF27" i="10"/>
  <c r="CE27" i="10"/>
  <c r="CD27" i="10"/>
  <c r="CC27" i="10"/>
  <c r="CB27" i="10"/>
  <c r="CA27" i="10"/>
  <c r="BZ27" i="10"/>
  <c r="BY27" i="10"/>
  <c r="BX27" i="10"/>
  <c r="BV27" i="10"/>
  <c r="BU27" i="10"/>
  <c r="BT27" i="10"/>
  <c r="BS27" i="10"/>
  <c r="BR27" i="10"/>
  <c r="BQ27" i="10"/>
  <c r="BP27" i="10"/>
  <c r="BO27" i="10"/>
  <c r="BN27" i="10"/>
  <c r="BM27" i="10"/>
  <c r="BL27" i="10"/>
  <c r="BK27" i="10"/>
  <c r="BJ27" i="10"/>
  <c r="BI27" i="10"/>
  <c r="BH27" i="10"/>
  <c r="BG27" i="10"/>
  <c r="BF27" i="10"/>
  <c r="BD27" i="10"/>
  <c r="BC27" i="10"/>
  <c r="BB27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IB24" i="10"/>
  <c r="IA24" i="10"/>
  <c r="HZ24" i="10"/>
  <c r="HY24" i="10"/>
  <c r="HX24" i="10"/>
  <c r="HW24" i="10"/>
  <c r="HV24" i="10"/>
  <c r="HU24" i="10"/>
  <c r="HT24" i="10"/>
  <c r="HS24" i="10"/>
  <c r="HR24" i="10"/>
  <c r="HQ24" i="10"/>
  <c r="HP24" i="10"/>
  <c r="HO24" i="10"/>
  <c r="HN24" i="10"/>
  <c r="HM24" i="10"/>
  <c r="HL24" i="10"/>
  <c r="HJ24" i="10"/>
  <c r="HI24" i="10"/>
  <c r="HH24" i="10"/>
  <c r="HG24" i="10"/>
  <c r="HF24" i="10"/>
  <c r="HE24" i="10"/>
  <c r="HD24" i="10"/>
  <c r="HC24" i="10"/>
  <c r="HB24" i="10"/>
  <c r="HA24" i="10"/>
  <c r="GZ24" i="10"/>
  <c r="GY24" i="10"/>
  <c r="GX24" i="10"/>
  <c r="GW24" i="10"/>
  <c r="GV24" i="10"/>
  <c r="GU24" i="10"/>
  <c r="GT24" i="10"/>
  <c r="GR24" i="10"/>
  <c r="GQ24" i="10"/>
  <c r="GP24" i="10"/>
  <c r="GO24" i="10"/>
  <c r="GN24" i="10"/>
  <c r="GM24" i="10"/>
  <c r="GL24" i="10"/>
  <c r="GK24" i="10"/>
  <c r="GJ24" i="10"/>
  <c r="GI24" i="10"/>
  <c r="GH24" i="10"/>
  <c r="GG24" i="10"/>
  <c r="GF24" i="10"/>
  <c r="GE24" i="10"/>
  <c r="GD24" i="10"/>
  <c r="GC24" i="10"/>
  <c r="GB24" i="10"/>
  <c r="FZ24" i="10"/>
  <c r="FY24" i="10"/>
  <c r="FX24" i="10"/>
  <c r="FW24" i="10"/>
  <c r="FV24" i="10"/>
  <c r="FU24" i="10"/>
  <c r="FT24" i="10"/>
  <c r="FS24" i="10"/>
  <c r="FR24" i="10"/>
  <c r="FQ24" i="10"/>
  <c r="FP24" i="10"/>
  <c r="FO24" i="10"/>
  <c r="FN24" i="10"/>
  <c r="FM24" i="10"/>
  <c r="FL24" i="10"/>
  <c r="FK24" i="10"/>
  <c r="FJ24" i="10"/>
  <c r="FH24" i="10"/>
  <c r="FG24" i="10"/>
  <c r="FF24" i="10"/>
  <c r="FE24" i="10"/>
  <c r="FD24" i="10"/>
  <c r="FC24" i="10"/>
  <c r="FB24" i="10"/>
  <c r="FA24" i="10"/>
  <c r="EZ24" i="10"/>
  <c r="EY24" i="10"/>
  <c r="EX24" i="10"/>
  <c r="EW24" i="10"/>
  <c r="EV24" i="10"/>
  <c r="EU24" i="10"/>
  <c r="ET24" i="10"/>
  <c r="ES24" i="10"/>
  <c r="ER24" i="10"/>
  <c r="EP24" i="10"/>
  <c r="EO24" i="10"/>
  <c r="EN24" i="10"/>
  <c r="EM24" i="10"/>
  <c r="EL24" i="10"/>
  <c r="EK24" i="10"/>
  <c r="EJ24" i="10"/>
  <c r="EI24" i="10"/>
  <c r="EH24" i="10"/>
  <c r="EG24" i="10"/>
  <c r="EF24" i="10"/>
  <c r="EE24" i="10"/>
  <c r="ED24" i="10"/>
  <c r="EC24" i="10"/>
  <c r="EB24" i="10"/>
  <c r="EA24" i="10"/>
  <c r="DZ24" i="10"/>
  <c r="DX24" i="10"/>
  <c r="DW24" i="10"/>
  <c r="DV24" i="10"/>
  <c r="DU24" i="10"/>
  <c r="DT24" i="10"/>
  <c r="DS24" i="10"/>
  <c r="DR24" i="10"/>
  <c r="DQ24" i="10"/>
  <c r="DP24" i="10"/>
  <c r="DO24" i="10"/>
  <c r="DN24" i="10"/>
  <c r="DM24" i="10"/>
  <c r="DL24" i="10"/>
  <c r="DK24" i="10"/>
  <c r="DJ24" i="10"/>
  <c r="DI24" i="10"/>
  <c r="DH24" i="10"/>
  <c r="DF24" i="10"/>
  <c r="DE24" i="10"/>
  <c r="DD24" i="10"/>
  <c r="DC24" i="10"/>
  <c r="DB24" i="10"/>
  <c r="DA24" i="10"/>
  <c r="CZ24" i="10"/>
  <c r="CY24" i="10"/>
  <c r="CX24" i="10"/>
  <c r="CW24" i="10"/>
  <c r="CV24" i="10"/>
  <c r="CU24" i="10"/>
  <c r="CT24" i="10"/>
  <c r="CS24" i="10"/>
  <c r="CR24" i="10"/>
  <c r="CQ24" i="10"/>
  <c r="CP24" i="10"/>
  <c r="CN24" i="10"/>
  <c r="CM24" i="10"/>
  <c r="CL24" i="10"/>
  <c r="CK24" i="10"/>
  <c r="CJ24" i="10"/>
  <c r="CI24" i="10"/>
  <c r="CH24" i="10"/>
  <c r="CG24" i="10"/>
  <c r="CF24" i="10"/>
  <c r="CE24" i="10"/>
  <c r="CD24" i="10"/>
  <c r="CC24" i="10"/>
  <c r="CB24" i="10"/>
  <c r="CA24" i="10"/>
  <c r="BZ24" i="10"/>
  <c r="BY24" i="10"/>
  <c r="BX24" i="10"/>
  <c r="BV24" i="10"/>
  <c r="BU24" i="10"/>
  <c r="BT24" i="10"/>
  <c r="BS24" i="10"/>
  <c r="BR24" i="10"/>
  <c r="BQ24" i="10"/>
  <c r="BP24" i="10"/>
  <c r="BO24" i="10"/>
  <c r="BN24" i="10"/>
  <c r="BM24" i="10"/>
  <c r="BL24" i="10"/>
  <c r="BK24" i="10"/>
  <c r="BJ24" i="10"/>
  <c r="BI24" i="10"/>
  <c r="BH24" i="10"/>
  <c r="BG24" i="10"/>
  <c r="BF24" i="10"/>
  <c r="BD24" i="10"/>
  <c r="BC24" i="10"/>
  <c r="BB24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IB23" i="10"/>
  <c r="IA23" i="10"/>
  <c r="HZ23" i="10"/>
  <c r="HY23" i="10"/>
  <c r="HX23" i="10"/>
  <c r="HW23" i="10"/>
  <c r="HV23" i="10"/>
  <c r="HU23" i="10"/>
  <c r="HT23" i="10"/>
  <c r="HS23" i="10"/>
  <c r="HR23" i="10"/>
  <c r="HQ23" i="10"/>
  <c r="HP23" i="10"/>
  <c r="HO23" i="10"/>
  <c r="HN23" i="10"/>
  <c r="HM23" i="10"/>
  <c r="HL23" i="10"/>
  <c r="HJ23" i="10"/>
  <c r="HI23" i="10"/>
  <c r="HH23" i="10"/>
  <c r="HG23" i="10"/>
  <c r="HF23" i="10"/>
  <c r="HE23" i="10"/>
  <c r="HD23" i="10"/>
  <c r="HC23" i="10"/>
  <c r="HB23" i="10"/>
  <c r="HA23" i="10"/>
  <c r="GZ23" i="10"/>
  <c r="GY23" i="10"/>
  <c r="GX23" i="10"/>
  <c r="GW23" i="10"/>
  <c r="GV23" i="10"/>
  <c r="GU23" i="10"/>
  <c r="GT23" i="10"/>
  <c r="GR23" i="10"/>
  <c r="GQ23" i="10"/>
  <c r="GP23" i="10"/>
  <c r="GO23" i="10"/>
  <c r="GN23" i="10"/>
  <c r="GM23" i="10"/>
  <c r="GL23" i="10"/>
  <c r="GK23" i="10"/>
  <c r="GJ23" i="10"/>
  <c r="GI23" i="10"/>
  <c r="GH23" i="10"/>
  <c r="GG23" i="10"/>
  <c r="GF23" i="10"/>
  <c r="GE23" i="10"/>
  <c r="GD23" i="10"/>
  <c r="GC23" i="10"/>
  <c r="GB23" i="10"/>
  <c r="FZ23" i="10"/>
  <c r="FY23" i="10"/>
  <c r="FX23" i="10"/>
  <c r="FW23" i="10"/>
  <c r="FV23" i="10"/>
  <c r="FU23" i="10"/>
  <c r="FT23" i="10"/>
  <c r="FS23" i="10"/>
  <c r="FR23" i="10"/>
  <c r="FQ23" i="10"/>
  <c r="FP23" i="10"/>
  <c r="FO23" i="10"/>
  <c r="FN23" i="10"/>
  <c r="FM23" i="10"/>
  <c r="FL23" i="10"/>
  <c r="FK23" i="10"/>
  <c r="FJ23" i="10"/>
  <c r="FH23" i="10"/>
  <c r="FG23" i="10"/>
  <c r="FF23" i="10"/>
  <c r="FE23" i="10"/>
  <c r="FD23" i="10"/>
  <c r="FC23" i="10"/>
  <c r="FB23" i="10"/>
  <c r="FA23" i="10"/>
  <c r="EZ23" i="10"/>
  <c r="EY23" i="10"/>
  <c r="EX23" i="10"/>
  <c r="EW23" i="10"/>
  <c r="EV23" i="10"/>
  <c r="EU23" i="10"/>
  <c r="ET23" i="10"/>
  <c r="ES23" i="10"/>
  <c r="ER23" i="10"/>
  <c r="EP23" i="10"/>
  <c r="EO23" i="10"/>
  <c r="EN23" i="10"/>
  <c r="EM23" i="10"/>
  <c r="EL23" i="10"/>
  <c r="EK23" i="10"/>
  <c r="EJ23" i="10"/>
  <c r="EI23" i="10"/>
  <c r="EH23" i="10"/>
  <c r="EG23" i="10"/>
  <c r="EF23" i="10"/>
  <c r="EE23" i="10"/>
  <c r="ED23" i="10"/>
  <c r="EC23" i="10"/>
  <c r="EB23" i="10"/>
  <c r="EA23" i="10"/>
  <c r="DZ23" i="10"/>
  <c r="DX23" i="10"/>
  <c r="DW23" i="10"/>
  <c r="DV23" i="10"/>
  <c r="DU23" i="10"/>
  <c r="DT23" i="10"/>
  <c r="DS23" i="10"/>
  <c r="DR23" i="10"/>
  <c r="DQ23" i="10"/>
  <c r="DP23" i="10"/>
  <c r="DO23" i="10"/>
  <c r="DN23" i="10"/>
  <c r="DM23" i="10"/>
  <c r="DL23" i="10"/>
  <c r="DK23" i="10"/>
  <c r="DJ23" i="10"/>
  <c r="DI23" i="10"/>
  <c r="DH23" i="10"/>
  <c r="DF23" i="10"/>
  <c r="DE23" i="10"/>
  <c r="DD23" i="10"/>
  <c r="DC23" i="10"/>
  <c r="DB23" i="10"/>
  <c r="DA23" i="10"/>
  <c r="CZ23" i="10"/>
  <c r="CY23" i="10"/>
  <c r="CX23" i="10"/>
  <c r="CW23" i="10"/>
  <c r="CV23" i="10"/>
  <c r="CU23" i="10"/>
  <c r="CT23" i="10"/>
  <c r="CS23" i="10"/>
  <c r="CR23" i="10"/>
  <c r="CQ23" i="10"/>
  <c r="CP23" i="10"/>
  <c r="CN23" i="10"/>
  <c r="CM23" i="10"/>
  <c r="CL23" i="10"/>
  <c r="CK23" i="10"/>
  <c r="CJ23" i="10"/>
  <c r="CI23" i="10"/>
  <c r="CH23" i="10"/>
  <c r="CG23" i="10"/>
  <c r="CF23" i="10"/>
  <c r="CE23" i="10"/>
  <c r="CD23" i="10"/>
  <c r="CC23" i="10"/>
  <c r="CB23" i="10"/>
  <c r="CA23" i="10"/>
  <c r="BZ23" i="10"/>
  <c r="BY23" i="10"/>
  <c r="BX23" i="10"/>
  <c r="BV23" i="10"/>
  <c r="BU23" i="10"/>
  <c r="BT23" i="10"/>
  <c r="BS23" i="10"/>
  <c r="BR23" i="10"/>
  <c r="BQ23" i="10"/>
  <c r="BP23" i="10"/>
  <c r="BO23" i="10"/>
  <c r="BN23" i="10"/>
  <c r="BM23" i="10"/>
  <c r="BL23" i="10"/>
  <c r="BK23" i="10"/>
  <c r="BJ23" i="10"/>
  <c r="BI23" i="10"/>
  <c r="BH23" i="10"/>
  <c r="BG23" i="10"/>
  <c r="BF23" i="10"/>
  <c r="BD23" i="10"/>
  <c r="BC23" i="10"/>
  <c r="BB23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IB22" i="10"/>
  <c r="IA22" i="10"/>
  <c r="HZ22" i="10"/>
  <c r="HY22" i="10"/>
  <c r="HX22" i="10"/>
  <c r="HW22" i="10"/>
  <c r="HV22" i="10"/>
  <c r="HU22" i="10"/>
  <c r="HT22" i="10"/>
  <c r="HS22" i="10"/>
  <c r="HR22" i="10"/>
  <c r="HQ22" i="10"/>
  <c r="HP22" i="10"/>
  <c r="HO22" i="10"/>
  <c r="HN22" i="10"/>
  <c r="HM22" i="10"/>
  <c r="HL22" i="10"/>
  <c r="HJ22" i="10"/>
  <c r="HI22" i="10"/>
  <c r="HH22" i="10"/>
  <c r="HG22" i="10"/>
  <c r="HF22" i="10"/>
  <c r="HE22" i="10"/>
  <c r="HD22" i="10"/>
  <c r="HC22" i="10"/>
  <c r="HB22" i="10"/>
  <c r="HA22" i="10"/>
  <c r="GZ22" i="10"/>
  <c r="GY22" i="10"/>
  <c r="GX22" i="10"/>
  <c r="GW22" i="10"/>
  <c r="GV22" i="10"/>
  <c r="GU22" i="10"/>
  <c r="GT22" i="10"/>
  <c r="GR22" i="10"/>
  <c r="GQ22" i="10"/>
  <c r="GP22" i="10"/>
  <c r="GO22" i="10"/>
  <c r="GN22" i="10"/>
  <c r="GM22" i="10"/>
  <c r="GL22" i="10"/>
  <c r="GK22" i="10"/>
  <c r="GJ22" i="10"/>
  <c r="GI22" i="10"/>
  <c r="GH22" i="10"/>
  <c r="GG22" i="10"/>
  <c r="GF22" i="10"/>
  <c r="GE22" i="10"/>
  <c r="GD22" i="10"/>
  <c r="GC22" i="10"/>
  <c r="GB22" i="10"/>
  <c r="FZ22" i="10"/>
  <c r="FY22" i="10"/>
  <c r="FX22" i="10"/>
  <c r="FW22" i="10"/>
  <c r="FV22" i="10"/>
  <c r="FU22" i="10"/>
  <c r="FT22" i="10"/>
  <c r="FS22" i="10"/>
  <c r="FR22" i="10"/>
  <c r="FQ22" i="10"/>
  <c r="FP22" i="10"/>
  <c r="FO22" i="10"/>
  <c r="FN22" i="10"/>
  <c r="FM22" i="10"/>
  <c r="FL22" i="10"/>
  <c r="FK22" i="10"/>
  <c r="FJ22" i="10"/>
  <c r="FH22" i="10"/>
  <c r="FG22" i="10"/>
  <c r="FF22" i="10"/>
  <c r="FE22" i="10"/>
  <c r="FD22" i="10"/>
  <c r="FC22" i="10"/>
  <c r="FB22" i="10"/>
  <c r="FA22" i="10"/>
  <c r="EZ22" i="10"/>
  <c r="EY22" i="10"/>
  <c r="EX22" i="10"/>
  <c r="EW22" i="10"/>
  <c r="EV22" i="10"/>
  <c r="EU22" i="10"/>
  <c r="ET22" i="10"/>
  <c r="ES22" i="10"/>
  <c r="ER22" i="10"/>
  <c r="EP22" i="10"/>
  <c r="EO22" i="10"/>
  <c r="EN22" i="10"/>
  <c r="EM22" i="10"/>
  <c r="EL22" i="10"/>
  <c r="EK22" i="10"/>
  <c r="EJ22" i="10"/>
  <c r="EI22" i="10"/>
  <c r="EH22" i="10"/>
  <c r="EG22" i="10"/>
  <c r="EF22" i="10"/>
  <c r="EE22" i="10"/>
  <c r="ED22" i="10"/>
  <c r="EC22" i="10"/>
  <c r="EB22" i="10"/>
  <c r="EA22" i="10"/>
  <c r="DZ22" i="10"/>
  <c r="DX22" i="10"/>
  <c r="DW22" i="10"/>
  <c r="DV22" i="10"/>
  <c r="DU22" i="10"/>
  <c r="DT22" i="10"/>
  <c r="DS22" i="10"/>
  <c r="DR22" i="10"/>
  <c r="DQ22" i="10"/>
  <c r="DP22" i="10"/>
  <c r="DO22" i="10"/>
  <c r="DN22" i="10"/>
  <c r="DM22" i="10"/>
  <c r="DL22" i="10"/>
  <c r="DK22" i="10"/>
  <c r="DJ22" i="10"/>
  <c r="DI22" i="10"/>
  <c r="DH22" i="10"/>
  <c r="DF22" i="10"/>
  <c r="DE22" i="10"/>
  <c r="DD22" i="10"/>
  <c r="DC22" i="10"/>
  <c r="DB22" i="10"/>
  <c r="DA22" i="10"/>
  <c r="CZ22" i="10"/>
  <c r="CY22" i="10"/>
  <c r="CX22" i="10"/>
  <c r="CW22" i="10"/>
  <c r="CV22" i="10"/>
  <c r="CU22" i="10"/>
  <c r="CT22" i="10"/>
  <c r="CS22" i="10"/>
  <c r="CR22" i="10"/>
  <c r="CQ22" i="10"/>
  <c r="CP22" i="10"/>
  <c r="CN22" i="10"/>
  <c r="CM22" i="10"/>
  <c r="CL22" i="10"/>
  <c r="CK22" i="10"/>
  <c r="CJ22" i="10"/>
  <c r="CI22" i="10"/>
  <c r="CH22" i="10"/>
  <c r="CG22" i="10"/>
  <c r="CF22" i="10"/>
  <c r="CE22" i="10"/>
  <c r="CD22" i="10"/>
  <c r="CC22" i="10"/>
  <c r="CB22" i="10"/>
  <c r="CA22" i="10"/>
  <c r="BZ22" i="10"/>
  <c r="BY22" i="10"/>
  <c r="BX22" i="10"/>
  <c r="BV22" i="10"/>
  <c r="BU22" i="10"/>
  <c r="BT22" i="10"/>
  <c r="BS22" i="10"/>
  <c r="BR22" i="10"/>
  <c r="BQ22" i="10"/>
  <c r="BP22" i="10"/>
  <c r="BO22" i="10"/>
  <c r="BN22" i="10"/>
  <c r="BM22" i="10"/>
  <c r="BL22" i="10"/>
  <c r="BK22" i="10"/>
  <c r="BJ22" i="10"/>
  <c r="BI22" i="10"/>
  <c r="BH22" i="10"/>
  <c r="BG22" i="10"/>
  <c r="BF22" i="10"/>
  <c r="BD22" i="10"/>
  <c r="BC22" i="10"/>
  <c r="BB22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IB21" i="10"/>
  <c r="IA21" i="10"/>
  <c r="HZ21" i="10"/>
  <c r="HY21" i="10"/>
  <c r="HX21" i="10"/>
  <c r="HW21" i="10"/>
  <c r="HV21" i="10"/>
  <c r="HU21" i="10"/>
  <c r="HT21" i="10"/>
  <c r="HS21" i="10"/>
  <c r="HR21" i="10"/>
  <c r="HQ21" i="10"/>
  <c r="HP21" i="10"/>
  <c r="HO21" i="10"/>
  <c r="HN21" i="10"/>
  <c r="HM21" i="10"/>
  <c r="HL21" i="10"/>
  <c r="HJ21" i="10"/>
  <c r="HI21" i="10"/>
  <c r="HH21" i="10"/>
  <c r="HG21" i="10"/>
  <c r="HF21" i="10"/>
  <c r="HE21" i="10"/>
  <c r="HD21" i="10"/>
  <c r="HC21" i="10"/>
  <c r="HB21" i="10"/>
  <c r="HA21" i="10"/>
  <c r="GZ21" i="10"/>
  <c r="GY21" i="10"/>
  <c r="GX21" i="10"/>
  <c r="GW21" i="10"/>
  <c r="GV21" i="10"/>
  <c r="GU21" i="10"/>
  <c r="GT21" i="10"/>
  <c r="GR21" i="10"/>
  <c r="GQ21" i="10"/>
  <c r="GP21" i="10"/>
  <c r="GO21" i="10"/>
  <c r="GN21" i="10"/>
  <c r="GM21" i="10"/>
  <c r="GL21" i="10"/>
  <c r="GK21" i="10"/>
  <c r="GJ21" i="10"/>
  <c r="GI21" i="10"/>
  <c r="GH21" i="10"/>
  <c r="GG21" i="10"/>
  <c r="GF21" i="10"/>
  <c r="GE21" i="10"/>
  <c r="GD21" i="10"/>
  <c r="GC21" i="10"/>
  <c r="GB21" i="10"/>
  <c r="FZ21" i="10"/>
  <c r="FY21" i="10"/>
  <c r="FX21" i="10"/>
  <c r="FW21" i="10"/>
  <c r="FV21" i="10"/>
  <c r="FU21" i="10"/>
  <c r="FT21" i="10"/>
  <c r="FS21" i="10"/>
  <c r="FR21" i="10"/>
  <c r="FQ21" i="10"/>
  <c r="FP21" i="10"/>
  <c r="FO21" i="10"/>
  <c r="FN21" i="10"/>
  <c r="FM21" i="10"/>
  <c r="FL21" i="10"/>
  <c r="FK21" i="10"/>
  <c r="FJ21" i="10"/>
  <c r="FH21" i="10"/>
  <c r="FG21" i="10"/>
  <c r="FF21" i="10"/>
  <c r="FE21" i="10"/>
  <c r="FD21" i="10"/>
  <c r="FC21" i="10"/>
  <c r="FB21" i="10"/>
  <c r="FA21" i="10"/>
  <c r="EZ21" i="10"/>
  <c r="EY21" i="10"/>
  <c r="EX21" i="10"/>
  <c r="EW21" i="10"/>
  <c r="EV21" i="10"/>
  <c r="EU21" i="10"/>
  <c r="ET21" i="10"/>
  <c r="ES21" i="10"/>
  <c r="ER21" i="10"/>
  <c r="EP21" i="10"/>
  <c r="EO21" i="10"/>
  <c r="EN21" i="10"/>
  <c r="EM21" i="10"/>
  <c r="EL21" i="10"/>
  <c r="EK21" i="10"/>
  <c r="EJ21" i="10"/>
  <c r="EI21" i="10"/>
  <c r="EH21" i="10"/>
  <c r="EG21" i="10"/>
  <c r="EF21" i="10"/>
  <c r="EE21" i="10"/>
  <c r="ED21" i="10"/>
  <c r="EC21" i="10"/>
  <c r="EB21" i="10"/>
  <c r="EA21" i="10"/>
  <c r="DZ21" i="10"/>
  <c r="DX21" i="10"/>
  <c r="DW21" i="10"/>
  <c r="DV21" i="10"/>
  <c r="DU21" i="10"/>
  <c r="DT21" i="10"/>
  <c r="DS21" i="10"/>
  <c r="DR21" i="10"/>
  <c r="DQ21" i="10"/>
  <c r="DP21" i="10"/>
  <c r="DO21" i="10"/>
  <c r="DN21" i="10"/>
  <c r="DM21" i="10"/>
  <c r="DL21" i="10"/>
  <c r="DK21" i="10"/>
  <c r="DJ21" i="10"/>
  <c r="DI21" i="10"/>
  <c r="DH21" i="10"/>
  <c r="DF21" i="10"/>
  <c r="DE21" i="10"/>
  <c r="DD21" i="10"/>
  <c r="DC21" i="10"/>
  <c r="DB21" i="10"/>
  <c r="DA21" i="10"/>
  <c r="CZ21" i="10"/>
  <c r="CY21" i="10"/>
  <c r="CX21" i="10"/>
  <c r="CW21" i="10"/>
  <c r="CV21" i="10"/>
  <c r="CU21" i="10"/>
  <c r="CT21" i="10"/>
  <c r="CS21" i="10"/>
  <c r="CR21" i="10"/>
  <c r="CQ21" i="10"/>
  <c r="CP21" i="10"/>
  <c r="CN21" i="10"/>
  <c r="CM21" i="10"/>
  <c r="CL21" i="10"/>
  <c r="CK21" i="10"/>
  <c r="CJ21" i="10"/>
  <c r="CI21" i="10"/>
  <c r="CH21" i="10"/>
  <c r="CG21" i="10"/>
  <c r="CF21" i="10"/>
  <c r="CE21" i="10"/>
  <c r="CD21" i="10"/>
  <c r="CC21" i="10"/>
  <c r="CB21" i="10"/>
  <c r="CA21" i="10"/>
  <c r="BZ21" i="10"/>
  <c r="BY21" i="10"/>
  <c r="BX21" i="10"/>
  <c r="BV21" i="10"/>
  <c r="BU21" i="10"/>
  <c r="BT21" i="10"/>
  <c r="BS21" i="10"/>
  <c r="BR21" i="10"/>
  <c r="BQ21" i="10"/>
  <c r="BP21" i="10"/>
  <c r="BO21" i="10"/>
  <c r="BN21" i="10"/>
  <c r="BM21" i="10"/>
  <c r="BL21" i="10"/>
  <c r="BK21" i="10"/>
  <c r="BJ21" i="10"/>
  <c r="BI21" i="10"/>
  <c r="BH21" i="10"/>
  <c r="BG21" i="10"/>
  <c r="BF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IB20" i="10"/>
  <c r="IA20" i="10"/>
  <c r="HZ20" i="10"/>
  <c r="HY20" i="10"/>
  <c r="HX20" i="10"/>
  <c r="HW20" i="10"/>
  <c r="HV20" i="10"/>
  <c r="HU20" i="10"/>
  <c r="HT20" i="10"/>
  <c r="HS20" i="10"/>
  <c r="HR20" i="10"/>
  <c r="HQ20" i="10"/>
  <c r="HP20" i="10"/>
  <c r="HO20" i="10"/>
  <c r="HN20" i="10"/>
  <c r="HM20" i="10"/>
  <c r="HL20" i="10"/>
  <c r="HJ20" i="10"/>
  <c r="HI20" i="10"/>
  <c r="HH20" i="10"/>
  <c r="HG20" i="10"/>
  <c r="HF20" i="10"/>
  <c r="HE20" i="10"/>
  <c r="HD20" i="10"/>
  <c r="HC20" i="10"/>
  <c r="HB20" i="10"/>
  <c r="HA20" i="10"/>
  <c r="GZ20" i="10"/>
  <c r="GY20" i="10"/>
  <c r="GX20" i="10"/>
  <c r="GW20" i="10"/>
  <c r="GV20" i="10"/>
  <c r="GU20" i="10"/>
  <c r="GT20" i="10"/>
  <c r="GR20" i="10"/>
  <c r="GQ20" i="10"/>
  <c r="GP20" i="10"/>
  <c r="GO20" i="10"/>
  <c r="GN20" i="10"/>
  <c r="GM20" i="10"/>
  <c r="GL20" i="10"/>
  <c r="GK20" i="10"/>
  <c r="GJ20" i="10"/>
  <c r="GI20" i="10"/>
  <c r="GH20" i="10"/>
  <c r="GG20" i="10"/>
  <c r="GF20" i="10"/>
  <c r="GE20" i="10"/>
  <c r="GD20" i="10"/>
  <c r="GC20" i="10"/>
  <c r="GB20" i="10"/>
  <c r="FZ20" i="10"/>
  <c r="FY20" i="10"/>
  <c r="FX20" i="10"/>
  <c r="FW20" i="10"/>
  <c r="FV20" i="10"/>
  <c r="FU20" i="10"/>
  <c r="FT20" i="10"/>
  <c r="FS20" i="10"/>
  <c r="FR20" i="10"/>
  <c r="FQ20" i="10"/>
  <c r="FP20" i="10"/>
  <c r="FO20" i="10"/>
  <c r="FN20" i="10"/>
  <c r="FM20" i="10"/>
  <c r="FL20" i="10"/>
  <c r="FK20" i="10"/>
  <c r="FJ20" i="10"/>
  <c r="FH20" i="10"/>
  <c r="FG20" i="10"/>
  <c r="FF20" i="10"/>
  <c r="FE20" i="10"/>
  <c r="FD20" i="10"/>
  <c r="FC20" i="10"/>
  <c r="FB20" i="10"/>
  <c r="FA20" i="10"/>
  <c r="EZ20" i="10"/>
  <c r="EY20" i="10"/>
  <c r="EX20" i="10"/>
  <c r="EW20" i="10"/>
  <c r="EV20" i="10"/>
  <c r="EU20" i="10"/>
  <c r="ET20" i="10"/>
  <c r="ES20" i="10"/>
  <c r="ER20" i="10"/>
  <c r="EP20" i="10"/>
  <c r="EO20" i="10"/>
  <c r="EN20" i="10"/>
  <c r="EM20" i="10"/>
  <c r="EL20" i="10"/>
  <c r="EK20" i="10"/>
  <c r="EJ20" i="10"/>
  <c r="EI20" i="10"/>
  <c r="EH20" i="10"/>
  <c r="EG20" i="10"/>
  <c r="EF20" i="10"/>
  <c r="EE20" i="10"/>
  <c r="ED20" i="10"/>
  <c r="EC20" i="10"/>
  <c r="EB20" i="10"/>
  <c r="EA20" i="10"/>
  <c r="DZ20" i="10"/>
  <c r="DX20" i="10"/>
  <c r="DW20" i="10"/>
  <c r="DV20" i="10"/>
  <c r="DU20" i="10"/>
  <c r="DT20" i="10"/>
  <c r="DS20" i="10"/>
  <c r="DR20" i="10"/>
  <c r="DQ20" i="10"/>
  <c r="DP20" i="10"/>
  <c r="DO20" i="10"/>
  <c r="DN20" i="10"/>
  <c r="DM20" i="10"/>
  <c r="DL20" i="10"/>
  <c r="DK20" i="10"/>
  <c r="DJ20" i="10"/>
  <c r="DI20" i="10"/>
  <c r="DH20" i="10"/>
  <c r="DF20" i="10"/>
  <c r="DE20" i="10"/>
  <c r="DD20" i="10"/>
  <c r="DC20" i="10"/>
  <c r="DB20" i="10"/>
  <c r="DA20" i="10"/>
  <c r="CZ20" i="10"/>
  <c r="CY20" i="10"/>
  <c r="CX20" i="10"/>
  <c r="CW20" i="10"/>
  <c r="CV20" i="10"/>
  <c r="CU20" i="10"/>
  <c r="CT20" i="10"/>
  <c r="CS20" i="10"/>
  <c r="CR20" i="10"/>
  <c r="CQ20" i="10"/>
  <c r="CP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IB19" i="10"/>
  <c r="IA19" i="10"/>
  <c r="HZ19" i="10"/>
  <c r="HY19" i="10"/>
  <c r="HX19" i="10"/>
  <c r="HW19" i="10"/>
  <c r="HV19" i="10"/>
  <c r="HU19" i="10"/>
  <c r="HT19" i="10"/>
  <c r="HS19" i="10"/>
  <c r="HR19" i="10"/>
  <c r="HQ19" i="10"/>
  <c r="HP19" i="10"/>
  <c r="HO19" i="10"/>
  <c r="HN19" i="10"/>
  <c r="HM19" i="10"/>
  <c r="HL19" i="10"/>
  <c r="HJ19" i="10"/>
  <c r="HI19" i="10"/>
  <c r="HH19" i="10"/>
  <c r="HG19" i="10"/>
  <c r="HF19" i="10"/>
  <c r="HE19" i="10"/>
  <c r="HD19" i="10"/>
  <c r="HC19" i="10"/>
  <c r="HB19" i="10"/>
  <c r="HA19" i="10"/>
  <c r="GZ19" i="10"/>
  <c r="GY19" i="10"/>
  <c r="GX19" i="10"/>
  <c r="GW19" i="10"/>
  <c r="GV19" i="10"/>
  <c r="GU19" i="10"/>
  <c r="GT19" i="10"/>
  <c r="GR19" i="10"/>
  <c r="GQ19" i="10"/>
  <c r="GP19" i="10"/>
  <c r="GO19" i="10"/>
  <c r="GN19" i="10"/>
  <c r="GM19" i="10"/>
  <c r="GL19" i="10"/>
  <c r="GK19" i="10"/>
  <c r="GJ19" i="10"/>
  <c r="GI19" i="10"/>
  <c r="GH19" i="10"/>
  <c r="GG19" i="10"/>
  <c r="GF19" i="10"/>
  <c r="GE19" i="10"/>
  <c r="GD19" i="10"/>
  <c r="GC19" i="10"/>
  <c r="GB19" i="10"/>
  <c r="FZ19" i="10"/>
  <c r="FY19" i="10"/>
  <c r="FX19" i="10"/>
  <c r="FW19" i="10"/>
  <c r="FV19" i="10"/>
  <c r="FU19" i="10"/>
  <c r="FT19" i="10"/>
  <c r="FS19" i="10"/>
  <c r="FR19" i="10"/>
  <c r="FQ19" i="10"/>
  <c r="FP19" i="10"/>
  <c r="FO19" i="10"/>
  <c r="FN19" i="10"/>
  <c r="FM19" i="10"/>
  <c r="FL19" i="10"/>
  <c r="FK19" i="10"/>
  <c r="FJ19" i="10"/>
  <c r="FH19" i="10"/>
  <c r="FG19" i="10"/>
  <c r="FF19" i="10"/>
  <c r="FE19" i="10"/>
  <c r="FD19" i="10"/>
  <c r="FC19" i="10"/>
  <c r="FB19" i="10"/>
  <c r="FA19" i="10"/>
  <c r="EZ19" i="10"/>
  <c r="EY19" i="10"/>
  <c r="EX19" i="10"/>
  <c r="EW19" i="10"/>
  <c r="EV19" i="10"/>
  <c r="EU19" i="10"/>
  <c r="ET19" i="10"/>
  <c r="ES19" i="10"/>
  <c r="ER19" i="10"/>
  <c r="EP19" i="10"/>
  <c r="EO19" i="10"/>
  <c r="EN19" i="10"/>
  <c r="EM19" i="10"/>
  <c r="EL19" i="10"/>
  <c r="EK19" i="10"/>
  <c r="EJ19" i="10"/>
  <c r="EI19" i="10"/>
  <c r="EH19" i="10"/>
  <c r="EG19" i="10"/>
  <c r="EF19" i="10"/>
  <c r="EE19" i="10"/>
  <c r="ED19" i="10"/>
  <c r="EC19" i="10"/>
  <c r="EB19" i="10"/>
  <c r="EA19" i="10"/>
  <c r="DZ19" i="10"/>
  <c r="DX19" i="10"/>
  <c r="DW19" i="10"/>
  <c r="DV19" i="10"/>
  <c r="DU19" i="10"/>
  <c r="DT19" i="10"/>
  <c r="DS19" i="10"/>
  <c r="DR19" i="10"/>
  <c r="DQ19" i="10"/>
  <c r="DP19" i="10"/>
  <c r="DO19" i="10"/>
  <c r="DN19" i="10"/>
  <c r="DM19" i="10"/>
  <c r="DL19" i="10"/>
  <c r="DK19" i="10"/>
  <c r="DJ19" i="10"/>
  <c r="DI19" i="10"/>
  <c r="DH19" i="10"/>
  <c r="DF19" i="10"/>
  <c r="DE19" i="10"/>
  <c r="DD19" i="10"/>
  <c r="DC19" i="10"/>
  <c r="DB19" i="10"/>
  <c r="DA19" i="10"/>
  <c r="CZ19" i="10"/>
  <c r="CY19" i="10"/>
  <c r="CX19" i="10"/>
  <c r="CW19" i="10"/>
  <c r="CV19" i="10"/>
  <c r="CU19" i="10"/>
  <c r="CT19" i="10"/>
  <c r="CS19" i="10"/>
  <c r="CR19" i="10"/>
  <c r="CQ19" i="10"/>
  <c r="CP19" i="10"/>
  <c r="CN19" i="10"/>
  <c r="CM19" i="10"/>
  <c r="CL19" i="10"/>
  <c r="CK19" i="10"/>
  <c r="CJ19" i="10"/>
  <c r="CI19" i="10"/>
  <c r="CH19" i="10"/>
  <c r="CG19" i="10"/>
  <c r="CF19" i="10"/>
  <c r="CE19" i="10"/>
  <c r="CD19" i="10"/>
  <c r="CC19" i="10"/>
  <c r="CB19" i="10"/>
  <c r="CA19" i="10"/>
  <c r="BZ19" i="10"/>
  <c r="BY19" i="10"/>
  <c r="BX19" i="10"/>
  <c r="BV19" i="10"/>
  <c r="BU19" i="10"/>
  <c r="BT19" i="10"/>
  <c r="BS19" i="10"/>
  <c r="BR19" i="10"/>
  <c r="BQ19" i="10"/>
  <c r="BP19" i="10"/>
  <c r="BO19" i="10"/>
  <c r="BN19" i="10"/>
  <c r="BM19" i="10"/>
  <c r="BL19" i="10"/>
  <c r="BK19" i="10"/>
  <c r="BJ19" i="10"/>
  <c r="BI19" i="10"/>
  <c r="BH19" i="10"/>
  <c r="BG19" i="10"/>
  <c r="BF19" i="10"/>
  <c r="BD19" i="10"/>
  <c r="BC19" i="10"/>
  <c r="BB19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IB18" i="10"/>
  <c r="IA18" i="10"/>
  <c r="HZ18" i="10"/>
  <c r="HY18" i="10"/>
  <c r="HX18" i="10"/>
  <c r="HW18" i="10"/>
  <c r="HV18" i="10"/>
  <c r="HU18" i="10"/>
  <c r="HT18" i="10"/>
  <c r="HS18" i="10"/>
  <c r="HR18" i="10"/>
  <c r="HQ18" i="10"/>
  <c r="HP18" i="10"/>
  <c r="HO18" i="10"/>
  <c r="HN18" i="10"/>
  <c r="HM18" i="10"/>
  <c r="HL18" i="10"/>
  <c r="HJ18" i="10"/>
  <c r="HI18" i="10"/>
  <c r="HH18" i="10"/>
  <c r="HG18" i="10"/>
  <c r="HF18" i="10"/>
  <c r="HE18" i="10"/>
  <c r="HD18" i="10"/>
  <c r="HC18" i="10"/>
  <c r="HB18" i="10"/>
  <c r="HA18" i="10"/>
  <c r="GZ18" i="10"/>
  <c r="GY18" i="10"/>
  <c r="GX18" i="10"/>
  <c r="GW18" i="10"/>
  <c r="GV18" i="10"/>
  <c r="GU18" i="10"/>
  <c r="GT18" i="10"/>
  <c r="GR18" i="10"/>
  <c r="GQ18" i="10"/>
  <c r="GP18" i="10"/>
  <c r="GO18" i="10"/>
  <c r="GN18" i="10"/>
  <c r="GM18" i="10"/>
  <c r="GL18" i="10"/>
  <c r="GK18" i="10"/>
  <c r="GJ18" i="10"/>
  <c r="GI18" i="10"/>
  <c r="GH18" i="10"/>
  <c r="GG18" i="10"/>
  <c r="GF18" i="10"/>
  <c r="GE18" i="10"/>
  <c r="GD18" i="10"/>
  <c r="GC18" i="10"/>
  <c r="GB18" i="10"/>
  <c r="FZ18" i="10"/>
  <c r="FY18" i="10"/>
  <c r="FX18" i="10"/>
  <c r="FW18" i="10"/>
  <c r="FV18" i="10"/>
  <c r="FU18" i="10"/>
  <c r="FT18" i="10"/>
  <c r="FS18" i="10"/>
  <c r="FR18" i="10"/>
  <c r="FQ18" i="10"/>
  <c r="FP18" i="10"/>
  <c r="FO18" i="10"/>
  <c r="FN18" i="10"/>
  <c r="FM18" i="10"/>
  <c r="FL18" i="10"/>
  <c r="FK18" i="10"/>
  <c r="FJ18" i="10"/>
  <c r="FH18" i="10"/>
  <c r="FG18" i="10"/>
  <c r="FF18" i="10"/>
  <c r="FE18" i="10"/>
  <c r="FD18" i="10"/>
  <c r="FC18" i="10"/>
  <c r="FB18" i="10"/>
  <c r="FA18" i="10"/>
  <c r="EZ18" i="10"/>
  <c r="EY18" i="10"/>
  <c r="EX18" i="10"/>
  <c r="EW18" i="10"/>
  <c r="EV18" i="10"/>
  <c r="EU18" i="10"/>
  <c r="ET18" i="10"/>
  <c r="ES18" i="10"/>
  <c r="ER18" i="10"/>
  <c r="EP18" i="10"/>
  <c r="EO18" i="10"/>
  <c r="EN18" i="10"/>
  <c r="EM18" i="10"/>
  <c r="EL18" i="10"/>
  <c r="EK18" i="10"/>
  <c r="EJ18" i="10"/>
  <c r="EI18" i="10"/>
  <c r="EH18" i="10"/>
  <c r="EG18" i="10"/>
  <c r="EF18" i="10"/>
  <c r="EE18" i="10"/>
  <c r="ED18" i="10"/>
  <c r="EC18" i="10"/>
  <c r="EB18" i="10"/>
  <c r="EA18" i="10"/>
  <c r="DZ18" i="10"/>
  <c r="DX18" i="10"/>
  <c r="DW18" i="10"/>
  <c r="DV18" i="10"/>
  <c r="DU18" i="10"/>
  <c r="DT18" i="10"/>
  <c r="DS18" i="10"/>
  <c r="DR18" i="10"/>
  <c r="DQ18" i="10"/>
  <c r="DP18" i="10"/>
  <c r="DO18" i="10"/>
  <c r="DN18" i="10"/>
  <c r="DM18" i="10"/>
  <c r="DL18" i="10"/>
  <c r="DK18" i="10"/>
  <c r="DJ18" i="10"/>
  <c r="DI18" i="10"/>
  <c r="DH18" i="10"/>
  <c r="DF18" i="10"/>
  <c r="DE18" i="10"/>
  <c r="DD18" i="10"/>
  <c r="DC18" i="10"/>
  <c r="DB18" i="10"/>
  <c r="DA18" i="10"/>
  <c r="CZ18" i="10"/>
  <c r="CY18" i="10"/>
  <c r="CX18" i="10"/>
  <c r="CW18" i="10"/>
  <c r="CV18" i="10"/>
  <c r="CU18" i="10"/>
  <c r="CT18" i="10"/>
  <c r="CS18" i="10"/>
  <c r="CR18" i="10"/>
  <c r="CQ18" i="10"/>
  <c r="CP18" i="10"/>
  <c r="CN18" i="10"/>
  <c r="CM18" i="10"/>
  <c r="CL18" i="10"/>
  <c r="CK18" i="10"/>
  <c r="CJ18" i="10"/>
  <c r="CI18" i="10"/>
  <c r="CH18" i="10"/>
  <c r="CG18" i="10"/>
  <c r="CF18" i="10"/>
  <c r="CE18" i="10"/>
  <c r="CD18" i="10"/>
  <c r="CC18" i="10"/>
  <c r="CB18" i="10"/>
  <c r="CA18" i="10"/>
  <c r="BZ18" i="10"/>
  <c r="BY18" i="10"/>
  <c r="BX18" i="10"/>
  <c r="BV18" i="10"/>
  <c r="BU18" i="10"/>
  <c r="BT18" i="10"/>
  <c r="BS18" i="10"/>
  <c r="BR18" i="10"/>
  <c r="BQ18" i="10"/>
  <c r="BP18" i="10"/>
  <c r="BO18" i="10"/>
  <c r="BN18" i="10"/>
  <c r="BM18" i="10"/>
  <c r="BL18" i="10"/>
  <c r="BK18" i="10"/>
  <c r="BJ18" i="10"/>
  <c r="BI18" i="10"/>
  <c r="BH18" i="10"/>
  <c r="BG18" i="10"/>
  <c r="BF18" i="10"/>
  <c r="BD18" i="10"/>
  <c r="BC18" i="10"/>
  <c r="BB18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IB17" i="10"/>
  <c r="IA17" i="10"/>
  <c r="HZ17" i="10"/>
  <c r="HY17" i="10"/>
  <c r="HX17" i="10"/>
  <c r="HW17" i="10"/>
  <c r="HV17" i="10"/>
  <c r="HU17" i="10"/>
  <c r="HT17" i="10"/>
  <c r="HS17" i="10"/>
  <c r="HR17" i="10"/>
  <c r="HQ17" i="10"/>
  <c r="HP17" i="10"/>
  <c r="HO17" i="10"/>
  <c r="HN17" i="10"/>
  <c r="HM17" i="10"/>
  <c r="HL17" i="10"/>
  <c r="HJ17" i="10"/>
  <c r="HI17" i="10"/>
  <c r="HH17" i="10"/>
  <c r="HG17" i="10"/>
  <c r="HF17" i="10"/>
  <c r="HE17" i="10"/>
  <c r="HD17" i="10"/>
  <c r="HC17" i="10"/>
  <c r="HB17" i="10"/>
  <c r="HA17" i="10"/>
  <c r="GZ17" i="10"/>
  <c r="GY17" i="10"/>
  <c r="GX17" i="10"/>
  <c r="GW17" i="10"/>
  <c r="GV17" i="10"/>
  <c r="GU17" i="10"/>
  <c r="GT17" i="10"/>
  <c r="GR17" i="10"/>
  <c r="GQ17" i="10"/>
  <c r="GP17" i="10"/>
  <c r="GO17" i="10"/>
  <c r="GN17" i="10"/>
  <c r="GM17" i="10"/>
  <c r="GL17" i="10"/>
  <c r="GK17" i="10"/>
  <c r="GJ17" i="10"/>
  <c r="GI17" i="10"/>
  <c r="GH17" i="10"/>
  <c r="GG17" i="10"/>
  <c r="GF17" i="10"/>
  <c r="GE17" i="10"/>
  <c r="GD17" i="10"/>
  <c r="GC17" i="10"/>
  <c r="GB17" i="10"/>
  <c r="FZ17" i="10"/>
  <c r="FY17" i="10"/>
  <c r="FX17" i="10"/>
  <c r="FW17" i="10"/>
  <c r="FV17" i="10"/>
  <c r="FU17" i="10"/>
  <c r="FT17" i="10"/>
  <c r="FS17" i="10"/>
  <c r="FR17" i="10"/>
  <c r="FQ17" i="10"/>
  <c r="FP17" i="10"/>
  <c r="FO17" i="10"/>
  <c r="FN17" i="10"/>
  <c r="FM17" i="10"/>
  <c r="FL17" i="10"/>
  <c r="FK17" i="10"/>
  <c r="FJ17" i="10"/>
  <c r="FH17" i="10"/>
  <c r="FG17" i="10"/>
  <c r="FF17" i="10"/>
  <c r="FE17" i="10"/>
  <c r="FD17" i="10"/>
  <c r="FC17" i="10"/>
  <c r="FB17" i="10"/>
  <c r="FA17" i="10"/>
  <c r="EZ17" i="10"/>
  <c r="EY17" i="10"/>
  <c r="EX17" i="10"/>
  <c r="EW17" i="10"/>
  <c r="EV17" i="10"/>
  <c r="EU17" i="10"/>
  <c r="ET17" i="10"/>
  <c r="ES17" i="10"/>
  <c r="ER17" i="10"/>
  <c r="EP17" i="10"/>
  <c r="EO17" i="10"/>
  <c r="EN17" i="10"/>
  <c r="EM17" i="10"/>
  <c r="EL17" i="10"/>
  <c r="EK17" i="10"/>
  <c r="EJ17" i="10"/>
  <c r="EI17" i="10"/>
  <c r="EH17" i="10"/>
  <c r="EG17" i="10"/>
  <c r="EF17" i="10"/>
  <c r="EE17" i="10"/>
  <c r="ED17" i="10"/>
  <c r="EC17" i="10"/>
  <c r="EB17" i="10"/>
  <c r="EA17" i="10"/>
  <c r="DZ17" i="10"/>
  <c r="DX17" i="10"/>
  <c r="DW17" i="10"/>
  <c r="DV17" i="10"/>
  <c r="DU17" i="10"/>
  <c r="DT17" i="10"/>
  <c r="DS17" i="10"/>
  <c r="DR17" i="10"/>
  <c r="DQ17" i="10"/>
  <c r="DP17" i="10"/>
  <c r="DO17" i="10"/>
  <c r="DN17" i="10"/>
  <c r="DM17" i="10"/>
  <c r="DL17" i="10"/>
  <c r="DK17" i="10"/>
  <c r="DJ17" i="10"/>
  <c r="DI17" i="10"/>
  <c r="DH17" i="10"/>
  <c r="DF17" i="10"/>
  <c r="DE17" i="10"/>
  <c r="DD17" i="10"/>
  <c r="DC17" i="10"/>
  <c r="DB17" i="10"/>
  <c r="DA17" i="10"/>
  <c r="CZ17" i="10"/>
  <c r="CY17" i="10"/>
  <c r="CX17" i="10"/>
  <c r="CW17" i="10"/>
  <c r="CV17" i="10"/>
  <c r="CU17" i="10"/>
  <c r="CT17" i="10"/>
  <c r="CS17" i="10"/>
  <c r="CR17" i="10"/>
  <c r="CQ17" i="10"/>
  <c r="CP17" i="10"/>
  <c r="CN17" i="10"/>
  <c r="CM17" i="10"/>
  <c r="CL17" i="10"/>
  <c r="CK17" i="10"/>
  <c r="CJ17" i="10"/>
  <c r="CI17" i="10"/>
  <c r="CH17" i="10"/>
  <c r="CG17" i="10"/>
  <c r="CF17" i="10"/>
  <c r="CE17" i="10"/>
  <c r="CD17" i="10"/>
  <c r="CC17" i="10"/>
  <c r="CB17" i="10"/>
  <c r="CA17" i="10"/>
  <c r="BZ17" i="10"/>
  <c r="BY17" i="10"/>
  <c r="BX17" i="10"/>
  <c r="BV17" i="10"/>
  <c r="BU17" i="10"/>
  <c r="BT17" i="10"/>
  <c r="BS17" i="10"/>
  <c r="BR17" i="10"/>
  <c r="BQ17" i="10"/>
  <c r="BP17" i="10"/>
  <c r="BO17" i="10"/>
  <c r="BN17" i="10"/>
  <c r="BM17" i="10"/>
  <c r="BL17" i="10"/>
  <c r="BK17" i="10"/>
  <c r="BJ17" i="10"/>
  <c r="BI17" i="10"/>
  <c r="BH17" i="10"/>
  <c r="BG17" i="10"/>
  <c r="BF17" i="10"/>
  <c r="BD17" i="10"/>
  <c r="BC17" i="10"/>
  <c r="BB17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Z29" i="2"/>
  <c r="V27" i="2"/>
  <c r="IB34" i="2"/>
  <c r="IA34" i="2"/>
  <c r="HZ34" i="2"/>
  <c r="HY34" i="2"/>
  <c r="HX34" i="2"/>
  <c r="HW34" i="2"/>
  <c r="HV34" i="2"/>
  <c r="HU34" i="2"/>
  <c r="HT34" i="2"/>
  <c r="HS34" i="2"/>
  <c r="HR34" i="2"/>
  <c r="HQ34" i="2"/>
  <c r="HP34" i="2"/>
  <c r="HO34" i="2"/>
  <c r="HN34" i="2"/>
  <c r="HM34" i="2"/>
  <c r="HL34" i="2"/>
  <c r="HJ34" i="2"/>
  <c r="HI34" i="2"/>
  <c r="HH34" i="2"/>
  <c r="HG34" i="2"/>
  <c r="HF34" i="2"/>
  <c r="HE34" i="2"/>
  <c r="HD34" i="2"/>
  <c r="HC34" i="2"/>
  <c r="HB34" i="2"/>
  <c r="HA34" i="2"/>
  <c r="GZ34" i="2"/>
  <c r="GY34" i="2"/>
  <c r="GX34" i="2"/>
  <c r="GW34" i="2"/>
  <c r="GV34" i="2"/>
  <c r="GU34" i="2"/>
  <c r="GT34" i="2"/>
  <c r="GR34" i="2"/>
  <c r="GQ34" i="2"/>
  <c r="GP34" i="2"/>
  <c r="GO34" i="2"/>
  <c r="GN34" i="2"/>
  <c r="GM34" i="2"/>
  <c r="GL34" i="2"/>
  <c r="GK34" i="2"/>
  <c r="GJ34" i="2"/>
  <c r="GI34" i="2"/>
  <c r="GH34" i="2"/>
  <c r="GG34" i="2"/>
  <c r="GF34" i="2"/>
  <c r="GE34" i="2"/>
  <c r="GD34" i="2"/>
  <c r="GC34" i="2"/>
  <c r="GB34" i="2"/>
  <c r="FZ34" i="2"/>
  <c r="FY34" i="2"/>
  <c r="FX34" i="2"/>
  <c r="FW34" i="2"/>
  <c r="FV34" i="2"/>
  <c r="FU34" i="2"/>
  <c r="FT34" i="2"/>
  <c r="FS34" i="2"/>
  <c r="FR34" i="2"/>
  <c r="FQ34" i="2"/>
  <c r="FP34" i="2"/>
  <c r="FO34" i="2"/>
  <c r="FN34" i="2"/>
  <c r="FM34" i="2"/>
  <c r="FL34" i="2"/>
  <c r="FK34" i="2"/>
  <c r="FJ34" i="2"/>
  <c r="FH34" i="2"/>
  <c r="FG34" i="2"/>
  <c r="FF34" i="2"/>
  <c r="FE34" i="2"/>
  <c r="FD34" i="2"/>
  <c r="FC34" i="2"/>
  <c r="FB34" i="2"/>
  <c r="FA34" i="2"/>
  <c r="EZ34" i="2"/>
  <c r="EY34" i="2"/>
  <c r="EX34" i="2"/>
  <c r="EW34" i="2"/>
  <c r="EV34" i="2"/>
  <c r="EU34" i="2"/>
  <c r="ET34" i="2"/>
  <c r="ES34" i="2"/>
  <c r="ER34" i="2"/>
  <c r="EP34" i="2"/>
  <c r="EO34" i="2"/>
  <c r="EN34" i="2"/>
  <c r="EM34" i="2"/>
  <c r="EL34" i="2"/>
  <c r="EK34" i="2"/>
  <c r="EJ34" i="2"/>
  <c r="EI34" i="2"/>
  <c r="EH34" i="2"/>
  <c r="EG34" i="2"/>
  <c r="EF34" i="2"/>
  <c r="EE34" i="2"/>
  <c r="ED34" i="2"/>
  <c r="EC34" i="2"/>
  <c r="EB34" i="2"/>
  <c r="EA34" i="2"/>
  <c r="DZ34" i="2"/>
  <c r="DX34" i="2"/>
  <c r="DW34" i="2"/>
  <c r="DV34" i="2"/>
  <c r="DU34" i="2"/>
  <c r="DT34" i="2"/>
  <c r="DS34" i="2"/>
  <c r="DR34" i="2"/>
  <c r="DQ34" i="2"/>
  <c r="DP34" i="2"/>
  <c r="DO34" i="2"/>
  <c r="DN34" i="2"/>
  <c r="DM34" i="2"/>
  <c r="DL34" i="2"/>
  <c r="DK34" i="2"/>
  <c r="DJ34" i="2"/>
  <c r="DI34" i="2"/>
  <c r="DH34" i="2"/>
  <c r="DF34" i="2"/>
  <c r="DE34" i="2"/>
  <c r="DD34" i="2"/>
  <c r="DC34" i="2"/>
  <c r="DB34" i="2"/>
  <c r="DA34" i="2"/>
  <c r="CZ34" i="2"/>
  <c r="CY34" i="2"/>
  <c r="CX34" i="2"/>
  <c r="CW34" i="2"/>
  <c r="CV34" i="2"/>
  <c r="CU34" i="2"/>
  <c r="CT34" i="2"/>
  <c r="CS34" i="2"/>
  <c r="CR34" i="2"/>
  <c r="CQ34" i="2"/>
  <c r="CP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IB33" i="2"/>
  <c r="IA33" i="2"/>
  <c r="HZ33" i="2"/>
  <c r="HY33" i="2"/>
  <c r="HX33" i="2"/>
  <c r="HW33" i="2"/>
  <c r="HV33" i="2"/>
  <c r="HU33" i="2"/>
  <c r="HT33" i="2"/>
  <c r="HS33" i="2"/>
  <c r="HR33" i="2"/>
  <c r="HQ33" i="2"/>
  <c r="HP33" i="2"/>
  <c r="HO33" i="2"/>
  <c r="HN33" i="2"/>
  <c r="HM33" i="2"/>
  <c r="HL33" i="2"/>
  <c r="HJ33" i="2"/>
  <c r="HI33" i="2"/>
  <c r="HH33" i="2"/>
  <c r="HG33" i="2"/>
  <c r="HF33" i="2"/>
  <c r="HE33" i="2"/>
  <c r="HD33" i="2"/>
  <c r="HC33" i="2"/>
  <c r="HB33" i="2"/>
  <c r="HA33" i="2"/>
  <c r="GZ33" i="2"/>
  <c r="GY33" i="2"/>
  <c r="GX33" i="2"/>
  <c r="GW33" i="2"/>
  <c r="GV33" i="2"/>
  <c r="GU33" i="2"/>
  <c r="GT33" i="2"/>
  <c r="GR33" i="2"/>
  <c r="GQ33" i="2"/>
  <c r="GP33" i="2"/>
  <c r="GO33" i="2"/>
  <c r="GN33" i="2"/>
  <c r="GM33" i="2"/>
  <c r="GL33" i="2"/>
  <c r="GK33" i="2"/>
  <c r="GJ33" i="2"/>
  <c r="GI33" i="2"/>
  <c r="GH33" i="2"/>
  <c r="GG33" i="2"/>
  <c r="GF33" i="2"/>
  <c r="GE33" i="2"/>
  <c r="GD33" i="2"/>
  <c r="GC33" i="2"/>
  <c r="GB33" i="2"/>
  <c r="FZ33" i="2"/>
  <c r="FY33" i="2"/>
  <c r="FX33" i="2"/>
  <c r="FW33" i="2"/>
  <c r="FV33" i="2"/>
  <c r="FU33" i="2"/>
  <c r="FT33" i="2"/>
  <c r="FS33" i="2"/>
  <c r="FR33" i="2"/>
  <c r="FQ33" i="2"/>
  <c r="FP33" i="2"/>
  <c r="FO33" i="2"/>
  <c r="FN33" i="2"/>
  <c r="FM33" i="2"/>
  <c r="FL33" i="2"/>
  <c r="FK33" i="2"/>
  <c r="FJ33" i="2"/>
  <c r="FH33" i="2"/>
  <c r="FG33" i="2"/>
  <c r="FF33" i="2"/>
  <c r="FE33" i="2"/>
  <c r="FD33" i="2"/>
  <c r="FC33" i="2"/>
  <c r="FB33" i="2"/>
  <c r="FA33" i="2"/>
  <c r="EZ33" i="2"/>
  <c r="EY33" i="2"/>
  <c r="EX33" i="2"/>
  <c r="EW33" i="2"/>
  <c r="EV33" i="2"/>
  <c r="EU33" i="2"/>
  <c r="ET33" i="2"/>
  <c r="ES33" i="2"/>
  <c r="ER33" i="2"/>
  <c r="EP33" i="2"/>
  <c r="EO33" i="2"/>
  <c r="EN33" i="2"/>
  <c r="EM33" i="2"/>
  <c r="EL33" i="2"/>
  <c r="EK33" i="2"/>
  <c r="EJ33" i="2"/>
  <c r="EI33" i="2"/>
  <c r="EH33" i="2"/>
  <c r="EG33" i="2"/>
  <c r="EF33" i="2"/>
  <c r="EE33" i="2"/>
  <c r="ED33" i="2"/>
  <c r="EC33" i="2"/>
  <c r="EB33" i="2"/>
  <c r="EA33" i="2"/>
  <c r="DZ33" i="2"/>
  <c r="DX33" i="2"/>
  <c r="DW33" i="2"/>
  <c r="DV33" i="2"/>
  <c r="DU33" i="2"/>
  <c r="DT33" i="2"/>
  <c r="DS33" i="2"/>
  <c r="DR33" i="2"/>
  <c r="DQ33" i="2"/>
  <c r="DP33" i="2"/>
  <c r="DO33" i="2"/>
  <c r="DN33" i="2"/>
  <c r="DM33" i="2"/>
  <c r="DL33" i="2"/>
  <c r="DK33" i="2"/>
  <c r="DJ33" i="2"/>
  <c r="DI33" i="2"/>
  <c r="DH33" i="2"/>
  <c r="DF33" i="2"/>
  <c r="DE33" i="2"/>
  <c r="DD33" i="2"/>
  <c r="DC33" i="2"/>
  <c r="DB33" i="2"/>
  <c r="DA33" i="2"/>
  <c r="CZ33" i="2"/>
  <c r="CY33" i="2"/>
  <c r="CX33" i="2"/>
  <c r="CW33" i="2"/>
  <c r="CV33" i="2"/>
  <c r="CU33" i="2"/>
  <c r="CT33" i="2"/>
  <c r="CS33" i="2"/>
  <c r="CR33" i="2"/>
  <c r="CQ33" i="2"/>
  <c r="CP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IB32" i="2"/>
  <c r="IA32" i="2"/>
  <c r="HZ32" i="2"/>
  <c r="HY32" i="2"/>
  <c r="HX32" i="2"/>
  <c r="HW32" i="2"/>
  <c r="HV32" i="2"/>
  <c r="HU32" i="2"/>
  <c r="HT32" i="2"/>
  <c r="HS32" i="2"/>
  <c r="HR32" i="2"/>
  <c r="HQ32" i="2"/>
  <c r="HP32" i="2"/>
  <c r="HO32" i="2"/>
  <c r="HN32" i="2"/>
  <c r="HM32" i="2"/>
  <c r="HL32" i="2"/>
  <c r="HJ32" i="2"/>
  <c r="HI32" i="2"/>
  <c r="HH32" i="2"/>
  <c r="HG32" i="2"/>
  <c r="HF32" i="2"/>
  <c r="HE32" i="2"/>
  <c r="HD32" i="2"/>
  <c r="HC32" i="2"/>
  <c r="HB32" i="2"/>
  <c r="HA32" i="2"/>
  <c r="GZ32" i="2"/>
  <c r="GY32" i="2"/>
  <c r="GX32" i="2"/>
  <c r="GW32" i="2"/>
  <c r="GV32" i="2"/>
  <c r="GU32" i="2"/>
  <c r="GT32" i="2"/>
  <c r="GR32" i="2"/>
  <c r="GQ32" i="2"/>
  <c r="GP32" i="2"/>
  <c r="GO32" i="2"/>
  <c r="GN32" i="2"/>
  <c r="GM32" i="2"/>
  <c r="GL32" i="2"/>
  <c r="GK32" i="2"/>
  <c r="GJ32" i="2"/>
  <c r="GI32" i="2"/>
  <c r="GH32" i="2"/>
  <c r="GG32" i="2"/>
  <c r="GF32" i="2"/>
  <c r="GE32" i="2"/>
  <c r="GD32" i="2"/>
  <c r="GC32" i="2"/>
  <c r="GB32" i="2"/>
  <c r="FZ32" i="2"/>
  <c r="FY32" i="2"/>
  <c r="FX32" i="2"/>
  <c r="FW32" i="2"/>
  <c r="FV32" i="2"/>
  <c r="FU32" i="2"/>
  <c r="FT32" i="2"/>
  <c r="FS32" i="2"/>
  <c r="FR32" i="2"/>
  <c r="FQ32" i="2"/>
  <c r="FP32" i="2"/>
  <c r="FO32" i="2"/>
  <c r="FN32" i="2"/>
  <c r="FM32" i="2"/>
  <c r="FL32" i="2"/>
  <c r="FK32" i="2"/>
  <c r="FJ32" i="2"/>
  <c r="FH32" i="2"/>
  <c r="FG32" i="2"/>
  <c r="FF32" i="2"/>
  <c r="FE32" i="2"/>
  <c r="FD32" i="2"/>
  <c r="FC32" i="2"/>
  <c r="FB32" i="2"/>
  <c r="FA32" i="2"/>
  <c r="EZ32" i="2"/>
  <c r="EY32" i="2"/>
  <c r="EX32" i="2"/>
  <c r="EW32" i="2"/>
  <c r="EV32" i="2"/>
  <c r="EU32" i="2"/>
  <c r="ET32" i="2"/>
  <c r="ES32" i="2"/>
  <c r="ER32" i="2"/>
  <c r="EP32" i="2"/>
  <c r="EO32" i="2"/>
  <c r="EN32" i="2"/>
  <c r="EM32" i="2"/>
  <c r="EL32" i="2"/>
  <c r="EK32" i="2"/>
  <c r="EJ32" i="2"/>
  <c r="EI32" i="2"/>
  <c r="EH32" i="2"/>
  <c r="EG32" i="2"/>
  <c r="EF32" i="2"/>
  <c r="EE32" i="2"/>
  <c r="ED32" i="2"/>
  <c r="EC32" i="2"/>
  <c r="EB32" i="2"/>
  <c r="EA32" i="2"/>
  <c r="DZ32" i="2"/>
  <c r="DX32" i="2"/>
  <c r="DW32" i="2"/>
  <c r="DV32" i="2"/>
  <c r="DU32" i="2"/>
  <c r="DT32" i="2"/>
  <c r="DS32" i="2"/>
  <c r="DR32" i="2"/>
  <c r="DQ32" i="2"/>
  <c r="DP32" i="2"/>
  <c r="DO32" i="2"/>
  <c r="DN32" i="2"/>
  <c r="DM32" i="2"/>
  <c r="DL32" i="2"/>
  <c r="DK32" i="2"/>
  <c r="DJ32" i="2"/>
  <c r="DI32" i="2"/>
  <c r="DH32" i="2"/>
  <c r="DF32" i="2"/>
  <c r="DE32" i="2"/>
  <c r="DD32" i="2"/>
  <c r="DC32" i="2"/>
  <c r="DB32" i="2"/>
  <c r="DA32" i="2"/>
  <c r="CZ32" i="2"/>
  <c r="CY32" i="2"/>
  <c r="CX32" i="2"/>
  <c r="CW32" i="2"/>
  <c r="CV32" i="2"/>
  <c r="CU32" i="2"/>
  <c r="CT32" i="2"/>
  <c r="CS32" i="2"/>
  <c r="CR32" i="2"/>
  <c r="CQ32" i="2"/>
  <c r="CP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IB31" i="2"/>
  <c r="IA31" i="2"/>
  <c r="HZ31" i="2"/>
  <c r="HY31" i="2"/>
  <c r="HX31" i="2"/>
  <c r="HW31" i="2"/>
  <c r="HV31" i="2"/>
  <c r="HU31" i="2"/>
  <c r="HT31" i="2"/>
  <c r="HS31" i="2"/>
  <c r="HR31" i="2"/>
  <c r="HQ31" i="2"/>
  <c r="HP31" i="2"/>
  <c r="HO31" i="2"/>
  <c r="HN31" i="2"/>
  <c r="HM31" i="2"/>
  <c r="HL31" i="2"/>
  <c r="HJ31" i="2"/>
  <c r="HI31" i="2"/>
  <c r="HH31" i="2"/>
  <c r="HG31" i="2"/>
  <c r="HF31" i="2"/>
  <c r="HE31" i="2"/>
  <c r="HD31" i="2"/>
  <c r="HC31" i="2"/>
  <c r="HB31" i="2"/>
  <c r="HA31" i="2"/>
  <c r="GZ31" i="2"/>
  <c r="GY31" i="2"/>
  <c r="GX31" i="2"/>
  <c r="GW31" i="2"/>
  <c r="GV31" i="2"/>
  <c r="GU31" i="2"/>
  <c r="GT31" i="2"/>
  <c r="GR31" i="2"/>
  <c r="GQ31" i="2"/>
  <c r="GP31" i="2"/>
  <c r="GO31" i="2"/>
  <c r="GN31" i="2"/>
  <c r="GM31" i="2"/>
  <c r="GL31" i="2"/>
  <c r="GK31" i="2"/>
  <c r="GJ31" i="2"/>
  <c r="GI31" i="2"/>
  <c r="GH31" i="2"/>
  <c r="GG31" i="2"/>
  <c r="GF31" i="2"/>
  <c r="GE31" i="2"/>
  <c r="GD31" i="2"/>
  <c r="GC31" i="2"/>
  <c r="GB31" i="2"/>
  <c r="FZ31" i="2"/>
  <c r="FY31" i="2"/>
  <c r="FX31" i="2"/>
  <c r="FW31" i="2"/>
  <c r="FV31" i="2"/>
  <c r="FU31" i="2"/>
  <c r="FT31" i="2"/>
  <c r="FS31" i="2"/>
  <c r="FR31" i="2"/>
  <c r="FQ31" i="2"/>
  <c r="FP31" i="2"/>
  <c r="FO31" i="2"/>
  <c r="FN31" i="2"/>
  <c r="FM31" i="2"/>
  <c r="FL31" i="2"/>
  <c r="FK31" i="2"/>
  <c r="FJ31" i="2"/>
  <c r="FH31" i="2"/>
  <c r="FG31" i="2"/>
  <c r="FF31" i="2"/>
  <c r="FE31" i="2"/>
  <c r="FD31" i="2"/>
  <c r="FC31" i="2"/>
  <c r="FB31" i="2"/>
  <c r="FA31" i="2"/>
  <c r="EZ31" i="2"/>
  <c r="EY31" i="2"/>
  <c r="EX31" i="2"/>
  <c r="EW31" i="2"/>
  <c r="EV31" i="2"/>
  <c r="EU31" i="2"/>
  <c r="ET31" i="2"/>
  <c r="ES31" i="2"/>
  <c r="ER31" i="2"/>
  <c r="EP31" i="2"/>
  <c r="EO31" i="2"/>
  <c r="EN31" i="2"/>
  <c r="EM31" i="2"/>
  <c r="EL31" i="2"/>
  <c r="EK31" i="2"/>
  <c r="EJ31" i="2"/>
  <c r="EI31" i="2"/>
  <c r="EH31" i="2"/>
  <c r="EG31" i="2"/>
  <c r="EF31" i="2"/>
  <c r="EE31" i="2"/>
  <c r="ED31" i="2"/>
  <c r="EC31" i="2"/>
  <c r="EB31" i="2"/>
  <c r="EA31" i="2"/>
  <c r="DZ31" i="2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DJ31" i="2"/>
  <c r="DI31" i="2"/>
  <c r="DH31" i="2"/>
  <c r="DF31" i="2"/>
  <c r="DE31" i="2"/>
  <c r="DD31" i="2"/>
  <c r="DC31" i="2"/>
  <c r="DB31" i="2"/>
  <c r="DA31" i="2"/>
  <c r="CZ31" i="2"/>
  <c r="CY31" i="2"/>
  <c r="CX31" i="2"/>
  <c r="CW31" i="2"/>
  <c r="CV31" i="2"/>
  <c r="CU31" i="2"/>
  <c r="CT31" i="2"/>
  <c r="CS31" i="2"/>
  <c r="CR31" i="2"/>
  <c r="CQ31" i="2"/>
  <c r="CP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IB30" i="2"/>
  <c r="IA30" i="2"/>
  <c r="HZ30" i="2"/>
  <c r="HY30" i="2"/>
  <c r="HX30" i="2"/>
  <c r="HW30" i="2"/>
  <c r="HV30" i="2"/>
  <c r="HU30" i="2"/>
  <c r="HT30" i="2"/>
  <c r="HS30" i="2"/>
  <c r="HR30" i="2"/>
  <c r="HQ30" i="2"/>
  <c r="HP30" i="2"/>
  <c r="HO30" i="2"/>
  <c r="HN30" i="2"/>
  <c r="HM30" i="2"/>
  <c r="HL30" i="2"/>
  <c r="HJ30" i="2"/>
  <c r="HI30" i="2"/>
  <c r="HH30" i="2"/>
  <c r="HG30" i="2"/>
  <c r="HF30" i="2"/>
  <c r="HE30" i="2"/>
  <c r="HD30" i="2"/>
  <c r="HC30" i="2"/>
  <c r="HB30" i="2"/>
  <c r="HA30" i="2"/>
  <c r="GZ30" i="2"/>
  <c r="GY30" i="2"/>
  <c r="GX30" i="2"/>
  <c r="GW30" i="2"/>
  <c r="GV30" i="2"/>
  <c r="GU30" i="2"/>
  <c r="GT30" i="2"/>
  <c r="GR30" i="2"/>
  <c r="GQ30" i="2"/>
  <c r="GP30" i="2"/>
  <c r="GO30" i="2"/>
  <c r="GN30" i="2"/>
  <c r="GM30" i="2"/>
  <c r="GL30" i="2"/>
  <c r="GK30" i="2"/>
  <c r="GJ30" i="2"/>
  <c r="GI30" i="2"/>
  <c r="GH30" i="2"/>
  <c r="GG30" i="2"/>
  <c r="GF30" i="2"/>
  <c r="GE30" i="2"/>
  <c r="GD30" i="2"/>
  <c r="GC30" i="2"/>
  <c r="GB30" i="2"/>
  <c r="FZ30" i="2"/>
  <c r="FY30" i="2"/>
  <c r="FX30" i="2"/>
  <c r="FW30" i="2"/>
  <c r="FV30" i="2"/>
  <c r="FU30" i="2"/>
  <c r="FT30" i="2"/>
  <c r="FS30" i="2"/>
  <c r="FR30" i="2"/>
  <c r="FQ30" i="2"/>
  <c r="FP30" i="2"/>
  <c r="FO30" i="2"/>
  <c r="FN30" i="2"/>
  <c r="FM30" i="2"/>
  <c r="FL30" i="2"/>
  <c r="FK30" i="2"/>
  <c r="FJ30" i="2"/>
  <c r="FH30" i="2"/>
  <c r="FG30" i="2"/>
  <c r="FF30" i="2"/>
  <c r="FE30" i="2"/>
  <c r="FD30" i="2"/>
  <c r="FC30" i="2"/>
  <c r="FB30" i="2"/>
  <c r="FA30" i="2"/>
  <c r="EZ30" i="2"/>
  <c r="EY30" i="2"/>
  <c r="EX30" i="2"/>
  <c r="EW30" i="2"/>
  <c r="EV30" i="2"/>
  <c r="EU30" i="2"/>
  <c r="ET30" i="2"/>
  <c r="ES30" i="2"/>
  <c r="ER30" i="2"/>
  <c r="EP30" i="2"/>
  <c r="EO30" i="2"/>
  <c r="EN30" i="2"/>
  <c r="EM30" i="2"/>
  <c r="EL30" i="2"/>
  <c r="EK30" i="2"/>
  <c r="EJ30" i="2"/>
  <c r="EI30" i="2"/>
  <c r="EH30" i="2"/>
  <c r="EG30" i="2"/>
  <c r="EF30" i="2"/>
  <c r="EE30" i="2"/>
  <c r="ED30" i="2"/>
  <c r="EC30" i="2"/>
  <c r="EB30" i="2"/>
  <c r="EA30" i="2"/>
  <c r="DZ30" i="2"/>
  <c r="DX30" i="2"/>
  <c r="DW30" i="2"/>
  <c r="DV30" i="2"/>
  <c r="DU30" i="2"/>
  <c r="DT30" i="2"/>
  <c r="DS30" i="2"/>
  <c r="DR30" i="2"/>
  <c r="DQ30" i="2"/>
  <c r="DP30" i="2"/>
  <c r="DO30" i="2"/>
  <c r="DN30" i="2"/>
  <c r="DM30" i="2"/>
  <c r="DL30" i="2"/>
  <c r="DK30" i="2"/>
  <c r="DJ30" i="2"/>
  <c r="DI30" i="2"/>
  <c r="DH30" i="2"/>
  <c r="DF30" i="2"/>
  <c r="DE30" i="2"/>
  <c r="DD30" i="2"/>
  <c r="DC30" i="2"/>
  <c r="DB30" i="2"/>
  <c r="DA30" i="2"/>
  <c r="CZ30" i="2"/>
  <c r="CY30" i="2"/>
  <c r="CX30" i="2"/>
  <c r="CW30" i="2"/>
  <c r="CV30" i="2"/>
  <c r="CU30" i="2"/>
  <c r="CT30" i="2"/>
  <c r="CS30" i="2"/>
  <c r="CR30" i="2"/>
  <c r="CQ30" i="2"/>
  <c r="CP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IB29" i="2"/>
  <c r="IA29" i="2"/>
  <c r="HZ29" i="2"/>
  <c r="HY29" i="2"/>
  <c r="HX29" i="2"/>
  <c r="HW29" i="2"/>
  <c r="HV29" i="2"/>
  <c r="HU29" i="2"/>
  <c r="HT29" i="2"/>
  <c r="HS29" i="2"/>
  <c r="HR29" i="2"/>
  <c r="HQ29" i="2"/>
  <c r="HP29" i="2"/>
  <c r="HO29" i="2"/>
  <c r="HN29" i="2"/>
  <c r="HM29" i="2"/>
  <c r="HL29" i="2"/>
  <c r="HJ29" i="2"/>
  <c r="HI29" i="2"/>
  <c r="HH29" i="2"/>
  <c r="HG29" i="2"/>
  <c r="HF29" i="2"/>
  <c r="HE29" i="2"/>
  <c r="HD29" i="2"/>
  <c r="HC29" i="2"/>
  <c r="HB29" i="2"/>
  <c r="HA29" i="2"/>
  <c r="GZ29" i="2"/>
  <c r="GY29" i="2"/>
  <c r="GX29" i="2"/>
  <c r="GW29" i="2"/>
  <c r="GV29" i="2"/>
  <c r="GU29" i="2"/>
  <c r="GT29" i="2"/>
  <c r="GR29" i="2"/>
  <c r="GQ29" i="2"/>
  <c r="GP29" i="2"/>
  <c r="GO29" i="2"/>
  <c r="GN29" i="2"/>
  <c r="GM29" i="2"/>
  <c r="GL29" i="2"/>
  <c r="GK29" i="2"/>
  <c r="GJ29" i="2"/>
  <c r="GI29" i="2"/>
  <c r="GH29" i="2"/>
  <c r="GG29" i="2"/>
  <c r="GF29" i="2"/>
  <c r="GE29" i="2"/>
  <c r="GD29" i="2"/>
  <c r="GC29" i="2"/>
  <c r="GB29" i="2"/>
  <c r="FZ29" i="2"/>
  <c r="FY29" i="2"/>
  <c r="FX29" i="2"/>
  <c r="FW29" i="2"/>
  <c r="FV29" i="2"/>
  <c r="FU29" i="2"/>
  <c r="FT29" i="2"/>
  <c r="FS29" i="2"/>
  <c r="FR29" i="2"/>
  <c r="FQ29" i="2"/>
  <c r="FP29" i="2"/>
  <c r="FO29" i="2"/>
  <c r="FN29" i="2"/>
  <c r="FM29" i="2"/>
  <c r="FL29" i="2"/>
  <c r="FK29" i="2"/>
  <c r="FJ29" i="2"/>
  <c r="FH29" i="2"/>
  <c r="FG29" i="2"/>
  <c r="FF29" i="2"/>
  <c r="FE29" i="2"/>
  <c r="FD29" i="2"/>
  <c r="FC29" i="2"/>
  <c r="FB29" i="2"/>
  <c r="FA29" i="2"/>
  <c r="EZ29" i="2"/>
  <c r="EY29" i="2"/>
  <c r="EX29" i="2"/>
  <c r="EW29" i="2"/>
  <c r="EV29" i="2"/>
  <c r="EU29" i="2"/>
  <c r="ET29" i="2"/>
  <c r="ES29" i="2"/>
  <c r="ER29" i="2"/>
  <c r="EP29" i="2"/>
  <c r="EO29" i="2"/>
  <c r="EN29" i="2"/>
  <c r="EM29" i="2"/>
  <c r="EL29" i="2"/>
  <c r="EK29" i="2"/>
  <c r="EJ29" i="2"/>
  <c r="EI29" i="2"/>
  <c r="EH29" i="2"/>
  <c r="EG29" i="2"/>
  <c r="EF29" i="2"/>
  <c r="EE29" i="2"/>
  <c r="ED29" i="2"/>
  <c r="EC29" i="2"/>
  <c r="EB29" i="2"/>
  <c r="EA29" i="2"/>
  <c r="DZ29" i="2"/>
  <c r="DX29" i="2"/>
  <c r="DW29" i="2"/>
  <c r="DV29" i="2"/>
  <c r="DU29" i="2"/>
  <c r="DT29" i="2"/>
  <c r="DS29" i="2"/>
  <c r="DR29" i="2"/>
  <c r="DQ29" i="2"/>
  <c r="DP29" i="2"/>
  <c r="DO29" i="2"/>
  <c r="DN29" i="2"/>
  <c r="DM29" i="2"/>
  <c r="DL29" i="2"/>
  <c r="DK29" i="2"/>
  <c r="DJ29" i="2"/>
  <c r="DI29" i="2"/>
  <c r="DH29" i="2"/>
  <c r="DF29" i="2"/>
  <c r="DE29" i="2"/>
  <c r="DD29" i="2"/>
  <c r="DC29" i="2"/>
  <c r="DB29" i="2"/>
  <c r="DA29" i="2"/>
  <c r="CZ29" i="2"/>
  <c r="CY29" i="2"/>
  <c r="CX29" i="2"/>
  <c r="CW29" i="2"/>
  <c r="CV29" i="2"/>
  <c r="CU29" i="2"/>
  <c r="CT29" i="2"/>
  <c r="CS29" i="2"/>
  <c r="CR29" i="2"/>
  <c r="CQ29" i="2"/>
  <c r="CP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Y29" i="2"/>
  <c r="X29" i="2"/>
  <c r="W29" i="2"/>
  <c r="V29" i="2"/>
  <c r="IB28" i="2"/>
  <c r="IA28" i="2"/>
  <c r="HZ28" i="2"/>
  <c r="HY28" i="2"/>
  <c r="HX28" i="2"/>
  <c r="HW28" i="2"/>
  <c r="HV28" i="2"/>
  <c r="HU28" i="2"/>
  <c r="HT28" i="2"/>
  <c r="HS28" i="2"/>
  <c r="HR28" i="2"/>
  <c r="HQ28" i="2"/>
  <c r="HP28" i="2"/>
  <c r="HO28" i="2"/>
  <c r="HN28" i="2"/>
  <c r="HM28" i="2"/>
  <c r="HL28" i="2"/>
  <c r="HJ28" i="2"/>
  <c r="HI28" i="2"/>
  <c r="HH28" i="2"/>
  <c r="HG28" i="2"/>
  <c r="HF28" i="2"/>
  <c r="HE28" i="2"/>
  <c r="HD28" i="2"/>
  <c r="HC28" i="2"/>
  <c r="HB28" i="2"/>
  <c r="HA28" i="2"/>
  <c r="GZ28" i="2"/>
  <c r="GY28" i="2"/>
  <c r="GX28" i="2"/>
  <c r="GW28" i="2"/>
  <c r="GV28" i="2"/>
  <c r="GU28" i="2"/>
  <c r="GT28" i="2"/>
  <c r="GR28" i="2"/>
  <c r="GQ28" i="2"/>
  <c r="GP28" i="2"/>
  <c r="GO28" i="2"/>
  <c r="GN28" i="2"/>
  <c r="GM28" i="2"/>
  <c r="GL28" i="2"/>
  <c r="GK28" i="2"/>
  <c r="GJ28" i="2"/>
  <c r="GI28" i="2"/>
  <c r="GH28" i="2"/>
  <c r="GG28" i="2"/>
  <c r="GF28" i="2"/>
  <c r="GE28" i="2"/>
  <c r="GD28" i="2"/>
  <c r="GC28" i="2"/>
  <c r="GB28" i="2"/>
  <c r="FZ28" i="2"/>
  <c r="FY28" i="2"/>
  <c r="FX28" i="2"/>
  <c r="FW28" i="2"/>
  <c r="FV28" i="2"/>
  <c r="FU28" i="2"/>
  <c r="FT28" i="2"/>
  <c r="FS28" i="2"/>
  <c r="FR28" i="2"/>
  <c r="FQ28" i="2"/>
  <c r="FP28" i="2"/>
  <c r="FO28" i="2"/>
  <c r="FN28" i="2"/>
  <c r="FM28" i="2"/>
  <c r="FL28" i="2"/>
  <c r="FK28" i="2"/>
  <c r="FJ28" i="2"/>
  <c r="FH28" i="2"/>
  <c r="FG28" i="2"/>
  <c r="FF28" i="2"/>
  <c r="FE28" i="2"/>
  <c r="FD28" i="2"/>
  <c r="FC28" i="2"/>
  <c r="FB28" i="2"/>
  <c r="FA28" i="2"/>
  <c r="EZ28" i="2"/>
  <c r="EY28" i="2"/>
  <c r="EX28" i="2"/>
  <c r="EW28" i="2"/>
  <c r="EV28" i="2"/>
  <c r="EU28" i="2"/>
  <c r="ET28" i="2"/>
  <c r="ES28" i="2"/>
  <c r="ER28" i="2"/>
  <c r="EP28" i="2"/>
  <c r="EO28" i="2"/>
  <c r="EN28" i="2"/>
  <c r="EM28" i="2"/>
  <c r="EL28" i="2"/>
  <c r="EK28" i="2"/>
  <c r="EJ28" i="2"/>
  <c r="EI28" i="2"/>
  <c r="EH28" i="2"/>
  <c r="EG28" i="2"/>
  <c r="EF28" i="2"/>
  <c r="EE28" i="2"/>
  <c r="ED28" i="2"/>
  <c r="EC28" i="2"/>
  <c r="EB28" i="2"/>
  <c r="EA28" i="2"/>
  <c r="DZ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IB27" i="2"/>
  <c r="IA27" i="2"/>
  <c r="HZ27" i="2"/>
  <c r="HY27" i="2"/>
  <c r="HX27" i="2"/>
  <c r="HW27" i="2"/>
  <c r="HV27" i="2"/>
  <c r="HU27" i="2"/>
  <c r="HT27" i="2"/>
  <c r="HS27" i="2"/>
  <c r="HR27" i="2"/>
  <c r="HQ27" i="2"/>
  <c r="HP27" i="2"/>
  <c r="HO27" i="2"/>
  <c r="HN27" i="2"/>
  <c r="HM27" i="2"/>
  <c r="HL27" i="2"/>
  <c r="HJ27" i="2"/>
  <c r="HI27" i="2"/>
  <c r="HH27" i="2"/>
  <c r="HG27" i="2"/>
  <c r="HF27" i="2"/>
  <c r="HE27" i="2"/>
  <c r="HD27" i="2"/>
  <c r="HC27" i="2"/>
  <c r="HB27" i="2"/>
  <c r="HA27" i="2"/>
  <c r="GZ27" i="2"/>
  <c r="GY27" i="2"/>
  <c r="GX27" i="2"/>
  <c r="GW27" i="2"/>
  <c r="GV27" i="2"/>
  <c r="GU27" i="2"/>
  <c r="GT27" i="2"/>
  <c r="GR27" i="2"/>
  <c r="GQ27" i="2"/>
  <c r="GP27" i="2"/>
  <c r="GO27" i="2"/>
  <c r="GN27" i="2"/>
  <c r="GM27" i="2"/>
  <c r="GL27" i="2"/>
  <c r="GK27" i="2"/>
  <c r="GJ27" i="2"/>
  <c r="GI27" i="2"/>
  <c r="GH27" i="2"/>
  <c r="GG27" i="2"/>
  <c r="GF27" i="2"/>
  <c r="GE27" i="2"/>
  <c r="GD27" i="2"/>
  <c r="GC27" i="2"/>
  <c r="GB27" i="2"/>
  <c r="FZ27" i="2"/>
  <c r="FY27" i="2"/>
  <c r="FX27" i="2"/>
  <c r="FW27" i="2"/>
  <c r="FV27" i="2"/>
  <c r="FU27" i="2"/>
  <c r="FT27" i="2"/>
  <c r="FS27" i="2"/>
  <c r="FR27" i="2"/>
  <c r="FQ27" i="2"/>
  <c r="FP27" i="2"/>
  <c r="FO27" i="2"/>
  <c r="FN27" i="2"/>
  <c r="FM27" i="2"/>
  <c r="FL27" i="2"/>
  <c r="FK27" i="2"/>
  <c r="FJ27" i="2"/>
  <c r="FH27" i="2"/>
  <c r="FG27" i="2"/>
  <c r="FF27" i="2"/>
  <c r="FE27" i="2"/>
  <c r="FD27" i="2"/>
  <c r="FC27" i="2"/>
  <c r="FB27" i="2"/>
  <c r="FA27" i="2"/>
  <c r="EZ27" i="2"/>
  <c r="EY27" i="2"/>
  <c r="EX27" i="2"/>
  <c r="EW27" i="2"/>
  <c r="EV27" i="2"/>
  <c r="EU27" i="2"/>
  <c r="ET27" i="2"/>
  <c r="ES27" i="2"/>
  <c r="ER27" i="2"/>
  <c r="EP27" i="2"/>
  <c r="EO27" i="2"/>
  <c r="EN27" i="2"/>
  <c r="EM27" i="2"/>
  <c r="EL27" i="2"/>
  <c r="EK27" i="2"/>
  <c r="EJ27" i="2"/>
  <c r="EI27" i="2"/>
  <c r="EH27" i="2"/>
  <c r="EG27" i="2"/>
  <c r="EF27" i="2"/>
  <c r="EE27" i="2"/>
  <c r="ED27" i="2"/>
  <c r="EC27" i="2"/>
  <c r="EB27" i="2"/>
  <c r="EA27" i="2"/>
  <c r="DZ27" i="2"/>
  <c r="DX27" i="2"/>
  <c r="DW27" i="2"/>
  <c r="DV27" i="2"/>
  <c r="DU27" i="2"/>
  <c r="DT27" i="2"/>
  <c r="DS27" i="2"/>
  <c r="DR27" i="2"/>
  <c r="DQ27" i="2"/>
  <c r="DP27" i="2"/>
  <c r="DO27" i="2"/>
  <c r="DN27" i="2"/>
  <c r="DM27" i="2"/>
  <c r="DL27" i="2"/>
  <c r="DK27" i="2"/>
  <c r="DJ27" i="2"/>
  <c r="DI27" i="2"/>
  <c r="DH27" i="2"/>
  <c r="DF27" i="2"/>
  <c r="DE27" i="2"/>
  <c r="DD27" i="2"/>
  <c r="DC27" i="2"/>
  <c r="DB27" i="2"/>
  <c r="DA27" i="2"/>
  <c r="CZ27" i="2"/>
  <c r="CY27" i="2"/>
  <c r="CX27" i="2"/>
  <c r="CW27" i="2"/>
  <c r="CV27" i="2"/>
  <c r="CU27" i="2"/>
  <c r="CT27" i="2"/>
  <c r="CS27" i="2"/>
  <c r="CR27" i="2"/>
  <c r="CQ27" i="2"/>
  <c r="CP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HL24" i="2"/>
  <c r="HL23" i="2"/>
  <c r="HL22" i="2"/>
  <c r="HL21" i="2"/>
  <c r="HL20" i="2"/>
  <c r="HL19" i="2"/>
  <c r="HL18" i="2"/>
  <c r="HL17" i="2"/>
  <c r="GT24" i="2"/>
  <c r="GT23" i="2"/>
  <c r="GT22" i="2"/>
  <c r="GT21" i="2"/>
  <c r="GT20" i="2"/>
  <c r="GT19" i="2"/>
  <c r="GT18" i="2"/>
  <c r="GT17" i="2"/>
  <c r="GB24" i="2"/>
  <c r="GB23" i="2"/>
  <c r="GB22" i="2"/>
  <c r="GB21" i="2"/>
  <c r="GB20" i="2"/>
  <c r="GB19" i="2"/>
  <c r="GB18" i="2"/>
  <c r="GB17" i="2"/>
  <c r="FJ24" i="2"/>
  <c r="FJ23" i="2"/>
  <c r="FJ22" i="2"/>
  <c r="FJ21" i="2"/>
  <c r="FJ20" i="2"/>
  <c r="FJ19" i="2"/>
  <c r="FJ18" i="2"/>
  <c r="FJ17" i="2"/>
  <c r="ER24" i="2"/>
  <c r="ER23" i="2"/>
  <c r="ER22" i="2"/>
  <c r="ER21" i="2"/>
  <c r="ER20" i="2"/>
  <c r="ER19" i="2"/>
  <c r="ER18" i="2"/>
  <c r="ER17" i="2"/>
  <c r="DZ24" i="2"/>
  <c r="DZ23" i="2"/>
  <c r="DZ22" i="2"/>
  <c r="DZ21" i="2"/>
  <c r="DZ20" i="2"/>
  <c r="DZ19" i="2"/>
  <c r="DZ18" i="2"/>
  <c r="DZ17" i="2"/>
  <c r="DH24" i="2"/>
  <c r="DH23" i="2"/>
  <c r="DH22" i="2"/>
  <c r="DH21" i="2"/>
  <c r="DH20" i="2"/>
  <c r="DH19" i="2"/>
  <c r="DH18" i="2"/>
  <c r="DH17" i="2"/>
  <c r="CP24" i="2"/>
  <c r="CP23" i="2"/>
  <c r="CP22" i="2"/>
  <c r="CP21" i="2"/>
  <c r="CP20" i="2"/>
  <c r="CP19" i="2"/>
  <c r="CP18" i="2"/>
  <c r="CP17" i="2"/>
  <c r="BX24" i="2"/>
  <c r="BX23" i="2"/>
  <c r="BX22" i="2"/>
  <c r="BX21" i="2"/>
  <c r="BX20" i="2"/>
  <c r="BX19" i="2"/>
  <c r="BX18" i="2"/>
  <c r="BX17" i="2"/>
  <c r="BF24" i="2"/>
  <c r="BF23" i="2"/>
  <c r="BF22" i="2"/>
  <c r="BF21" i="2"/>
  <c r="BF20" i="2"/>
  <c r="BF19" i="2"/>
  <c r="BF18" i="2"/>
  <c r="BF17" i="2"/>
  <c r="AN24" i="2"/>
  <c r="AN23" i="2"/>
  <c r="AN22" i="2"/>
  <c r="AN21" i="2"/>
  <c r="AN20" i="2"/>
  <c r="AN19" i="2"/>
  <c r="AN18" i="2"/>
  <c r="AN17" i="2"/>
  <c r="V24" i="2"/>
  <c r="V23" i="2"/>
  <c r="V22" i="2"/>
  <c r="V21" i="2"/>
  <c r="V20" i="2"/>
  <c r="V19" i="2"/>
  <c r="V18" i="2"/>
  <c r="V17" i="2"/>
  <c r="D24" i="2"/>
  <c r="D23" i="2"/>
  <c r="D22" i="2"/>
  <c r="D21" i="2"/>
  <c r="D20" i="2"/>
  <c r="D19" i="2"/>
  <c r="D18" i="2"/>
  <c r="D17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D34" i="2"/>
  <c r="D33" i="2"/>
  <c r="D32" i="2"/>
  <c r="D31" i="2"/>
  <c r="D30" i="2"/>
  <c r="D29" i="2"/>
  <c r="D28" i="2"/>
  <c r="D27" i="2"/>
  <c r="E34" i="2"/>
  <c r="E33" i="2"/>
  <c r="E32" i="2"/>
  <c r="E31" i="2"/>
  <c r="E30" i="2"/>
  <c r="E29" i="2"/>
  <c r="E28" i="2"/>
  <c r="E27" i="2"/>
  <c r="E17" i="2"/>
  <c r="E6" i="2" a="1"/>
  <c r="E6" i="2"/>
  <c r="IB24" i="2"/>
  <c r="IA24" i="2"/>
  <c r="HZ24" i="2"/>
  <c r="HY24" i="2"/>
  <c r="HX24" i="2"/>
  <c r="HW24" i="2"/>
  <c r="HV24" i="2"/>
  <c r="HU24" i="2"/>
  <c r="HT24" i="2"/>
  <c r="HS24" i="2"/>
  <c r="HR24" i="2"/>
  <c r="HQ24" i="2"/>
  <c r="HP24" i="2"/>
  <c r="HO24" i="2"/>
  <c r="HN24" i="2"/>
  <c r="HM24" i="2"/>
  <c r="HJ24" i="2"/>
  <c r="HI24" i="2"/>
  <c r="HH24" i="2"/>
  <c r="HG24" i="2"/>
  <c r="HF24" i="2"/>
  <c r="HE24" i="2"/>
  <c r="HD24" i="2"/>
  <c r="HC24" i="2"/>
  <c r="HB24" i="2"/>
  <c r="HA24" i="2"/>
  <c r="GZ24" i="2"/>
  <c r="GY24" i="2"/>
  <c r="GX24" i="2"/>
  <c r="GW24" i="2"/>
  <c r="GV24" i="2"/>
  <c r="GU24" i="2"/>
  <c r="GR24" i="2"/>
  <c r="GQ24" i="2"/>
  <c r="GP24" i="2"/>
  <c r="GO24" i="2"/>
  <c r="GN24" i="2"/>
  <c r="GM24" i="2"/>
  <c r="GL24" i="2"/>
  <c r="GK24" i="2"/>
  <c r="GJ24" i="2"/>
  <c r="GI24" i="2"/>
  <c r="GH24" i="2"/>
  <c r="GG24" i="2"/>
  <c r="GF24" i="2"/>
  <c r="GE24" i="2"/>
  <c r="GD24" i="2"/>
  <c r="GC24" i="2"/>
  <c r="FZ24" i="2"/>
  <c r="FY24" i="2"/>
  <c r="FX24" i="2"/>
  <c r="FW24" i="2"/>
  <c r="FV24" i="2"/>
  <c r="FU24" i="2"/>
  <c r="FT24" i="2"/>
  <c r="FS24" i="2"/>
  <c r="FR24" i="2"/>
  <c r="FQ24" i="2"/>
  <c r="FP24" i="2"/>
  <c r="FO24" i="2"/>
  <c r="FN24" i="2"/>
  <c r="FM24" i="2"/>
  <c r="FL24" i="2"/>
  <c r="FK24" i="2"/>
  <c r="FH24" i="2"/>
  <c r="FG24" i="2"/>
  <c r="FF24" i="2"/>
  <c r="FE24" i="2"/>
  <c r="FD24" i="2"/>
  <c r="FC24" i="2"/>
  <c r="FB24" i="2"/>
  <c r="FA24" i="2"/>
  <c r="EZ24" i="2"/>
  <c r="EY24" i="2"/>
  <c r="EX24" i="2"/>
  <c r="EW24" i="2"/>
  <c r="EV24" i="2"/>
  <c r="EU24" i="2"/>
  <c r="ET24" i="2"/>
  <c r="ES24" i="2"/>
  <c r="EP24" i="2"/>
  <c r="EO24" i="2"/>
  <c r="EN24" i="2"/>
  <c r="EM24" i="2"/>
  <c r="EL24" i="2"/>
  <c r="EK24" i="2"/>
  <c r="EJ24" i="2"/>
  <c r="EI24" i="2"/>
  <c r="EH24" i="2"/>
  <c r="EG24" i="2"/>
  <c r="EF24" i="2"/>
  <c r="EE24" i="2"/>
  <c r="ED24" i="2"/>
  <c r="EC24" i="2"/>
  <c r="EB24" i="2"/>
  <c r="EA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4" i="12"/>
  <c r="BF2" i="12"/>
  <c r="AN2" i="12"/>
  <c r="X2" i="12"/>
  <c r="BX2" i="12" l="1"/>
  <c r="BG2" i="12"/>
  <c r="AO2" i="12"/>
  <c r="Y2" i="12"/>
  <c r="AP2" i="12" l="1"/>
  <c r="AN4" i="12"/>
  <c r="Z2" i="12"/>
  <c r="BH2" i="12"/>
  <c r="BF4" i="12"/>
  <c r="BY2" i="12"/>
  <c r="CP2" i="12"/>
  <c r="AA2" i="12" l="1"/>
  <c r="AQ2" i="12"/>
  <c r="BX4" i="12"/>
  <c r="BZ2" i="12"/>
  <c r="DH2" i="12"/>
  <c r="CQ2" i="12"/>
  <c r="BI2" i="12"/>
  <c r="AB2" i="12" l="1"/>
  <c r="AR2" i="12"/>
  <c r="DZ2" i="12"/>
  <c r="DI2" i="12"/>
  <c r="CA2" i="12"/>
  <c r="CP4" i="12"/>
  <c r="CR2" i="12"/>
  <c r="BJ2" i="12"/>
  <c r="EA2" i="12" l="1"/>
  <c r="ER2" i="12"/>
  <c r="CS2" i="12"/>
  <c r="DH4" i="12"/>
  <c r="DJ2" i="12"/>
  <c r="AS2" i="12"/>
  <c r="AC2" i="12"/>
  <c r="BK2" i="12"/>
  <c r="CB2" i="12"/>
  <c r="BL2" i="12" l="1"/>
  <c r="AT2" i="12"/>
  <c r="FJ2" i="12"/>
  <c r="ES2" i="12"/>
  <c r="DZ4" i="12"/>
  <c r="EB2" i="12"/>
  <c r="CT2" i="12"/>
  <c r="CC2" i="12"/>
  <c r="DK2" i="12"/>
  <c r="AD2" i="12"/>
  <c r="AE2" i="12" l="1"/>
  <c r="BM2" i="12"/>
  <c r="CD2" i="12"/>
  <c r="AU2" i="12"/>
  <c r="ER4" i="12"/>
  <c r="ET2" i="12"/>
  <c r="FK2" i="12"/>
  <c r="GB2" i="12"/>
  <c r="EC2" i="12"/>
  <c r="CU2" i="12"/>
  <c r="DL2" i="12"/>
  <c r="AV2" i="12" l="1"/>
  <c r="EU2" i="12"/>
  <c r="CV2" i="12"/>
  <c r="GT2" i="12"/>
  <c r="GC2" i="12"/>
  <c r="DM2" i="12"/>
  <c r="ED2" i="12"/>
  <c r="FJ4" i="12"/>
  <c r="FL2" i="12"/>
  <c r="CE2" i="12"/>
  <c r="BN2" i="12"/>
  <c r="AF2" i="12"/>
  <c r="GU2" i="12" l="1"/>
  <c r="HL2" i="12"/>
  <c r="CW2" i="12"/>
  <c r="GD2" i="12"/>
  <c r="GB4" i="12"/>
  <c r="AG2" i="12"/>
  <c r="FM2" i="12"/>
  <c r="AW2" i="12"/>
  <c r="CF2" i="12"/>
  <c r="EE2" i="12"/>
  <c r="BO2" i="12"/>
  <c r="DN2" i="12"/>
  <c r="EV2" i="12"/>
  <c r="GT4" i="12" l="1"/>
  <c r="GV2" i="12"/>
  <c r="AH2" i="12"/>
  <c r="DO2" i="12"/>
  <c r="GE2" i="12"/>
  <c r="BP2" i="12"/>
  <c r="FN2" i="12"/>
  <c r="CX2" i="12"/>
  <c r="HM2" i="12"/>
  <c r="EW2" i="12"/>
  <c r="EF2" i="12"/>
  <c r="CG2" i="12"/>
  <c r="AX2" i="12"/>
  <c r="CY2" i="12" l="1"/>
  <c r="EX2" i="12"/>
  <c r="GF2" i="12"/>
  <c r="EG2" i="12"/>
  <c r="FO2" i="12"/>
  <c r="GW2" i="12"/>
  <c r="AI2" i="12"/>
  <c r="BQ2" i="12"/>
  <c r="HL4" i="12"/>
  <c r="HN2" i="12"/>
  <c r="CH2" i="12"/>
  <c r="AY2" i="12"/>
  <c r="DP2" i="12"/>
  <c r="GX2" i="12" l="1"/>
  <c r="AZ2" i="12"/>
  <c r="EY2" i="12"/>
  <c r="HO2" i="12"/>
  <c r="EH2" i="12"/>
  <c r="DQ2" i="12"/>
  <c r="BR2" i="12"/>
  <c r="CI2" i="12"/>
  <c r="CZ2" i="12"/>
  <c r="AJ2" i="12"/>
  <c r="FP2" i="12"/>
  <c r="GG2" i="12"/>
  <c r="CJ2" i="12" l="1"/>
  <c r="BS2" i="12"/>
  <c r="EI2" i="12"/>
  <c r="BA2" i="12"/>
  <c r="GY2" i="12"/>
  <c r="GH2" i="12"/>
  <c r="DR2" i="12"/>
  <c r="HP2" i="12"/>
  <c r="EZ2" i="12"/>
  <c r="FQ2" i="12"/>
  <c r="AK2" i="12"/>
  <c r="DA2" i="12"/>
  <c r="BT2" i="12" l="1"/>
  <c r="DB2" i="12"/>
  <c r="FR2" i="12"/>
  <c r="FA2" i="12"/>
  <c r="GZ2" i="12"/>
  <c r="EJ2" i="12"/>
  <c r="CK2" i="12"/>
  <c r="HQ2" i="12"/>
  <c r="GI2" i="12"/>
  <c r="BB2" i="12"/>
  <c r="DS2" i="12"/>
  <c r="BC2" i="12" l="1"/>
  <c r="EK2" i="12"/>
  <c r="DC2" i="12"/>
  <c r="CL2" i="12"/>
  <c r="GJ2" i="12"/>
  <c r="HR2" i="12"/>
  <c r="HA2" i="12"/>
  <c r="BU2" i="12"/>
  <c r="FB2" i="12"/>
  <c r="DT2" i="12"/>
  <c r="FS2" i="12"/>
  <c r="GK2" i="12" l="1"/>
  <c r="HS2" i="12"/>
  <c r="DD2" i="12"/>
  <c r="DU2" i="12"/>
  <c r="FT2" i="12"/>
  <c r="FC2" i="12"/>
  <c r="CM2" i="12"/>
  <c r="EL2" i="12"/>
  <c r="HB2" i="12"/>
  <c r="HC2" i="12" l="1"/>
  <c r="FU2" i="12"/>
  <c r="EM2" i="12"/>
  <c r="HT2" i="12"/>
  <c r="FD2" i="12"/>
  <c r="DE2" i="12"/>
  <c r="DV2" i="12"/>
  <c r="GL2" i="12"/>
  <c r="DW2" i="12" l="1"/>
  <c r="EN2" i="12"/>
  <c r="GM2" i="12"/>
  <c r="HU2" i="12"/>
  <c r="FV2" i="12"/>
  <c r="FE2" i="12"/>
  <c r="HD2" i="12"/>
  <c r="HE2" i="12" l="1"/>
  <c r="HV2" i="12"/>
  <c r="EO2" i="12"/>
  <c r="FW2" i="12"/>
  <c r="FF2" i="12"/>
  <c r="GN2" i="12"/>
  <c r="FG2" i="12" l="1"/>
  <c r="HF2" i="12"/>
  <c r="GO2" i="12"/>
  <c r="FX2" i="12"/>
  <c r="HW2" i="12"/>
  <c r="HX2" i="12" l="1"/>
  <c r="GP2" i="12"/>
  <c r="FY2" i="12"/>
  <c r="HG2" i="12"/>
  <c r="HY2" i="12" l="1"/>
  <c r="HH2" i="12"/>
  <c r="GQ2" i="12"/>
  <c r="HI2" i="12" l="1"/>
  <c r="HZ2" i="12"/>
  <c r="IA2" i="12" l="1"/>
  <c r="CN14" i="2" l="1"/>
  <c r="CN15" i="2" s="1"/>
  <c r="BV14" i="2"/>
  <c r="BV15" i="2" s="1"/>
  <c r="BD14" i="2"/>
  <c r="BD15" i="2" s="1"/>
  <c r="AL14" i="2"/>
  <c r="AL15" i="2" s="1"/>
  <c r="BV15" i="10"/>
  <c r="BD15" i="10"/>
  <c r="AL15" i="10"/>
  <c r="T15" i="10"/>
  <c r="CN14" i="10"/>
  <c r="CN15" i="10" s="1"/>
  <c r="BV14" i="10"/>
  <c r="BD14" i="10"/>
  <c r="AL14" i="10"/>
  <c r="T14" i="10"/>
  <c r="W12" i="11" a="1"/>
  <c r="W12" i="11" s="1"/>
  <c r="V12" i="11" a="1"/>
  <c r="V12" i="11" s="1"/>
  <c r="S12" i="11" a="1"/>
  <c r="S12" i="11" s="1"/>
  <c r="R12" i="11" a="1"/>
  <c r="R12" i="11" s="1"/>
  <c r="Q12" i="11" a="1"/>
  <c r="Q12" i="11" s="1"/>
  <c r="P12" i="11" a="1"/>
  <c r="P12" i="11" s="1"/>
  <c r="O12" i="11" a="1"/>
  <c r="O12" i="11" s="1"/>
  <c r="N12" i="11" a="1"/>
  <c r="N12" i="11" s="1"/>
  <c r="M12" i="11" a="1"/>
  <c r="M12" i="11" s="1"/>
  <c r="L12" i="11" a="1"/>
  <c r="L12" i="11" s="1"/>
  <c r="K12" i="11" a="1"/>
  <c r="K12" i="11" s="1"/>
  <c r="J12" i="11" a="1"/>
  <c r="J12" i="11" s="1"/>
  <c r="I12" i="11" a="1"/>
  <c r="I12" i="11" s="1"/>
  <c r="H12" i="11" a="1"/>
  <c r="H12" i="11" s="1"/>
  <c r="G12" i="11" a="1"/>
  <c r="G12" i="11" s="1"/>
  <c r="F12" i="11" a="1"/>
  <c r="F12" i="11" s="1"/>
  <c r="E12" i="11" a="1"/>
  <c r="E12" i="11" s="1"/>
  <c r="D12" i="11"/>
  <c r="D12" i="11" a="1"/>
  <c r="W11" i="11" a="1"/>
  <c r="W11" i="11" s="1"/>
  <c r="V11" i="11" a="1"/>
  <c r="V11" i="11" s="1"/>
  <c r="S11" i="11" a="1"/>
  <c r="S11" i="11" s="1"/>
  <c r="R11" i="11" a="1"/>
  <c r="R11" i="11" s="1"/>
  <c r="Q11" i="11" a="1"/>
  <c r="Q11" i="11" s="1"/>
  <c r="P11" i="11" a="1"/>
  <c r="P11" i="11" s="1"/>
  <c r="O11" i="11" a="1"/>
  <c r="O11" i="11" s="1"/>
  <c r="N11" i="11" a="1"/>
  <c r="N11" i="11" s="1"/>
  <c r="M11" i="11" a="1"/>
  <c r="M11" i="11" s="1"/>
  <c r="L11" i="11" a="1"/>
  <c r="L11" i="11" s="1"/>
  <c r="K11" i="11" a="1"/>
  <c r="K11" i="11" s="1"/>
  <c r="J11" i="11" a="1"/>
  <c r="J11" i="11" s="1"/>
  <c r="I11" i="11" a="1"/>
  <c r="I11" i="11" s="1"/>
  <c r="H11" i="11" a="1"/>
  <c r="H11" i="11" s="1"/>
  <c r="G11" i="11" a="1"/>
  <c r="G11" i="11" s="1"/>
  <c r="F11" i="11" a="1"/>
  <c r="F11" i="11" s="1"/>
  <c r="E11" i="11" a="1"/>
  <c r="E11" i="11" s="1"/>
  <c r="D11" i="11" a="1"/>
  <c r="D11" i="11" s="1"/>
  <c r="W10" i="11" a="1"/>
  <c r="W10" i="11" s="1"/>
  <c r="V10" i="11" a="1"/>
  <c r="V10" i="11" s="1"/>
  <c r="S10" i="11" a="1"/>
  <c r="S10" i="11" s="1"/>
  <c r="R10" i="11" a="1"/>
  <c r="R10" i="11" s="1"/>
  <c r="Q10" i="11" a="1"/>
  <c r="Q10" i="11" s="1"/>
  <c r="P10" i="11" a="1"/>
  <c r="P10" i="11" s="1"/>
  <c r="O10" i="11" a="1"/>
  <c r="O10" i="11" s="1"/>
  <c r="N10" i="11" a="1"/>
  <c r="N10" i="11" s="1"/>
  <c r="M10" i="11" a="1"/>
  <c r="M10" i="11" s="1"/>
  <c r="L10" i="11" a="1"/>
  <c r="L10" i="11" s="1"/>
  <c r="K10" i="11" a="1"/>
  <c r="K10" i="11" s="1"/>
  <c r="J10" i="11" a="1"/>
  <c r="J10" i="11" s="1"/>
  <c r="I10" i="11" a="1"/>
  <c r="I10" i="11" s="1"/>
  <c r="H10" i="11" a="1"/>
  <c r="H10" i="11" s="1"/>
  <c r="G10" i="11" a="1"/>
  <c r="G10" i="11" s="1"/>
  <c r="F10" i="11" a="1"/>
  <c r="F10" i="11" s="1"/>
  <c r="E10" i="11"/>
  <c r="E10" i="11" a="1"/>
  <c r="D10" i="11" a="1"/>
  <c r="D10" i="11" s="1"/>
  <c r="W9" i="11" a="1"/>
  <c r="W9" i="11" s="1"/>
  <c r="V9" i="11" a="1"/>
  <c r="V9" i="11" s="1"/>
  <c r="S9" i="11" a="1"/>
  <c r="S9" i="11" s="1"/>
  <c r="R9" i="11" a="1"/>
  <c r="R9" i="11" s="1"/>
  <c r="Q9" i="11" a="1"/>
  <c r="Q9" i="11" s="1"/>
  <c r="P9" i="11" a="1"/>
  <c r="P9" i="11" s="1"/>
  <c r="O9" i="11" a="1"/>
  <c r="O9" i="11" s="1"/>
  <c r="N9" i="11" a="1"/>
  <c r="N9" i="11" s="1"/>
  <c r="M9" i="11" a="1"/>
  <c r="M9" i="11" s="1"/>
  <c r="L9" i="11" a="1"/>
  <c r="L9" i="11" s="1"/>
  <c r="K9" i="11" a="1"/>
  <c r="K9" i="11" s="1"/>
  <c r="J9" i="11" a="1"/>
  <c r="J9" i="11" s="1"/>
  <c r="I9" i="11" a="1"/>
  <c r="I9" i="11" s="1"/>
  <c r="H9" i="11" a="1"/>
  <c r="H9" i="11" s="1"/>
  <c r="G9" i="11"/>
  <c r="G9" i="11" a="1"/>
  <c r="F9" i="11" a="1"/>
  <c r="F9" i="11" s="1"/>
  <c r="E9" i="11" a="1"/>
  <c r="E9" i="11" s="1"/>
  <c r="D9" i="11" a="1"/>
  <c r="D9" i="11" s="1"/>
  <c r="W8" i="11" a="1"/>
  <c r="W8" i="11" s="1"/>
  <c r="V8" i="11" a="1"/>
  <c r="V8" i="11" s="1"/>
  <c r="S8" i="11" a="1"/>
  <c r="S8" i="11" s="1"/>
  <c r="R8" i="11" a="1"/>
  <c r="R8" i="11" s="1"/>
  <c r="Q8" i="11" a="1"/>
  <c r="Q8" i="11" s="1"/>
  <c r="P8" i="11" a="1"/>
  <c r="P8" i="11" s="1"/>
  <c r="O8" i="11" a="1"/>
  <c r="O8" i="11" s="1"/>
  <c r="N8" i="11" a="1"/>
  <c r="N8" i="11" s="1"/>
  <c r="M8" i="11" a="1"/>
  <c r="M8" i="11" s="1"/>
  <c r="L8" i="11" a="1"/>
  <c r="L8" i="11" s="1"/>
  <c r="K8" i="11" a="1"/>
  <c r="K8" i="11" s="1"/>
  <c r="J8" i="11" a="1"/>
  <c r="J8" i="11" s="1"/>
  <c r="I8" i="11" a="1"/>
  <c r="I8" i="11" s="1"/>
  <c r="H8" i="11" a="1"/>
  <c r="H8" i="11" s="1"/>
  <c r="G8" i="11" a="1"/>
  <c r="G8" i="11" s="1"/>
  <c r="F8" i="11" a="1"/>
  <c r="F8" i="11" s="1"/>
  <c r="E8" i="11" a="1"/>
  <c r="E8" i="11" s="1"/>
  <c r="D8" i="11" a="1"/>
  <c r="D8" i="11" s="1"/>
  <c r="W7" i="11" a="1"/>
  <c r="W7" i="11" s="1"/>
  <c r="V7" i="11" a="1"/>
  <c r="V7" i="11" s="1"/>
  <c r="S7" i="11" a="1"/>
  <c r="S7" i="11" s="1"/>
  <c r="R7" i="11" a="1"/>
  <c r="R7" i="11" s="1"/>
  <c r="Q7" i="11" a="1"/>
  <c r="Q7" i="11" s="1"/>
  <c r="P7" i="11" a="1"/>
  <c r="P7" i="11" s="1"/>
  <c r="O7" i="11" a="1"/>
  <c r="O7" i="11" s="1"/>
  <c r="N7" i="11" a="1"/>
  <c r="N7" i="11" s="1"/>
  <c r="M7" i="11" a="1"/>
  <c r="M7" i="11" s="1"/>
  <c r="L7" i="11" a="1"/>
  <c r="L7" i="11" s="1"/>
  <c r="K7" i="11" a="1"/>
  <c r="K7" i="11" s="1"/>
  <c r="J7" i="11" a="1"/>
  <c r="J7" i="11" s="1"/>
  <c r="I7" i="11" a="1"/>
  <c r="I7" i="11" s="1"/>
  <c r="H7" i="11" a="1"/>
  <c r="H7" i="11" s="1"/>
  <c r="G7" i="11" a="1"/>
  <c r="G7" i="11" s="1"/>
  <c r="F7" i="11" a="1"/>
  <c r="F7" i="11" s="1"/>
  <c r="E7" i="11" a="1"/>
  <c r="E7" i="11" s="1"/>
  <c r="D7" i="11" a="1"/>
  <c r="D7" i="11" s="1"/>
  <c r="W6" i="11" a="1"/>
  <c r="W6" i="11" s="1"/>
  <c r="V6" i="11" a="1"/>
  <c r="V6" i="11" s="1"/>
  <c r="S6" i="11" a="1"/>
  <c r="S6" i="11" s="1"/>
  <c r="R6" i="11" a="1"/>
  <c r="R6" i="11" s="1"/>
  <c r="Q6" i="11" a="1"/>
  <c r="Q6" i="11" s="1"/>
  <c r="P6" i="11" a="1"/>
  <c r="P6" i="11" s="1"/>
  <c r="O6" i="11" a="1"/>
  <c r="O6" i="11" s="1"/>
  <c r="N6" i="11" a="1"/>
  <c r="N6" i="11" s="1"/>
  <c r="M6" i="11" a="1"/>
  <c r="M6" i="11" s="1"/>
  <c r="L6" i="11"/>
  <c r="L6" i="11" a="1"/>
  <c r="K6" i="11" a="1"/>
  <c r="K6" i="11" s="1"/>
  <c r="J6" i="11" a="1"/>
  <c r="J6" i="11" s="1"/>
  <c r="I6" i="11" a="1"/>
  <c r="I6" i="11" s="1"/>
  <c r="H6" i="11" a="1"/>
  <c r="H6" i="11" s="1"/>
  <c r="G6" i="11" a="1"/>
  <c r="G6" i="11" s="1"/>
  <c r="F6" i="11" a="1"/>
  <c r="F6" i="11" s="1"/>
  <c r="E6" i="11" a="1"/>
  <c r="E6" i="11" s="1"/>
  <c r="D6" i="11" a="1"/>
  <c r="D6" i="11" s="1"/>
  <c r="V4" i="11"/>
  <c r="AN2" i="11"/>
  <c r="X2" i="11"/>
  <c r="Y2" i="11" s="1"/>
  <c r="Z2" i="11" s="1"/>
  <c r="AA2" i="11" s="1"/>
  <c r="AB2" i="11" s="1"/>
  <c r="W12" i="10" a="1"/>
  <c r="W12" i="10" s="1"/>
  <c r="V12" i="10" a="1"/>
  <c r="V12" i="10" s="1"/>
  <c r="S12" i="10" a="1"/>
  <c r="S12" i="10" s="1"/>
  <c r="R12" i="10" a="1"/>
  <c r="R12" i="10" s="1"/>
  <c r="Q12" i="10"/>
  <c r="Q12" i="10" a="1"/>
  <c r="P12" i="10"/>
  <c r="P12" i="10" a="1"/>
  <c r="O12" i="10" a="1"/>
  <c r="O12" i="10" s="1"/>
  <c r="N12" i="10" a="1"/>
  <c r="N12" i="10" s="1"/>
  <c r="M12" i="10" a="1"/>
  <c r="M12" i="10" s="1"/>
  <c r="L12" i="10"/>
  <c r="L12" i="10" a="1"/>
  <c r="K12" i="10"/>
  <c r="K12" i="10" a="1"/>
  <c r="J12" i="10" a="1"/>
  <c r="J12" i="10" s="1"/>
  <c r="I12" i="10" a="1"/>
  <c r="I12" i="10" s="1"/>
  <c r="H12" i="10" a="1"/>
  <c r="H12" i="10" s="1"/>
  <c r="G12" i="10" a="1"/>
  <c r="G12" i="10" s="1"/>
  <c r="F12" i="10" a="1"/>
  <c r="F12" i="10" s="1"/>
  <c r="E12" i="10" a="1"/>
  <c r="E12" i="10" s="1"/>
  <c r="D12" i="10" a="1"/>
  <c r="D12" i="10" s="1"/>
  <c r="W11" i="10" a="1"/>
  <c r="W11" i="10" s="1"/>
  <c r="V11" i="10" a="1"/>
  <c r="V11" i="10" s="1"/>
  <c r="S11" i="10" a="1"/>
  <c r="S11" i="10" s="1"/>
  <c r="R11" i="10"/>
  <c r="R11" i="10" a="1"/>
  <c r="Q11" i="10" a="1"/>
  <c r="Q11" i="10" s="1"/>
  <c r="P11" i="10"/>
  <c r="P11" i="10" a="1"/>
  <c r="O11" i="10" a="1"/>
  <c r="O11" i="10" s="1"/>
  <c r="N11" i="10"/>
  <c r="N11" i="10" a="1"/>
  <c r="M11" i="10"/>
  <c r="M11" i="10" a="1"/>
  <c r="L11" i="10"/>
  <c r="L11" i="10" a="1"/>
  <c r="K11" i="10" a="1"/>
  <c r="K11" i="10" s="1"/>
  <c r="J11" i="10" a="1"/>
  <c r="J11" i="10" s="1"/>
  <c r="I11" i="10" a="1"/>
  <c r="I11" i="10" s="1"/>
  <c r="H11" i="10"/>
  <c r="H11" i="10" a="1"/>
  <c r="G11" i="10"/>
  <c r="G11" i="10" a="1"/>
  <c r="F11" i="10"/>
  <c r="F11" i="10" a="1"/>
  <c r="E11" i="10" a="1"/>
  <c r="E11" i="10" s="1"/>
  <c r="D11" i="10" a="1"/>
  <c r="D11" i="10" s="1"/>
  <c r="W10" i="10" a="1"/>
  <c r="W10" i="10" s="1"/>
  <c r="V10" i="10"/>
  <c r="V10" i="10" a="1"/>
  <c r="S10" i="10" a="1"/>
  <c r="S10" i="10" s="1"/>
  <c r="R10" i="10"/>
  <c r="R10" i="10" a="1"/>
  <c r="Q10" i="10"/>
  <c r="Q10" i="10" a="1"/>
  <c r="P10" i="10" a="1"/>
  <c r="P10" i="10" s="1"/>
  <c r="O10" i="10" a="1"/>
  <c r="O10" i="10" s="1"/>
  <c r="N10" i="10" a="1"/>
  <c r="N10" i="10" s="1"/>
  <c r="M10" i="10" a="1"/>
  <c r="M10" i="10" s="1"/>
  <c r="L10" i="10" a="1"/>
  <c r="L10" i="10" s="1"/>
  <c r="K10" i="10" a="1"/>
  <c r="K10" i="10" s="1"/>
  <c r="J10" i="10" a="1"/>
  <c r="J10" i="10" s="1"/>
  <c r="I10" i="10" a="1"/>
  <c r="I10" i="10" s="1"/>
  <c r="H10" i="10" a="1"/>
  <c r="H10" i="10" s="1"/>
  <c r="G10" i="10" a="1"/>
  <c r="G10" i="10" s="1"/>
  <c r="F10" i="10" a="1"/>
  <c r="F10" i="10" s="1"/>
  <c r="E10" i="10" a="1"/>
  <c r="E10" i="10" s="1"/>
  <c r="D10" i="10" a="1"/>
  <c r="D10" i="10" s="1"/>
  <c r="W9" i="10" a="1"/>
  <c r="W9" i="10" s="1"/>
  <c r="V9" i="10" a="1"/>
  <c r="V9" i="10" s="1"/>
  <c r="S9" i="10"/>
  <c r="S9" i="10" a="1"/>
  <c r="R9" i="10"/>
  <c r="R9" i="10" a="1"/>
  <c r="Q9" i="10" a="1"/>
  <c r="Q9" i="10" s="1"/>
  <c r="P9" i="10"/>
  <c r="P9" i="10" a="1"/>
  <c r="O9" i="10" a="1"/>
  <c r="O9" i="10" s="1"/>
  <c r="N9" i="10"/>
  <c r="N9" i="10" a="1"/>
  <c r="M9" i="10"/>
  <c r="M9" i="10" a="1"/>
  <c r="L9" i="10"/>
  <c r="L9" i="10" a="1"/>
  <c r="K9" i="10"/>
  <c r="K9" i="10" a="1"/>
  <c r="J9" i="10"/>
  <c r="J9" i="10" a="1"/>
  <c r="I9" i="10" a="1"/>
  <c r="I9" i="10" s="1"/>
  <c r="H9" i="10"/>
  <c r="H9" i="10" a="1"/>
  <c r="G9" i="10" a="1"/>
  <c r="G9" i="10" s="1"/>
  <c r="F9" i="10"/>
  <c r="F9" i="10" a="1"/>
  <c r="E9" i="10"/>
  <c r="E9" i="10" a="1"/>
  <c r="D9" i="10" a="1"/>
  <c r="D9" i="10" s="1"/>
  <c r="W8" i="10" a="1"/>
  <c r="W8" i="10" s="1"/>
  <c r="V8" i="10" a="1"/>
  <c r="V8" i="10" s="1"/>
  <c r="S8" i="10" a="1"/>
  <c r="S8" i="10" s="1"/>
  <c r="R8" i="10" a="1"/>
  <c r="R8" i="10" s="1"/>
  <c r="Q8" i="10" a="1"/>
  <c r="Q8" i="10" s="1"/>
  <c r="P8" i="10" a="1"/>
  <c r="P8" i="10" s="1"/>
  <c r="O8" i="10" a="1"/>
  <c r="O8" i="10" s="1"/>
  <c r="N8" i="10" a="1"/>
  <c r="N8" i="10" s="1"/>
  <c r="M8" i="10"/>
  <c r="M8" i="10" a="1"/>
  <c r="L8" i="10" a="1"/>
  <c r="L8" i="10" s="1"/>
  <c r="K8" i="10" a="1"/>
  <c r="K8" i="10" s="1"/>
  <c r="J8" i="10" a="1"/>
  <c r="J8" i="10" s="1"/>
  <c r="I8" i="10" a="1"/>
  <c r="I8" i="10" s="1"/>
  <c r="H8" i="10" a="1"/>
  <c r="H8" i="10" s="1"/>
  <c r="G8" i="10" a="1"/>
  <c r="G8" i="10" s="1"/>
  <c r="F8" i="10" a="1"/>
  <c r="F8" i="10" s="1"/>
  <c r="E8" i="10"/>
  <c r="E8" i="10" a="1"/>
  <c r="D8" i="10" a="1"/>
  <c r="D8" i="10" s="1"/>
  <c r="W7" i="10" a="1"/>
  <c r="W7" i="10" s="1"/>
  <c r="V7" i="10" a="1"/>
  <c r="V7" i="10" s="1"/>
  <c r="S7" i="10"/>
  <c r="S7" i="10" a="1"/>
  <c r="R7" i="10"/>
  <c r="R7" i="10" a="1"/>
  <c r="Q7" i="10" a="1"/>
  <c r="Q7" i="10" s="1"/>
  <c r="P7" i="10"/>
  <c r="P7" i="10" a="1"/>
  <c r="O7" i="10"/>
  <c r="O7" i="10" a="1"/>
  <c r="N7" i="10"/>
  <c r="N7" i="10" a="1"/>
  <c r="M7" i="10"/>
  <c r="M7" i="10" a="1"/>
  <c r="L7" i="10" a="1"/>
  <c r="L7" i="10" s="1"/>
  <c r="K7" i="10"/>
  <c r="K7" i="10" a="1"/>
  <c r="J7" i="10"/>
  <c r="J7" i="10" a="1"/>
  <c r="I7" i="10" a="1"/>
  <c r="I7" i="10" s="1"/>
  <c r="H7" i="10"/>
  <c r="H7" i="10" a="1"/>
  <c r="G7" i="10" a="1"/>
  <c r="G7" i="10" s="1"/>
  <c r="F7" i="10"/>
  <c r="F7" i="10" a="1"/>
  <c r="E7" i="10"/>
  <c r="E7" i="10" a="1"/>
  <c r="D7" i="10" a="1"/>
  <c r="D7" i="10" s="1"/>
  <c r="W6" i="10" a="1"/>
  <c r="W6" i="10" s="1"/>
  <c r="V6" i="10" a="1"/>
  <c r="V6" i="10" s="1"/>
  <c r="V13" i="10" s="1"/>
  <c r="S6" i="10" a="1"/>
  <c r="S6" i="10" s="1"/>
  <c r="R6" i="10" a="1"/>
  <c r="R6" i="10" s="1"/>
  <c r="Q6" i="10"/>
  <c r="Q6" i="10" a="1"/>
  <c r="P6" i="10" a="1"/>
  <c r="P6" i="10" s="1"/>
  <c r="O6" i="10" a="1"/>
  <c r="O6" i="10" s="1"/>
  <c r="N6" i="10" a="1"/>
  <c r="N6" i="10" s="1"/>
  <c r="M6" i="10" a="1"/>
  <c r="M6" i="10" s="1"/>
  <c r="L6" i="10"/>
  <c r="L6" i="10" a="1"/>
  <c r="K6" i="10" a="1"/>
  <c r="K6" i="10" s="1"/>
  <c r="J6" i="10" a="1"/>
  <c r="J6" i="10" s="1"/>
  <c r="I6" i="10" a="1"/>
  <c r="I6" i="10" s="1"/>
  <c r="H6" i="10" a="1"/>
  <c r="H6" i="10" s="1"/>
  <c r="G6" i="10" a="1"/>
  <c r="G6" i="10" s="1"/>
  <c r="F6" i="10" a="1"/>
  <c r="F6" i="10" s="1"/>
  <c r="E6" i="10" a="1"/>
  <c r="E6" i="10" s="1"/>
  <c r="D6" i="10" a="1"/>
  <c r="D6" i="10" s="1"/>
  <c r="V4" i="10"/>
  <c r="AN2" i="10"/>
  <c r="X2" i="10"/>
  <c r="Y2" i="10" s="1"/>
  <c r="BF11" i="2" a="1"/>
  <c r="BF11" i="2" s="1"/>
  <c r="BF10" i="2" a="1"/>
  <c r="BF10" i="2" s="1"/>
  <c r="BF9" i="2" a="1"/>
  <c r="BF9" i="2" s="1"/>
  <c r="BF2" i="2"/>
  <c r="BX2" i="2" s="1"/>
  <c r="AN2" i="2"/>
  <c r="AN6" i="2" s="1" a="1"/>
  <c r="AN6" i="2" s="1"/>
  <c r="V12" i="2" a="1"/>
  <c r="V12" i="2" s="1"/>
  <c r="V11" i="2" a="1"/>
  <c r="V11" i="2" s="1"/>
  <c r="V10" i="2" a="1"/>
  <c r="V10" i="2" s="1"/>
  <c r="V9" i="2" a="1"/>
  <c r="V9" i="2" s="1"/>
  <c r="V8" i="2" a="1"/>
  <c r="V8" i="2" s="1"/>
  <c r="V7" i="2" a="1"/>
  <c r="V7" i="2" s="1"/>
  <c r="V6" i="2" a="1"/>
  <c r="V6" i="2" s="1"/>
  <c r="D12" i="2" a="1"/>
  <c r="D12" i="2" s="1"/>
  <c r="D11" i="2" a="1"/>
  <c r="D11" i="2" s="1"/>
  <c r="D10" i="2" a="1"/>
  <c r="D10" i="2" s="1"/>
  <c r="D9" i="2" a="1"/>
  <c r="D9" i="2" s="1"/>
  <c r="D8" i="2" a="1"/>
  <c r="D8" i="2" s="1"/>
  <c r="D7" i="2" a="1"/>
  <c r="D7" i="2" s="1"/>
  <c r="D6" i="2" a="1"/>
  <c r="D6" i="2" s="1"/>
  <c r="H1239" i="9"/>
  <c r="H1238" i="9"/>
  <c r="H1237" i="9"/>
  <c r="H1236" i="9"/>
  <c r="H1235" i="9"/>
  <c r="H1234" i="9"/>
  <c r="H1233" i="9"/>
  <c r="H1232" i="9"/>
  <c r="H1231" i="9"/>
  <c r="H1230" i="9"/>
  <c r="H1229" i="9"/>
  <c r="H1228" i="9"/>
  <c r="H1227" i="9"/>
  <c r="H1226" i="9"/>
  <c r="H1225" i="9"/>
  <c r="H1224" i="9"/>
  <c r="H1223" i="9"/>
  <c r="H1222" i="9"/>
  <c r="H1221" i="9"/>
  <c r="H1220" i="9"/>
  <c r="H1219" i="9"/>
  <c r="H1218" i="9"/>
  <c r="H1217" i="9"/>
  <c r="H1216" i="9"/>
  <c r="H1215" i="9"/>
  <c r="H1214" i="9"/>
  <c r="H1213" i="9"/>
  <c r="H1212" i="9"/>
  <c r="H1211" i="9"/>
  <c r="H1210" i="9"/>
  <c r="H1209" i="9"/>
  <c r="H1208" i="9"/>
  <c r="H1207" i="9"/>
  <c r="H1206" i="9"/>
  <c r="H1205" i="9"/>
  <c r="H1204" i="9"/>
  <c r="H1203" i="9"/>
  <c r="H1202" i="9"/>
  <c r="H1201" i="9"/>
  <c r="H1200" i="9"/>
  <c r="H1199" i="9"/>
  <c r="H1198" i="9"/>
  <c r="H1197" i="9"/>
  <c r="H1196" i="9"/>
  <c r="H1195" i="9"/>
  <c r="H1194" i="9"/>
  <c r="H1193" i="9"/>
  <c r="H1192" i="9"/>
  <c r="H1191" i="9"/>
  <c r="H1190" i="9"/>
  <c r="H1189" i="9"/>
  <c r="H1188" i="9"/>
  <c r="H1187" i="9"/>
  <c r="H1186" i="9"/>
  <c r="H1185" i="9"/>
  <c r="H1184" i="9"/>
  <c r="H1183" i="9"/>
  <c r="H1182" i="9"/>
  <c r="H1181" i="9"/>
  <c r="H1180" i="9"/>
  <c r="H1179" i="9"/>
  <c r="H1178" i="9"/>
  <c r="H1177" i="9"/>
  <c r="H1176" i="9"/>
  <c r="H1175" i="9"/>
  <c r="H1174" i="9"/>
  <c r="H1173" i="9"/>
  <c r="H1172" i="9"/>
  <c r="H1171" i="9"/>
  <c r="H1170" i="9"/>
  <c r="H1169" i="9"/>
  <c r="H1168" i="9"/>
  <c r="H1167" i="9"/>
  <c r="H1166" i="9"/>
  <c r="H1165" i="9"/>
  <c r="H1164" i="9"/>
  <c r="H1163" i="9"/>
  <c r="H1162" i="9"/>
  <c r="H1161" i="9"/>
  <c r="H1160" i="9"/>
  <c r="H1159" i="9"/>
  <c r="H1158" i="9"/>
  <c r="H1157" i="9"/>
  <c r="H1156" i="9"/>
  <c r="H1155" i="9"/>
  <c r="H1154" i="9"/>
  <c r="H1153" i="9"/>
  <c r="H1152" i="9"/>
  <c r="H1151" i="9"/>
  <c r="H1150" i="9"/>
  <c r="H1149" i="9"/>
  <c r="H1148" i="9"/>
  <c r="H1147" i="9"/>
  <c r="H1146" i="9"/>
  <c r="H1145" i="9"/>
  <c r="H1144" i="9"/>
  <c r="H1143" i="9"/>
  <c r="H1142" i="9"/>
  <c r="H1141" i="9"/>
  <c r="H1140" i="9"/>
  <c r="H1139" i="9"/>
  <c r="H1138" i="9"/>
  <c r="H1137" i="9"/>
  <c r="H1136" i="9"/>
  <c r="H1135" i="9"/>
  <c r="H1134" i="9"/>
  <c r="H1133" i="9"/>
  <c r="H1132" i="9"/>
  <c r="H1131" i="9"/>
  <c r="H1130" i="9"/>
  <c r="H1129" i="9"/>
  <c r="H1128" i="9"/>
  <c r="H1127" i="9"/>
  <c r="H1126" i="9"/>
  <c r="H1125" i="9"/>
  <c r="H1124" i="9"/>
  <c r="H1123" i="9"/>
  <c r="H1122" i="9"/>
  <c r="H1121" i="9"/>
  <c r="H1120" i="9"/>
  <c r="H1119" i="9"/>
  <c r="H1118" i="9"/>
  <c r="H1117" i="9"/>
  <c r="H1116" i="9"/>
  <c r="H1115" i="9"/>
  <c r="H1114" i="9"/>
  <c r="H1113" i="9"/>
  <c r="H1112" i="9"/>
  <c r="H1111" i="9"/>
  <c r="H1110" i="9"/>
  <c r="H1109" i="9"/>
  <c r="H1108" i="9"/>
  <c r="H1107" i="9"/>
  <c r="H1106" i="9"/>
  <c r="H1105" i="9"/>
  <c r="H1104" i="9"/>
  <c r="H1103" i="9"/>
  <c r="H1102" i="9"/>
  <c r="H1101" i="9"/>
  <c r="H1100" i="9"/>
  <c r="H1099" i="9"/>
  <c r="H1098" i="9"/>
  <c r="H1097" i="9"/>
  <c r="H1096" i="9"/>
  <c r="H1095" i="9"/>
  <c r="H1094" i="9"/>
  <c r="H1093" i="9"/>
  <c r="H1092" i="9"/>
  <c r="H1091" i="9"/>
  <c r="H1090" i="9"/>
  <c r="H1089" i="9"/>
  <c r="H1088" i="9"/>
  <c r="H1087" i="9"/>
  <c r="H1086" i="9"/>
  <c r="H1085" i="9"/>
  <c r="H1084" i="9"/>
  <c r="H1083" i="9"/>
  <c r="H1082" i="9"/>
  <c r="H1081" i="9"/>
  <c r="H1080" i="9"/>
  <c r="H1079" i="9"/>
  <c r="H1078" i="9"/>
  <c r="H1077" i="9"/>
  <c r="H1076" i="9"/>
  <c r="H1075" i="9"/>
  <c r="H1074" i="9"/>
  <c r="H1073" i="9"/>
  <c r="H1072" i="9"/>
  <c r="H1071" i="9"/>
  <c r="H1070" i="9"/>
  <c r="H1069" i="9"/>
  <c r="H1068" i="9"/>
  <c r="H1067" i="9"/>
  <c r="H1066" i="9"/>
  <c r="H1065" i="9"/>
  <c r="H1064" i="9"/>
  <c r="H1063" i="9"/>
  <c r="H1062" i="9"/>
  <c r="H1061" i="9"/>
  <c r="H1060" i="9"/>
  <c r="H1059" i="9"/>
  <c r="H1058" i="9"/>
  <c r="H1057" i="9"/>
  <c r="H1056" i="9"/>
  <c r="H1055" i="9"/>
  <c r="H1054" i="9"/>
  <c r="H1053" i="9"/>
  <c r="H1052" i="9"/>
  <c r="H1051" i="9"/>
  <c r="H1050" i="9"/>
  <c r="H1049" i="9"/>
  <c r="H1048" i="9"/>
  <c r="H1047" i="9"/>
  <c r="H1046" i="9"/>
  <c r="H1045" i="9"/>
  <c r="H1044" i="9"/>
  <c r="H1043" i="9"/>
  <c r="H1042" i="9"/>
  <c r="H1041" i="9"/>
  <c r="H1040" i="9"/>
  <c r="H1039" i="9"/>
  <c r="H1038" i="9"/>
  <c r="H1037" i="9"/>
  <c r="H1036" i="9"/>
  <c r="H1035" i="9"/>
  <c r="H1034" i="9"/>
  <c r="H1033" i="9"/>
  <c r="H1032" i="9"/>
  <c r="H1031" i="9"/>
  <c r="H1030" i="9"/>
  <c r="H1029" i="9"/>
  <c r="H1028" i="9"/>
  <c r="H1027" i="9"/>
  <c r="H1026" i="9"/>
  <c r="H1025" i="9"/>
  <c r="H1024" i="9"/>
  <c r="H1023" i="9"/>
  <c r="H1022" i="9"/>
  <c r="H1021" i="9"/>
  <c r="H1020" i="9"/>
  <c r="H1019" i="9"/>
  <c r="H1018" i="9"/>
  <c r="H1017" i="9"/>
  <c r="H1016" i="9"/>
  <c r="H1015" i="9"/>
  <c r="H1014" i="9"/>
  <c r="H1013" i="9"/>
  <c r="H1012" i="9"/>
  <c r="H1011" i="9"/>
  <c r="H1010" i="9"/>
  <c r="H1009" i="9"/>
  <c r="H1008" i="9"/>
  <c r="H1007" i="9"/>
  <c r="H1006" i="9"/>
  <c r="H1005" i="9"/>
  <c r="H1004" i="9"/>
  <c r="H1003" i="9"/>
  <c r="H1002" i="9"/>
  <c r="H1001" i="9"/>
  <c r="H1000" i="9"/>
  <c r="H999" i="9"/>
  <c r="H998" i="9"/>
  <c r="H997" i="9"/>
  <c r="H996" i="9"/>
  <c r="H995" i="9"/>
  <c r="H994" i="9"/>
  <c r="H993" i="9"/>
  <c r="H992" i="9"/>
  <c r="H991" i="9"/>
  <c r="H990" i="9"/>
  <c r="H989" i="9"/>
  <c r="H988" i="9"/>
  <c r="H987" i="9"/>
  <c r="H986" i="9"/>
  <c r="H985" i="9"/>
  <c r="H984" i="9"/>
  <c r="H983" i="9"/>
  <c r="H982" i="9"/>
  <c r="H981" i="9"/>
  <c r="H980" i="9"/>
  <c r="H979" i="9"/>
  <c r="H978" i="9"/>
  <c r="H977" i="9"/>
  <c r="H976" i="9"/>
  <c r="H975" i="9"/>
  <c r="H974" i="9"/>
  <c r="H973" i="9"/>
  <c r="H972" i="9"/>
  <c r="H971" i="9"/>
  <c r="H970" i="9"/>
  <c r="H969" i="9"/>
  <c r="H968" i="9"/>
  <c r="H967" i="9"/>
  <c r="H966" i="9"/>
  <c r="H965" i="9"/>
  <c r="H964" i="9"/>
  <c r="H963" i="9"/>
  <c r="H962" i="9"/>
  <c r="H961" i="9"/>
  <c r="H960" i="9"/>
  <c r="H959" i="9"/>
  <c r="H958" i="9"/>
  <c r="H957" i="9"/>
  <c r="H956" i="9"/>
  <c r="H955" i="9"/>
  <c r="H954" i="9"/>
  <c r="H953" i="9"/>
  <c r="H952" i="9"/>
  <c r="H951" i="9"/>
  <c r="H950" i="9"/>
  <c r="H949" i="9"/>
  <c r="H948" i="9"/>
  <c r="H947" i="9"/>
  <c r="H946" i="9"/>
  <c r="H945" i="9"/>
  <c r="H944" i="9"/>
  <c r="H943" i="9"/>
  <c r="H942" i="9"/>
  <c r="H941" i="9"/>
  <c r="H940" i="9"/>
  <c r="H939" i="9"/>
  <c r="H938" i="9"/>
  <c r="H937" i="9"/>
  <c r="H936" i="9"/>
  <c r="H935" i="9"/>
  <c r="H934" i="9"/>
  <c r="H933" i="9"/>
  <c r="H932" i="9"/>
  <c r="H931" i="9"/>
  <c r="H930" i="9"/>
  <c r="H929" i="9"/>
  <c r="H928" i="9"/>
  <c r="H927" i="9"/>
  <c r="H926" i="9"/>
  <c r="H925" i="9"/>
  <c r="H924" i="9"/>
  <c r="H923" i="9"/>
  <c r="H922" i="9"/>
  <c r="H921" i="9"/>
  <c r="H920" i="9"/>
  <c r="H919" i="9"/>
  <c r="H918" i="9"/>
  <c r="H917" i="9"/>
  <c r="H916" i="9"/>
  <c r="H915" i="9"/>
  <c r="H914" i="9"/>
  <c r="H913" i="9"/>
  <c r="H912" i="9"/>
  <c r="H911" i="9"/>
  <c r="H910" i="9"/>
  <c r="H909" i="9"/>
  <c r="H908" i="9"/>
  <c r="H907" i="9"/>
  <c r="H906" i="9"/>
  <c r="H905" i="9"/>
  <c r="H904" i="9"/>
  <c r="H903" i="9"/>
  <c r="H902" i="9"/>
  <c r="H901" i="9"/>
  <c r="H900" i="9"/>
  <c r="H899" i="9"/>
  <c r="H898" i="9"/>
  <c r="H897" i="9"/>
  <c r="H896" i="9"/>
  <c r="H895" i="9"/>
  <c r="H894" i="9"/>
  <c r="H893" i="9"/>
  <c r="H892" i="9"/>
  <c r="H891" i="9"/>
  <c r="H890" i="9"/>
  <c r="H889" i="9"/>
  <c r="H888" i="9"/>
  <c r="H887" i="9"/>
  <c r="H886" i="9"/>
  <c r="H885" i="9"/>
  <c r="H884" i="9"/>
  <c r="H883" i="9"/>
  <c r="H882" i="9"/>
  <c r="H881" i="9"/>
  <c r="H880" i="9"/>
  <c r="H879" i="9"/>
  <c r="H878" i="9"/>
  <c r="H877" i="9"/>
  <c r="H876" i="9"/>
  <c r="H875" i="9"/>
  <c r="H874" i="9"/>
  <c r="H873" i="9"/>
  <c r="H872" i="9"/>
  <c r="H871" i="9"/>
  <c r="H870" i="9"/>
  <c r="H869" i="9"/>
  <c r="H868" i="9"/>
  <c r="H867" i="9"/>
  <c r="H866" i="9"/>
  <c r="H865" i="9"/>
  <c r="H864" i="9"/>
  <c r="H863" i="9"/>
  <c r="H862" i="9"/>
  <c r="H861" i="9"/>
  <c r="H860" i="9"/>
  <c r="H859" i="9"/>
  <c r="H858" i="9"/>
  <c r="H857" i="9"/>
  <c r="H856" i="9"/>
  <c r="H855" i="9"/>
  <c r="H854" i="9"/>
  <c r="H853" i="9"/>
  <c r="H852" i="9"/>
  <c r="H851" i="9"/>
  <c r="H850" i="9"/>
  <c r="H849" i="9"/>
  <c r="H848" i="9"/>
  <c r="H847" i="9"/>
  <c r="H846" i="9"/>
  <c r="H845" i="9"/>
  <c r="H844" i="9"/>
  <c r="H843" i="9"/>
  <c r="H842" i="9"/>
  <c r="H841" i="9"/>
  <c r="H840" i="9"/>
  <c r="H839" i="9"/>
  <c r="H838" i="9"/>
  <c r="H837" i="9"/>
  <c r="H836" i="9"/>
  <c r="H835" i="9"/>
  <c r="H834" i="9"/>
  <c r="H833" i="9"/>
  <c r="H832" i="9"/>
  <c r="H831" i="9"/>
  <c r="H830" i="9"/>
  <c r="H829" i="9"/>
  <c r="H828" i="9"/>
  <c r="H827" i="9"/>
  <c r="H826" i="9"/>
  <c r="H825" i="9"/>
  <c r="H824" i="9"/>
  <c r="H823" i="9"/>
  <c r="H822" i="9"/>
  <c r="H821" i="9"/>
  <c r="H820" i="9"/>
  <c r="H819" i="9"/>
  <c r="H818" i="9"/>
  <c r="H817" i="9"/>
  <c r="H816" i="9"/>
  <c r="H815" i="9"/>
  <c r="H814" i="9"/>
  <c r="H813" i="9"/>
  <c r="H812" i="9"/>
  <c r="H811" i="9"/>
  <c r="H810" i="9"/>
  <c r="H809" i="9"/>
  <c r="H808" i="9"/>
  <c r="H807" i="9"/>
  <c r="H806" i="9"/>
  <c r="H805" i="9"/>
  <c r="H804" i="9"/>
  <c r="H803" i="9"/>
  <c r="H802" i="9"/>
  <c r="H801" i="9"/>
  <c r="H800" i="9"/>
  <c r="H799" i="9"/>
  <c r="H798" i="9"/>
  <c r="H797" i="9"/>
  <c r="H796" i="9"/>
  <c r="H795" i="9"/>
  <c r="H794" i="9"/>
  <c r="H793" i="9"/>
  <c r="H792" i="9"/>
  <c r="H791" i="9"/>
  <c r="H790" i="9"/>
  <c r="H789" i="9"/>
  <c r="H788" i="9"/>
  <c r="H787" i="9"/>
  <c r="H786" i="9"/>
  <c r="H785" i="9"/>
  <c r="H784" i="9"/>
  <c r="H783" i="9"/>
  <c r="H782" i="9"/>
  <c r="H781" i="9"/>
  <c r="H780" i="9"/>
  <c r="H779" i="9"/>
  <c r="H778" i="9"/>
  <c r="H777" i="9"/>
  <c r="H776" i="9"/>
  <c r="H775" i="9"/>
  <c r="H774" i="9"/>
  <c r="H773" i="9"/>
  <c r="H772" i="9"/>
  <c r="H771" i="9"/>
  <c r="H770" i="9"/>
  <c r="H769" i="9"/>
  <c r="H768" i="9"/>
  <c r="H767" i="9"/>
  <c r="H766" i="9"/>
  <c r="H765" i="9"/>
  <c r="H764" i="9"/>
  <c r="H763" i="9"/>
  <c r="H762" i="9"/>
  <c r="H761" i="9"/>
  <c r="H760" i="9"/>
  <c r="H759" i="9"/>
  <c r="H758" i="9"/>
  <c r="H757" i="9"/>
  <c r="H756" i="9"/>
  <c r="H755" i="9"/>
  <c r="H754" i="9"/>
  <c r="H753" i="9"/>
  <c r="H752" i="9"/>
  <c r="H751" i="9"/>
  <c r="H750" i="9"/>
  <c r="H749" i="9"/>
  <c r="H748" i="9"/>
  <c r="H747" i="9"/>
  <c r="H746" i="9"/>
  <c r="H745" i="9"/>
  <c r="H744" i="9"/>
  <c r="H743" i="9"/>
  <c r="H742" i="9"/>
  <c r="H741" i="9"/>
  <c r="H740" i="9"/>
  <c r="H739" i="9"/>
  <c r="H738" i="9"/>
  <c r="H737" i="9"/>
  <c r="H736" i="9"/>
  <c r="H735" i="9"/>
  <c r="H734" i="9"/>
  <c r="H733" i="9"/>
  <c r="H732" i="9"/>
  <c r="H731" i="9"/>
  <c r="H730" i="9"/>
  <c r="H729" i="9"/>
  <c r="H728" i="9"/>
  <c r="H727" i="9"/>
  <c r="H726" i="9"/>
  <c r="H725" i="9"/>
  <c r="H724" i="9"/>
  <c r="H723" i="9"/>
  <c r="H722" i="9"/>
  <c r="H721" i="9"/>
  <c r="H720" i="9"/>
  <c r="H719" i="9"/>
  <c r="H718" i="9"/>
  <c r="H717" i="9"/>
  <c r="H716" i="9"/>
  <c r="H715" i="9"/>
  <c r="H714" i="9"/>
  <c r="H713" i="9"/>
  <c r="H712" i="9"/>
  <c r="H711" i="9"/>
  <c r="H710" i="9"/>
  <c r="H709" i="9"/>
  <c r="H708" i="9"/>
  <c r="H707" i="9"/>
  <c r="H706" i="9"/>
  <c r="H705" i="9"/>
  <c r="H704" i="9"/>
  <c r="H703" i="9"/>
  <c r="H702" i="9"/>
  <c r="H701" i="9"/>
  <c r="H700" i="9"/>
  <c r="H699" i="9"/>
  <c r="H698" i="9"/>
  <c r="H697" i="9"/>
  <c r="H696" i="9"/>
  <c r="H695" i="9"/>
  <c r="H694" i="9"/>
  <c r="H693" i="9"/>
  <c r="H692" i="9"/>
  <c r="H691" i="9"/>
  <c r="H690" i="9"/>
  <c r="H689" i="9"/>
  <c r="H688" i="9"/>
  <c r="H687" i="9"/>
  <c r="H686" i="9"/>
  <c r="H685" i="9"/>
  <c r="H684" i="9"/>
  <c r="H683" i="9"/>
  <c r="H682" i="9"/>
  <c r="H681" i="9"/>
  <c r="H680" i="9"/>
  <c r="H679" i="9"/>
  <c r="H678" i="9"/>
  <c r="H677" i="9"/>
  <c r="H676" i="9"/>
  <c r="H675" i="9"/>
  <c r="H674" i="9"/>
  <c r="H673" i="9"/>
  <c r="H672" i="9"/>
  <c r="H671" i="9"/>
  <c r="H670" i="9"/>
  <c r="H669" i="9"/>
  <c r="H668" i="9"/>
  <c r="H667" i="9"/>
  <c r="H666" i="9"/>
  <c r="H665" i="9"/>
  <c r="H664" i="9"/>
  <c r="H663" i="9"/>
  <c r="H662" i="9"/>
  <c r="H661" i="9"/>
  <c r="H660" i="9"/>
  <c r="H659" i="9"/>
  <c r="H658" i="9"/>
  <c r="H657" i="9"/>
  <c r="H656" i="9"/>
  <c r="H655" i="9"/>
  <c r="H654" i="9"/>
  <c r="H653" i="9"/>
  <c r="H652" i="9"/>
  <c r="H651" i="9"/>
  <c r="H650" i="9"/>
  <c r="H649" i="9"/>
  <c r="H648" i="9"/>
  <c r="H647" i="9"/>
  <c r="H646" i="9"/>
  <c r="H645" i="9"/>
  <c r="H644" i="9"/>
  <c r="H643" i="9"/>
  <c r="H642" i="9"/>
  <c r="H641" i="9"/>
  <c r="H640" i="9"/>
  <c r="H639" i="9"/>
  <c r="H638" i="9"/>
  <c r="H637" i="9"/>
  <c r="H636" i="9"/>
  <c r="H635" i="9"/>
  <c r="H634" i="9"/>
  <c r="H633" i="9"/>
  <c r="H632" i="9"/>
  <c r="H631" i="9"/>
  <c r="H630" i="9"/>
  <c r="H629" i="9"/>
  <c r="H628" i="9"/>
  <c r="H627" i="9"/>
  <c r="H626" i="9"/>
  <c r="H625" i="9"/>
  <c r="H624" i="9"/>
  <c r="H623" i="9"/>
  <c r="H622" i="9"/>
  <c r="H621" i="9"/>
  <c r="H620" i="9"/>
  <c r="H619" i="9"/>
  <c r="H618" i="9"/>
  <c r="H617" i="9"/>
  <c r="H616" i="9"/>
  <c r="H615" i="9"/>
  <c r="H614" i="9"/>
  <c r="H613" i="9"/>
  <c r="H612" i="9"/>
  <c r="H611" i="9"/>
  <c r="H610" i="9"/>
  <c r="H609" i="9"/>
  <c r="H608" i="9"/>
  <c r="H607" i="9"/>
  <c r="H606" i="9"/>
  <c r="H605" i="9"/>
  <c r="H604" i="9"/>
  <c r="H603" i="9"/>
  <c r="H602" i="9"/>
  <c r="H601" i="9"/>
  <c r="H600" i="9"/>
  <c r="H599" i="9"/>
  <c r="H598" i="9"/>
  <c r="H597" i="9"/>
  <c r="H596" i="9"/>
  <c r="H595" i="9"/>
  <c r="H594" i="9"/>
  <c r="H593" i="9"/>
  <c r="H592" i="9"/>
  <c r="H591" i="9"/>
  <c r="H590" i="9"/>
  <c r="H589" i="9"/>
  <c r="H588" i="9"/>
  <c r="H587" i="9"/>
  <c r="H586" i="9"/>
  <c r="H585" i="9"/>
  <c r="H584" i="9"/>
  <c r="H583" i="9"/>
  <c r="H582" i="9"/>
  <c r="H581" i="9"/>
  <c r="H580" i="9"/>
  <c r="H579" i="9"/>
  <c r="H578" i="9"/>
  <c r="H577" i="9"/>
  <c r="H576" i="9"/>
  <c r="H575" i="9"/>
  <c r="H574" i="9"/>
  <c r="H573" i="9"/>
  <c r="H572" i="9"/>
  <c r="H571" i="9"/>
  <c r="H570" i="9"/>
  <c r="H569" i="9"/>
  <c r="H568" i="9"/>
  <c r="H567" i="9"/>
  <c r="H566" i="9"/>
  <c r="H565" i="9"/>
  <c r="H564" i="9"/>
  <c r="H563" i="9"/>
  <c r="H562" i="9"/>
  <c r="H561" i="9"/>
  <c r="H560" i="9"/>
  <c r="H559" i="9"/>
  <c r="H558" i="9"/>
  <c r="H557" i="9"/>
  <c r="H556" i="9"/>
  <c r="H555" i="9"/>
  <c r="H554" i="9"/>
  <c r="H553" i="9"/>
  <c r="H552" i="9"/>
  <c r="H551" i="9"/>
  <c r="H550" i="9"/>
  <c r="H549" i="9"/>
  <c r="H548" i="9"/>
  <c r="H547" i="9"/>
  <c r="H546" i="9"/>
  <c r="H545" i="9"/>
  <c r="H544" i="9"/>
  <c r="H543" i="9"/>
  <c r="H542" i="9"/>
  <c r="H541" i="9"/>
  <c r="H540" i="9"/>
  <c r="H539" i="9"/>
  <c r="H538" i="9"/>
  <c r="H537" i="9"/>
  <c r="H536" i="9"/>
  <c r="H535" i="9"/>
  <c r="H534" i="9"/>
  <c r="H533" i="9"/>
  <c r="H532" i="9"/>
  <c r="H531" i="9"/>
  <c r="H530" i="9"/>
  <c r="H529" i="9"/>
  <c r="H528" i="9"/>
  <c r="H527" i="9"/>
  <c r="H526" i="9"/>
  <c r="H525" i="9"/>
  <c r="H524" i="9"/>
  <c r="H523" i="9"/>
  <c r="H522" i="9"/>
  <c r="H521" i="9"/>
  <c r="H520" i="9"/>
  <c r="H519" i="9"/>
  <c r="H518" i="9"/>
  <c r="H517" i="9"/>
  <c r="H516" i="9"/>
  <c r="H515" i="9"/>
  <c r="H514" i="9"/>
  <c r="H513" i="9"/>
  <c r="H512" i="9"/>
  <c r="H511" i="9"/>
  <c r="H510" i="9"/>
  <c r="H509" i="9"/>
  <c r="H508" i="9"/>
  <c r="H507" i="9"/>
  <c r="H506" i="9"/>
  <c r="H505" i="9"/>
  <c r="H504" i="9"/>
  <c r="H503" i="9"/>
  <c r="H502" i="9"/>
  <c r="H501" i="9"/>
  <c r="H500" i="9"/>
  <c r="H499" i="9"/>
  <c r="H498" i="9"/>
  <c r="H497" i="9"/>
  <c r="H496" i="9"/>
  <c r="H495" i="9"/>
  <c r="H494" i="9"/>
  <c r="H493" i="9"/>
  <c r="H492" i="9"/>
  <c r="H491" i="9"/>
  <c r="H490" i="9"/>
  <c r="H489" i="9"/>
  <c r="H488" i="9"/>
  <c r="H487" i="9"/>
  <c r="H486" i="9"/>
  <c r="H485" i="9"/>
  <c r="H484" i="9"/>
  <c r="H483" i="9"/>
  <c r="H482" i="9"/>
  <c r="H481" i="9"/>
  <c r="H480" i="9"/>
  <c r="H479" i="9"/>
  <c r="H478" i="9"/>
  <c r="H477" i="9"/>
  <c r="H476" i="9"/>
  <c r="H475" i="9"/>
  <c r="H474" i="9"/>
  <c r="H473" i="9"/>
  <c r="H472" i="9"/>
  <c r="H471" i="9"/>
  <c r="H470" i="9"/>
  <c r="H469" i="9"/>
  <c r="H468" i="9"/>
  <c r="H467" i="9"/>
  <c r="H466" i="9"/>
  <c r="H465" i="9"/>
  <c r="H464" i="9"/>
  <c r="H463" i="9"/>
  <c r="H462" i="9"/>
  <c r="H461" i="9"/>
  <c r="H460" i="9"/>
  <c r="H459" i="9"/>
  <c r="H458" i="9"/>
  <c r="H457" i="9"/>
  <c r="H456" i="9"/>
  <c r="H455" i="9"/>
  <c r="H454" i="9"/>
  <c r="H453" i="9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S7" i="2" a="1"/>
  <c r="S7" i="2" s="1"/>
  <c r="G1" i="9"/>
  <c r="D7" i="12" l="1"/>
  <c r="K6" i="12"/>
  <c r="V7" i="12"/>
  <c r="F10" i="12"/>
  <c r="P7" i="12"/>
  <c r="W6" i="12"/>
  <c r="Q9" i="12"/>
  <c r="I8" i="12"/>
  <c r="I29" i="11"/>
  <c r="I9" i="12"/>
  <c r="N12" i="12"/>
  <c r="O7" i="12"/>
  <c r="N11" i="12"/>
  <c r="S10" i="12"/>
  <c r="K12" i="12"/>
  <c r="G10" i="12"/>
  <c r="L12" i="12"/>
  <c r="Q6" i="12"/>
  <c r="Q17" i="11"/>
  <c r="R8" i="12"/>
  <c r="M9" i="12"/>
  <c r="M30" i="11"/>
  <c r="W10" i="12"/>
  <c r="H8" i="12"/>
  <c r="W8" i="12"/>
  <c r="W29" i="11"/>
  <c r="O9" i="12"/>
  <c r="O30" i="11"/>
  <c r="H10" i="12"/>
  <c r="D11" i="12"/>
  <c r="R11" i="12"/>
  <c r="M12" i="12"/>
  <c r="D8" i="12"/>
  <c r="L7" i="12"/>
  <c r="J12" i="12"/>
  <c r="P11" i="12"/>
  <c r="V8" i="12"/>
  <c r="R6" i="12"/>
  <c r="F8" i="12"/>
  <c r="G8" i="12"/>
  <c r="J6" i="12"/>
  <c r="E11" i="12"/>
  <c r="E9" i="12"/>
  <c r="J10" i="12"/>
  <c r="F11" i="12"/>
  <c r="V11" i="12"/>
  <c r="K7" i="12"/>
  <c r="K18" i="11"/>
  <c r="L9" i="12"/>
  <c r="S8" i="12"/>
  <c r="N9" i="12"/>
  <c r="N20" i="11"/>
  <c r="S11" i="12"/>
  <c r="F9" i="12"/>
  <c r="F20" i="11"/>
  <c r="F30" i="11"/>
  <c r="K10" i="12"/>
  <c r="G11" i="12"/>
  <c r="W11" i="12"/>
  <c r="W32" i="11"/>
  <c r="O12" i="12"/>
  <c r="O33" i="11"/>
  <c r="E6" i="12"/>
  <c r="E8" i="12"/>
  <c r="M7" i="12"/>
  <c r="N7" i="12"/>
  <c r="Q11" i="12"/>
  <c r="P9" i="12"/>
  <c r="I10" i="12"/>
  <c r="J8" i="12"/>
  <c r="J19" i="11"/>
  <c r="E7" i="12"/>
  <c r="Q7" i="12"/>
  <c r="Q28" i="11"/>
  <c r="K8" i="12"/>
  <c r="R9" i="12"/>
  <c r="L10" i="12"/>
  <c r="L31" i="11"/>
  <c r="H11" i="12"/>
  <c r="P12" i="12"/>
  <c r="I12" i="12"/>
  <c r="G6" i="12"/>
  <c r="V6" i="12"/>
  <c r="I6" i="12"/>
  <c r="I17" i="11"/>
  <c r="D9" i="12"/>
  <c r="L6" i="12"/>
  <c r="F7" i="12"/>
  <c r="F28" i="11"/>
  <c r="F18" i="11"/>
  <c r="R7" i="12"/>
  <c r="L8" i="12"/>
  <c r="L29" i="11"/>
  <c r="G9" i="12"/>
  <c r="S9" i="12"/>
  <c r="M10" i="12"/>
  <c r="M31" i="11"/>
  <c r="I11" i="12"/>
  <c r="D12" i="12"/>
  <c r="Q12" i="12"/>
  <c r="R10" i="12"/>
  <c r="O11" i="12"/>
  <c r="H6" i="12"/>
  <c r="H17" i="11"/>
  <c r="G7" i="12"/>
  <c r="S7" i="12"/>
  <c r="M8" i="12"/>
  <c r="M19" i="11"/>
  <c r="H9" i="12"/>
  <c r="V9" i="12"/>
  <c r="V30" i="11"/>
  <c r="N10" i="12"/>
  <c r="J11" i="12"/>
  <c r="E12" i="12"/>
  <c r="R12" i="12"/>
  <c r="Q8" i="12"/>
  <c r="V10" i="12"/>
  <c r="N6" i="12"/>
  <c r="N8" i="12"/>
  <c r="W9" i="12"/>
  <c r="O10" i="12"/>
  <c r="K11" i="12"/>
  <c r="F12" i="12"/>
  <c r="F33" i="11"/>
  <c r="S12" i="12"/>
  <c r="F6" i="12"/>
  <c r="F27" i="11"/>
  <c r="S6" i="12"/>
  <c r="M6" i="12"/>
  <c r="H7" i="12"/>
  <c r="H28" i="11"/>
  <c r="O6" i="12"/>
  <c r="O27" i="11"/>
  <c r="I7" i="12"/>
  <c r="O8" i="12"/>
  <c r="D10" i="12"/>
  <c r="P10" i="12"/>
  <c r="L11" i="12"/>
  <c r="G12" i="12"/>
  <c r="V12" i="12"/>
  <c r="K9" i="12"/>
  <c r="K20" i="11"/>
  <c r="E10" i="12"/>
  <c r="D13" i="11"/>
  <c r="D6" i="12"/>
  <c r="P6" i="12"/>
  <c r="J7" i="12"/>
  <c r="W7" i="12"/>
  <c r="P8" i="12"/>
  <c r="J9" i="12"/>
  <c r="Q10" i="12"/>
  <c r="M11" i="12"/>
  <c r="H12" i="12"/>
  <c r="W12" i="12"/>
  <c r="W33" i="11"/>
  <c r="I13" i="10"/>
  <c r="M13" i="10"/>
  <c r="Y12" i="10" a="1"/>
  <c r="Y12" i="10" s="1"/>
  <c r="Y10" i="10" a="1"/>
  <c r="Y10" i="10" s="1"/>
  <c r="Y11" i="10" a="1"/>
  <c r="Y11" i="10" s="1"/>
  <c r="Y9" i="10" a="1"/>
  <c r="Y9" i="10" s="1"/>
  <c r="Y7" i="10" a="1"/>
  <c r="Y7" i="10" s="1"/>
  <c r="Y8" i="10" a="1"/>
  <c r="Y8" i="10" s="1"/>
  <c r="Y6" i="10" a="1"/>
  <c r="Y6" i="10" s="1"/>
  <c r="Z2" i="10"/>
  <c r="D13" i="10"/>
  <c r="R13" i="10"/>
  <c r="O13" i="10"/>
  <c r="E13" i="10"/>
  <c r="T6" i="10"/>
  <c r="S13" i="10"/>
  <c r="K13" i="10"/>
  <c r="G13" i="10"/>
  <c r="J13" i="10"/>
  <c r="N13" i="10"/>
  <c r="T7" i="10"/>
  <c r="AN11" i="10" a="1"/>
  <c r="AN11" i="10" s="1"/>
  <c r="AN12" i="10" a="1"/>
  <c r="AN12" i="10" s="1"/>
  <c r="AN9" i="10" a="1"/>
  <c r="AN9" i="10" s="1"/>
  <c r="AN8" i="10" a="1"/>
  <c r="AN8" i="10" s="1"/>
  <c r="AN10" i="10" a="1"/>
  <c r="AN10" i="10" s="1"/>
  <c r="AN7" i="10" a="1"/>
  <c r="AN7" i="10" s="1"/>
  <c r="H13" i="10"/>
  <c r="Q13" i="10"/>
  <c r="AO2" i="10"/>
  <c r="X12" i="10" a="1"/>
  <c r="X12" i="10" s="1"/>
  <c r="X10" i="10" a="1"/>
  <c r="X10" i="10" s="1"/>
  <c r="X9" i="10" a="1"/>
  <c r="X9" i="10" s="1"/>
  <c r="X6" i="10" a="1"/>
  <c r="X6" i="10" s="1"/>
  <c r="X11" i="10" a="1"/>
  <c r="X11" i="10" s="1"/>
  <c r="X8" i="10" a="1"/>
  <c r="X8" i="10" s="1"/>
  <c r="W13" i="10"/>
  <c r="T8" i="10"/>
  <c r="L13" i="10"/>
  <c r="F13" i="10"/>
  <c r="P13" i="10"/>
  <c r="X7" i="10" a="1"/>
  <c r="X7" i="10" s="1"/>
  <c r="BF2" i="10"/>
  <c r="AN6" i="10" a="1"/>
  <c r="AN6" i="10" s="1"/>
  <c r="T10" i="10"/>
  <c r="T11" i="10"/>
  <c r="T9" i="10"/>
  <c r="T12" i="10"/>
  <c r="L13" i="11"/>
  <c r="L32" i="11" s="1"/>
  <c r="P13" i="11"/>
  <c r="P31" i="11" s="1"/>
  <c r="F13" i="11"/>
  <c r="F31" i="11" s="1"/>
  <c r="O13" i="11"/>
  <c r="AA11" i="11" a="1"/>
  <c r="AA11" i="11" s="1"/>
  <c r="AA12" i="11" a="1"/>
  <c r="AA12" i="11" s="1"/>
  <c r="AA10" i="11" a="1"/>
  <c r="AA10" i="11" s="1"/>
  <c r="AA8" i="11" a="1"/>
  <c r="AA8" i="11" s="1"/>
  <c r="AA9" i="11" a="1"/>
  <c r="AA9" i="11" s="1"/>
  <c r="AA7" i="11" a="1"/>
  <c r="AA7" i="11" s="1"/>
  <c r="AA6" i="11" a="1"/>
  <c r="AA6" i="11" s="1"/>
  <c r="AB12" i="11" a="1"/>
  <c r="AB12" i="11" s="1"/>
  <c r="AB11" i="11" a="1"/>
  <c r="AB11" i="11" s="1"/>
  <c r="AB9" i="11" a="1"/>
  <c r="AB9" i="11" s="1"/>
  <c r="AB8" i="11" a="1"/>
  <c r="AB8" i="11" s="1"/>
  <c r="AB10" i="11" a="1"/>
  <c r="AB10" i="11" s="1"/>
  <c r="AB7" i="11" a="1"/>
  <c r="AB7" i="11" s="1"/>
  <c r="AB6" i="11" a="1"/>
  <c r="AB6" i="11" s="1"/>
  <c r="AC2" i="11"/>
  <c r="AN12" i="11" a="1"/>
  <c r="AN12" i="11" s="1"/>
  <c r="AN11" i="11" a="1"/>
  <c r="AN11" i="11" s="1"/>
  <c r="AN10" i="11" a="1"/>
  <c r="AN10" i="11" s="1"/>
  <c r="AN8" i="11" a="1"/>
  <c r="AN8" i="11" s="1"/>
  <c r="AN7" i="11" a="1"/>
  <c r="AN7" i="11" s="1"/>
  <c r="AN6" i="11" a="1"/>
  <c r="AN6" i="11" s="1"/>
  <c r="AN9" i="11" a="1"/>
  <c r="AN9" i="11" s="1"/>
  <c r="AO2" i="11"/>
  <c r="BF2" i="11"/>
  <c r="N13" i="11"/>
  <c r="N28" i="11" s="1"/>
  <c r="E13" i="11"/>
  <c r="E33" i="11" s="1"/>
  <c r="T6" i="11"/>
  <c r="O17" i="11" s="1"/>
  <c r="H13" i="11"/>
  <c r="H32" i="11" s="1"/>
  <c r="I13" i="11"/>
  <c r="I27" i="11" s="1"/>
  <c r="M13" i="11"/>
  <c r="G13" i="11"/>
  <c r="T7" i="11"/>
  <c r="I18" i="11" s="1"/>
  <c r="V13" i="11"/>
  <c r="V31" i="11" s="1"/>
  <c r="Z12" i="11" a="1"/>
  <c r="Z12" i="11" s="1"/>
  <c r="Z11" i="11" a="1"/>
  <c r="Z11" i="11" s="1"/>
  <c r="Z10" i="11" a="1"/>
  <c r="Z10" i="11" s="1"/>
  <c r="Z8" i="11" a="1"/>
  <c r="Z8" i="11" s="1"/>
  <c r="Z7" i="11" a="1"/>
  <c r="Z7" i="11" s="1"/>
  <c r="Z9" i="11" a="1"/>
  <c r="Z9" i="11" s="1"/>
  <c r="Z6" i="11" a="1"/>
  <c r="Z6" i="11" s="1"/>
  <c r="K13" i="11"/>
  <c r="K33" i="11" s="1"/>
  <c r="W13" i="11"/>
  <c r="W30" i="11" s="1"/>
  <c r="S13" i="11"/>
  <c r="Y10" i="11" a="1"/>
  <c r="Y10" i="11" s="1"/>
  <c r="Y12" i="11" a="1"/>
  <c r="Y12" i="11" s="1"/>
  <c r="Y11" i="11" a="1"/>
  <c r="Y11" i="11" s="1"/>
  <c r="Y8" i="11" a="1"/>
  <c r="Y8" i="11" s="1"/>
  <c r="Y9" i="11" a="1"/>
  <c r="Y9" i="11" s="1"/>
  <c r="Y7" i="11" a="1"/>
  <c r="Y7" i="11" s="1"/>
  <c r="Y6" i="11" a="1"/>
  <c r="Y6" i="11" s="1"/>
  <c r="T8" i="11"/>
  <c r="H19" i="11" s="1"/>
  <c r="X11" i="11" a="1"/>
  <c r="X11" i="11" s="1"/>
  <c r="X9" i="11" a="1"/>
  <c r="X9" i="11" s="1"/>
  <c r="X12" i="11" a="1"/>
  <c r="X12" i="11" s="1"/>
  <c r="X10" i="11" a="1"/>
  <c r="X10" i="11" s="1"/>
  <c r="X7" i="11" a="1"/>
  <c r="X7" i="11" s="1"/>
  <c r="Q13" i="11"/>
  <c r="Q32" i="11" s="1"/>
  <c r="T9" i="11"/>
  <c r="I20" i="11" s="1"/>
  <c r="X8" i="11" a="1"/>
  <c r="X8" i="11" s="1"/>
  <c r="X6" i="11" a="1"/>
  <c r="X6" i="11" s="1"/>
  <c r="J13" i="11"/>
  <c r="J31" i="11" s="1"/>
  <c r="R13" i="11"/>
  <c r="R33" i="11" s="1"/>
  <c r="T11" i="11"/>
  <c r="S22" i="11" s="1"/>
  <c r="T12" i="11"/>
  <c r="O23" i="11" s="1"/>
  <c r="T10" i="11"/>
  <c r="R21" i="11" s="1"/>
  <c r="BX12" i="2" a="1"/>
  <c r="BX12" i="2" s="1"/>
  <c r="BX11" i="2" a="1"/>
  <c r="BX11" i="2" s="1"/>
  <c r="BX10" i="2" a="1"/>
  <c r="BX10" i="2" s="1"/>
  <c r="BX9" i="2" a="1"/>
  <c r="BX9" i="2" s="1"/>
  <c r="BX8" i="2" a="1"/>
  <c r="BX8" i="2" s="1"/>
  <c r="BX7" i="2" a="1"/>
  <c r="BX7" i="2" s="1"/>
  <c r="BX6" i="2" a="1"/>
  <c r="BX6" i="2" s="1"/>
  <c r="CP2" i="2"/>
  <c r="BY2" i="2"/>
  <c r="BF7" i="2" a="1"/>
  <c r="BF7" i="2" s="1"/>
  <c r="BF8" i="2" a="1"/>
  <c r="BF8" i="2" s="1"/>
  <c r="BG2" i="2"/>
  <c r="BF6" i="2" a="1"/>
  <c r="BF6" i="2" s="1"/>
  <c r="BF13" i="2" s="1"/>
  <c r="BF12" i="2" a="1"/>
  <c r="BF12" i="2" s="1"/>
  <c r="AO2" i="2"/>
  <c r="AN7" i="2" a="1"/>
  <c r="AN7" i="2" s="1"/>
  <c r="AN13" i="2" s="1"/>
  <c r="AN10" i="2" a="1"/>
  <c r="AN10" i="2" s="1"/>
  <c r="AN11" i="2" a="1"/>
  <c r="AN11" i="2" s="1"/>
  <c r="AN8" i="2" a="1"/>
  <c r="AN8" i="2" s="1"/>
  <c r="AN9" i="2" a="1"/>
  <c r="AN9" i="2" s="1"/>
  <c r="AN12" i="2" a="1"/>
  <c r="AN12" i="2" s="1"/>
  <c r="V13" i="2"/>
  <c r="D13" i="2"/>
  <c r="X8" i="12" l="1"/>
  <c r="Y10" i="12"/>
  <c r="M34" i="11"/>
  <c r="AA12" i="12"/>
  <c r="P29" i="11"/>
  <c r="D34" i="11"/>
  <c r="F13" i="12"/>
  <c r="F27" i="12" s="1"/>
  <c r="F17" i="12"/>
  <c r="R23" i="11"/>
  <c r="H27" i="11"/>
  <c r="I22" i="11"/>
  <c r="L29" i="12"/>
  <c r="H22" i="11"/>
  <c r="F30" i="12"/>
  <c r="K28" i="11"/>
  <c r="E22" i="11"/>
  <c r="R13" i="12"/>
  <c r="R27" i="12"/>
  <c r="R17" i="12"/>
  <c r="D29" i="11"/>
  <c r="O20" i="11"/>
  <c r="M30" i="12"/>
  <c r="M20" i="12"/>
  <c r="AA10" i="12"/>
  <c r="P19" i="11"/>
  <c r="D13" i="12"/>
  <c r="D17" i="12"/>
  <c r="D27" i="12"/>
  <c r="L22" i="11"/>
  <c r="I28" i="12"/>
  <c r="Q29" i="12"/>
  <c r="Q22" i="11"/>
  <c r="T6" i="12"/>
  <c r="E13" i="12"/>
  <c r="E30" i="12" s="1"/>
  <c r="E17" i="12"/>
  <c r="E27" i="12"/>
  <c r="T9" i="12"/>
  <c r="E20" i="12"/>
  <c r="R27" i="11"/>
  <c r="D19" i="11"/>
  <c r="K23" i="11"/>
  <c r="P28" i="11"/>
  <c r="T20" i="11"/>
  <c r="AN12" i="12"/>
  <c r="Q34" i="11"/>
  <c r="Q24" i="11"/>
  <c r="S34" i="11"/>
  <c r="I34" i="11"/>
  <c r="AA11" i="12"/>
  <c r="H23" i="11"/>
  <c r="E21" i="11"/>
  <c r="L22" i="12"/>
  <c r="S23" i="11"/>
  <c r="W30" i="12"/>
  <c r="H20" i="11"/>
  <c r="H13" i="12"/>
  <c r="H34" i="12" s="1"/>
  <c r="H17" i="12"/>
  <c r="H27" i="12"/>
  <c r="I32" i="11"/>
  <c r="R18" i="11"/>
  <c r="I13" i="12"/>
  <c r="I27" i="12" s="1"/>
  <c r="I17" i="12"/>
  <c r="E18" i="11"/>
  <c r="Q32" i="12"/>
  <c r="Q22" i="12"/>
  <c r="E32" i="11"/>
  <c r="R19" i="11"/>
  <c r="I30" i="11"/>
  <c r="F21" i="11"/>
  <c r="X12" i="12"/>
  <c r="T33" i="11"/>
  <c r="T23" i="11"/>
  <c r="T22" i="11"/>
  <c r="R34" i="11"/>
  <c r="AN11" i="12"/>
  <c r="X7" i="12"/>
  <c r="W34" i="11"/>
  <c r="H34" i="11"/>
  <c r="AB6" i="12"/>
  <c r="O34" i="11"/>
  <c r="H33" i="11"/>
  <c r="E31" i="11"/>
  <c r="P21" i="11"/>
  <c r="O13" i="12"/>
  <c r="O27" i="12" s="1"/>
  <c r="O17" i="12"/>
  <c r="S33" i="11"/>
  <c r="N19" i="11"/>
  <c r="H30" i="11"/>
  <c r="O22" i="11"/>
  <c r="I22" i="12"/>
  <c r="R28" i="11"/>
  <c r="H22" i="12"/>
  <c r="H32" i="12"/>
  <c r="E28" i="11"/>
  <c r="N18" i="11"/>
  <c r="O33" i="12"/>
  <c r="S32" i="11"/>
  <c r="T11" i="12"/>
  <c r="E32" i="12"/>
  <c r="E22" i="12"/>
  <c r="V29" i="11"/>
  <c r="M23" i="11"/>
  <c r="O20" i="12"/>
  <c r="R29" i="11"/>
  <c r="S21" i="11"/>
  <c r="I20" i="12"/>
  <c r="I30" i="12"/>
  <c r="Y12" i="12"/>
  <c r="Y33" i="11"/>
  <c r="G34" i="11"/>
  <c r="X10" i="12"/>
  <c r="K34" i="11"/>
  <c r="T17" i="11"/>
  <c r="AB7" i="12"/>
  <c r="F24" i="11"/>
  <c r="F34" i="11"/>
  <c r="W28" i="11"/>
  <c r="T10" i="12"/>
  <c r="E21" i="12"/>
  <c r="E31" i="12"/>
  <c r="H18" i="11"/>
  <c r="N29" i="11"/>
  <c r="E23" i="11"/>
  <c r="H20" i="12"/>
  <c r="H30" i="12"/>
  <c r="O32" i="11"/>
  <c r="M21" i="11"/>
  <c r="R18" i="12"/>
  <c r="R28" i="12"/>
  <c r="V27" i="11"/>
  <c r="L21" i="11"/>
  <c r="T7" i="12"/>
  <c r="E18" i="12" s="1"/>
  <c r="E28" i="12"/>
  <c r="S22" i="12"/>
  <c r="V32" i="11"/>
  <c r="J17" i="11"/>
  <c r="V29" i="12"/>
  <c r="M33" i="11"/>
  <c r="R29" i="12"/>
  <c r="S31" i="11"/>
  <c r="I19" i="11"/>
  <c r="F21" i="12"/>
  <c r="F31" i="12"/>
  <c r="AB10" i="12"/>
  <c r="P34" i="11"/>
  <c r="M22" i="11"/>
  <c r="W28" i="12"/>
  <c r="P21" i="12"/>
  <c r="F23" i="11"/>
  <c r="O22" i="12"/>
  <c r="O32" i="12"/>
  <c r="V13" i="12"/>
  <c r="V27" i="12" s="1"/>
  <c r="N18" i="12"/>
  <c r="N28" i="12"/>
  <c r="J27" i="11"/>
  <c r="P22" i="11"/>
  <c r="S21" i="12"/>
  <c r="Z9" i="12"/>
  <c r="N34" i="11"/>
  <c r="N24" i="11"/>
  <c r="AB8" i="12"/>
  <c r="L34" i="11"/>
  <c r="M32" i="11"/>
  <c r="J18" i="11"/>
  <c r="K30" i="11"/>
  <c r="D21" i="11"/>
  <c r="H28" i="12"/>
  <c r="H18" i="12"/>
  <c r="N17" i="11"/>
  <c r="T12" i="12"/>
  <c r="E33" i="12"/>
  <c r="E23" i="12"/>
  <c r="M29" i="11"/>
  <c r="M21" i="12"/>
  <c r="G17" i="11"/>
  <c r="L21" i="12"/>
  <c r="J29" i="11"/>
  <c r="M18" i="11"/>
  <c r="N30" i="11"/>
  <c r="F22" i="11"/>
  <c r="J13" i="12"/>
  <c r="J28" i="12" s="1"/>
  <c r="J17" i="12"/>
  <c r="P32" i="11"/>
  <c r="R22" i="11"/>
  <c r="Q27" i="11"/>
  <c r="N22" i="11"/>
  <c r="I29" i="12"/>
  <c r="V28" i="11"/>
  <c r="Z6" i="12"/>
  <c r="Z27" i="11"/>
  <c r="E34" i="11"/>
  <c r="X11" i="12"/>
  <c r="Z7" i="12"/>
  <c r="AB9" i="12"/>
  <c r="M32" i="12"/>
  <c r="M22" i="12"/>
  <c r="J28" i="11"/>
  <c r="K20" i="12"/>
  <c r="D31" i="11"/>
  <c r="M17" i="11"/>
  <c r="F33" i="12"/>
  <c r="N27" i="11"/>
  <c r="J22" i="11"/>
  <c r="R31" i="11"/>
  <c r="S20" i="11"/>
  <c r="F28" i="12"/>
  <c r="G27" i="11"/>
  <c r="R20" i="11"/>
  <c r="M28" i="11"/>
  <c r="G22" i="11"/>
  <c r="N20" i="12"/>
  <c r="F32" i="11"/>
  <c r="G19" i="11"/>
  <c r="P22" i="12"/>
  <c r="P32" i="12"/>
  <c r="R32" i="11"/>
  <c r="Q13" i="12"/>
  <c r="Q28" i="12" s="1"/>
  <c r="Q27" i="12"/>
  <c r="Q17" i="12"/>
  <c r="N32" i="11"/>
  <c r="Q20" i="11"/>
  <c r="X9" i="12"/>
  <c r="T21" i="11"/>
  <c r="T29" i="11"/>
  <c r="T19" i="11"/>
  <c r="Z8" i="12"/>
  <c r="AB11" i="12"/>
  <c r="Q21" i="11"/>
  <c r="J18" i="12"/>
  <c r="D21" i="12"/>
  <c r="D31" i="12"/>
  <c r="M27" i="11"/>
  <c r="K22" i="11"/>
  <c r="N13" i="12"/>
  <c r="N30" i="12" s="1"/>
  <c r="N27" i="12"/>
  <c r="N17" i="12"/>
  <c r="J32" i="11"/>
  <c r="S18" i="11"/>
  <c r="R21" i="12"/>
  <c r="R31" i="12"/>
  <c r="S30" i="11"/>
  <c r="L17" i="11"/>
  <c r="G13" i="12"/>
  <c r="G27" i="12"/>
  <c r="G17" i="12"/>
  <c r="R30" i="11"/>
  <c r="I21" i="11"/>
  <c r="M28" i="12"/>
  <c r="M18" i="12"/>
  <c r="G32" i="11"/>
  <c r="S19" i="11"/>
  <c r="F32" i="12"/>
  <c r="F22" i="12"/>
  <c r="G29" i="11"/>
  <c r="J23" i="11"/>
  <c r="R32" i="12"/>
  <c r="R22" i="12"/>
  <c r="H29" i="11"/>
  <c r="L23" i="11"/>
  <c r="N22" i="12"/>
  <c r="Q30" i="11"/>
  <c r="K17" i="11"/>
  <c r="Y6" i="12"/>
  <c r="Z10" i="12"/>
  <c r="AN9" i="12"/>
  <c r="AB12" i="12"/>
  <c r="Q31" i="11"/>
  <c r="P17" i="11"/>
  <c r="V33" i="11"/>
  <c r="O19" i="11"/>
  <c r="M13" i="12"/>
  <c r="M33" i="12" s="1"/>
  <c r="M17" i="12"/>
  <c r="M27" i="12"/>
  <c r="K32" i="11"/>
  <c r="J22" i="12"/>
  <c r="S28" i="11"/>
  <c r="Q23" i="11"/>
  <c r="S20" i="12"/>
  <c r="S30" i="12"/>
  <c r="L27" i="11"/>
  <c r="I23" i="11"/>
  <c r="R30" i="12"/>
  <c r="R20" i="12"/>
  <c r="I31" i="11"/>
  <c r="E19" i="11"/>
  <c r="G22" i="12"/>
  <c r="S29" i="11"/>
  <c r="J21" i="11"/>
  <c r="G29" i="12"/>
  <c r="J33" i="11"/>
  <c r="D22" i="11"/>
  <c r="H29" i="12"/>
  <c r="L33" i="11"/>
  <c r="O18" i="11"/>
  <c r="Q20" i="12"/>
  <c r="Q30" i="12"/>
  <c r="K27" i="11"/>
  <c r="Y7" i="12"/>
  <c r="Z11" i="12"/>
  <c r="AN6" i="12"/>
  <c r="AN27" i="11"/>
  <c r="AA6" i="12"/>
  <c r="Q31" i="12"/>
  <c r="Q21" i="12"/>
  <c r="P27" i="11"/>
  <c r="V33" i="12"/>
  <c r="O29" i="11"/>
  <c r="S17" i="11"/>
  <c r="K22" i="12"/>
  <c r="N21" i="11"/>
  <c r="S18" i="12"/>
  <c r="Q33" i="11"/>
  <c r="G20" i="11"/>
  <c r="L13" i="12"/>
  <c r="L31" i="12" s="1"/>
  <c r="L17" i="12"/>
  <c r="I33" i="11"/>
  <c r="K19" i="11"/>
  <c r="I31" i="12"/>
  <c r="I21" i="12"/>
  <c r="E29" i="11"/>
  <c r="K21" i="11"/>
  <c r="S29" i="12"/>
  <c r="F19" i="11"/>
  <c r="D32" i="11"/>
  <c r="W31" i="11"/>
  <c r="O28" i="11"/>
  <c r="K13" i="12"/>
  <c r="K32" i="12" s="1"/>
  <c r="K17" i="12"/>
  <c r="Z12" i="12"/>
  <c r="Z33" i="11"/>
  <c r="AN7" i="12"/>
  <c r="AA7" i="12"/>
  <c r="J20" i="11"/>
  <c r="P13" i="12"/>
  <c r="P29" i="12" s="1"/>
  <c r="P27" i="12"/>
  <c r="P17" i="12"/>
  <c r="G23" i="11"/>
  <c r="O29" i="12"/>
  <c r="S27" i="11"/>
  <c r="O21" i="11"/>
  <c r="V31" i="12"/>
  <c r="N31" i="11"/>
  <c r="G18" i="11"/>
  <c r="Q33" i="12"/>
  <c r="G30" i="11"/>
  <c r="D20" i="11"/>
  <c r="I33" i="12"/>
  <c r="K29" i="11"/>
  <c r="P20" i="11"/>
  <c r="T8" i="12"/>
  <c r="D19" i="12" s="1"/>
  <c r="E29" i="12"/>
  <c r="K31" i="11"/>
  <c r="L20" i="11"/>
  <c r="J21" i="12"/>
  <c r="F29" i="11"/>
  <c r="L18" i="11"/>
  <c r="D22" i="12"/>
  <c r="D32" i="12"/>
  <c r="G21" i="11"/>
  <c r="O28" i="12"/>
  <c r="O18" i="12"/>
  <c r="W27" i="11"/>
  <c r="D18" i="11"/>
  <c r="Y9" i="12"/>
  <c r="J34" i="11"/>
  <c r="Y8" i="12"/>
  <c r="V34" i="11"/>
  <c r="AN8" i="12"/>
  <c r="AN29" i="11"/>
  <c r="AA9" i="12"/>
  <c r="J30" i="11"/>
  <c r="D17" i="11"/>
  <c r="G33" i="11"/>
  <c r="S13" i="12"/>
  <c r="S32" i="12" s="1"/>
  <c r="S27" i="12"/>
  <c r="S17" i="12"/>
  <c r="O31" i="11"/>
  <c r="Q19" i="11"/>
  <c r="N31" i="12"/>
  <c r="N21" i="12"/>
  <c r="G28" i="11"/>
  <c r="D23" i="11"/>
  <c r="G30" i="12"/>
  <c r="G20" i="12"/>
  <c r="D30" i="11"/>
  <c r="P33" i="11"/>
  <c r="K29" i="12"/>
  <c r="P30" i="11"/>
  <c r="E17" i="11"/>
  <c r="K21" i="12"/>
  <c r="K31" i="12"/>
  <c r="L30" i="11"/>
  <c r="E30" i="11"/>
  <c r="F29" i="12"/>
  <c r="L28" i="11"/>
  <c r="H21" i="11"/>
  <c r="W31" i="12"/>
  <c r="G31" i="11"/>
  <c r="N23" i="11"/>
  <c r="W13" i="12"/>
  <c r="W27" i="12" s="1"/>
  <c r="D28" i="11"/>
  <c r="X6" i="12"/>
  <c r="Y11" i="12"/>
  <c r="T28" i="11"/>
  <c r="T18" i="11"/>
  <c r="AN10" i="12"/>
  <c r="AA8" i="12"/>
  <c r="J20" i="12"/>
  <c r="D27" i="11"/>
  <c r="G33" i="12"/>
  <c r="G23" i="12"/>
  <c r="I28" i="11"/>
  <c r="F17" i="11"/>
  <c r="O21" i="12"/>
  <c r="O31" i="12"/>
  <c r="Q29" i="11"/>
  <c r="G28" i="12"/>
  <c r="G18" i="12"/>
  <c r="D33" i="11"/>
  <c r="L19" i="11"/>
  <c r="D20" i="12"/>
  <c r="D30" i="12"/>
  <c r="P23" i="11"/>
  <c r="Q18" i="11"/>
  <c r="P30" i="12"/>
  <c r="P20" i="12"/>
  <c r="E27" i="11"/>
  <c r="L20" i="12"/>
  <c r="E20" i="11"/>
  <c r="R17" i="11"/>
  <c r="L28" i="12"/>
  <c r="L18" i="12"/>
  <c r="H31" i="11"/>
  <c r="M20" i="11"/>
  <c r="G21" i="12"/>
  <c r="G31" i="12"/>
  <c r="N33" i="11"/>
  <c r="P18" i="11"/>
  <c r="D18" i="12"/>
  <c r="D28" i="12"/>
  <c r="T13" i="11"/>
  <c r="T31" i="11" s="1"/>
  <c r="Z12" i="10" a="1"/>
  <c r="Z12" i="10" s="1"/>
  <c r="Z11" i="10" a="1"/>
  <c r="Z11" i="10" s="1"/>
  <c r="Z10" i="10" a="1"/>
  <c r="Z10" i="10" s="1"/>
  <c r="Z6" i="10" a="1"/>
  <c r="Z6" i="10" s="1"/>
  <c r="AA2" i="10"/>
  <c r="Z9" i="10" a="1"/>
  <c r="Z9" i="10" s="1"/>
  <c r="Z8" i="10" a="1"/>
  <c r="Z8" i="10" s="1"/>
  <c r="Z7" i="10" a="1"/>
  <c r="Z7" i="10" s="1"/>
  <c r="AC12" i="11" a="1"/>
  <c r="AC12" i="11" s="1"/>
  <c r="AC11" i="11" a="1"/>
  <c r="AC11" i="11" s="1"/>
  <c r="AC8" i="11" a="1"/>
  <c r="AC8" i="11" s="1"/>
  <c r="AD2" i="11"/>
  <c r="AC9" i="11" a="1"/>
  <c r="AC9" i="11" s="1"/>
  <c r="AC10" i="11" a="1"/>
  <c r="AC10" i="11" s="1"/>
  <c r="AC6" i="11" a="1"/>
  <c r="AC6" i="11" s="1"/>
  <c r="AC7" i="11" a="1"/>
  <c r="AC7" i="11" s="1"/>
  <c r="Y13" i="10"/>
  <c r="AB13" i="11"/>
  <c r="AO11" i="10" a="1"/>
  <c r="AO11" i="10" s="1"/>
  <c r="AO12" i="10" a="1"/>
  <c r="AO12" i="10" s="1"/>
  <c r="AO9" i="10" a="1"/>
  <c r="AO9" i="10" s="1"/>
  <c r="AN4" i="10"/>
  <c r="AO6" i="10" a="1"/>
  <c r="AO6" i="10" s="1"/>
  <c r="AO10" i="10" a="1"/>
  <c r="AO10" i="10" s="1"/>
  <c r="AO7" i="10" a="1"/>
  <c r="AO7" i="10" s="1"/>
  <c r="AO8" i="10" a="1"/>
  <c r="AO8" i="10" s="1"/>
  <c r="AP2" i="10"/>
  <c r="X13" i="11"/>
  <c r="X31" i="11" s="1"/>
  <c r="Y13" i="11"/>
  <c r="Z13" i="11"/>
  <c r="Z30" i="11" s="1"/>
  <c r="BF12" i="11" a="1"/>
  <c r="BF12" i="11" s="1"/>
  <c r="BF11" i="11" a="1"/>
  <c r="BF11" i="11" s="1"/>
  <c r="BF10" i="11" a="1"/>
  <c r="BF10" i="11" s="1"/>
  <c r="BF7" i="11" a="1"/>
  <c r="BF7" i="11" s="1"/>
  <c r="BF8" i="11" a="1"/>
  <c r="BF8" i="11" s="1"/>
  <c r="BX2" i="11"/>
  <c r="BF9" i="11" a="1"/>
  <c r="BF9" i="11" s="1"/>
  <c r="BF6" i="11" a="1"/>
  <c r="BF6" i="11" s="1"/>
  <c r="BG2" i="11"/>
  <c r="T13" i="10"/>
  <c r="AO12" i="11" a="1"/>
  <c r="AO12" i="11" s="1"/>
  <c r="AO9" i="11" a="1"/>
  <c r="AO9" i="11" s="1"/>
  <c r="AO10" i="11" a="1"/>
  <c r="AO10" i="11" s="1"/>
  <c r="AO11" i="11" a="1"/>
  <c r="AO11" i="11" s="1"/>
  <c r="AO7" i="11" a="1"/>
  <c r="AO7" i="11" s="1"/>
  <c r="AO8" i="11" a="1"/>
  <c r="AO8" i="11" s="1"/>
  <c r="AO6" i="11" a="1"/>
  <c r="AO6" i="11" s="1"/>
  <c r="AN4" i="11"/>
  <c r="AP2" i="11"/>
  <c r="AN13" i="10"/>
  <c r="BF12" i="10" a="1"/>
  <c r="BF12" i="10" s="1"/>
  <c r="BF9" i="10" a="1"/>
  <c r="BF9" i="10" s="1"/>
  <c r="BF10" i="10" a="1"/>
  <c r="BF10" i="10" s="1"/>
  <c r="BF11" i="10" a="1"/>
  <c r="BF11" i="10" s="1"/>
  <c r="BF8" i="10" a="1"/>
  <c r="BF8" i="10" s="1"/>
  <c r="BX2" i="10"/>
  <c r="BF7" i="10" a="1"/>
  <c r="BF7" i="10" s="1"/>
  <c r="BF6" i="10" a="1"/>
  <c r="BF6" i="10" s="1"/>
  <c r="BG2" i="10"/>
  <c r="AN13" i="11"/>
  <c r="AN32" i="11" s="1"/>
  <c r="AA13" i="11"/>
  <c r="AA31" i="11" s="1"/>
  <c r="X13" i="10"/>
  <c r="BG10" i="2" a="1"/>
  <c r="BG10" i="2" s="1"/>
  <c r="BG12" i="2" a="1"/>
  <c r="BG12" i="2" s="1"/>
  <c r="BG8" i="2" a="1"/>
  <c r="BG8" i="2" s="1"/>
  <c r="BG7" i="2" a="1"/>
  <c r="BG7" i="2" s="1"/>
  <c r="BG6" i="2" a="1"/>
  <c r="BG6" i="2" s="1"/>
  <c r="BH2" i="2"/>
  <c r="BG11" i="2" a="1"/>
  <c r="BG11" i="2" s="1"/>
  <c r="BF4" i="2"/>
  <c r="BG9" i="2" a="1"/>
  <c r="BG9" i="2" s="1"/>
  <c r="BY11" i="2" a="1"/>
  <c r="BY11" i="2" s="1"/>
  <c r="BY10" i="2" a="1"/>
  <c r="BY10" i="2" s="1"/>
  <c r="BY9" i="2" a="1"/>
  <c r="BY9" i="2" s="1"/>
  <c r="BY8" i="2" a="1"/>
  <c r="BY8" i="2" s="1"/>
  <c r="BY7" i="2" a="1"/>
  <c r="BY7" i="2" s="1"/>
  <c r="BY6" i="2" a="1"/>
  <c r="BY6" i="2" s="1"/>
  <c r="BX4" i="2"/>
  <c r="BZ2" i="2"/>
  <c r="BY12" i="2" a="1"/>
  <c r="BY12" i="2" s="1"/>
  <c r="CP11" i="2" a="1"/>
  <c r="CP11" i="2" s="1"/>
  <c r="CP10" i="2" a="1"/>
  <c r="CP10" i="2" s="1"/>
  <c r="CP9" i="2" a="1"/>
  <c r="CP9" i="2" s="1"/>
  <c r="CP7" i="2" a="1"/>
  <c r="CP7" i="2" s="1"/>
  <c r="CP6" i="2" a="1"/>
  <c r="CP6" i="2" s="1"/>
  <c r="CP13" i="2" s="1"/>
  <c r="DH2" i="2"/>
  <c r="CP12" i="2" a="1"/>
  <c r="CP12" i="2" s="1"/>
  <c r="CP8" i="2" a="1"/>
  <c r="CP8" i="2" s="1"/>
  <c r="CQ2" i="2"/>
  <c r="BX13" i="2"/>
  <c r="AO11" i="2" a="1"/>
  <c r="AO11" i="2" s="1"/>
  <c r="AO12" i="2" a="1"/>
  <c r="AO12" i="2" s="1"/>
  <c r="AO10" i="2" a="1"/>
  <c r="AO10" i="2" s="1"/>
  <c r="AO7" i="2" a="1"/>
  <c r="AO7" i="2" s="1"/>
  <c r="AO9" i="2" a="1"/>
  <c r="AO9" i="2" s="1"/>
  <c r="AO6" i="2" a="1"/>
  <c r="AO6" i="2" s="1"/>
  <c r="AO8" i="2" a="1"/>
  <c r="AO8" i="2" s="1"/>
  <c r="AN4" i="2"/>
  <c r="AP2" i="2"/>
  <c r="AO8" i="12" l="1"/>
  <c r="BF11" i="12"/>
  <c r="BF32" i="11"/>
  <c r="AB34" i="11"/>
  <c r="AA29" i="12"/>
  <c r="Z33" i="12"/>
  <c r="AN13" i="12"/>
  <c r="AN27" i="12" s="1"/>
  <c r="T23" i="12"/>
  <c r="P24" i="11"/>
  <c r="O23" i="12"/>
  <c r="X33" i="11"/>
  <c r="L32" i="12"/>
  <c r="W33" i="12"/>
  <c r="AO7" i="12"/>
  <c r="AO28" i="11"/>
  <c r="BF12" i="12"/>
  <c r="K27" i="12"/>
  <c r="AB33" i="11"/>
  <c r="N32" i="12"/>
  <c r="M29" i="12"/>
  <c r="AB30" i="11"/>
  <c r="AB28" i="11"/>
  <c r="I18" i="12"/>
  <c r="BF7" i="12"/>
  <c r="S19" i="12"/>
  <c r="Q19" i="12"/>
  <c r="AC7" i="12"/>
  <c r="AN31" i="11"/>
  <c r="W34" i="12"/>
  <c r="I23" i="12"/>
  <c r="Z32" i="11"/>
  <c r="G19" i="12"/>
  <c r="M19" i="12"/>
  <c r="I19" i="12"/>
  <c r="V28" i="12"/>
  <c r="V34" i="12"/>
  <c r="AB28" i="12"/>
  <c r="O34" i="12"/>
  <c r="X28" i="11"/>
  <c r="AN33" i="11"/>
  <c r="T20" i="12"/>
  <c r="AA33" i="11"/>
  <c r="AO11" i="12"/>
  <c r="Z34" i="11"/>
  <c r="AC6" i="12"/>
  <c r="AC27" i="11"/>
  <c r="AN31" i="12"/>
  <c r="K34" i="12"/>
  <c r="W32" i="12"/>
  <c r="Z30" i="12"/>
  <c r="AB31" i="11"/>
  <c r="S23" i="12"/>
  <c r="X28" i="12"/>
  <c r="I34" i="12"/>
  <c r="AN33" i="12"/>
  <c r="V30" i="12"/>
  <c r="AA33" i="12"/>
  <c r="AO10" i="12"/>
  <c r="Y34" i="11"/>
  <c r="AC10" i="12"/>
  <c r="AC31" i="11"/>
  <c r="T34" i="11"/>
  <c r="T24" i="11"/>
  <c r="L30" i="12"/>
  <c r="K19" i="12"/>
  <c r="S34" i="12"/>
  <c r="Y29" i="11"/>
  <c r="P34" i="12"/>
  <c r="P24" i="12"/>
  <c r="AN30" i="11"/>
  <c r="G34" i="12"/>
  <c r="G24" i="12"/>
  <c r="X30" i="11"/>
  <c r="Z28" i="11"/>
  <c r="S33" i="12"/>
  <c r="T27" i="11"/>
  <c r="K23" i="12"/>
  <c r="P19" i="12"/>
  <c r="R34" i="12"/>
  <c r="R24" i="12"/>
  <c r="M24" i="11"/>
  <c r="AO6" i="12"/>
  <c r="AO27" i="11"/>
  <c r="AA29" i="11"/>
  <c r="N34" i="12"/>
  <c r="AC9" i="12"/>
  <c r="Q23" i="12"/>
  <c r="Z28" i="12"/>
  <c r="S31" i="12"/>
  <c r="N19" i="12"/>
  <c r="K24" i="11"/>
  <c r="K33" i="12"/>
  <c r="T30" i="11"/>
  <c r="E34" i="12"/>
  <c r="D34" i="12"/>
  <c r="H19" i="12"/>
  <c r="J34" i="12"/>
  <c r="J24" i="12"/>
  <c r="AN29" i="12"/>
  <c r="AO12" i="12"/>
  <c r="AO33" i="11"/>
  <c r="Y29" i="12"/>
  <c r="L23" i="12"/>
  <c r="Y28" i="11"/>
  <c r="J32" i="12"/>
  <c r="AN30" i="12"/>
  <c r="J24" i="11"/>
  <c r="L33" i="12"/>
  <c r="L27" i="12"/>
  <c r="G32" i="12"/>
  <c r="F23" i="12"/>
  <c r="M23" i="12"/>
  <c r="N29" i="12"/>
  <c r="T18" i="12"/>
  <c r="O30" i="12"/>
  <c r="O24" i="11"/>
  <c r="AN32" i="12"/>
  <c r="T17" i="12"/>
  <c r="T13" i="12"/>
  <c r="T27" i="12"/>
  <c r="AC8" i="12"/>
  <c r="AC29" i="11"/>
  <c r="Y32" i="11"/>
  <c r="J31" i="12"/>
  <c r="AA28" i="11"/>
  <c r="Z31" i="11"/>
  <c r="J19" i="12"/>
  <c r="X32" i="11"/>
  <c r="W29" i="12"/>
  <c r="I32" i="12"/>
  <c r="R24" i="11"/>
  <c r="D29" i="12"/>
  <c r="AA32" i="11"/>
  <c r="N33" i="12"/>
  <c r="F34" i="12"/>
  <c r="F24" i="12"/>
  <c r="Y31" i="11"/>
  <c r="BF10" i="12"/>
  <c r="O19" i="12"/>
  <c r="Z13" i="12"/>
  <c r="Z27" i="12"/>
  <c r="L19" i="12"/>
  <c r="AN34" i="11"/>
  <c r="AC11" i="12"/>
  <c r="AC32" i="11"/>
  <c r="AA28" i="12"/>
  <c r="L34" i="12"/>
  <c r="L24" i="12"/>
  <c r="Z31" i="12"/>
  <c r="AB32" i="11"/>
  <c r="J29" i="12"/>
  <c r="X32" i="12"/>
  <c r="L24" i="11"/>
  <c r="T21" i="12"/>
  <c r="N23" i="12"/>
  <c r="P33" i="12"/>
  <c r="F20" i="12"/>
  <c r="T14" i="11"/>
  <c r="T15" i="11" s="1"/>
  <c r="Y31" i="12"/>
  <c r="T19" i="12"/>
  <c r="T29" i="12"/>
  <c r="Z29" i="12"/>
  <c r="AA34" i="11"/>
  <c r="AC12" i="12"/>
  <c r="AA30" i="11"/>
  <c r="Y30" i="11"/>
  <c r="J33" i="12"/>
  <c r="M34" i="12"/>
  <c r="M24" i="12"/>
  <c r="AB32" i="12"/>
  <c r="E24" i="11"/>
  <c r="M31" i="12"/>
  <c r="P31" i="12"/>
  <c r="AB27" i="11"/>
  <c r="I24" i="11"/>
  <c r="P23" i="12"/>
  <c r="AA31" i="12"/>
  <c r="Q18" i="12"/>
  <c r="AO9" i="12"/>
  <c r="AO30" i="11"/>
  <c r="X34" i="11"/>
  <c r="BF9" i="12"/>
  <c r="BF30" i="11"/>
  <c r="X27" i="11"/>
  <c r="F19" i="12"/>
  <c r="AA30" i="12"/>
  <c r="Y30" i="12"/>
  <c r="E19" i="12"/>
  <c r="AN28" i="11"/>
  <c r="J23" i="12"/>
  <c r="AA27" i="11"/>
  <c r="Y27" i="11"/>
  <c r="K30" i="12"/>
  <c r="J27" i="12"/>
  <c r="R19" i="12"/>
  <c r="H23" i="12"/>
  <c r="G24" i="11"/>
  <c r="R23" i="12"/>
  <c r="AB13" i="12"/>
  <c r="AB27" i="12"/>
  <c r="T32" i="11"/>
  <c r="K18" i="12"/>
  <c r="H21" i="12"/>
  <c r="D33" i="12"/>
  <c r="P18" i="12"/>
  <c r="D24" i="11"/>
  <c r="X29" i="11"/>
  <c r="BF13" i="11"/>
  <c r="BF6" i="12"/>
  <c r="BF27" i="11"/>
  <c r="BF8" i="12"/>
  <c r="BF29" i="11"/>
  <c r="J30" i="12"/>
  <c r="X13" i="12"/>
  <c r="X30" i="12" s="1"/>
  <c r="X27" i="12"/>
  <c r="AN28" i="12"/>
  <c r="S28" i="12"/>
  <c r="AA13" i="12"/>
  <c r="AA27" i="12"/>
  <c r="Y13" i="12"/>
  <c r="Y33" i="12" s="1"/>
  <c r="Y27" i="12"/>
  <c r="Z29" i="11"/>
  <c r="Q34" i="12"/>
  <c r="Q24" i="12"/>
  <c r="F18" i="12"/>
  <c r="AB29" i="11"/>
  <c r="V32" i="12"/>
  <c r="H33" i="12"/>
  <c r="T22" i="12"/>
  <c r="R33" i="12"/>
  <c r="H24" i="11"/>
  <c r="K28" i="12"/>
  <c r="S24" i="11"/>
  <c r="H31" i="12"/>
  <c r="D23" i="12"/>
  <c r="P28" i="12"/>
  <c r="BX12" i="11" a="1"/>
  <c r="BX12" i="11" s="1"/>
  <c r="BX9" i="11" a="1"/>
  <c r="BX9" i="11" s="1"/>
  <c r="BX10" i="11" a="1"/>
  <c r="BX10" i="11" s="1"/>
  <c r="BX7" i="11" a="1"/>
  <c r="BX7" i="11" s="1"/>
  <c r="BX11" i="11" a="1"/>
  <c r="BX11" i="11" s="1"/>
  <c r="CP2" i="11"/>
  <c r="BX8" i="11" a="1"/>
  <c r="BX8" i="11" s="1"/>
  <c r="BX6" i="11" a="1"/>
  <c r="BX6" i="11" s="1"/>
  <c r="BY2" i="11"/>
  <c r="AO13" i="11"/>
  <c r="BX11" i="10" a="1"/>
  <c r="BX11" i="10" s="1"/>
  <c r="BX12" i="10" a="1"/>
  <c r="BX12" i="10" s="1"/>
  <c r="BX9" i="10" a="1"/>
  <c r="BX9" i="10" s="1"/>
  <c r="BX10" i="10" a="1"/>
  <c r="BX10" i="10" s="1"/>
  <c r="BX6" i="10" a="1"/>
  <c r="BX6" i="10" s="1"/>
  <c r="BX13" i="10" s="1"/>
  <c r="BX7" i="10" a="1"/>
  <c r="BX7" i="10" s="1"/>
  <c r="BX8" i="10" a="1"/>
  <c r="BX8" i="10" s="1"/>
  <c r="BY2" i="10"/>
  <c r="CP2" i="10"/>
  <c r="AC13" i="11"/>
  <c r="AC28" i="11" s="1"/>
  <c r="BF13" i="10"/>
  <c r="AP10" i="11" a="1"/>
  <c r="AP10" i="11" s="1"/>
  <c r="AP11" i="11" a="1"/>
  <c r="AP11" i="11" s="1"/>
  <c r="AP12" i="11" a="1"/>
  <c r="AP12" i="11" s="1"/>
  <c r="AP9" i="11" a="1"/>
  <c r="AP9" i="11" s="1"/>
  <c r="AP8" i="11" a="1"/>
  <c r="AP8" i="11" s="1"/>
  <c r="AQ2" i="11"/>
  <c r="AP7" i="11" a="1"/>
  <c r="AP7" i="11" s="1"/>
  <c r="AP6" i="11" a="1"/>
  <c r="AP6" i="11" s="1"/>
  <c r="BG12" i="10" a="1"/>
  <c r="BG12" i="10" s="1"/>
  <c r="BG10" i="10" a="1"/>
  <c r="BG10" i="10" s="1"/>
  <c r="BG11" i="10" a="1"/>
  <c r="BG11" i="10" s="1"/>
  <c r="BG6" i="10" a="1"/>
  <c r="BG6" i="10" s="1"/>
  <c r="BG9" i="10" a="1"/>
  <c r="BG9" i="10" s="1"/>
  <c r="BG8" i="10" a="1"/>
  <c r="BG8" i="10" s="1"/>
  <c r="BG7" i="10" a="1"/>
  <c r="BG7" i="10" s="1"/>
  <c r="BF4" i="10"/>
  <c r="BH2" i="10"/>
  <c r="AP12" i="10" a="1"/>
  <c r="AP12" i="10" s="1"/>
  <c r="AP11" i="10" a="1"/>
  <c r="AP11" i="10" s="1"/>
  <c r="AP10" i="10" a="1"/>
  <c r="AP10" i="10" s="1"/>
  <c r="AP9" i="10" a="1"/>
  <c r="AP9" i="10" s="1"/>
  <c r="AP7" i="10" a="1"/>
  <c r="AP7" i="10" s="1"/>
  <c r="AP8" i="10" a="1"/>
  <c r="AP8" i="10" s="1"/>
  <c r="AQ2" i="10"/>
  <c r="AP6" i="10" a="1"/>
  <c r="AP6" i="10" s="1"/>
  <c r="AD12" i="11" a="1"/>
  <c r="AD12" i="11" s="1"/>
  <c r="AD10" i="11" a="1"/>
  <c r="AD10" i="11" s="1"/>
  <c r="AD11" i="11" a="1"/>
  <c r="AD11" i="11" s="1"/>
  <c r="AD9" i="11" a="1"/>
  <c r="AD9" i="11" s="1"/>
  <c r="AD7" i="11" a="1"/>
  <c r="AD7" i="11" s="1"/>
  <c r="AD8" i="11" a="1"/>
  <c r="AD8" i="11" s="1"/>
  <c r="AE2" i="11"/>
  <c r="AD6" i="11" a="1"/>
  <c r="AD6" i="11" s="1"/>
  <c r="BG11" i="11" a="1"/>
  <c r="BG11" i="11" s="1"/>
  <c r="BG12" i="11" a="1"/>
  <c r="BG12" i="11" s="1"/>
  <c r="BG9" i="11" a="1"/>
  <c r="BG9" i="11" s="1"/>
  <c r="BG10" i="11" a="1"/>
  <c r="BG10" i="11" s="1"/>
  <c r="BG6" i="11" a="1"/>
  <c r="BG6" i="11" s="1"/>
  <c r="BG8" i="11" a="1"/>
  <c r="BG8" i="11" s="1"/>
  <c r="BH2" i="11"/>
  <c r="BF4" i="11"/>
  <c r="BG7" i="11" a="1"/>
  <c r="BG7" i="11" s="1"/>
  <c r="AA12" i="10" a="1"/>
  <c r="AA12" i="10" s="1"/>
  <c r="AA11" i="10" a="1"/>
  <c r="AA11" i="10" s="1"/>
  <c r="AA9" i="10" a="1"/>
  <c r="AA9" i="10" s="1"/>
  <c r="AA10" i="10" a="1"/>
  <c r="AA10" i="10" s="1"/>
  <c r="AA7" i="10" a="1"/>
  <c r="AA7" i="10" s="1"/>
  <c r="AA8" i="10" a="1"/>
  <c r="AA8" i="10" s="1"/>
  <c r="AB2" i="10"/>
  <c r="AA6" i="10" a="1"/>
  <c r="AA6" i="10" s="1"/>
  <c r="AO13" i="10"/>
  <c r="Z13" i="10"/>
  <c r="BY13" i="2"/>
  <c r="CQ11" i="2" a="1"/>
  <c r="CQ11" i="2" s="1"/>
  <c r="CQ12" i="2" a="1"/>
  <c r="CQ12" i="2" s="1"/>
  <c r="CQ7" i="2" a="1"/>
  <c r="CQ7" i="2" s="1"/>
  <c r="CQ6" i="2" a="1"/>
  <c r="CQ6" i="2" s="1"/>
  <c r="CQ10" i="2" a="1"/>
  <c r="CQ10" i="2" s="1"/>
  <c r="CP4" i="2"/>
  <c r="CQ8" i="2" a="1"/>
  <c r="CQ8" i="2" s="1"/>
  <c r="CQ9" i="2" a="1"/>
  <c r="CQ9" i="2" s="1"/>
  <c r="CR2" i="2"/>
  <c r="DH11" i="2" a="1"/>
  <c r="DH11" i="2" s="1"/>
  <c r="DH12" i="2" a="1"/>
  <c r="DH12" i="2" s="1"/>
  <c r="DH10" i="2" a="1"/>
  <c r="DH10" i="2" s="1"/>
  <c r="DZ2" i="2"/>
  <c r="DH8" i="2" a="1"/>
  <c r="DH8" i="2" s="1"/>
  <c r="DH6" i="2" a="1"/>
  <c r="DH6" i="2" s="1"/>
  <c r="DI2" i="2"/>
  <c r="DH9" i="2" a="1"/>
  <c r="DH9" i="2" s="1"/>
  <c r="DH7" i="2" a="1"/>
  <c r="DH7" i="2" s="1"/>
  <c r="BH12" i="2" a="1"/>
  <c r="BH12" i="2" s="1"/>
  <c r="BH8" i="2" a="1"/>
  <c r="BH8" i="2" s="1"/>
  <c r="BH7" i="2" a="1"/>
  <c r="BH7" i="2" s="1"/>
  <c r="BH6" i="2" a="1"/>
  <c r="BH6" i="2" s="1"/>
  <c r="BH11" i="2" a="1"/>
  <c r="BH11" i="2" s="1"/>
  <c r="BI2" i="2"/>
  <c r="BH9" i="2" a="1"/>
  <c r="BH9" i="2" s="1"/>
  <c r="BH10" i="2" a="1"/>
  <c r="BH10" i="2" s="1"/>
  <c r="BG13" i="2"/>
  <c r="BZ9" i="2" a="1"/>
  <c r="BZ9" i="2" s="1"/>
  <c r="BZ8" i="2" a="1"/>
  <c r="BZ8" i="2" s="1"/>
  <c r="BZ7" i="2" a="1"/>
  <c r="BZ7" i="2" s="1"/>
  <c r="BZ6" i="2" a="1"/>
  <c r="BZ6" i="2" s="1"/>
  <c r="CA2" i="2"/>
  <c r="BZ10" i="2" a="1"/>
  <c r="BZ10" i="2" s="1"/>
  <c r="BZ12" i="2" a="1"/>
  <c r="BZ12" i="2" s="1"/>
  <c r="BZ11" i="2" a="1"/>
  <c r="BZ11" i="2" s="1"/>
  <c r="AP9" i="2" a="1"/>
  <c r="AP9" i="2" s="1"/>
  <c r="AP8" i="2" a="1"/>
  <c r="AP8" i="2" s="1"/>
  <c r="AQ2" i="2"/>
  <c r="AP7" i="2" a="1"/>
  <c r="AP7" i="2" s="1"/>
  <c r="AP10" i="2" a="1"/>
  <c r="AP10" i="2" s="1"/>
  <c r="AP6" i="2" a="1"/>
  <c r="AP6" i="2" s="1"/>
  <c r="AP11" i="2" a="1"/>
  <c r="AP11" i="2" s="1"/>
  <c r="AP12" i="2" a="1"/>
  <c r="AP12" i="2" s="1"/>
  <c r="AO13" i="2"/>
  <c r="AP7" i="12" l="1"/>
  <c r="BG11" i="12"/>
  <c r="X29" i="12"/>
  <c r="AO28" i="12"/>
  <c r="AD8" i="12"/>
  <c r="AP12" i="12"/>
  <c r="AP33" i="11"/>
  <c r="AO34" i="11"/>
  <c r="AO30" i="12"/>
  <c r="H24" i="12"/>
  <c r="T24" i="12"/>
  <c r="T34" i="12"/>
  <c r="Y28" i="12"/>
  <c r="AO13" i="12"/>
  <c r="AO27" i="12" s="1"/>
  <c r="AD7" i="12"/>
  <c r="AP11" i="12"/>
  <c r="AP32" i="11"/>
  <c r="AO32" i="11"/>
  <c r="AD6" i="12"/>
  <c r="AP10" i="12"/>
  <c r="AP31" i="11"/>
  <c r="BX13" i="11"/>
  <c r="BX6" i="12"/>
  <c r="BX27" i="11"/>
  <c r="AO31" i="11"/>
  <c r="AD11" i="12"/>
  <c r="BX8" i="12"/>
  <c r="AB34" i="12"/>
  <c r="AO31" i="12"/>
  <c r="AO32" i="12"/>
  <c r="AC28" i="12"/>
  <c r="AD9" i="12"/>
  <c r="AD10" i="12"/>
  <c r="AC34" i="11"/>
  <c r="Y34" i="12"/>
  <c r="Z34" i="12"/>
  <c r="S24" i="12"/>
  <c r="BF32" i="12"/>
  <c r="AD12" i="12"/>
  <c r="BX11" i="12"/>
  <c r="BX32" i="11"/>
  <c r="T14" i="12"/>
  <c r="T15" i="12" s="1"/>
  <c r="Z32" i="12"/>
  <c r="T30" i="12"/>
  <c r="AB30" i="12"/>
  <c r="T33" i="12"/>
  <c r="BG12" i="12"/>
  <c r="BG8" i="12"/>
  <c r="BX7" i="12"/>
  <c r="BX28" i="11"/>
  <c r="T32" i="12"/>
  <c r="BF13" i="12"/>
  <c r="BF27" i="12" s="1"/>
  <c r="AC33" i="11"/>
  <c r="T28" i="12"/>
  <c r="D24" i="12"/>
  <c r="K24" i="12"/>
  <c r="AB29" i="12"/>
  <c r="AO29" i="11"/>
  <c r="AP9" i="12"/>
  <c r="AP30" i="11"/>
  <c r="BG6" i="12"/>
  <c r="BX10" i="12"/>
  <c r="BX31" i="11"/>
  <c r="AA34" i="12"/>
  <c r="BF34" i="11"/>
  <c r="AA32" i="12"/>
  <c r="BF31" i="11"/>
  <c r="AC30" i="11"/>
  <c r="BF33" i="11"/>
  <c r="AO29" i="12"/>
  <c r="AP8" i="12"/>
  <c r="AC13" i="12"/>
  <c r="AC32" i="12" s="1"/>
  <c r="AC27" i="12"/>
  <c r="X34" i="12"/>
  <c r="AO33" i="12"/>
  <c r="X33" i="12"/>
  <c r="BG7" i="12"/>
  <c r="BG10" i="12"/>
  <c r="BX9" i="12"/>
  <c r="BX30" i="11"/>
  <c r="X31" i="12"/>
  <c r="T31" i="12"/>
  <c r="Y32" i="12"/>
  <c r="E24" i="12"/>
  <c r="AB33" i="12"/>
  <c r="BG9" i="12"/>
  <c r="AP6" i="12"/>
  <c r="AP27" i="11"/>
  <c r="BX12" i="12"/>
  <c r="BX33" i="11"/>
  <c r="N24" i="12"/>
  <c r="AB31" i="12"/>
  <c r="I24" i="12"/>
  <c r="O24" i="12"/>
  <c r="BF28" i="11"/>
  <c r="AN34" i="12"/>
  <c r="BY12" i="11" a="1"/>
  <c r="BY12" i="11" s="1"/>
  <c r="BY10" i="11" a="1"/>
  <c r="BY10" i="11" s="1"/>
  <c r="BY11" i="11" a="1"/>
  <c r="BY11" i="11" s="1"/>
  <c r="BY7" i="11" a="1"/>
  <c r="BY7" i="11" s="1"/>
  <c r="BY9" i="11" a="1"/>
  <c r="BY9" i="11" s="1"/>
  <c r="BY8" i="11" a="1"/>
  <c r="BY8" i="11" s="1"/>
  <c r="BY6" i="11" a="1"/>
  <c r="BY6" i="11" s="1"/>
  <c r="BZ2" i="11"/>
  <c r="BX4" i="11"/>
  <c r="BG13" i="10"/>
  <c r="AQ12" i="10" a="1"/>
  <c r="AQ12" i="10" s="1"/>
  <c r="AQ10" i="10" a="1"/>
  <c r="AQ10" i="10" s="1"/>
  <c r="AQ9" i="10" a="1"/>
  <c r="AQ9" i="10" s="1"/>
  <c r="AQ6" i="10" a="1"/>
  <c r="AQ6" i="10" s="1"/>
  <c r="AQ11" i="10" a="1"/>
  <c r="AQ11" i="10" s="1"/>
  <c r="AQ7" i="10" a="1"/>
  <c r="AQ7" i="10" s="1"/>
  <c r="AQ8" i="10" a="1"/>
  <c r="AQ8" i="10" s="1"/>
  <c r="AR2" i="10"/>
  <c r="AB12" i="10" a="1"/>
  <c r="AB12" i="10" s="1"/>
  <c r="AB10" i="10" a="1"/>
  <c r="AB10" i="10" s="1"/>
  <c r="AB9" i="10" a="1"/>
  <c r="AB9" i="10" s="1"/>
  <c r="AB8" i="10" a="1"/>
  <c r="AB8" i="10" s="1"/>
  <c r="AB11" i="10" a="1"/>
  <c r="AB11" i="10" s="1"/>
  <c r="AB6" i="10" a="1"/>
  <c r="AB6" i="10" s="1"/>
  <c r="AC2" i="10"/>
  <c r="AB7" i="10" a="1"/>
  <c r="AB7" i="10" s="1"/>
  <c r="AP13" i="10"/>
  <c r="CP12" i="10" a="1"/>
  <c r="CP12" i="10" s="1"/>
  <c r="CP11" i="10" a="1"/>
  <c r="CP11" i="10" s="1"/>
  <c r="CP10" i="10" a="1"/>
  <c r="CP10" i="10" s="1"/>
  <c r="CP6" i="10" a="1"/>
  <c r="CP6" i="10" s="1"/>
  <c r="CP8" i="10" a="1"/>
  <c r="CP8" i="10" s="1"/>
  <c r="CQ2" i="10"/>
  <c r="CP7" i="10" a="1"/>
  <c r="CP7" i="10" s="1"/>
  <c r="CP9" i="10" a="1"/>
  <c r="CP9" i="10" s="1"/>
  <c r="DH2" i="10"/>
  <c r="CP11" i="11" a="1"/>
  <c r="CP11" i="11" s="1"/>
  <c r="CP12" i="11" a="1"/>
  <c r="CP12" i="11" s="1"/>
  <c r="CP10" i="11" a="1"/>
  <c r="CP10" i="11" s="1"/>
  <c r="CP7" i="11" a="1"/>
  <c r="CP7" i="11" s="1"/>
  <c r="CQ2" i="11"/>
  <c r="CP8" i="11" a="1"/>
  <c r="CP8" i="11" s="1"/>
  <c r="CP9" i="11" a="1"/>
  <c r="CP9" i="11" s="1"/>
  <c r="CP6" i="11" a="1"/>
  <c r="CP6" i="11" s="1"/>
  <c r="DH2" i="11"/>
  <c r="BY12" i="10" a="1"/>
  <c r="BY12" i="10" s="1"/>
  <c r="BY11" i="10" a="1"/>
  <c r="BY11" i="10" s="1"/>
  <c r="BY10" i="10" a="1"/>
  <c r="BY10" i="10" s="1"/>
  <c r="BY7" i="10" a="1"/>
  <c r="BY7" i="10" s="1"/>
  <c r="BY9" i="10" a="1"/>
  <c r="BY9" i="10" s="1"/>
  <c r="BY8" i="10" a="1"/>
  <c r="BY8" i="10" s="1"/>
  <c r="BZ2" i="10"/>
  <c r="BX4" i="10"/>
  <c r="BY6" i="10" a="1"/>
  <c r="BY6" i="10" s="1"/>
  <c r="AP13" i="11"/>
  <c r="AP28" i="11" s="1"/>
  <c r="BH10" i="11" a="1"/>
  <c r="BH10" i="11" s="1"/>
  <c r="BH12" i="11" a="1"/>
  <c r="BH12" i="11" s="1"/>
  <c r="BH9" i="11" a="1"/>
  <c r="BH9" i="11" s="1"/>
  <c r="BH11" i="11" a="1"/>
  <c r="BH11" i="11" s="1"/>
  <c r="BH8" i="11" a="1"/>
  <c r="BH8" i="11" s="1"/>
  <c r="BH6" i="11" a="1"/>
  <c r="BH6" i="11" s="1"/>
  <c r="BH7" i="11" a="1"/>
  <c r="BH7" i="11" s="1"/>
  <c r="BI2" i="11"/>
  <c r="AQ10" i="11" a="1"/>
  <c r="AQ10" i="11" s="1"/>
  <c r="AQ11" i="11" a="1"/>
  <c r="AQ11" i="11" s="1"/>
  <c r="AQ12" i="11" a="1"/>
  <c r="AQ12" i="11" s="1"/>
  <c r="AQ8" i="11" a="1"/>
  <c r="AQ8" i="11" s="1"/>
  <c r="AQ9" i="11" a="1"/>
  <c r="AQ9" i="11" s="1"/>
  <c r="AQ7" i="11" a="1"/>
  <c r="AQ7" i="11" s="1"/>
  <c r="AQ6" i="11" a="1"/>
  <c r="AQ6" i="11" s="1"/>
  <c r="AR2" i="11"/>
  <c r="BG13" i="11"/>
  <c r="BG29" i="11" s="1"/>
  <c r="AD13" i="11"/>
  <c r="AD28" i="11" s="1"/>
  <c r="BH12" i="10" a="1"/>
  <c r="BH12" i="10" s="1"/>
  <c r="BH10" i="10" a="1"/>
  <c r="BH10" i="10" s="1"/>
  <c r="BH11" i="10" a="1"/>
  <c r="BH11" i="10" s="1"/>
  <c r="BH9" i="10" a="1"/>
  <c r="BH9" i="10" s="1"/>
  <c r="BH7" i="10" a="1"/>
  <c r="BH7" i="10" s="1"/>
  <c r="BH8" i="10" a="1"/>
  <c r="BH8" i="10" s="1"/>
  <c r="BH6" i="10" a="1"/>
  <c r="BH6" i="10" s="1"/>
  <c r="BI2" i="10"/>
  <c r="AA13" i="10"/>
  <c r="AE12" i="11" a="1"/>
  <c r="AE12" i="11" s="1"/>
  <c r="AE10" i="11" a="1"/>
  <c r="AE10" i="11" s="1"/>
  <c r="AE11" i="11" a="1"/>
  <c r="AE11" i="11" s="1"/>
  <c r="AE9" i="11" a="1"/>
  <c r="AE9" i="11" s="1"/>
  <c r="AE8" i="11" a="1"/>
  <c r="AE8" i="11" s="1"/>
  <c r="AE7" i="11" a="1"/>
  <c r="AE7" i="11" s="1"/>
  <c r="AE6" i="11" a="1"/>
  <c r="AE6" i="11" s="1"/>
  <c r="AF2" i="11"/>
  <c r="DI9" i="2" a="1"/>
  <c r="DI9" i="2" s="1"/>
  <c r="DI8" i="2" a="1"/>
  <c r="DI8" i="2" s="1"/>
  <c r="DI6" i="2" a="1"/>
  <c r="DI6" i="2" s="1"/>
  <c r="DI7" i="2" a="1"/>
  <c r="DI7" i="2" s="1"/>
  <c r="DJ2" i="2"/>
  <c r="DH4" i="2"/>
  <c r="DI10" i="2" a="1"/>
  <c r="DI10" i="2" s="1"/>
  <c r="DI11" i="2" a="1"/>
  <c r="DI11" i="2" s="1"/>
  <c r="DI12" i="2" a="1"/>
  <c r="DI12" i="2" s="1"/>
  <c r="DH13" i="2"/>
  <c r="DZ12" i="2" a="1"/>
  <c r="DZ12" i="2" s="1"/>
  <c r="ER2" i="2"/>
  <c r="DZ9" i="2" a="1"/>
  <c r="DZ9" i="2" s="1"/>
  <c r="DZ6" i="2" a="1"/>
  <c r="DZ6" i="2" s="1"/>
  <c r="DZ10" i="2" a="1"/>
  <c r="DZ10" i="2" s="1"/>
  <c r="DZ7" i="2" a="1"/>
  <c r="DZ7" i="2" s="1"/>
  <c r="EA2" i="2"/>
  <c r="DZ8" i="2" a="1"/>
  <c r="DZ8" i="2" s="1"/>
  <c r="DZ11" i="2" a="1"/>
  <c r="DZ11" i="2" s="1"/>
  <c r="BI12" i="2" a="1"/>
  <c r="BI12" i="2" s="1"/>
  <c r="BI11" i="2" a="1"/>
  <c r="BI11" i="2" s="1"/>
  <c r="BI7" i="2" a="1"/>
  <c r="BI7" i="2" s="1"/>
  <c r="BI8" i="2" a="1"/>
  <c r="BI8" i="2" s="1"/>
  <c r="BI6" i="2" a="1"/>
  <c r="BI6" i="2" s="1"/>
  <c r="BJ2" i="2"/>
  <c r="BI10" i="2" a="1"/>
  <c r="BI10" i="2" s="1"/>
  <c r="BI9" i="2" a="1"/>
  <c r="BI9" i="2" s="1"/>
  <c r="BH13" i="2"/>
  <c r="CR12" i="2" a="1"/>
  <c r="CR12" i="2" s="1"/>
  <c r="CR9" i="2" a="1"/>
  <c r="CR9" i="2" s="1"/>
  <c r="CR11" i="2" a="1"/>
  <c r="CR11" i="2" s="1"/>
  <c r="CR10" i="2" a="1"/>
  <c r="CR10" i="2" s="1"/>
  <c r="CS2" i="2"/>
  <c r="CR8" i="2" a="1"/>
  <c r="CR8" i="2" s="1"/>
  <c r="CR7" i="2" a="1"/>
  <c r="CR7" i="2" s="1"/>
  <c r="CR6" i="2" a="1"/>
  <c r="CR6" i="2" s="1"/>
  <c r="BZ13" i="2"/>
  <c r="CA7" i="2" a="1"/>
  <c r="CA7" i="2" s="1"/>
  <c r="CA6" i="2" a="1"/>
  <c r="CA6" i="2" s="1"/>
  <c r="CB2" i="2"/>
  <c r="CA10" i="2" a="1"/>
  <c r="CA10" i="2" s="1"/>
  <c r="CA9" i="2" a="1"/>
  <c r="CA9" i="2" s="1"/>
  <c r="CA12" i="2" a="1"/>
  <c r="CA12" i="2" s="1"/>
  <c r="CA8" i="2" a="1"/>
  <c r="CA8" i="2" s="1"/>
  <c r="CA11" i="2" a="1"/>
  <c r="CA11" i="2" s="1"/>
  <c r="CQ13" i="2"/>
  <c r="AP13" i="2"/>
  <c r="AQ7" i="2" a="1"/>
  <c r="AQ7" i="2" s="1"/>
  <c r="AQ10" i="2" a="1"/>
  <c r="AQ10" i="2" s="1"/>
  <c r="AQ6" i="2" a="1"/>
  <c r="AQ6" i="2" s="1"/>
  <c r="AR2" i="2"/>
  <c r="AQ11" i="2" a="1"/>
  <c r="AQ11" i="2" s="1"/>
  <c r="AQ12" i="2" a="1"/>
  <c r="AQ12" i="2" s="1"/>
  <c r="AQ9" i="2" a="1"/>
  <c r="AQ9" i="2" s="1"/>
  <c r="AQ8" i="2" a="1"/>
  <c r="AQ8" i="2" s="1"/>
  <c r="CP7" i="12" l="1"/>
  <c r="BG33" i="11"/>
  <c r="AD13" i="12"/>
  <c r="AD27" i="12" s="1"/>
  <c r="AQ8" i="12"/>
  <c r="CP10" i="12"/>
  <c r="AP13" i="12"/>
  <c r="AP27" i="12" s="1"/>
  <c r="AQ12" i="12"/>
  <c r="AQ11" i="12"/>
  <c r="CP11" i="12"/>
  <c r="BG30" i="11"/>
  <c r="AQ9" i="12"/>
  <c r="CP12" i="12"/>
  <c r="CP33" i="11"/>
  <c r="AD32" i="11"/>
  <c r="AQ10" i="12"/>
  <c r="BX31" i="12"/>
  <c r="AP32" i="12"/>
  <c r="BY6" i="12"/>
  <c r="BY27" i="11"/>
  <c r="BF34" i="12"/>
  <c r="BH7" i="12"/>
  <c r="BY8" i="12"/>
  <c r="AC34" i="12"/>
  <c r="BG27" i="11"/>
  <c r="BG32" i="11"/>
  <c r="AE6" i="12"/>
  <c r="BH6" i="12"/>
  <c r="BY9" i="12"/>
  <c r="BF33" i="12"/>
  <c r="BG31" i="11"/>
  <c r="BG13" i="12"/>
  <c r="BG33" i="12" s="1"/>
  <c r="BX13" i="12"/>
  <c r="BX27" i="12" s="1"/>
  <c r="AE7" i="12"/>
  <c r="BH8" i="12"/>
  <c r="BY7" i="12"/>
  <c r="BF30" i="12"/>
  <c r="BX34" i="11"/>
  <c r="AE8" i="12"/>
  <c r="AD34" i="11"/>
  <c r="BH11" i="12"/>
  <c r="BY11" i="12"/>
  <c r="BY32" i="11"/>
  <c r="AC31" i="12"/>
  <c r="BX28" i="12"/>
  <c r="BX32" i="12"/>
  <c r="AD31" i="11"/>
  <c r="AP33" i="12"/>
  <c r="BF28" i="12"/>
  <c r="BH9" i="12"/>
  <c r="CP6" i="12"/>
  <c r="BY10" i="12"/>
  <c r="BY31" i="11"/>
  <c r="AC30" i="12"/>
  <c r="BG28" i="11"/>
  <c r="AC33" i="12"/>
  <c r="AP30" i="12"/>
  <c r="AE11" i="12"/>
  <c r="CP9" i="12"/>
  <c r="CP30" i="11"/>
  <c r="BY12" i="12"/>
  <c r="AC29" i="12"/>
  <c r="AD33" i="11"/>
  <c r="BF29" i="12"/>
  <c r="AP31" i="12"/>
  <c r="AO34" i="12"/>
  <c r="AD29" i="11"/>
  <c r="AE10" i="12"/>
  <c r="BH10" i="12"/>
  <c r="CP8" i="12"/>
  <c r="BX33" i="12"/>
  <c r="AD30" i="11"/>
  <c r="AP28" i="12"/>
  <c r="AE9" i="12"/>
  <c r="BG34" i="11"/>
  <c r="BH12" i="12"/>
  <c r="AQ6" i="12"/>
  <c r="AE12" i="12"/>
  <c r="AQ7" i="12"/>
  <c r="AP34" i="11"/>
  <c r="BF31" i="12"/>
  <c r="AP29" i="11"/>
  <c r="BX29" i="11"/>
  <c r="AD27" i="11"/>
  <c r="CP13" i="11"/>
  <c r="CP29" i="11" s="1"/>
  <c r="BH13" i="10"/>
  <c r="BH13" i="11"/>
  <c r="AF12" i="11" a="1"/>
  <c r="AF12" i="11" s="1"/>
  <c r="AF11" i="11" a="1"/>
  <c r="AF11" i="11" s="1"/>
  <c r="AF10" i="11" a="1"/>
  <c r="AF10" i="11" s="1"/>
  <c r="AF9" i="11" a="1"/>
  <c r="AF9" i="11" s="1"/>
  <c r="AF8" i="11" a="1"/>
  <c r="AF8" i="11" s="1"/>
  <c r="AF7" i="11" a="1"/>
  <c r="AF7" i="11" s="1"/>
  <c r="AF6" i="11" a="1"/>
  <c r="AF6" i="11" s="1"/>
  <c r="AG2" i="11"/>
  <c r="CP13" i="10"/>
  <c r="DH10" i="11" a="1"/>
  <c r="DH10" i="11" s="1"/>
  <c r="DH11" i="11" a="1"/>
  <c r="DH11" i="11" s="1"/>
  <c r="DH12" i="11" a="1"/>
  <c r="DH12" i="11" s="1"/>
  <c r="DH9" i="11" a="1"/>
  <c r="DH9" i="11" s="1"/>
  <c r="DH8" i="11" a="1"/>
  <c r="DH8" i="11" s="1"/>
  <c r="DI2" i="11"/>
  <c r="DH7" i="11" a="1"/>
  <c r="DH7" i="11" s="1"/>
  <c r="DZ2" i="11"/>
  <c r="DH6" i="11" a="1"/>
  <c r="DH6" i="11" s="1"/>
  <c r="AR12" i="10" a="1"/>
  <c r="AR12" i="10" s="1"/>
  <c r="AR11" i="10" a="1"/>
  <c r="AR11" i="10" s="1"/>
  <c r="AR10" i="10" a="1"/>
  <c r="AR10" i="10" s="1"/>
  <c r="AS2" i="10"/>
  <c r="AR7" i="10" a="1"/>
  <c r="AR7" i="10" s="1"/>
  <c r="AR9" i="10" a="1"/>
  <c r="AR9" i="10" s="1"/>
  <c r="AR8" i="10" a="1"/>
  <c r="AR8" i="10" s="1"/>
  <c r="AR6" i="10" a="1"/>
  <c r="AR6" i="10" s="1"/>
  <c r="BZ12" i="11" a="1"/>
  <c r="BZ12" i="11" s="1"/>
  <c r="BZ10" i="11" a="1"/>
  <c r="BZ10" i="11" s="1"/>
  <c r="BZ11" i="11" a="1"/>
  <c r="BZ11" i="11" s="1"/>
  <c r="BZ8" i="11" a="1"/>
  <c r="BZ8" i="11" s="1"/>
  <c r="BZ7" i="11" a="1"/>
  <c r="BZ7" i="11" s="1"/>
  <c r="BZ9" i="11" a="1"/>
  <c r="BZ9" i="11" s="1"/>
  <c r="BZ6" i="11" a="1"/>
  <c r="BZ6" i="11" s="1"/>
  <c r="CA2" i="11"/>
  <c r="BY13" i="11"/>
  <c r="BY28" i="11" s="1"/>
  <c r="BY13" i="10"/>
  <c r="BI12" i="11" a="1"/>
  <c r="BI12" i="11" s="1"/>
  <c r="BI11" i="11" a="1"/>
  <c r="BI11" i="11" s="1"/>
  <c r="BI9" i="11" a="1"/>
  <c r="BI9" i="11" s="1"/>
  <c r="BI8" i="11" a="1"/>
  <c r="BI8" i="11" s="1"/>
  <c r="BI10" i="11" a="1"/>
  <c r="BI10" i="11" s="1"/>
  <c r="BJ2" i="11"/>
  <c r="BI6" i="11" a="1"/>
  <c r="BI6" i="11" s="1"/>
  <c r="BI7" i="11" a="1"/>
  <c r="BI7" i="11" s="1"/>
  <c r="CQ10" i="11" a="1"/>
  <c r="CQ10" i="11" s="1"/>
  <c r="CQ12" i="11" a="1"/>
  <c r="CQ12" i="11" s="1"/>
  <c r="CQ8" i="11" a="1"/>
  <c r="CQ8" i="11" s="1"/>
  <c r="CQ11" i="11" a="1"/>
  <c r="CQ11" i="11" s="1"/>
  <c r="CQ9" i="11" a="1"/>
  <c r="CQ9" i="11" s="1"/>
  <c r="CP4" i="11"/>
  <c r="CQ6" i="11" a="1"/>
  <c r="CQ6" i="11" s="1"/>
  <c r="CQ7" i="11" a="1"/>
  <c r="CQ7" i="11" s="1"/>
  <c r="CR2" i="11"/>
  <c r="AQ13" i="10"/>
  <c r="BZ12" i="10" a="1"/>
  <c r="BZ12" i="10" s="1"/>
  <c r="BZ10" i="10" a="1"/>
  <c r="BZ10" i="10" s="1"/>
  <c r="BZ9" i="10" a="1"/>
  <c r="BZ9" i="10" s="1"/>
  <c r="BZ6" i="10" a="1"/>
  <c r="BZ6" i="10" s="1"/>
  <c r="BZ7" i="10" a="1"/>
  <c r="BZ7" i="10" s="1"/>
  <c r="BZ8" i="10" a="1"/>
  <c r="BZ8" i="10" s="1"/>
  <c r="BZ11" i="10" a="1"/>
  <c r="BZ11" i="10" s="1"/>
  <c r="CA2" i="10"/>
  <c r="AC12" i="10" a="1"/>
  <c r="AC12" i="10" s="1"/>
  <c r="AC10" i="10" a="1"/>
  <c r="AC10" i="10" s="1"/>
  <c r="AC11" i="10" a="1"/>
  <c r="AC11" i="10" s="1"/>
  <c r="AC9" i="10" a="1"/>
  <c r="AC9" i="10" s="1"/>
  <c r="AC8" i="10" a="1"/>
  <c r="AC8" i="10" s="1"/>
  <c r="AD2" i="10"/>
  <c r="AC6" i="10" a="1"/>
  <c r="AC6" i="10" s="1"/>
  <c r="AC7" i="10" a="1"/>
  <c r="AC7" i="10" s="1"/>
  <c r="AB13" i="10"/>
  <c r="DH11" i="10" a="1"/>
  <c r="DH11" i="10" s="1"/>
  <c r="DH10" i="10" a="1"/>
  <c r="DH10" i="10" s="1"/>
  <c r="DH12" i="10" a="1"/>
  <c r="DH12" i="10" s="1"/>
  <c r="DH9" i="10" a="1"/>
  <c r="DH9" i="10" s="1"/>
  <c r="DH7" i="10" a="1"/>
  <c r="DH7" i="10" s="1"/>
  <c r="DH8" i="10" a="1"/>
  <c r="DH8" i="10" s="1"/>
  <c r="DZ2" i="10"/>
  <c r="DI2" i="10"/>
  <c r="DH6" i="10" a="1"/>
  <c r="DH6" i="10" s="1"/>
  <c r="AE13" i="11"/>
  <c r="AE33" i="11" s="1"/>
  <c r="AR11" i="11" a="1"/>
  <c r="AR11" i="11" s="1"/>
  <c r="AR12" i="11" a="1"/>
  <c r="AR12" i="11" s="1"/>
  <c r="AR9" i="11" a="1"/>
  <c r="AR9" i="11" s="1"/>
  <c r="AR6" i="11" a="1"/>
  <c r="AR6" i="11" s="1"/>
  <c r="AR10" i="11" a="1"/>
  <c r="AR10" i="11" s="1"/>
  <c r="AS2" i="11"/>
  <c r="AR8" i="11" a="1"/>
  <c r="AR8" i="11" s="1"/>
  <c r="AR7" i="11" a="1"/>
  <c r="AR7" i="11" s="1"/>
  <c r="BI12" i="10" a="1"/>
  <c r="BI12" i="10" s="1"/>
  <c r="BI10" i="10" a="1"/>
  <c r="BI10" i="10" s="1"/>
  <c r="BI11" i="10" a="1"/>
  <c r="BI11" i="10" s="1"/>
  <c r="BI6" i="10" a="1"/>
  <c r="BI6" i="10" s="1"/>
  <c r="BI9" i="10" a="1"/>
  <c r="BI9" i="10" s="1"/>
  <c r="BI8" i="10" a="1"/>
  <c r="BI8" i="10" s="1"/>
  <c r="BJ2" i="10"/>
  <c r="BI7" i="10" a="1"/>
  <c r="BI7" i="10" s="1"/>
  <c r="AQ13" i="11"/>
  <c r="AQ30" i="11" s="1"/>
  <c r="CQ12" i="10" a="1"/>
  <c r="CQ12" i="10" s="1"/>
  <c r="CQ10" i="10" a="1"/>
  <c r="CQ10" i="10" s="1"/>
  <c r="CQ9" i="10" a="1"/>
  <c r="CQ9" i="10" s="1"/>
  <c r="CP4" i="10"/>
  <c r="CQ11" i="10" a="1"/>
  <c r="CQ11" i="10" s="1"/>
  <c r="CQ7" i="10" a="1"/>
  <c r="CQ7" i="10" s="1"/>
  <c r="CQ8" i="10" a="1"/>
  <c r="CQ8" i="10" s="1"/>
  <c r="CR2" i="10"/>
  <c r="CQ6" i="10" a="1"/>
  <c r="CQ6" i="10" s="1"/>
  <c r="EA12" i="2" a="1"/>
  <c r="EA12" i="2" s="1"/>
  <c r="EA11" i="2" a="1"/>
  <c r="EA11" i="2" s="1"/>
  <c r="EA10" i="2" a="1"/>
  <c r="EA10" i="2" s="1"/>
  <c r="EA9" i="2" a="1"/>
  <c r="EA9" i="2" s="1"/>
  <c r="EB2" i="2"/>
  <c r="DZ4" i="2"/>
  <c r="EA7" i="2" a="1"/>
  <c r="EA7" i="2" s="1"/>
  <c r="EA8" i="2" a="1"/>
  <c r="EA8" i="2" s="1"/>
  <c r="EA6" i="2" a="1"/>
  <c r="EA6" i="2" s="1"/>
  <c r="BJ12" i="2" a="1"/>
  <c r="BJ12" i="2" s="1"/>
  <c r="BJ11" i="2" a="1"/>
  <c r="BJ11" i="2" s="1"/>
  <c r="BJ10" i="2" a="1"/>
  <c r="BJ10" i="2" s="1"/>
  <c r="BJ9" i="2" a="1"/>
  <c r="BJ9" i="2" s="1"/>
  <c r="BJ6" i="2" a="1"/>
  <c r="BJ6" i="2" s="1"/>
  <c r="BJ8" i="2" a="1"/>
  <c r="BJ8" i="2" s="1"/>
  <c r="BJ7" i="2" a="1"/>
  <c r="BJ7" i="2" s="1"/>
  <c r="BK2" i="2"/>
  <c r="DZ13" i="2"/>
  <c r="DJ7" i="2" a="1"/>
  <c r="DJ7" i="2" s="1"/>
  <c r="DJ6" i="2" a="1"/>
  <c r="DJ6" i="2" s="1"/>
  <c r="DJ8" i="2" a="1"/>
  <c r="DJ8" i="2" s="1"/>
  <c r="DK2" i="2"/>
  <c r="DJ11" i="2" a="1"/>
  <c r="DJ11" i="2" s="1"/>
  <c r="DJ10" i="2" a="1"/>
  <c r="DJ10" i="2" s="1"/>
  <c r="DJ12" i="2" a="1"/>
  <c r="DJ12" i="2" s="1"/>
  <c r="DJ9" i="2" a="1"/>
  <c r="DJ9" i="2" s="1"/>
  <c r="CR13" i="2"/>
  <c r="CC2" i="2"/>
  <c r="CB7" i="2" a="1"/>
  <c r="CB7" i="2" s="1"/>
  <c r="CB10" i="2" a="1"/>
  <c r="CB10" i="2" s="1"/>
  <c r="CB6" i="2" a="1"/>
  <c r="CB6" i="2" s="1"/>
  <c r="CB9" i="2" a="1"/>
  <c r="CB9" i="2" s="1"/>
  <c r="CB12" i="2" a="1"/>
  <c r="CB12" i="2" s="1"/>
  <c r="CB8" i="2" a="1"/>
  <c r="CB8" i="2" s="1"/>
  <c r="CB11" i="2" a="1"/>
  <c r="CB11" i="2" s="1"/>
  <c r="CS12" i="2" a="1"/>
  <c r="CS12" i="2" s="1"/>
  <c r="CS10" i="2" a="1"/>
  <c r="CS10" i="2" s="1"/>
  <c r="CS11" i="2" a="1"/>
  <c r="CS11" i="2" s="1"/>
  <c r="CS6" i="2" a="1"/>
  <c r="CS6" i="2" s="1"/>
  <c r="CT2" i="2"/>
  <c r="CS8" i="2" a="1"/>
  <c r="CS8" i="2" s="1"/>
  <c r="CS7" i="2" a="1"/>
  <c r="CS7" i="2" s="1"/>
  <c r="CS9" i="2" a="1"/>
  <c r="CS9" i="2" s="1"/>
  <c r="DI13" i="2"/>
  <c r="CA13" i="2"/>
  <c r="BI13" i="2"/>
  <c r="ER12" i="2" a="1"/>
  <c r="ER12" i="2" s="1"/>
  <c r="ER10" i="2" a="1"/>
  <c r="ER10" i="2" s="1"/>
  <c r="ER9" i="2" a="1"/>
  <c r="ER9" i="2" s="1"/>
  <c r="ER7" i="2" a="1"/>
  <c r="ER7" i="2" s="1"/>
  <c r="ES2" i="2"/>
  <c r="FJ2" i="2"/>
  <c r="ER11" i="2" a="1"/>
  <c r="ER11" i="2" s="1"/>
  <c r="ER6" i="2" a="1"/>
  <c r="ER6" i="2" s="1"/>
  <c r="ER8" i="2" a="1"/>
  <c r="ER8" i="2" s="1"/>
  <c r="AQ13" i="2"/>
  <c r="AR7" i="2" a="1"/>
  <c r="AR7" i="2" s="1"/>
  <c r="AR9" i="2" a="1"/>
  <c r="AR9" i="2" s="1"/>
  <c r="AR12" i="2" a="1"/>
  <c r="AR12" i="2" s="1"/>
  <c r="AR10" i="2" a="1"/>
  <c r="AR10" i="2" s="1"/>
  <c r="AS2" i="2"/>
  <c r="AR11" i="2" a="1"/>
  <c r="AR11" i="2" s="1"/>
  <c r="AR8" i="2" a="1"/>
  <c r="AR8" i="2" s="1"/>
  <c r="AR6" i="2" a="1"/>
  <c r="AR6" i="2" s="1"/>
  <c r="AR7" i="12" l="1"/>
  <c r="BZ9" i="12"/>
  <c r="DH6" i="12"/>
  <c r="AF9" i="12"/>
  <c r="BG29" i="12"/>
  <c r="AE28" i="11"/>
  <c r="AQ29" i="11"/>
  <c r="CQ8" i="12"/>
  <c r="BZ8" i="12"/>
  <c r="DH7" i="12"/>
  <c r="AF11" i="12"/>
  <c r="CP27" i="11"/>
  <c r="BY29" i="11"/>
  <c r="AQ33" i="11"/>
  <c r="CQ10" i="12"/>
  <c r="BZ11" i="12"/>
  <c r="AF12" i="12"/>
  <c r="AQ28" i="11"/>
  <c r="AE30" i="11"/>
  <c r="AE32" i="11"/>
  <c r="CP13" i="12"/>
  <c r="CP27" i="12"/>
  <c r="BY30" i="11"/>
  <c r="BZ7" i="12"/>
  <c r="DH8" i="12"/>
  <c r="DH29" i="11"/>
  <c r="BH34" i="11"/>
  <c r="BG32" i="12"/>
  <c r="BY30" i="12"/>
  <c r="AD34" i="12"/>
  <c r="BZ12" i="12"/>
  <c r="DH9" i="12"/>
  <c r="BH30" i="11"/>
  <c r="BG31" i="12"/>
  <c r="BH28" i="11"/>
  <c r="AQ30" i="12"/>
  <c r="BI6" i="12"/>
  <c r="BI8" i="12"/>
  <c r="DH12" i="12"/>
  <c r="CP34" i="11"/>
  <c r="AD31" i="12"/>
  <c r="AD28" i="12"/>
  <c r="BH27" i="11"/>
  <c r="BH28" i="12"/>
  <c r="BX29" i="12"/>
  <c r="AF8" i="12"/>
  <c r="AF29" i="11"/>
  <c r="AR6" i="12"/>
  <c r="AQ34" i="11"/>
  <c r="BI9" i="12"/>
  <c r="DH11" i="12"/>
  <c r="BH32" i="11"/>
  <c r="BH13" i="12"/>
  <c r="BH33" i="12" s="1"/>
  <c r="AD32" i="12"/>
  <c r="BZ6" i="12"/>
  <c r="BG34" i="12"/>
  <c r="AR9" i="12"/>
  <c r="AR30" i="11"/>
  <c r="BI11" i="12"/>
  <c r="DH10" i="12"/>
  <c r="AD29" i="12"/>
  <c r="BH31" i="11"/>
  <c r="BH32" i="12"/>
  <c r="BG30" i="12"/>
  <c r="AR10" i="12"/>
  <c r="AR31" i="11"/>
  <c r="AR11" i="12"/>
  <c r="AE34" i="11"/>
  <c r="BI12" i="12"/>
  <c r="AQ27" i="11"/>
  <c r="BH31" i="12"/>
  <c r="BG28" i="12"/>
  <c r="BY28" i="12"/>
  <c r="BX34" i="12"/>
  <c r="AE27" i="11"/>
  <c r="AP34" i="12"/>
  <c r="AP29" i="12"/>
  <c r="AF10" i="12"/>
  <c r="CP30" i="12"/>
  <c r="BY13" i="12"/>
  <c r="BY32" i="12" s="1"/>
  <c r="BY27" i="12"/>
  <c r="AQ29" i="12"/>
  <c r="BI10" i="12"/>
  <c r="CQ6" i="12"/>
  <c r="AQ13" i="12"/>
  <c r="AQ27" i="12" s="1"/>
  <c r="AE13" i="12"/>
  <c r="AE32" i="12" s="1"/>
  <c r="AQ31" i="11"/>
  <c r="CP32" i="11"/>
  <c r="CQ12" i="12"/>
  <c r="CQ33" i="11"/>
  <c r="BI7" i="12"/>
  <c r="AR12" i="12"/>
  <c r="CQ7" i="12"/>
  <c r="CQ9" i="12"/>
  <c r="BY34" i="11"/>
  <c r="AF6" i="12"/>
  <c r="AD30" i="12"/>
  <c r="AD33" i="12"/>
  <c r="AE31" i="11"/>
  <c r="BY33" i="11"/>
  <c r="BH29" i="11"/>
  <c r="BX30" i="12"/>
  <c r="AQ31" i="12"/>
  <c r="CP32" i="12"/>
  <c r="CP31" i="11"/>
  <c r="CP28" i="11"/>
  <c r="AR8" i="12"/>
  <c r="BZ10" i="12"/>
  <c r="CQ11" i="12"/>
  <c r="CQ32" i="11"/>
  <c r="AF7" i="12"/>
  <c r="AF28" i="11"/>
  <c r="BH33" i="11"/>
  <c r="BY33" i="12"/>
  <c r="AE29" i="11"/>
  <c r="BH29" i="12"/>
  <c r="BG27" i="12"/>
  <c r="AQ32" i="11"/>
  <c r="CP31" i="12"/>
  <c r="AC13" i="10"/>
  <c r="AD12" i="10" a="1"/>
  <c r="AD12" i="10" s="1"/>
  <c r="AD11" i="10" a="1"/>
  <c r="AD11" i="10" s="1"/>
  <c r="AD9" i="10" a="1"/>
  <c r="AD9" i="10" s="1"/>
  <c r="AD8" i="10" a="1"/>
  <c r="AD8" i="10" s="1"/>
  <c r="AE2" i="10"/>
  <c r="AD10" i="10" a="1"/>
  <c r="AD10" i="10" s="1"/>
  <c r="AD7" i="10" a="1"/>
  <c r="AD7" i="10" s="1"/>
  <c r="AD6" i="10" a="1"/>
  <c r="AD6" i="10" s="1"/>
  <c r="AR13" i="10"/>
  <c r="CQ13" i="10"/>
  <c r="AS12" i="11" a="1"/>
  <c r="AS12" i="11" s="1"/>
  <c r="AS8" i="11" a="1"/>
  <c r="AS8" i="11" s="1"/>
  <c r="AS11" i="11" a="1"/>
  <c r="AS11" i="11" s="1"/>
  <c r="AS6" i="11" a="1"/>
  <c r="AS6" i="11" s="1"/>
  <c r="AS10" i="11" a="1"/>
  <c r="AS10" i="11" s="1"/>
  <c r="AS9" i="11" a="1"/>
  <c r="AS9" i="11" s="1"/>
  <c r="AS7" i="11" a="1"/>
  <c r="AS7" i="11" s="1"/>
  <c r="AT2" i="11"/>
  <c r="CR12" i="11" a="1"/>
  <c r="CR12" i="11" s="1"/>
  <c r="CR11" i="11" a="1"/>
  <c r="CR11" i="11" s="1"/>
  <c r="CR10" i="11" a="1"/>
  <c r="CR10" i="11" s="1"/>
  <c r="CR8" i="11" a="1"/>
  <c r="CR8" i="11" s="1"/>
  <c r="CR9" i="11" a="1"/>
  <c r="CR9" i="11" s="1"/>
  <c r="CR6" i="11" a="1"/>
  <c r="CR6" i="11" s="1"/>
  <c r="CR7" i="11" a="1"/>
  <c r="CR7" i="11" s="1"/>
  <c r="CS2" i="11"/>
  <c r="CA12" i="10" a="1"/>
  <c r="CA12" i="10" s="1"/>
  <c r="CA11" i="10" a="1"/>
  <c r="CA11" i="10" s="1"/>
  <c r="CA10" i="10" a="1"/>
  <c r="CA10" i="10" s="1"/>
  <c r="CA7" i="10" a="1"/>
  <c r="CA7" i="10" s="1"/>
  <c r="CA8" i="10" a="1"/>
  <c r="CA8" i="10" s="1"/>
  <c r="CA9" i="10" a="1"/>
  <c r="CA9" i="10" s="1"/>
  <c r="CA6" i="10" a="1"/>
  <c r="CA6" i="10" s="1"/>
  <c r="CB2" i="10"/>
  <c r="DH13" i="10"/>
  <c r="AS12" i="10" a="1"/>
  <c r="AS12" i="10" s="1"/>
  <c r="AS9" i="10" a="1"/>
  <c r="AS9" i="10" s="1"/>
  <c r="AS11" i="10" a="1"/>
  <c r="AS11" i="10" s="1"/>
  <c r="AS7" i="10" a="1"/>
  <c r="AS7" i="10" s="1"/>
  <c r="AS8" i="10" a="1"/>
  <c r="AS8" i="10" s="1"/>
  <c r="AS10" i="10" a="1"/>
  <c r="AS10" i="10" s="1"/>
  <c r="AT2" i="10"/>
  <c r="AS6" i="10" a="1"/>
  <c r="AS6" i="10" s="1"/>
  <c r="BI13" i="10"/>
  <c r="CR12" i="10" a="1"/>
  <c r="CR12" i="10" s="1"/>
  <c r="CR10" i="10" a="1"/>
  <c r="CR10" i="10" s="1"/>
  <c r="CR11" i="10" a="1"/>
  <c r="CR11" i="10" s="1"/>
  <c r="CR6" i="10" a="1"/>
  <c r="CR6" i="10" s="1"/>
  <c r="CR8" i="10" a="1"/>
  <c r="CR8" i="10" s="1"/>
  <c r="CR9" i="10" a="1"/>
  <c r="CR9" i="10" s="1"/>
  <c r="CR7" i="10" a="1"/>
  <c r="CR7" i="10" s="1"/>
  <c r="CS2" i="10"/>
  <c r="DI11" i="10" a="1"/>
  <c r="DI11" i="10" s="1"/>
  <c r="DI12" i="10" a="1"/>
  <c r="DI12" i="10" s="1"/>
  <c r="DI9" i="10" a="1"/>
  <c r="DI9" i="10" s="1"/>
  <c r="DH4" i="10"/>
  <c r="DI6" i="10" a="1"/>
  <c r="DI6" i="10" s="1"/>
  <c r="DI10" i="10" a="1"/>
  <c r="DI10" i="10" s="1"/>
  <c r="DI7" i="10" a="1"/>
  <c r="DI7" i="10" s="1"/>
  <c r="DI8" i="10" a="1"/>
  <c r="DI8" i="10" s="1"/>
  <c r="DJ2" i="10"/>
  <c r="DZ12" i="10" a="1"/>
  <c r="DZ12" i="10" s="1"/>
  <c r="DZ11" i="10" a="1"/>
  <c r="DZ11" i="10" s="1"/>
  <c r="DZ10" i="10" a="1"/>
  <c r="DZ10" i="10" s="1"/>
  <c r="DZ9" i="10" a="1"/>
  <c r="DZ9" i="10" s="1"/>
  <c r="DZ7" i="10" a="1"/>
  <c r="DZ7" i="10" s="1"/>
  <c r="DZ8" i="10" a="1"/>
  <c r="DZ8" i="10" s="1"/>
  <c r="DZ6" i="10" a="1"/>
  <c r="DZ6" i="10" s="1"/>
  <c r="ER2" i="10"/>
  <c r="EA2" i="10"/>
  <c r="BZ13" i="10"/>
  <c r="AR13" i="11"/>
  <c r="CA11" i="11" a="1"/>
  <c r="CA11" i="11" s="1"/>
  <c r="CA12" i="11" a="1"/>
  <c r="CA12" i="11" s="1"/>
  <c r="CA10" i="11" a="1"/>
  <c r="CA10" i="11" s="1"/>
  <c r="CA6" i="11" a="1"/>
  <c r="CA6" i="11" s="1"/>
  <c r="CA9" i="11" a="1"/>
  <c r="CA9" i="11" s="1"/>
  <c r="CA8" i="11" a="1"/>
  <c r="CA8" i="11" s="1"/>
  <c r="CB2" i="11"/>
  <c r="CA7" i="11" a="1"/>
  <c r="CA7" i="11" s="1"/>
  <c r="DH13" i="11"/>
  <c r="DH28" i="11" s="1"/>
  <c r="CQ13" i="11"/>
  <c r="CQ28" i="11" s="1"/>
  <c r="BZ13" i="11"/>
  <c r="BZ32" i="11" s="1"/>
  <c r="DZ10" i="11" a="1"/>
  <c r="DZ10" i="11" s="1"/>
  <c r="DZ12" i="11" a="1"/>
  <c r="DZ12" i="11" s="1"/>
  <c r="DZ11" i="11" a="1"/>
  <c r="DZ11" i="11" s="1"/>
  <c r="DZ8" i="11" a="1"/>
  <c r="DZ8" i="11" s="1"/>
  <c r="DZ9" i="11" a="1"/>
  <c r="DZ9" i="11" s="1"/>
  <c r="DZ6" i="11" a="1"/>
  <c r="DZ6" i="11" s="1"/>
  <c r="ER2" i="11"/>
  <c r="DZ7" i="11" a="1"/>
  <c r="DZ7" i="11" s="1"/>
  <c r="EA2" i="11"/>
  <c r="AG10" i="11" a="1"/>
  <c r="AG10" i="11" s="1"/>
  <c r="AG12" i="11" a="1"/>
  <c r="AG12" i="11" s="1"/>
  <c r="AG11" i="11" a="1"/>
  <c r="AG11" i="11" s="1"/>
  <c r="AG8" i="11" a="1"/>
  <c r="AG8" i="11" s="1"/>
  <c r="AG9" i="11" a="1"/>
  <c r="AG9" i="11" s="1"/>
  <c r="AG6" i="11" a="1"/>
  <c r="AG6" i="11" s="1"/>
  <c r="AG7" i="11" a="1"/>
  <c r="AG7" i="11" s="1"/>
  <c r="AH2" i="11"/>
  <c r="AF13" i="11"/>
  <c r="AF32" i="11" s="1"/>
  <c r="BI13" i="11"/>
  <c r="BI29" i="11" s="1"/>
  <c r="DI10" i="11" a="1"/>
  <c r="DI10" i="11" s="1"/>
  <c r="DI11" i="11" a="1"/>
  <c r="DI11" i="11" s="1"/>
  <c r="DI12" i="11" a="1"/>
  <c r="DI12" i="11" s="1"/>
  <c r="DI9" i="11" a="1"/>
  <c r="DI9" i="11" s="1"/>
  <c r="DI8" i="11" a="1"/>
  <c r="DI8" i="11" s="1"/>
  <c r="DI7" i="11" a="1"/>
  <c r="DI7" i="11" s="1"/>
  <c r="DJ2" i="11"/>
  <c r="DI6" i="11" a="1"/>
  <c r="DI6" i="11" s="1"/>
  <c r="DH4" i="11"/>
  <c r="BJ11" i="11" a="1"/>
  <c r="BJ11" i="11" s="1"/>
  <c r="BJ12" i="11" a="1"/>
  <c r="BJ12" i="11" s="1"/>
  <c r="BJ10" i="11" a="1"/>
  <c r="BJ10" i="11" s="1"/>
  <c r="BJ8" i="11" a="1"/>
  <c r="BJ8" i="11" s="1"/>
  <c r="BJ9" i="11" a="1"/>
  <c r="BJ9" i="11" s="1"/>
  <c r="BJ7" i="11" a="1"/>
  <c r="BJ7" i="11" s="1"/>
  <c r="BK2" i="11"/>
  <c r="BJ6" i="11" a="1"/>
  <c r="BJ6" i="11" s="1"/>
  <c r="BJ10" i="10" a="1"/>
  <c r="BJ10" i="10" s="1"/>
  <c r="BJ11" i="10" a="1"/>
  <c r="BJ11" i="10" s="1"/>
  <c r="BJ9" i="10" a="1"/>
  <c r="BJ9" i="10" s="1"/>
  <c r="BJ12" i="10" a="1"/>
  <c r="BJ12" i="10" s="1"/>
  <c r="BK2" i="10"/>
  <c r="BJ7" i="10" a="1"/>
  <c r="BJ7" i="10" s="1"/>
  <c r="BJ8" i="10" a="1"/>
  <c r="BJ8" i="10" s="1"/>
  <c r="BJ6" i="10" a="1"/>
  <c r="BJ6" i="10" s="1"/>
  <c r="CS13" i="2"/>
  <c r="ER13" i="2"/>
  <c r="FJ8" i="2" a="1"/>
  <c r="FJ8" i="2" s="1"/>
  <c r="FJ6" i="2" a="1"/>
  <c r="FJ6" i="2" s="1"/>
  <c r="FJ7" i="2" a="1"/>
  <c r="FJ7" i="2" s="1"/>
  <c r="FJ11" i="2" a="1"/>
  <c r="FJ11" i="2" s="1"/>
  <c r="FK2" i="2"/>
  <c r="FJ12" i="2" a="1"/>
  <c r="FJ12" i="2" s="1"/>
  <c r="GB2" i="2"/>
  <c r="FJ9" i="2" a="1"/>
  <c r="FJ9" i="2" s="1"/>
  <c r="FJ10" i="2" a="1"/>
  <c r="FJ10" i="2" s="1"/>
  <c r="DK8" i="2" a="1"/>
  <c r="DK8" i="2" s="1"/>
  <c r="DK7" i="2" a="1"/>
  <c r="DK7" i="2" s="1"/>
  <c r="DL2" i="2"/>
  <c r="DK11" i="2" a="1"/>
  <c r="DK11" i="2" s="1"/>
  <c r="DK12" i="2" a="1"/>
  <c r="DK12" i="2" s="1"/>
  <c r="DK10" i="2" a="1"/>
  <c r="DK10" i="2" s="1"/>
  <c r="DK6" i="2" a="1"/>
  <c r="DK6" i="2" s="1"/>
  <c r="DK9" i="2" a="1"/>
  <c r="DK9" i="2" s="1"/>
  <c r="ES10" i="2" a="1"/>
  <c r="ES10" i="2" s="1"/>
  <c r="ES8" i="2" a="1"/>
  <c r="ES8" i="2" s="1"/>
  <c r="ES7" i="2" a="1"/>
  <c r="ES7" i="2" s="1"/>
  <c r="ER4" i="2"/>
  <c r="ET2" i="2"/>
  <c r="ES12" i="2" a="1"/>
  <c r="ES12" i="2" s="1"/>
  <c r="ES11" i="2" a="1"/>
  <c r="ES11" i="2" s="1"/>
  <c r="ES9" i="2" a="1"/>
  <c r="ES9" i="2" s="1"/>
  <c r="ES6" i="2" a="1"/>
  <c r="ES6" i="2" s="1"/>
  <c r="DJ13" i="2"/>
  <c r="EA13" i="2"/>
  <c r="BK12" i="2" a="1"/>
  <c r="BK12" i="2" s="1"/>
  <c r="BK11" i="2" a="1"/>
  <c r="BK11" i="2" s="1"/>
  <c r="BK8" i="2" a="1"/>
  <c r="BK8" i="2" s="1"/>
  <c r="BK6" i="2" a="1"/>
  <c r="BK6" i="2" s="1"/>
  <c r="BL2" i="2"/>
  <c r="BK9" i="2" a="1"/>
  <c r="BK9" i="2" s="1"/>
  <c r="BK10" i="2" a="1"/>
  <c r="BK10" i="2" s="1"/>
  <c r="BK7" i="2" a="1"/>
  <c r="BK7" i="2" s="1"/>
  <c r="CB13" i="2"/>
  <c r="BJ13" i="2"/>
  <c r="EB10" i="2" a="1"/>
  <c r="EB10" i="2" s="1"/>
  <c r="EB9" i="2" a="1"/>
  <c r="EB9" i="2" s="1"/>
  <c r="EB8" i="2" a="1"/>
  <c r="EB8" i="2" s="1"/>
  <c r="EB6" i="2" a="1"/>
  <c r="EB6" i="2" s="1"/>
  <c r="EC2" i="2"/>
  <c r="EB12" i="2" a="1"/>
  <c r="EB12" i="2" s="1"/>
  <c r="EB7" i="2" a="1"/>
  <c r="EB7" i="2" s="1"/>
  <c r="EB11" i="2" a="1"/>
  <c r="EB11" i="2" s="1"/>
  <c r="CD2" i="2"/>
  <c r="CC10" i="2" a="1"/>
  <c r="CC10" i="2" s="1"/>
  <c r="CC6" i="2" a="1"/>
  <c r="CC6" i="2" s="1"/>
  <c r="CC9" i="2" a="1"/>
  <c r="CC9" i="2" s="1"/>
  <c r="CC12" i="2" a="1"/>
  <c r="CC12" i="2" s="1"/>
  <c r="CC8" i="2" a="1"/>
  <c r="CC8" i="2" s="1"/>
  <c r="CC11" i="2" a="1"/>
  <c r="CC11" i="2" s="1"/>
  <c r="CC7" i="2" a="1"/>
  <c r="CC7" i="2" s="1"/>
  <c r="CT12" i="2" a="1"/>
  <c r="CT12" i="2" s="1"/>
  <c r="CT7" i="2" a="1"/>
  <c r="CT7" i="2" s="1"/>
  <c r="CT8" i="2" a="1"/>
  <c r="CT8" i="2" s="1"/>
  <c r="CT6" i="2" a="1"/>
  <c r="CT6" i="2" s="1"/>
  <c r="CT11" i="2" a="1"/>
  <c r="CT11" i="2" s="1"/>
  <c r="CU2" i="2"/>
  <c r="CT9" i="2" a="1"/>
  <c r="CT9" i="2" s="1"/>
  <c r="CT10" i="2" a="1"/>
  <c r="CT10" i="2" s="1"/>
  <c r="AR13" i="2"/>
  <c r="AS7" i="2" a="1"/>
  <c r="AS7" i="2" s="1"/>
  <c r="AS6" i="2" a="1"/>
  <c r="AS6" i="2" s="1"/>
  <c r="AS10" i="2" a="1"/>
  <c r="AS10" i="2" s="1"/>
  <c r="AS9" i="2" a="1"/>
  <c r="AS9" i="2" s="1"/>
  <c r="AS8" i="2" a="1"/>
  <c r="AS8" i="2" s="1"/>
  <c r="AS11" i="2" a="1"/>
  <c r="AS11" i="2" s="1"/>
  <c r="AS12" i="2" a="1"/>
  <c r="AS12" i="2" s="1"/>
  <c r="AT2" i="2"/>
  <c r="CR9" i="12" l="1"/>
  <c r="CP34" i="12"/>
  <c r="DI9" i="12"/>
  <c r="DI30" i="11"/>
  <c r="CA8" i="12"/>
  <c r="CR8" i="12"/>
  <c r="CQ30" i="11"/>
  <c r="CQ33" i="12"/>
  <c r="BI31" i="11"/>
  <c r="AF31" i="11"/>
  <c r="AR30" i="12"/>
  <c r="AE33" i="12"/>
  <c r="DH33" i="11"/>
  <c r="CP33" i="12"/>
  <c r="AE29" i="12"/>
  <c r="AF30" i="11"/>
  <c r="AG12" i="12"/>
  <c r="DZ7" i="12"/>
  <c r="DZ28" i="11"/>
  <c r="DI11" i="12"/>
  <c r="CA6" i="12"/>
  <c r="CR11" i="12"/>
  <c r="CQ32" i="12"/>
  <c r="CQ30" i="12"/>
  <c r="DH32" i="11"/>
  <c r="BZ28" i="11"/>
  <c r="CQ29" i="11"/>
  <c r="BJ6" i="12"/>
  <c r="DI10" i="12"/>
  <c r="CA10" i="12"/>
  <c r="CA31" i="11"/>
  <c r="CR12" i="12"/>
  <c r="CQ29" i="12"/>
  <c r="DH27" i="11"/>
  <c r="CR6" i="12"/>
  <c r="CQ13" i="12"/>
  <c r="CQ27" i="12"/>
  <c r="BJ7" i="12"/>
  <c r="DZ6" i="12"/>
  <c r="BJ9" i="12"/>
  <c r="BJ30" i="11"/>
  <c r="BI34" i="11"/>
  <c r="DZ9" i="12"/>
  <c r="CA12" i="12"/>
  <c r="BZ31" i="11"/>
  <c r="AE27" i="12"/>
  <c r="BI33" i="11"/>
  <c r="BZ27" i="11"/>
  <c r="BI29" i="12"/>
  <c r="AF33" i="11"/>
  <c r="DH13" i="12"/>
  <c r="DH32" i="12" s="1"/>
  <c r="DH27" i="12"/>
  <c r="CA9" i="12"/>
  <c r="DZ8" i="12"/>
  <c r="CA11" i="12"/>
  <c r="CA32" i="11"/>
  <c r="AS7" i="12"/>
  <c r="CQ28" i="12"/>
  <c r="AE34" i="12"/>
  <c r="BI33" i="12"/>
  <c r="BZ13" i="12"/>
  <c r="BZ30" i="12" s="1"/>
  <c r="BZ27" i="12"/>
  <c r="BI30" i="11"/>
  <c r="CA7" i="12"/>
  <c r="BJ8" i="12"/>
  <c r="BJ29" i="11"/>
  <c r="AF34" i="11"/>
  <c r="BJ10" i="12"/>
  <c r="DZ11" i="12"/>
  <c r="AR34" i="11"/>
  <c r="AS9" i="12"/>
  <c r="BI30" i="12"/>
  <c r="BI27" i="11"/>
  <c r="DH30" i="11"/>
  <c r="AE30" i="12"/>
  <c r="AQ33" i="12"/>
  <c r="BZ30" i="11"/>
  <c r="CR10" i="12"/>
  <c r="BI31" i="12"/>
  <c r="DH33" i="12"/>
  <c r="AF30" i="12"/>
  <c r="AG7" i="12"/>
  <c r="DZ12" i="12"/>
  <c r="AS10" i="12"/>
  <c r="AR29" i="11"/>
  <c r="AR33" i="11"/>
  <c r="BY34" i="12"/>
  <c r="DH31" i="11"/>
  <c r="BH30" i="12"/>
  <c r="BI13" i="12"/>
  <c r="BI27" i="12"/>
  <c r="DH30" i="12"/>
  <c r="AQ32" i="12"/>
  <c r="DI7" i="12"/>
  <c r="DI28" i="11"/>
  <c r="BJ12" i="12"/>
  <c r="BJ33" i="11"/>
  <c r="AG6" i="12"/>
  <c r="DZ10" i="12"/>
  <c r="AS6" i="12"/>
  <c r="AS27" i="11"/>
  <c r="AR29" i="12"/>
  <c r="AR33" i="12"/>
  <c r="DH31" i="12"/>
  <c r="DH28" i="12"/>
  <c r="AG10" i="12"/>
  <c r="AG31" i="11"/>
  <c r="BJ11" i="12"/>
  <c r="BJ32" i="11"/>
  <c r="AG9" i="12"/>
  <c r="BZ34" i="11"/>
  <c r="AS11" i="12"/>
  <c r="AE31" i="12"/>
  <c r="AQ34" i="12"/>
  <c r="AR32" i="11"/>
  <c r="BH27" i="12"/>
  <c r="BZ33" i="11"/>
  <c r="AQ28" i="12"/>
  <c r="BY29" i="12"/>
  <c r="AR28" i="11"/>
  <c r="DI8" i="12"/>
  <c r="DI6" i="12"/>
  <c r="AG8" i="12"/>
  <c r="AG29" i="11"/>
  <c r="CQ34" i="11"/>
  <c r="AS8" i="12"/>
  <c r="CP28" i="12"/>
  <c r="AF27" i="11"/>
  <c r="BI28" i="11"/>
  <c r="AE28" i="12"/>
  <c r="AR32" i="12"/>
  <c r="BI32" i="11"/>
  <c r="BH34" i="12"/>
  <c r="AR27" i="11"/>
  <c r="CP29" i="12"/>
  <c r="CQ31" i="11"/>
  <c r="BZ29" i="11"/>
  <c r="AR28" i="12"/>
  <c r="DI12" i="12"/>
  <c r="DI33" i="11"/>
  <c r="AG11" i="12"/>
  <c r="DH34" i="11"/>
  <c r="CR7" i="12"/>
  <c r="AS12" i="12"/>
  <c r="AF13" i="12"/>
  <c r="AF27" i="12"/>
  <c r="BI28" i="12"/>
  <c r="CQ27" i="11"/>
  <c r="BI32" i="12"/>
  <c r="AR13" i="12"/>
  <c r="AR27" i="12"/>
  <c r="CQ31" i="12"/>
  <c r="BZ29" i="12"/>
  <c r="BY31" i="12"/>
  <c r="BJ13" i="11"/>
  <c r="BJ28" i="11" s="1"/>
  <c r="AH12" i="11" a="1"/>
  <c r="AH12" i="11" s="1"/>
  <c r="AH11" i="11" a="1"/>
  <c r="AH11" i="11" s="1"/>
  <c r="AH10" i="11" a="1"/>
  <c r="AH10" i="11" s="1"/>
  <c r="AH8" i="11" a="1"/>
  <c r="AH8" i="11" s="1"/>
  <c r="AH9" i="11" a="1"/>
  <c r="AH9" i="11" s="1"/>
  <c r="AI2" i="11"/>
  <c r="AH6" i="11" a="1"/>
  <c r="AH6" i="11" s="1"/>
  <c r="AH7" i="11" a="1"/>
  <c r="AH7" i="11" s="1"/>
  <c r="BK12" i="11" a="1"/>
  <c r="BK12" i="11" s="1"/>
  <c r="BK10" i="11" a="1"/>
  <c r="BK10" i="11" s="1"/>
  <c r="BK8" i="11" a="1"/>
  <c r="BK8" i="11" s="1"/>
  <c r="BK9" i="11" a="1"/>
  <c r="BK9" i="11" s="1"/>
  <c r="BK7" i="11" a="1"/>
  <c r="BK7" i="11" s="1"/>
  <c r="BK11" i="11" a="1"/>
  <c r="BK11" i="11" s="1"/>
  <c r="BK6" i="11" a="1"/>
  <c r="BK6" i="11" s="1"/>
  <c r="BL2" i="11"/>
  <c r="DI13" i="11"/>
  <c r="DI29" i="11" s="1"/>
  <c r="CR13" i="10"/>
  <c r="CA13" i="11"/>
  <c r="DJ11" i="11" a="1"/>
  <c r="DJ11" i="11" s="1"/>
  <c r="DJ12" i="11" a="1"/>
  <c r="DJ12" i="11" s="1"/>
  <c r="DJ10" i="11" a="1"/>
  <c r="DJ10" i="11" s="1"/>
  <c r="DJ7" i="11" a="1"/>
  <c r="DJ7" i="11" s="1"/>
  <c r="DJ6" i="11" a="1"/>
  <c r="DJ6" i="11" s="1"/>
  <c r="DJ9" i="11" a="1"/>
  <c r="DJ9" i="11" s="1"/>
  <c r="DJ8" i="11" a="1"/>
  <c r="DJ8" i="11" s="1"/>
  <c r="DK2" i="11"/>
  <c r="EA11" i="11" a="1"/>
  <c r="EA11" i="11" s="1"/>
  <c r="EA12" i="11" a="1"/>
  <c r="EA12" i="11" s="1"/>
  <c r="EA10" i="11" a="1"/>
  <c r="EA10" i="11" s="1"/>
  <c r="EA8" i="11" a="1"/>
  <c r="EA8" i="11" s="1"/>
  <c r="EA9" i="11" a="1"/>
  <c r="EA9" i="11" s="1"/>
  <c r="EB2" i="11"/>
  <c r="EA7" i="11" a="1"/>
  <c r="EA7" i="11" s="1"/>
  <c r="EA6" i="11" a="1"/>
  <c r="EA6" i="11" s="1"/>
  <c r="DZ4" i="11"/>
  <c r="BJ13" i="10"/>
  <c r="EA12" i="10" a="1"/>
  <c r="EA12" i="10" s="1"/>
  <c r="EA10" i="10" a="1"/>
  <c r="EA10" i="10" s="1"/>
  <c r="EA9" i="10" a="1"/>
  <c r="EA9" i="10" s="1"/>
  <c r="EA6" i="10" a="1"/>
  <c r="EA6" i="10" s="1"/>
  <c r="EA8" i="10" a="1"/>
  <c r="EA8" i="10" s="1"/>
  <c r="EA11" i="10" a="1"/>
  <c r="EA11" i="10" s="1"/>
  <c r="DZ4" i="10"/>
  <c r="EB2" i="10"/>
  <c r="EA7" i="10" a="1"/>
  <c r="EA7" i="10" s="1"/>
  <c r="DJ11" i="10" a="1"/>
  <c r="DJ11" i="10" s="1"/>
  <c r="DJ10" i="10" a="1"/>
  <c r="DJ10" i="10" s="1"/>
  <c r="DJ12" i="10" a="1"/>
  <c r="DJ12" i="10" s="1"/>
  <c r="DJ7" i="10" a="1"/>
  <c r="DJ7" i="10" s="1"/>
  <c r="DJ8" i="10" a="1"/>
  <c r="DJ8" i="10" s="1"/>
  <c r="DJ9" i="10" a="1"/>
  <c r="DJ9" i="10" s="1"/>
  <c r="DK2" i="10"/>
  <c r="DJ6" i="10" a="1"/>
  <c r="DJ6" i="10" s="1"/>
  <c r="AT12" i="11" a="1"/>
  <c r="AT12" i="11" s="1"/>
  <c r="AT11" i="11" a="1"/>
  <c r="AT11" i="11" s="1"/>
  <c r="AT10" i="11" a="1"/>
  <c r="AT10" i="11" s="1"/>
  <c r="AT8" i="11" a="1"/>
  <c r="AT8" i="11" s="1"/>
  <c r="AT9" i="11" a="1"/>
  <c r="AT9" i="11" s="1"/>
  <c r="AT7" i="11" a="1"/>
  <c r="AT7" i="11" s="1"/>
  <c r="AT6" i="11" a="1"/>
  <c r="AT6" i="11" s="1"/>
  <c r="AU2" i="11"/>
  <c r="AD13" i="10"/>
  <c r="ER10" i="11" a="1"/>
  <c r="ER10" i="11" s="1"/>
  <c r="ER11" i="11" a="1"/>
  <c r="ER11" i="11" s="1"/>
  <c r="ER12" i="11" a="1"/>
  <c r="ER12" i="11" s="1"/>
  <c r="ER9" i="11" a="1"/>
  <c r="ER9" i="11" s="1"/>
  <c r="ER8" i="11" a="1"/>
  <c r="ER8" i="11" s="1"/>
  <c r="ER7" i="11" a="1"/>
  <c r="ER7" i="11" s="1"/>
  <c r="ES2" i="11"/>
  <c r="ER6" i="11" a="1"/>
  <c r="ER6" i="11" s="1"/>
  <c r="FJ2" i="11"/>
  <c r="ER12" i="10" a="1"/>
  <c r="ER12" i="10" s="1"/>
  <c r="ER10" i="10" a="1"/>
  <c r="ER10" i="10" s="1"/>
  <c r="ER9" i="10" a="1"/>
  <c r="ER9" i="10" s="1"/>
  <c r="ER11" i="10" a="1"/>
  <c r="ER11" i="10" s="1"/>
  <c r="ER6" i="10" a="1"/>
  <c r="ER6" i="10" s="1"/>
  <c r="ER13" i="10" s="1"/>
  <c r="ER7" i="10" a="1"/>
  <c r="ER7" i="10" s="1"/>
  <c r="ER8" i="10" a="1"/>
  <c r="ER8" i="10" s="1"/>
  <c r="ES2" i="10"/>
  <c r="FJ2" i="10"/>
  <c r="DZ13" i="11"/>
  <c r="DZ30" i="11" s="1"/>
  <c r="DZ13" i="10"/>
  <c r="AE12" i="10" a="1"/>
  <c r="AE12" i="10" s="1"/>
  <c r="AE9" i="10" a="1"/>
  <c r="AE9" i="10" s="1"/>
  <c r="AE11" i="10" a="1"/>
  <c r="AE11" i="10" s="1"/>
  <c r="AE10" i="10" a="1"/>
  <c r="AE10" i="10" s="1"/>
  <c r="AE8" i="10" a="1"/>
  <c r="AE8" i="10" s="1"/>
  <c r="AF2" i="10"/>
  <c r="AE7" i="10" a="1"/>
  <c r="AE7" i="10" s="1"/>
  <c r="AE6" i="10" a="1"/>
  <c r="AE6" i="10" s="1"/>
  <c r="BK12" i="10" a="1"/>
  <c r="BK12" i="10" s="1"/>
  <c r="BK11" i="10" a="1"/>
  <c r="BK11" i="10" s="1"/>
  <c r="BK8" i="10" a="1"/>
  <c r="BK8" i="10" s="1"/>
  <c r="BK9" i="10" a="1"/>
  <c r="BK9" i="10" s="1"/>
  <c r="BK10" i="10" a="1"/>
  <c r="BK10" i="10" s="1"/>
  <c r="BK6" i="10" a="1"/>
  <c r="BK6" i="10" s="1"/>
  <c r="BK7" i="10" a="1"/>
  <c r="BK7" i="10" s="1"/>
  <c r="BL2" i="10"/>
  <c r="CB12" i="11" a="1"/>
  <c r="CB12" i="11" s="1"/>
  <c r="CB8" i="11" a="1"/>
  <c r="CB8" i="11" s="1"/>
  <c r="CB10" i="11" a="1"/>
  <c r="CB10" i="11" s="1"/>
  <c r="CB6" i="11" a="1"/>
  <c r="CB6" i="11" s="1"/>
  <c r="CB11" i="11" a="1"/>
  <c r="CB11" i="11" s="1"/>
  <c r="CB7" i="11" a="1"/>
  <c r="CB7" i="11" s="1"/>
  <c r="CB9" i="11" a="1"/>
  <c r="CB9" i="11" s="1"/>
  <c r="CC2" i="11"/>
  <c r="DI13" i="10"/>
  <c r="AS13" i="10"/>
  <c r="AS13" i="11"/>
  <c r="AS29" i="11" s="1"/>
  <c r="AT12" i="10" a="1"/>
  <c r="AT12" i="10" s="1"/>
  <c r="AT9" i="10" a="1"/>
  <c r="AT9" i="10" s="1"/>
  <c r="AT11" i="10" a="1"/>
  <c r="AT11" i="10" s="1"/>
  <c r="AT10" i="10" a="1"/>
  <c r="AT10" i="10" s="1"/>
  <c r="AT7" i="10" a="1"/>
  <c r="AT7" i="10" s="1"/>
  <c r="AT8" i="10" a="1"/>
  <c r="AT8" i="10" s="1"/>
  <c r="AT6" i="10" a="1"/>
  <c r="AT6" i="10" s="1"/>
  <c r="AU2" i="10"/>
  <c r="CS11" i="11" a="1"/>
  <c r="CS11" i="11" s="1"/>
  <c r="CS12" i="11" a="1"/>
  <c r="CS12" i="11" s="1"/>
  <c r="CS10" i="11" a="1"/>
  <c r="CS10" i="11" s="1"/>
  <c r="CS9" i="11" a="1"/>
  <c r="CS9" i="11" s="1"/>
  <c r="CS8" i="11" a="1"/>
  <c r="CS8" i="11" s="1"/>
  <c r="CS7" i="11" a="1"/>
  <c r="CS7" i="11" s="1"/>
  <c r="CT2" i="11"/>
  <c r="CS6" i="11" a="1"/>
  <c r="CS6" i="11" s="1"/>
  <c r="AG13" i="11"/>
  <c r="AG28" i="11" s="1"/>
  <c r="CB11" i="10" a="1"/>
  <c r="CB11" i="10" s="1"/>
  <c r="CB12" i="10" a="1"/>
  <c r="CB12" i="10" s="1"/>
  <c r="CB10" i="10" a="1"/>
  <c r="CB10" i="10" s="1"/>
  <c r="CB9" i="10" a="1"/>
  <c r="CB9" i="10" s="1"/>
  <c r="CB7" i="10" a="1"/>
  <c r="CB7" i="10" s="1"/>
  <c r="CC2" i="10"/>
  <c r="CB8" i="10" a="1"/>
  <c r="CB8" i="10" s="1"/>
  <c r="CB6" i="10" a="1"/>
  <c r="CB6" i="10" s="1"/>
  <c r="CR13" i="11"/>
  <c r="CR28" i="11" s="1"/>
  <c r="CS12" i="10" a="1"/>
  <c r="CS12" i="10" s="1"/>
  <c r="CS11" i="10" a="1"/>
  <c r="CS11" i="10" s="1"/>
  <c r="CS10" i="10" a="1"/>
  <c r="CS10" i="10" s="1"/>
  <c r="CS9" i="10" a="1"/>
  <c r="CS9" i="10" s="1"/>
  <c r="CS7" i="10" a="1"/>
  <c r="CS7" i="10" s="1"/>
  <c r="CS8" i="10" a="1"/>
  <c r="CS8" i="10" s="1"/>
  <c r="CT2" i="10"/>
  <c r="CS6" i="10" a="1"/>
  <c r="CS6" i="10" s="1"/>
  <c r="CA13" i="10"/>
  <c r="FK6" i="2" a="1"/>
  <c r="FK6" i="2" s="1"/>
  <c r="FK9" i="2" a="1"/>
  <c r="FK9" i="2" s="1"/>
  <c r="FK11" i="2" a="1"/>
  <c r="FK11" i="2" s="1"/>
  <c r="FL2" i="2"/>
  <c r="FK12" i="2" a="1"/>
  <c r="FK12" i="2" s="1"/>
  <c r="FK7" i="2" a="1"/>
  <c r="FK7" i="2" s="1"/>
  <c r="FK10" i="2" a="1"/>
  <c r="FK10" i="2" s="1"/>
  <c r="FK8" i="2" a="1"/>
  <c r="FK8" i="2" s="1"/>
  <c r="FJ4" i="2"/>
  <c r="EB13" i="2"/>
  <c r="FJ13" i="2"/>
  <c r="DK13" i="2"/>
  <c r="EC8" i="2" a="1"/>
  <c r="EC8" i="2" s="1"/>
  <c r="EC7" i="2" a="1"/>
  <c r="EC7" i="2" s="1"/>
  <c r="EC6" i="2" a="1"/>
  <c r="EC6" i="2" s="1"/>
  <c r="EC9" i="2" a="1"/>
  <c r="EC9" i="2" s="1"/>
  <c r="EC10" i="2" a="1"/>
  <c r="EC10" i="2" s="1"/>
  <c r="EC11" i="2" a="1"/>
  <c r="EC11" i="2" s="1"/>
  <c r="EC12" i="2" a="1"/>
  <c r="EC12" i="2" s="1"/>
  <c r="ED2" i="2"/>
  <c r="CU10" i="2" a="1"/>
  <c r="CU10" i="2" s="1"/>
  <c r="CU7" i="2" a="1"/>
  <c r="CU7" i="2" s="1"/>
  <c r="CU8" i="2" a="1"/>
  <c r="CU8" i="2" s="1"/>
  <c r="CU6" i="2" a="1"/>
  <c r="CU6" i="2" s="1"/>
  <c r="CU9" i="2" a="1"/>
  <c r="CU9" i="2" s="1"/>
  <c r="CU11" i="2" a="1"/>
  <c r="CU11" i="2" s="1"/>
  <c r="CU12" i="2" a="1"/>
  <c r="CU12" i="2" s="1"/>
  <c r="CV2" i="2"/>
  <c r="CC13" i="2"/>
  <c r="BL10" i="2" a="1"/>
  <c r="BL10" i="2" s="1"/>
  <c r="BL12" i="2" a="1"/>
  <c r="BL12" i="2" s="1"/>
  <c r="BL7" i="2" a="1"/>
  <c r="BL7" i="2" s="1"/>
  <c r="BL9" i="2" a="1"/>
  <c r="BL9" i="2" s="1"/>
  <c r="BM2" i="2"/>
  <c r="BL11" i="2" a="1"/>
  <c r="BL11" i="2" s="1"/>
  <c r="BL6" i="2" a="1"/>
  <c r="BL6" i="2" s="1"/>
  <c r="BL8" i="2" a="1"/>
  <c r="BL8" i="2" s="1"/>
  <c r="BK13" i="2"/>
  <c r="ES13" i="2"/>
  <c r="DL11" i="2" a="1"/>
  <c r="DL11" i="2" s="1"/>
  <c r="DL12" i="2" a="1"/>
  <c r="DL12" i="2" s="1"/>
  <c r="DL10" i="2" a="1"/>
  <c r="DL10" i="2" s="1"/>
  <c r="DL7" i="2" a="1"/>
  <c r="DL7" i="2" s="1"/>
  <c r="DM2" i="2"/>
  <c r="DL6" i="2" a="1"/>
  <c r="DL6" i="2" s="1"/>
  <c r="DL9" i="2" a="1"/>
  <c r="DL9" i="2" s="1"/>
  <c r="DL8" i="2" a="1"/>
  <c r="DL8" i="2" s="1"/>
  <c r="CE2" i="2"/>
  <c r="CD12" i="2" a="1"/>
  <c r="CD12" i="2" s="1"/>
  <c r="CD9" i="2" a="1"/>
  <c r="CD9" i="2" s="1"/>
  <c r="CD6" i="2" a="1"/>
  <c r="CD6" i="2" s="1"/>
  <c r="CD8" i="2" a="1"/>
  <c r="CD8" i="2" s="1"/>
  <c r="CD11" i="2" a="1"/>
  <c r="CD11" i="2" s="1"/>
  <c r="CD7" i="2" a="1"/>
  <c r="CD7" i="2" s="1"/>
  <c r="CD10" i="2" a="1"/>
  <c r="CD10" i="2" s="1"/>
  <c r="ET8" i="2" a="1"/>
  <c r="ET8" i="2" s="1"/>
  <c r="ET6" i="2" a="1"/>
  <c r="ET6" i="2" s="1"/>
  <c r="ET10" i="2" a="1"/>
  <c r="ET10" i="2" s="1"/>
  <c r="ET7" i="2" a="1"/>
  <c r="ET7" i="2" s="1"/>
  <c r="EU2" i="2"/>
  <c r="ET12" i="2" a="1"/>
  <c r="ET12" i="2" s="1"/>
  <c r="ET11" i="2" a="1"/>
  <c r="ET11" i="2" s="1"/>
  <c r="ET9" i="2" a="1"/>
  <c r="ET9" i="2" s="1"/>
  <c r="GT2" i="2"/>
  <c r="GB12" i="2" a="1"/>
  <c r="GB12" i="2" s="1"/>
  <c r="GB11" i="2" a="1"/>
  <c r="GB11" i="2" s="1"/>
  <c r="GB10" i="2" a="1"/>
  <c r="GB10" i="2" s="1"/>
  <c r="GB6" i="2" a="1"/>
  <c r="GB6" i="2" s="1"/>
  <c r="GC2" i="2"/>
  <c r="GB7" i="2" a="1"/>
  <c r="GB7" i="2" s="1"/>
  <c r="GB9" i="2" a="1"/>
  <c r="GB9" i="2" s="1"/>
  <c r="GB8" i="2" a="1"/>
  <c r="GB8" i="2" s="1"/>
  <c r="CT13" i="2"/>
  <c r="AS13" i="2"/>
  <c r="AT12" i="2" a="1"/>
  <c r="AT12" i="2" s="1"/>
  <c r="AT8" i="2" a="1"/>
  <c r="AT8" i="2" s="1"/>
  <c r="AT10" i="2" a="1"/>
  <c r="AT10" i="2" s="1"/>
  <c r="AT6" i="2" a="1"/>
  <c r="AT6" i="2" s="1"/>
  <c r="AT11" i="2" a="1"/>
  <c r="AT11" i="2" s="1"/>
  <c r="AT7" i="2" a="1"/>
  <c r="AT7" i="2" s="1"/>
  <c r="AU2" i="2"/>
  <c r="AT9" i="2" a="1"/>
  <c r="AT9" i="2" s="1"/>
  <c r="ER11" i="12" l="1"/>
  <c r="DJ10" i="12"/>
  <c r="BK12" i="12"/>
  <c r="AF34" i="12"/>
  <c r="CR27" i="11"/>
  <c r="EA6" i="12"/>
  <c r="DJ12" i="12"/>
  <c r="AH6" i="12"/>
  <c r="AS33" i="11"/>
  <c r="DI27" i="11"/>
  <c r="AS13" i="12"/>
  <c r="AS27" i="12"/>
  <c r="CA32" i="12"/>
  <c r="AG33" i="11"/>
  <c r="ER10" i="12"/>
  <c r="CS11" i="12"/>
  <c r="CB7" i="12"/>
  <c r="CB11" i="12"/>
  <c r="EA7" i="12"/>
  <c r="DJ11" i="12"/>
  <c r="AS33" i="12"/>
  <c r="DI13" i="12"/>
  <c r="DI27" i="12"/>
  <c r="AS32" i="11"/>
  <c r="AF31" i="12"/>
  <c r="DI31" i="11"/>
  <c r="CS9" i="12"/>
  <c r="AH7" i="12"/>
  <c r="AG31" i="12"/>
  <c r="BZ34" i="12"/>
  <c r="CR13" i="12"/>
  <c r="CR27" i="12"/>
  <c r="CB6" i="12"/>
  <c r="AT6" i="12"/>
  <c r="CA34" i="11"/>
  <c r="AH9" i="12"/>
  <c r="AS32" i="12"/>
  <c r="DZ31" i="11"/>
  <c r="AS31" i="11"/>
  <c r="AS30" i="11"/>
  <c r="DZ29" i="11"/>
  <c r="DZ27" i="11"/>
  <c r="CR32" i="11"/>
  <c r="BK10" i="12"/>
  <c r="BJ31" i="12"/>
  <c r="AS28" i="12"/>
  <c r="CB10" i="12"/>
  <c r="AT7" i="12"/>
  <c r="EA9" i="12"/>
  <c r="AH8" i="12"/>
  <c r="AH29" i="11"/>
  <c r="AR34" i="12"/>
  <c r="BZ32" i="12"/>
  <c r="AS31" i="12"/>
  <c r="AS30" i="12"/>
  <c r="DZ13" i="12"/>
  <c r="DZ29" i="12" s="1"/>
  <c r="DZ27" i="12"/>
  <c r="AR31" i="12"/>
  <c r="CR34" i="11"/>
  <c r="CB8" i="12"/>
  <c r="AT9" i="12"/>
  <c r="EA8" i="12"/>
  <c r="EA29" i="11"/>
  <c r="DI34" i="11"/>
  <c r="AH10" i="12"/>
  <c r="CR28" i="12"/>
  <c r="CA28" i="11"/>
  <c r="BJ27" i="11"/>
  <c r="CS10" i="12"/>
  <c r="CB12" i="12"/>
  <c r="AT8" i="12"/>
  <c r="EA10" i="12"/>
  <c r="AH11" i="12"/>
  <c r="AH32" i="11"/>
  <c r="BZ33" i="12"/>
  <c r="AG27" i="11"/>
  <c r="DZ33" i="11"/>
  <c r="CA28" i="12"/>
  <c r="CA30" i="11"/>
  <c r="CA33" i="11"/>
  <c r="BZ28" i="12"/>
  <c r="BJ13" i="12"/>
  <c r="BJ27" i="12"/>
  <c r="CA27" i="11"/>
  <c r="CR29" i="11"/>
  <c r="AF28" i="12"/>
  <c r="DJ6" i="12"/>
  <c r="AT10" i="12"/>
  <c r="EA12" i="12"/>
  <c r="BK6" i="12"/>
  <c r="AH12" i="12"/>
  <c r="AG30" i="11"/>
  <c r="AG13" i="12"/>
  <c r="AG27" i="12" s="1"/>
  <c r="BI34" i="12"/>
  <c r="CR31" i="11"/>
  <c r="CA30" i="12"/>
  <c r="CA33" i="12"/>
  <c r="CA13" i="12"/>
  <c r="CA27" i="12" s="1"/>
  <c r="DH29" i="12"/>
  <c r="DJ7" i="12"/>
  <c r="ER6" i="12"/>
  <c r="AT11" i="12"/>
  <c r="EA11" i="12"/>
  <c r="BK11" i="12"/>
  <c r="BJ34" i="11"/>
  <c r="AS29" i="12"/>
  <c r="AG30" i="12"/>
  <c r="CR31" i="12"/>
  <c r="DZ32" i="11"/>
  <c r="AF32" i="12"/>
  <c r="CR29" i="12"/>
  <c r="CR30" i="11"/>
  <c r="ER12" i="12"/>
  <c r="CS6" i="12"/>
  <c r="ER7" i="12"/>
  <c r="AT12" i="12"/>
  <c r="BK7" i="12"/>
  <c r="AG32" i="11"/>
  <c r="BZ31" i="12"/>
  <c r="DI32" i="11"/>
  <c r="CR30" i="12"/>
  <c r="CS12" i="12"/>
  <c r="CS7" i="12"/>
  <c r="AS34" i="11"/>
  <c r="DZ34" i="11"/>
  <c r="ER8" i="12"/>
  <c r="DJ8" i="12"/>
  <c r="BK9" i="12"/>
  <c r="AG32" i="12"/>
  <c r="BJ33" i="12"/>
  <c r="AG28" i="12"/>
  <c r="AF33" i="12"/>
  <c r="DH34" i="12"/>
  <c r="CR33" i="11"/>
  <c r="DI32" i="12"/>
  <c r="AF29" i="12"/>
  <c r="CA29" i="11"/>
  <c r="CB9" i="12"/>
  <c r="AG34" i="11"/>
  <c r="CS8" i="12"/>
  <c r="ER9" i="12"/>
  <c r="DJ9" i="12"/>
  <c r="BK8" i="12"/>
  <c r="BJ31" i="11"/>
  <c r="AS28" i="11"/>
  <c r="CQ34" i="12"/>
  <c r="CR33" i="12"/>
  <c r="CA29" i="12"/>
  <c r="AT13" i="10"/>
  <c r="EB12" i="10" a="1"/>
  <c r="EB12" i="10" s="1"/>
  <c r="EB10" i="10" a="1"/>
  <c r="EB10" i="10" s="1"/>
  <c r="EB9" i="10" a="1"/>
  <c r="EB9" i="10" s="1"/>
  <c r="EB11" i="10" a="1"/>
  <c r="EB11" i="10" s="1"/>
  <c r="EB7" i="10" a="1"/>
  <c r="EB7" i="10" s="1"/>
  <c r="EB8" i="10" a="1"/>
  <c r="EB8" i="10" s="1"/>
  <c r="EC2" i="10"/>
  <c r="EB6" i="10" a="1"/>
  <c r="EB6" i="10" s="1"/>
  <c r="EA13" i="11"/>
  <c r="CB13" i="10"/>
  <c r="CC12" i="11" a="1"/>
  <c r="CC12" i="11" s="1"/>
  <c r="CC11" i="11" a="1"/>
  <c r="CC11" i="11" s="1"/>
  <c r="CC10" i="11" a="1"/>
  <c r="CC10" i="11" s="1"/>
  <c r="CC9" i="11" a="1"/>
  <c r="CC9" i="11" s="1"/>
  <c r="CC8" i="11" a="1"/>
  <c r="CC8" i="11" s="1"/>
  <c r="CC7" i="11" a="1"/>
  <c r="CC7" i="11" s="1"/>
  <c r="CC6" i="11" a="1"/>
  <c r="CC6" i="11" s="1"/>
  <c r="CD2" i="11"/>
  <c r="AE13" i="10"/>
  <c r="FJ12" i="10" a="1"/>
  <c r="FJ12" i="10" s="1"/>
  <c r="FJ10" i="10" a="1"/>
  <c r="FJ10" i="10" s="1"/>
  <c r="FJ11" i="10" a="1"/>
  <c r="FJ11" i="10" s="1"/>
  <c r="FJ6" i="10" a="1"/>
  <c r="FJ6" i="10" s="1"/>
  <c r="FJ9" i="10" a="1"/>
  <c r="FJ9" i="10" s="1"/>
  <c r="FJ8" i="10" a="1"/>
  <c r="FJ8" i="10" s="1"/>
  <c r="FJ7" i="10" a="1"/>
  <c r="FJ7" i="10" s="1"/>
  <c r="GB2" i="10"/>
  <c r="FK2" i="10"/>
  <c r="CS13" i="10"/>
  <c r="ES11" i="10" a="1"/>
  <c r="ES11" i="10" s="1"/>
  <c r="ES12" i="10" a="1"/>
  <c r="ES12" i="10" s="1"/>
  <c r="ES10" i="10" a="1"/>
  <c r="ES10" i="10" s="1"/>
  <c r="ES9" i="10" a="1"/>
  <c r="ES9" i="10" s="1"/>
  <c r="ES7" i="10" a="1"/>
  <c r="ES7" i="10" s="1"/>
  <c r="ES8" i="10" a="1"/>
  <c r="ES8" i="10" s="1"/>
  <c r="ER4" i="10"/>
  <c r="ES6" i="10" a="1"/>
  <c r="ES6" i="10" s="1"/>
  <c r="ET2" i="10"/>
  <c r="EA13" i="10"/>
  <c r="EB12" i="11" a="1"/>
  <c r="EB12" i="11" s="1"/>
  <c r="EB11" i="11" a="1"/>
  <c r="EB11" i="11" s="1"/>
  <c r="EB8" i="11" a="1"/>
  <c r="EB8" i="11" s="1"/>
  <c r="EB9" i="11" a="1"/>
  <c r="EB9" i="11" s="1"/>
  <c r="EB10" i="11" a="1"/>
  <c r="EB10" i="11" s="1"/>
  <c r="EC2" i="11"/>
  <c r="EB7" i="11" a="1"/>
  <c r="EB7" i="11" s="1"/>
  <c r="EB6" i="11" a="1"/>
  <c r="EB6" i="11" s="1"/>
  <c r="CC10" i="10" a="1"/>
  <c r="CC10" i="10" s="1"/>
  <c r="CC11" i="10" a="1"/>
  <c r="CC11" i="10" s="1"/>
  <c r="CC12" i="10" a="1"/>
  <c r="CC12" i="10" s="1"/>
  <c r="CC9" i="10" a="1"/>
  <c r="CC9" i="10" s="1"/>
  <c r="CC7" i="10" a="1"/>
  <c r="CC7" i="10" s="1"/>
  <c r="CC8" i="10" a="1"/>
  <c r="CC8" i="10" s="1"/>
  <c r="CC6" i="10" a="1"/>
  <c r="CC6" i="10" s="1"/>
  <c r="CD2" i="10"/>
  <c r="AF12" i="10" a="1"/>
  <c r="AF12" i="10" s="1"/>
  <c r="AF10" i="10" a="1"/>
  <c r="AF10" i="10" s="1"/>
  <c r="AF11" i="10" a="1"/>
  <c r="AF11" i="10" s="1"/>
  <c r="AF9" i="10" a="1"/>
  <c r="AF9" i="10" s="1"/>
  <c r="AF6" i="10" a="1"/>
  <c r="AF6" i="10" s="1"/>
  <c r="AF8" i="10" a="1"/>
  <c r="AF8" i="10" s="1"/>
  <c r="AG2" i="10"/>
  <c r="AF7" i="10" a="1"/>
  <c r="AF7" i="10" s="1"/>
  <c r="AH13" i="11"/>
  <c r="CB13" i="11"/>
  <c r="CB28" i="11" s="1"/>
  <c r="DJ13" i="10"/>
  <c r="AI12" i="11" a="1"/>
  <c r="AI12" i="11" s="1"/>
  <c r="AI11" i="11" a="1"/>
  <c r="AI11" i="11" s="1"/>
  <c r="AI10" i="11" a="1"/>
  <c r="AI10" i="11" s="1"/>
  <c r="AI9" i="11" a="1"/>
  <c r="AI9" i="11" s="1"/>
  <c r="AJ2" i="11"/>
  <c r="AI8" i="11" a="1"/>
  <c r="AI8" i="11" s="1"/>
  <c r="AI7" i="11" a="1"/>
  <c r="AI7" i="11" s="1"/>
  <c r="AI6" i="11" a="1"/>
  <c r="AI6" i="11" s="1"/>
  <c r="DK12" i="10" a="1"/>
  <c r="DK12" i="10" s="1"/>
  <c r="DK11" i="10" a="1"/>
  <c r="DK11" i="10" s="1"/>
  <c r="DK9" i="10" a="1"/>
  <c r="DK9" i="10" s="1"/>
  <c r="DK10" i="10" a="1"/>
  <c r="DK10" i="10" s="1"/>
  <c r="DK7" i="10" a="1"/>
  <c r="DK7" i="10" s="1"/>
  <c r="DK8" i="10" a="1"/>
  <c r="DK8" i="10" s="1"/>
  <c r="DK6" i="10" a="1"/>
  <c r="DK6" i="10" s="1"/>
  <c r="DL2" i="10"/>
  <c r="CT11" i="10" a="1"/>
  <c r="CT11" i="10" s="1"/>
  <c r="CU2" i="10"/>
  <c r="CT8" i="10" a="1"/>
  <c r="CT8" i="10" s="1"/>
  <c r="CT12" i="10" a="1"/>
  <c r="CT12" i="10" s="1"/>
  <c r="CT9" i="10" a="1"/>
  <c r="CT9" i="10" s="1"/>
  <c r="CT10" i="10" a="1"/>
  <c r="CT10" i="10" s="1"/>
  <c r="CT6" i="10" a="1"/>
  <c r="CT6" i="10" s="1"/>
  <c r="CT7" i="10" a="1"/>
  <c r="CT7" i="10" s="1"/>
  <c r="CT12" i="11" a="1"/>
  <c r="CT12" i="11" s="1"/>
  <c r="CT10" i="11" a="1"/>
  <c r="CT10" i="11" s="1"/>
  <c r="CT9" i="11" a="1"/>
  <c r="CT9" i="11" s="1"/>
  <c r="CT11" i="11" a="1"/>
  <c r="CT11" i="11" s="1"/>
  <c r="CT8" i="11" a="1"/>
  <c r="CT8" i="11" s="1"/>
  <c r="CT6" i="11" a="1"/>
  <c r="CT6" i="11" s="1"/>
  <c r="CT7" i="11" a="1"/>
  <c r="CT7" i="11" s="1"/>
  <c r="CU2" i="11"/>
  <c r="DK12" i="11" a="1"/>
  <c r="DK12" i="11" s="1"/>
  <c r="DK11" i="11" a="1"/>
  <c r="DK11" i="11" s="1"/>
  <c r="DK9" i="11" a="1"/>
  <c r="DK9" i="11" s="1"/>
  <c r="DK8" i="11" a="1"/>
  <c r="DK8" i="11" s="1"/>
  <c r="DK7" i="11" a="1"/>
  <c r="DK7" i="11" s="1"/>
  <c r="DK6" i="11" a="1"/>
  <c r="DK6" i="11" s="1"/>
  <c r="DK10" i="11" a="1"/>
  <c r="DK10" i="11" s="1"/>
  <c r="DL2" i="11"/>
  <c r="CS13" i="11"/>
  <c r="CS28" i="11" s="1"/>
  <c r="BL12" i="10" a="1"/>
  <c r="BL12" i="10" s="1"/>
  <c r="BL11" i="10" a="1"/>
  <c r="BL11" i="10" s="1"/>
  <c r="BL10" i="10" a="1"/>
  <c r="BL10" i="10" s="1"/>
  <c r="BL8" i="10" a="1"/>
  <c r="BL8" i="10" s="1"/>
  <c r="BL9" i="10" a="1"/>
  <c r="BL9" i="10" s="1"/>
  <c r="BL7" i="10" a="1"/>
  <c r="BL7" i="10" s="1"/>
  <c r="BM2" i="10"/>
  <c r="BL6" i="10" a="1"/>
  <c r="BL6" i="10" s="1"/>
  <c r="BL12" i="11" a="1"/>
  <c r="BL12" i="11" s="1"/>
  <c r="BL10" i="11" a="1"/>
  <c r="BL10" i="11" s="1"/>
  <c r="BL11" i="11" a="1"/>
  <c r="BL11" i="11" s="1"/>
  <c r="BL8" i="11" a="1"/>
  <c r="BL8" i="11" s="1"/>
  <c r="BL9" i="11" a="1"/>
  <c r="BL9" i="11" s="1"/>
  <c r="BL7" i="11" a="1"/>
  <c r="BL7" i="11" s="1"/>
  <c r="BL6" i="11" a="1"/>
  <c r="BL6" i="11" s="1"/>
  <c r="BM2" i="11"/>
  <c r="FJ12" i="11" a="1"/>
  <c r="FJ12" i="11" s="1"/>
  <c r="FJ11" i="11" a="1"/>
  <c r="FJ11" i="11" s="1"/>
  <c r="FJ8" i="11" a="1"/>
  <c r="FJ8" i="11" s="1"/>
  <c r="FJ9" i="11" a="1"/>
  <c r="FJ9" i="11" s="1"/>
  <c r="FJ7" i="11" a="1"/>
  <c r="FJ7" i="11" s="1"/>
  <c r="FJ10" i="11" a="1"/>
  <c r="FJ10" i="11" s="1"/>
  <c r="FK2" i="11"/>
  <c r="FJ6" i="11" a="1"/>
  <c r="FJ6" i="11" s="1"/>
  <c r="GB2" i="11"/>
  <c r="AU12" i="11" a="1"/>
  <c r="AU12" i="11" s="1"/>
  <c r="AU11" i="11" a="1"/>
  <c r="AU11" i="11" s="1"/>
  <c r="AU10" i="11" a="1"/>
  <c r="AU10" i="11" s="1"/>
  <c r="AV2" i="11"/>
  <c r="AU9" i="11" a="1"/>
  <c r="AU9" i="11" s="1"/>
  <c r="AU7" i="11" a="1"/>
  <c r="AU7" i="11" s="1"/>
  <c r="AU8" i="11" a="1"/>
  <c r="AU8" i="11" s="1"/>
  <c r="AU6" i="11" a="1"/>
  <c r="AU6" i="11" s="1"/>
  <c r="BK13" i="11"/>
  <c r="BK31" i="11" s="1"/>
  <c r="BK13" i="10"/>
  <c r="ER13" i="11"/>
  <c r="ER33" i="11" s="1"/>
  <c r="AT13" i="11"/>
  <c r="AT33" i="11" s="1"/>
  <c r="DJ13" i="11"/>
  <c r="DJ28" i="11" s="1"/>
  <c r="AU12" i="10" a="1"/>
  <c r="AU12" i="10" s="1"/>
  <c r="AU9" i="10" a="1"/>
  <c r="AU9" i="10" s="1"/>
  <c r="AU11" i="10" a="1"/>
  <c r="AU11" i="10" s="1"/>
  <c r="AU8" i="10" a="1"/>
  <c r="AU8" i="10" s="1"/>
  <c r="AU10" i="10" a="1"/>
  <c r="AU10" i="10" s="1"/>
  <c r="AU6" i="10" a="1"/>
  <c r="AU6" i="10" s="1"/>
  <c r="AV2" i="10"/>
  <c r="AU7" i="10" a="1"/>
  <c r="AU7" i="10" s="1"/>
  <c r="ES11" i="11" a="1"/>
  <c r="ES11" i="11" s="1"/>
  <c r="ES12" i="11" a="1"/>
  <c r="ES12" i="11" s="1"/>
  <c r="ES10" i="11" a="1"/>
  <c r="ES10" i="11" s="1"/>
  <c r="ES6" i="11" a="1"/>
  <c r="ES6" i="11" s="1"/>
  <c r="ES8" i="11" a="1"/>
  <c r="ES8" i="11" s="1"/>
  <c r="ES9" i="11" a="1"/>
  <c r="ES9" i="11" s="1"/>
  <c r="ES7" i="11" a="1"/>
  <c r="ES7" i="11" s="1"/>
  <c r="ET2" i="11"/>
  <c r="ER4" i="11"/>
  <c r="FL11" i="2" a="1"/>
  <c r="FL11" i="2" s="1"/>
  <c r="FL7" i="2" a="1"/>
  <c r="FL7" i="2" s="1"/>
  <c r="FM2" i="2"/>
  <c r="FL12" i="2" a="1"/>
  <c r="FL12" i="2" s="1"/>
  <c r="FL10" i="2" a="1"/>
  <c r="FL10" i="2" s="1"/>
  <c r="FL9" i="2" a="1"/>
  <c r="FL9" i="2" s="1"/>
  <c r="FL8" i="2" a="1"/>
  <c r="FL8" i="2" s="1"/>
  <c r="FL6" i="2" a="1"/>
  <c r="FL6" i="2" s="1"/>
  <c r="ED6" i="2" a="1"/>
  <c r="ED6" i="2" s="1"/>
  <c r="ED10" i="2" a="1"/>
  <c r="ED10" i="2" s="1"/>
  <c r="ED7" i="2" a="1"/>
  <c r="ED7" i="2" s="1"/>
  <c r="ED11" i="2" a="1"/>
  <c r="ED11" i="2" s="1"/>
  <c r="ED8" i="2" a="1"/>
  <c r="ED8" i="2" s="1"/>
  <c r="ED12" i="2" a="1"/>
  <c r="ED12" i="2" s="1"/>
  <c r="ED9" i="2" a="1"/>
  <c r="ED9" i="2" s="1"/>
  <c r="EE2" i="2"/>
  <c r="FK13" i="2"/>
  <c r="GC12" i="2" a="1"/>
  <c r="GC12" i="2" s="1"/>
  <c r="GC11" i="2" a="1"/>
  <c r="GC11" i="2" s="1"/>
  <c r="GC10" i="2" a="1"/>
  <c r="GC10" i="2" s="1"/>
  <c r="GC9" i="2" a="1"/>
  <c r="GC9" i="2" s="1"/>
  <c r="GC8" i="2" a="1"/>
  <c r="GC8" i="2" s="1"/>
  <c r="GC6" i="2" a="1"/>
  <c r="GC6" i="2" s="1"/>
  <c r="GC7" i="2" a="1"/>
  <c r="GC7" i="2" s="1"/>
  <c r="GB4" i="2"/>
  <c r="GD2" i="2"/>
  <c r="CV8" i="2" a="1"/>
  <c r="CV8" i="2" s="1"/>
  <c r="CV7" i="2" a="1"/>
  <c r="CV7" i="2" s="1"/>
  <c r="CV6" i="2" a="1"/>
  <c r="CV6" i="2" s="1"/>
  <c r="CV9" i="2" a="1"/>
  <c r="CV9" i="2" s="1"/>
  <c r="CV10" i="2" a="1"/>
  <c r="CV10" i="2" s="1"/>
  <c r="CV12" i="2" a="1"/>
  <c r="CV12" i="2" s="1"/>
  <c r="CW2" i="2"/>
  <c r="CV11" i="2" a="1"/>
  <c r="CV11" i="2" s="1"/>
  <c r="BL13" i="2"/>
  <c r="EC13" i="2"/>
  <c r="DM12" i="2" a="1"/>
  <c r="DM12" i="2" s="1"/>
  <c r="DN2" i="2"/>
  <c r="DM10" i="2" a="1"/>
  <c r="DM10" i="2" s="1"/>
  <c r="DM8" i="2" a="1"/>
  <c r="DM8" i="2" s="1"/>
  <c r="DM6" i="2" a="1"/>
  <c r="DM6" i="2" s="1"/>
  <c r="DM9" i="2" a="1"/>
  <c r="DM9" i="2" s="1"/>
  <c r="DM7" i="2" a="1"/>
  <c r="DM7" i="2" s="1"/>
  <c r="DM11" i="2" a="1"/>
  <c r="DM11" i="2" s="1"/>
  <c r="BM8" i="2" a="1"/>
  <c r="BM8" i="2" s="1"/>
  <c r="BM9" i="2" a="1"/>
  <c r="BM9" i="2" s="1"/>
  <c r="BN2" i="2"/>
  <c r="BM11" i="2" a="1"/>
  <c r="BM11" i="2" s="1"/>
  <c r="BM6" i="2" a="1"/>
  <c r="BM6" i="2" s="1"/>
  <c r="BM10" i="2" a="1"/>
  <c r="BM10" i="2" s="1"/>
  <c r="BM7" i="2" a="1"/>
  <c r="BM7" i="2" s="1"/>
  <c r="BM12" i="2" a="1"/>
  <c r="BM12" i="2" s="1"/>
  <c r="CU13" i="2"/>
  <c r="GB13" i="2"/>
  <c r="EU6" i="2" a="1"/>
  <c r="EU6" i="2" s="1"/>
  <c r="EV2" i="2"/>
  <c r="EU10" i="2" a="1"/>
  <c r="EU10" i="2" s="1"/>
  <c r="EU7" i="2" a="1"/>
  <c r="EU7" i="2" s="1"/>
  <c r="EU11" i="2" a="1"/>
  <c r="EU11" i="2" s="1"/>
  <c r="EU12" i="2" a="1"/>
  <c r="EU12" i="2" s="1"/>
  <c r="EU9" i="2" a="1"/>
  <c r="EU9" i="2" s="1"/>
  <c r="EU8" i="2" a="1"/>
  <c r="EU8" i="2" s="1"/>
  <c r="ET13" i="2"/>
  <c r="DL13" i="2"/>
  <c r="GT6" i="2" a="1"/>
  <c r="GT6" i="2" s="1"/>
  <c r="GU2" i="2"/>
  <c r="GT12" i="2" a="1"/>
  <c r="GT12" i="2" s="1"/>
  <c r="HL2" i="2"/>
  <c r="GT7" i="2" a="1"/>
  <c r="GT7" i="2" s="1"/>
  <c r="GT8" i="2" a="1"/>
  <c r="GT8" i="2" s="1"/>
  <c r="GT9" i="2" a="1"/>
  <c r="GT9" i="2" s="1"/>
  <c r="GT10" i="2" a="1"/>
  <c r="GT10" i="2" s="1"/>
  <c r="GT11" i="2" a="1"/>
  <c r="GT11" i="2" s="1"/>
  <c r="CF2" i="2"/>
  <c r="CE12" i="2" a="1"/>
  <c r="CE12" i="2" s="1"/>
  <c r="CE11" i="2" a="1"/>
  <c r="CE11" i="2" s="1"/>
  <c r="CE10" i="2" a="1"/>
  <c r="CE10" i="2" s="1"/>
  <c r="CE8" i="2" a="1"/>
  <c r="CE8" i="2" s="1"/>
  <c r="CE7" i="2" a="1"/>
  <c r="CE7" i="2" s="1"/>
  <c r="CE6" i="2" a="1"/>
  <c r="CE6" i="2" s="1"/>
  <c r="CE9" i="2" a="1"/>
  <c r="CE9" i="2" s="1"/>
  <c r="CD13" i="2"/>
  <c r="AU10" i="2" a="1"/>
  <c r="AU10" i="2" s="1"/>
  <c r="AU8" i="2" a="1"/>
  <c r="AU8" i="2" s="1"/>
  <c r="AU6" i="2" a="1"/>
  <c r="AU6" i="2" s="1"/>
  <c r="AU11" i="2" a="1"/>
  <c r="AU11" i="2" s="1"/>
  <c r="AU12" i="2" a="1"/>
  <c r="AU12" i="2" s="1"/>
  <c r="AU9" i="2" a="1"/>
  <c r="AU9" i="2" s="1"/>
  <c r="AV2" i="2"/>
  <c r="AU7" i="2" a="1"/>
  <c r="AU7" i="2" s="1"/>
  <c r="AT13" i="2"/>
  <c r="ES11" i="12" l="1"/>
  <c r="AU10" i="12"/>
  <c r="AU11" i="12"/>
  <c r="BL9" i="12"/>
  <c r="CT10" i="12"/>
  <c r="CT31" i="11"/>
  <c r="AH34" i="11"/>
  <c r="BK28" i="11"/>
  <c r="BK32" i="11"/>
  <c r="BK13" i="12"/>
  <c r="BK27" i="12" s="1"/>
  <c r="CB13" i="12"/>
  <c r="CB27" i="12"/>
  <c r="AH28" i="11"/>
  <c r="DI34" i="12"/>
  <c r="EA13" i="12"/>
  <c r="EA27" i="12"/>
  <c r="BL6" i="12"/>
  <c r="BL7" i="12"/>
  <c r="BL28" i="11"/>
  <c r="CS34" i="11"/>
  <c r="AU12" i="12"/>
  <c r="BL8" i="12"/>
  <c r="DK10" i="12"/>
  <c r="CT12" i="12"/>
  <c r="ER30" i="11"/>
  <c r="BK30" i="11"/>
  <c r="BK28" i="12"/>
  <c r="BK32" i="12"/>
  <c r="DZ33" i="12"/>
  <c r="AT30" i="11"/>
  <c r="CB28" i="12"/>
  <c r="BK33" i="11"/>
  <c r="CT11" i="12"/>
  <c r="DJ30" i="11"/>
  <c r="CT9" i="12"/>
  <c r="CT30" i="11"/>
  <c r="CB34" i="11"/>
  <c r="EA34" i="11"/>
  <c r="DJ28" i="12"/>
  <c r="BK27" i="11"/>
  <c r="EA29" i="12"/>
  <c r="DZ34" i="12"/>
  <c r="CB27" i="11"/>
  <c r="EA27" i="11"/>
  <c r="ES7" i="12"/>
  <c r="BL11" i="12"/>
  <c r="DK6" i="12"/>
  <c r="DK27" i="11"/>
  <c r="BK30" i="12"/>
  <c r="EA33" i="11"/>
  <c r="BJ34" i="12"/>
  <c r="EA31" i="11"/>
  <c r="EA30" i="11"/>
  <c r="DZ28" i="12"/>
  <c r="ES9" i="12"/>
  <c r="DJ34" i="11"/>
  <c r="FJ6" i="12"/>
  <c r="BL10" i="12"/>
  <c r="BL31" i="11"/>
  <c r="DK7" i="12"/>
  <c r="EB6" i="12"/>
  <c r="CS29" i="11"/>
  <c r="CS33" i="11"/>
  <c r="EA32" i="11"/>
  <c r="EA33" i="12"/>
  <c r="EA31" i="12"/>
  <c r="DI29" i="12"/>
  <c r="EA30" i="12"/>
  <c r="BK31" i="12"/>
  <c r="DI30" i="12"/>
  <c r="CS30" i="11"/>
  <c r="CS32" i="11"/>
  <c r="AS34" i="12"/>
  <c r="ES8" i="12"/>
  <c r="AT34" i="11"/>
  <c r="BL12" i="12"/>
  <c r="DK8" i="12"/>
  <c r="AI6" i="12"/>
  <c r="EB7" i="12"/>
  <c r="EB28" i="11"/>
  <c r="DZ30" i="12"/>
  <c r="DJ29" i="11"/>
  <c r="EA32" i="12"/>
  <c r="CA34" i="12"/>
  <c r="CB29" i="11"/>
  <c r="DJ31" i="11"/>
  <c r="ES6" i="12"/>
  <c r="ER34" i="11"/>
  <c r="FJ10" i="12"/>
  <c r="FJ31" i="11"/>
  <c r="DK9" i="12"/>
  <c r="AI7" i="12"/>
  <c r="CC6" i="12"/>
  <c r="CS29" i="12"/>
  <c r="DJ29" i="12"/>
  <c r="AT31" i="11"/>
  <c r="AT29" i="11"/>
  <c r="AT28" i="11"/>
  <c r="AH30" i="11"/>
  <c r="CA31" i="12"/>
  <c r="DJ32" i="11"/>
  <c r="DJ31" i="12"/>
  <c r="FJ7" i="12"/>
  <c r="FJ28" i="11"/>
  <c r="DK11" i="12"/>
  <c r="AI8" i="12"/>
  <c r="EB10" i="12"/>
  <c r="CC7" i="12"/>
  <c r="ER28" i="11"/>
  <c r="AT32" i="11"/>
  <c r="BJ28" i="12"/>
  <c r="AG34" i="12"/>
  <c r="AH30" i="12"/>
  <c r="DJ32" i="12"/>
  <c r="ER31" i="11"/>
  <c r="DI28" i="12"/>
  <c r="ES12" i="12"/>
  <c r="BK34" i="11"/>
  <c r="FJ9" i="12"/>
  <c r="DK12" i="12"/>
  <c r="DK33" i="11"/>
  <c r="EB9" i="12"/>
  <c r="CC8" i="12"/>
  <c r="BJ32" i="12"/>
  <c r="ER29" i="11"/>
  <c r="ER28" i="12"/>
  <c r="AH31" i="11"/>
  <c r="DI31" i="12"/>
  <c r="AG33" i="12"/>
  <c r="AH27" i="11"/>
  <c r="ER32" i="11"/>
  <c r="AU6" i="12"/>
  <c r="FJ8" i="12"/>
  <c r="AI9" i="12"/>
  <c r="AI30" i="11"/>
  <c r="EB8" i="12"/>
  <c r="CC9" i="12"/>
  <c r="DJ27" i="11"/>
  <c r="CB33" i="11"/>
  <c r="AH31" i="12"/>
  <c r="DZ31" i="12"/>
  <c r="CB31" i="11"/>
  <c r="CR34" i="12"/>
  <c r="EA28" i="11"/>
  <c r="AH13" i="12"/>
  <c r="AH32" i="12" s="1"/>
  <c r="AH27" i="12"/>
  <c r="AG29" i="12"/>
  <c r="ER32" i="12"/>
  <c r="AU8" i="12"/>
  <c r="CT7" i="12"/>
  <c r="CT28" i="11"/>
  <c r="AI10" i="12"/>
  <c r="EB11" i="12"/>
  <c r="CC10" i="12"/>
  <c r="BK29" i="11"/>
  <c r="CB30" i="11"/>
  <c r="CS27" i="11"/>
  <c r="ER27" i="11"/>
  <c r="DJ13" i="12"/>
  <c r="DJ27" i="12" s="1"/>
  <c r="EA28" i="12"/>
  <c r="AU7" i="12"/>
  <c r="AU28" i="11"/>
  <c r="FJ12" i="12"/>
  <c r="CT6" i="12"/>
  <c r="AI11" i="12"/>
  <c r="EB12" i="12"/>
  <c r="CC11" i="12"/>
  <c r="CC32" i="11"/>
  <c r="CS13" i="12"/>
  <c r="CS31" i="12" s="1"/>
  <c r="CS27" i="12"/>
  <c r="ER13" i="12"/>
  <c r="ER27" i="12" s="1"/>
  <c r="AH33" i="11"/>
  <c r="CR32" i="12"/>
  <c r="AT27" i="11"/>
  <c r="BJ30" i="12"/>
  <c r="DJ33" i="11"/>
  <c r="ES10" i="12"/>
  <c r="FJ11" i="12"/>
  <c r="AU9" i="12"/>
  <c r="AU30" i="11"/>
  <c r="CT8" i="12"/>
  <c r="AI12" i="12"/>
  <c r="CC12" i="12"/>
  <c r="DZ32" i="12"/>
  <c r="AH33" i="12"/>
  <c r="CS31" i="11"/>
  <c r="BJ29" i="12"/>
  <c r="AT13" i="12"/>
  <c r="AT27" i="12" s="1"/>
  <c r="CB32" i="11"/>
  <c r="DJ33" i="12"/>
  <c r="DI33" i="12"/>
  <c r="AV12" i="11" a="1"/>
  <c r="AV12" i="11" s="1"/>
  <c r="AV10" i="11" a="1"/>
  <c r="AV10" i="11" s="1"/>
  <c r="AV9" i="11" a="1"/>
  <c r="AV9" i="11" s="1"/>
  <c r="AV11" i="11" a="1"/>
  <c r="AV11" i="11" s="1"/>
  <c r="AV7" i="11" a="1"/>
  <c r="AV7" i="11" s="1"/>
  <c r="AV8" i="11" a="1"/>
  <c r="AV8" i="11" s="1"/>
  <c r="AV6" i="11" a="1"/>
  <c r="AV6" i="11" s="1"/>
  <c r="AW2" i="11"/>
  <c r="CD10" i="10" a="1"/>
  <c r="CD10" i="10" s="1"/>
  <c r="CD11" i="10" a="1"/>
  <c r="CD11" i="10" s="1"/>
  <c r="CD12" i="10" a="1"/>
  <c r="CD12" i="10" s="1"/>
  <c r="CD9" i="10" a="1"/>
  <c r="CD9" i="10" s="1"/>
  <c r="CD8" i="10" a="1"/>
  <c r="CD8" i="10" s="1"/>
  <c r="CD7" i="10" a="1"/>
  <c r="CD7" i="10" s="1"/>
  <c r="CD6" i="10" a="1"/>
  <c r="CD6" i="10" s="1"/>
  <c r="CE2" i="10"/>
  <c r="GB11" i="10" a="1"/>
  <c r="GB11" i="10" s="1"/>
  <c r="GB12" i="10" a="1"/>
  <c r="GB12" i="10" s="1"/>
  <c r="GB10" i="10" a="1"/>
  <c r="GB10" i="10" s="1"/>
  <c r="GB7" i="10" a="1"/>
  <c r="GB7" i="10" s="1"/>
  <c r="GB9" i="10" a="1"/>
  <c r="GB9" i="10" s="1"/>
  <c r="GC2" i="10"/>
  <c r="GB8" i="10" a="1"/>
  <c r="GB8" i="10" s="1"/>
  <c r="GT2" i="10"/>
  <c r="GB6" i="10" a="1"/>
  <c r="GB6" i="10" s="1"/>
  <c r="CC13" i="10"/>
  <c r="BL13" i="10"/>
  <c r="FK12" i="10" a="1"/>
  <c r="FK12" i="10" s="1"/>
  <c r="FK11" i="10" a="1"/>
  <c r="FK11" i="10" s="1"/>
  <c r="FK10" i="10" a="1"/>
  <c r="FK10" i="10" s="1"/>
  <c r="FK9" i="10" a="1"/>
  <c r="FK9" i="10" s="1"/>
  <c r="FK7" i="10" a="1"/>
  <c r="FK7" i="10" s="1"/>
  <c r="FK8" i="10" a="1"/>
  <c r="FK8" i="10" s="1"/>
  <c r="FL2" i="10"/>
  <c r="FJ4" i="10"/>
  <c r="FK6" i="10" a="1"/>
  <c r="FK6" i="10" s="1"/>
  <c r="BM12" i="11" a="1"/>
  <c r="BM12" i="11" s="1"/>
  <c r="BM10" i="11" a="1"/>
  <c r="BM10" i="11" s="1"/>
  <c r="BM11" i="11" a="1"/>
  <c r="BM11" i="11" s="1"/>
  <c r="BN2" i="11"/>
  <c r="BM9" i="11" a="1"/>
  <c r="BM9" i="11" s="1"/>
  <c r="BM7" i="11" a="1"/>
  <c r="BM7" i="11" s="1"/>
  <c r="BM8" i="11" a="1"/>
  <c r="BM8" i="11" s="1"/>
  <c r="BM6" i="11" a="1"/>
  <c r="BM6" i="11" s="1"/>
  <c r="DK13" i="11"/>
  <c r="ET12" i="11" a="1"/>
  <c r="ET12" i="11" s="1"/>
  <c r="ET11" i="11" a="1"/>
  <c r="ET11" i="11" s="1"/>
  <c r="ET8" i="11" a="1"/>
  <c r="ET8" i="11" s="1"/>
  <c r="ET9" i="11" a="1"/>
  <c r="ET9" i="11" s="1"/>
  <c r="ET10" i="11" a="1"/>
  <c r="ET10" i="11" s="1"/>
  <c r="ET6" i="11" a="1"/>
  <c r="ET6" i="11" s="1"/>
  <c r="ET7" i="11" a="1"/>
  <c r="ET7" i="11" s="1"/>
  <c r="EU2" i="11"/>
  <c r="BL13" i="11"/>
  <c r="BL27" i="11" s="1"/>
  <c r="CU11" i="10" a="1"/>
  <c r="CU11" i="10" s="1"/>
  <c r="CU12" i="10" a="1"/>
  <c r="CU12" i="10" s="1"/>
  <c r="CU8" i="10" a="1"/>
  <c r="CU8" i="10" s="1"/>
  <c r="CU9" i="10" a="1"/>
  <c r="CU9" i="10" s="1"/>
  <c r="CU10" i="10" a="1"/>
  <c r="CU10" i="10" s="1"/>
  <c r="CU7" i="10" a="1"/>
  <c r="CU7" i="10" s="1"/>
  <c r="CU6" i="10" a="1"/>
  <c r="CU6" i="10" s="1"/>
  <c r="CV2" i="10"/>
  <c r="GB12" i="11" a="1"/>
  <c r="GB12" i="11" s="1"/>
  <c r="GB11" i="11" a="1"/>
  <c r="GB11" i="11" s="1"/>
  <c r="GB8" i="11" a="1"/>
  <c r="GB8" i="11" s="1"/>
  <c r="GB6" i="11" a="1"/>
  <c r="GB6" i="11" s="1"/>
  <c r="GB9" i="11" a="1"/>
  <c r="GB9" i="11" s="1"/>
  <c r="GB10" i="11" a="1"/>
  <c r="GB10" i="11" s="1"/>
  <c r="GB7" i="11" a="1"/>
  <c r="GB7" i="11" s="1"/>
  <c r="GT2" i="11"/>
  <c r="GC2" i="11"/>
  <c r="AI13" i="11"/>
  <c r="FJ13" i="10"/>
  <c r="AU13" i="10"/>
  <c r="ES13" i="11"/>
  <c r="ES27" i="11" s="1"/>
  <c r="FJ13" i="11"/>
  <c r="FJ33" i="11" s="1"/>
  <c r="AU13" i="11"/>
  <c r="AU33" i="11" s="1"/>
  <c r="FK12" i="11" a="1"/>
  <c r="FK12" i="11" s="1"/>
  <c r="FK11" i="11" a="1"/>
  <c r="FK11" i="11" s="1"/>
  <c r="FK9" i="11" a="1"/>
  <c r="FK9" i="11" s="1"/>
  <c r="FJ4" i="11"/>
  <c r="FK7" i="11" a="1"/>
  <c r="FK7" i="11" s="1"/>
  <c r="FK10" i="11" a="1"/>
  <c r="FK10" i="11" s="1"/>
  <c r="FK8" i="11" a="1"/>
  <c r="FK8" i="11" s="1"/>
  <c r="FL2" i="11"/>
  <c r="FK6" i="11" a="1"/>
  <c r="FK6" i="11" s="1"/>
  <c r="DL12" i="10" a="1"/>
  <c r="DL12" i="10" s="1"/>
  <c r="DL9" i="10" a="1"/>
  <c r="DL9" i="10" s="1"/>
  <c r="DL7" i="10" a="1"/>
  <c r="DL7" i="10" s="1"/>
  <c r="DL11" i="10" a="1"/>
  <c r="DL11" i="10" s="1"/>
  <c r="DL10" i="10" a="1"/>
  <c r="DL10" i="10" s="1"/>
  <c r="DM2" i="10"/>
  <c r="DL8" i="10" a="1"/>
  <c r="DL8" i="10" s="1"/>
  <c r="DL6" i="10" a="1"/>
  <c r="DL6" i="10" s="1"/>
  <c r="CU12" i="11" a="1"/>
  <c r="CU12" i="11" s="1"/>
  <c r="CU10" i="11" a="1"/>
  <c r="CU10" i="11" s="1"/>
  <c r="CU11" i="11" a="1"/>
  <c r="CU11" i="11" s="1"/>
  <c r="CU9" i="11" a="1"/>
  <c r="CU9" i="11" s="1"/>
  <c r="CU8" i="11" a="1"/>
  <c r="CU8" i="11" s="1"/>
  <c r="CU7" i="11" a="1"/>
  <c r="CU7" i="11" s="1"/>
  <c r="CU6" i="11" a="1"/>
  <c r="CU6" i="11" s="1"/>
  <c r="CV2" i="11"/>
  <c r="DK13" i="10"/>
  <c r="AJ11" i="11" a="1"/>
  <c r="AJ11" i="11" s="1"/>
  <c r="AJ10" i="11" a="1"/>
  <c r="AJ10" i="11" s="1"/>
  <c r="AJ12" i="11" a="1"/>
  <c r="AJ12" i="11" s="1"/>
  <c r="AJ9" i="11" a="1"/>
  <c r="AJ9" i="11" s="1"/>
  <c r="AJ7" i="11" a="1"/>
  <c r="AJ7" i="11" s="1"/>
  <c r="AJ8" i="11" a="1"/>
  <c r="AJ8" i="11" s="1"/>
  <c r="AJ6" i="11" a="1"/>
  <c r="AJ6" i="11" s="1"/>
  <c r="AK2" i="11"/>
  <c r="AG12" i="10" a="1"/>
  <c r="AG12" i="10" s="1"/>
  <c r="AG10" i="10" a="1"/>
  <c r="AG10" i="10" s="1"/>
  <c r="AG11" i="10" a="1"/>
  <c r="AG11" i="10" s="1"/>
  <c r="AG9" i="10" a="1"/>
  <c r="AG9" i="10" s="1"/>
  <c r="AG7" i="10" a="1"/>
  <c r="AG7" i="10" s="1"/>
  <c r="AG8" i="10" a="1"/>
  <c r="AG8" i="10" s="1"/>
  <c r="AG6" i="10" a="1"/>
  <c r="AG6" i="10" s="1"/>
  <c r="AH2" i="10"/>
  <c r="ET12" i="10" a="1"/>
  <c r="ET12" i="10" s="1"/>
  <c r="ET10" i="10" a="1"/>
  <c r="ET10" i="10" s="1"/>
  <c r="ET9" i="10" a="1"/>
  <c r="ET9" i="10" s="1"/>
  <c r="ET11" i="10" a="1"/>
  <c r="ET11" i="10" s="1"/>
  <c r="ET7" i="10" a="1"/>
  <c r="ET7" i="10" s="1"/>
  <c r="ET8" i="10" a="1"/>
  <c r="ET8" i="10" s="1"/>
  <c r="ET6" i="10" a="1"/>
  <c r="ET6" i="10" s="1"/>
  <c r="EU2" i="10"/>
  <c r="ES13" i="10"/>
  <c r="AV11" i="10" a="1"/>
  <c r="AV11" i="10" s="1"/>
  <c r="AV12" i="10" a="1"/>
  <c r="AV12" i="10" s="1"/>
  <c r="AV9" i="10" a="1"/>
  <c r="AV9" i="10" s="1"/>
  <c r="AV10" i="10" a="1"/>
  <c r="AV10" i="10" s="1"/>
  <c r="AV8" i="10" a="1"/>
  <c r="AV8" i="10" s="1"/>
  <c r="AV7" i="10" a="1"/>
  <c r="AV7" i="10" s="1"/>
  <c r="AW2" i="10"/>
  <c r="AV6" i="10" a="1"/>
  <c r="AV6" i="10" s="1"/>
  <c r="CT13" i="11"/>
  <c r="CT33" i="11" s="1"/>
  <c r="AF13" i="10"/>
  <c r="CT13" i="10"/>
  <c r="CD12" i="11" a="1"/>
  <c r="CD12" i="11" s="1"/>
  <c r="CD11" i="11" a="1"/>
  <c r="CD11" i="11" s="1"/>
  <c r="CD10" i="11" a="1"/>
  <c r="CD10" i="11" s="1"/>
  <c r="CD9" i="11" a="1"/>
  <c r="CD9" i="11" s="1"/>
  <c r="CD8" i="11" a="1"/>
  <c r="CD8" i="11" s="1"/>
  <c r="CE2" i="11"/>
  <c r="CD7" i="11" a="1"/>
  <c r="CD7" i="11" s="1"/>
  <c r="CD6" i="11" a="1"/>
  <c r="CD6" i="11" s="1"/>
  <c r="EB13" i="10"/>
  <c r="DL12" i="11" a="1"/>
  <c r="DL12" i="11" s="1"/>
  <c r="DL11" i="11" a="1"/>
  <c r="DL11" i="11" s="1"/>
  <c r="DL10" i="11" a="1"/>
  <c r="DL10" i="11" s="1"/>
  <c r="DL9" i="11" a="1"/>
  <c r="DL9" i="11" s="1"/>
  <c r="DL8" i="11" a="1"/>
  <c r="DL8" i="11" s="1"/>
  <c r="DL7" i="11" a="1"/>
  <c r="DL7" i="11" s="1"/>
  <c r="DL6" i="11" a="1"/>
  <c r="DL6" i="11" s="1"/>
  <c r="DM2" i="11"/>
  <c r="CC13" i="11"/>
  <c r="EC12" i="10" a="1"/>
  <c r="EC12" i="10" s="1"/>
  <c r="EC11" i="10" a="1"/>
  <c r="EC11" i="10" s="1"/>
  <c r="EC8" i="10" a="1"/>
  <c r="EC8" i="10" s="1"/>
  <c r="EC10" i="10" a="1"/>
  <c r="EC10" i="10" s="1"/>
  <c r="ED2" i="10"/>
  <c r="EC6" i="10" a="1"/>
  <c r="EC6" i="10" s="1"/>
  <c r="EC9" i="10" a="1"/>
  <c r="EC9" i="10" s="1"/>
  <c r="EC7" i="10" a="1"/>
  <c r="EC7" i="10" s="1"/>
  <c r="EB13" i="11"/>
  <c r="EB31" i="11" s="1"/>
  <c r="BM12" i="10" a="1"/>
  <c r="BM12" i="10" s="1"/>
  <c r="BM10" i="10" a="1"/>
  <c r="BM10" i="10" s="1"/>
  <c r="BM11" i="10" a="1"/>
  <c r="BM11" i="10" s="1"/>
  <c r="BM8" i="10" a="1"/>
  <c r="BM8" i="10" s="1"/>
  <c r="BM9" i="10" a="1"/>
  <c r="BM9" i="10" s="1"/>
  <c r="BM7" i="10" a="1"/>
  <c r="BM7" i="10" s="1"/>
  <c r="BN2" i="10"/>
  <c r="BM6" i="10" a="1"/>
  <c r="BM6" i="10" s="1"/>
  <c r="EC12" i="11" a="1"/>
  <c r="EC12" i="11" s="1"/>
  <c r="EC11" i="11" a="1"/>
  <c r="EC11" i="11" s="1"/>
  <c r="EC9" i="11" a="1"/>
  <c r="EC9" i="11" s="1"/>
  <c r="EC8" i="11" a="1"/>
  <c r="EC8" i="11" s="1"/>
  <c r="EC10" i="11" a="1"/>
  <c r="EC10" i="11" s="1"/>
  <c r="ED2" i="11"/>
  <c r="EC7" i="11" a="1"/>
  <c r="EC7" i="11" s="1"/>
  <c r="EC6" i="11" a="1"/>
  <c r="EC6" i="11" s="1"/>
  <c r="CW7" i="2" a="1"/>
  <c r="CW7" i="2" s="1"/>
  <c r="CW6" i="2" a="1"/>
  <c r="CW6" i="2" s="1"/>
  <c r="CW8" i="2" a="1"/>
  <c r="CW8" i="2" s="1"/>
  <c r="CW9" i="2" a="1"/>
  <c r="CW9" i="2" s="1"/>
  <c r="CW10" i="2" a="1"/>
  <c r="CW10" i="2" s="1"/>
  <c r="CW11" i="2" a="1"/>
  <c r="CW11" i="2" s="1"/>
  <c r="CW12" i="2" a="1"/>
  <c r="CW12" i="2" s="1"/>
  <c r="CX2" i="2"/>
  <c r="GC13" i="2"/>
  <c r="DN11" i="2" a="1"/>
  <c r="DN11" i="2" s="1"/>
  <c r="DN10" i="2" a="1"/>
  <c r="DN10" i="2" s="1"/>
  <c r="DN12" i="2" a="1"/>
  <c r="DN12" i="2" s="1"/>
  <c r="DN8" i="2" a="1"/>
  <c r="DN8" i="2" s="1"/>
  <c r="DN6" i="2" a="1"/>
  <c r="DN6" i="2" s="1"/>
  <c r="DO2" i="2"/>
  <c r="DN7" i="2" a="1"/>
  <c r="DN7" i="2" s="1"/>
  <c r="DN9" i="2" a="1"/>
  <c r="DN9" i="2" s="1"/>
  <c r="CV13" i="2"/>
  <c r="ED13" i="2"/>
  <c r="EV8" i="2" a="1"/>
  <c r="EV8" i="2" s="1"/>
  <c r="EV12" i="2" a="1"/>
  <c r="EV12" i="2" s="1"/>
  <c r="EV7" i="2" a="1"/>
  <c r="EV7" i="2" s="1"/>
  <c r="EV11" i="2" a="1"/>
  <c r="EV11" i="2" s="1"/>
  <c r="EV6" i="2" a="1"/>
  <c r="EV6" i="2" s="1"/>
  <c r="EV10" i="2" a="1"/>
  <c r="EV10" i="2" s="1"/>
  <c r="EV9" i="2" a="1"/>
  <c r="EV9" i="2" s="1"/>
  <c r="EW2" i="2"/>
  <c r="EU13" i="2"/>
  <c r="BN11" i="2" a="1"/>
  <c r="BN11" i="2" s="1"/>
  <c r="BN9" i="2" a="1"/>
  <c r="BN9" i="2" s="1"/>
  <c r="BO2" i="2"/>
  <c r="BN12" i="2" a="1"/>
  <c r="BN12" i="2" s="1"/>
  <c r="BN10" i="2" a="1"/>
  <c r="BN10" i="2" s="1"/>
  <c r="BN8" i="2" a="1"/>
  <c r="BN8" i="2" s="1"/>
  <c r="BN7" i="2" a="1"/>
  <c r="BN7" i="2" s="1"/>
  <c r="BN6" i="2" a="1"/>
  <c r="BN6" i="2" s="1"/>
  <c r="BM13" i="2"/>
  <c r="HL12" i="2" a="1"/>
  <c r="HL12" i="2" s="1"/>
  <c r="HL11" i="2" a="1"/>
  <c r="HL11" i="2" s="1"/>
  <c r="HL10" i="2" a="1"/>
  <c r="HL10" i="2" s="1"/>
  <c r="HL9" i="2" a="1"/>
  <c r="HL9" i="2" s="1"/>
  <c r="HL8" i="2" a="1"/>
  <c r="HL8" i="2" s="1"/>
  <c r="HL7" i="2" a="1"/>
  <c r="HL7" i="2" s="1"/>
  <c r="HM2" i="2"/>
  <c r="HL6" i="2" a="1"/>
  <c r="HL6" i="2" s="1"/>
  <c r="FL13" i="2"/>
  <c r="CF12" i="2" a="1"/>
  <c r="CF12" i="2" s="1"/>
  <c r="CF11" i="2" a="1"/>
  <c r="CF11" i="2" s="1"/>
  <c r="CF10" i="2" a="1"/>
  <c r="CF10" i="2" s="1"/>
  <c r="CF9" i="2" a="1"/>
  <c r="CF9" i="2" s="1"/>
  <c r="CF8" i="2" a="1"/>
  <c r="CF8" i="2" s="1"/>
  <c r="CG2" i="2"/>
  <c r="CF7" i="2" a="1"/>
  <c r="CF7" i="2" s="1"/>
  <c r="CF6" i="2" a="1"/>
  <c r="CF6" i="2" s="1"/>
  <c r="CE13" i="2"/>
  <c r="GT4" i="2"/>
  <c r="GU11" i="2" a="1"/>
  <c r="GU11" i="2" s="1"/>
  <c r="GU10" i="2" a="1"/>
  <c r="GU10" i="2" s="1"/>
  <c r="GU6" i="2" a="1"/>
  <c r="GU6" i="2" s="1"/>
  <c r="GU7" i="2" a="1"/>
  <c r="GU7" i="2" s="1"/>
  <c r="GU8" i="2" a="1"/>
  <c r="GU8" i="2" s="1"/>
  <c r="GU9" i="2" a="1"/>
  <c r="GU9" i="2" s="1"/>
  <c r="GV2" i="2"/>
  <c r="GU12" i="2" a="1"/>
  <c r="GU12" i="2" s="1"/>
  <c r="GT13" i="2"/>
  <c r="DM13" i="2"/>
  <c r="GD11" i="2" a="1"/>
  <c r="GD11" i="2" s="1"/>
  <c r="GD10" i="2" a="1"/>
  <c r="GD10" i="2" s="1"/>
  <c r="GD9" i="2" a="1"/>
  <c r="GD9" i="2" s="1"/>
  <c r="GD8" i="2" a="1"/>
  <c r="GD8" i="2" s="1"/>
  <c r="GD7" i="2" a="1"/>
  <c r="GD7" i="2" s="1"/>
  <c r="GD6" i="2" a="1"/>
  <c r="GD6" i="2" s="1"/>
  <c r="GE2" i="2"/>
  <c r="GD12" i="2" a="1"/>
  <c r="GD12" i="2" s="1"/>
  <c r="EE10" i="2" a="1"/>
  <c r="EE10" i="2" s="1"/>
  <c r="EE8" i="2" a="1"/>
  <c r="EE8" i="2" s="1"/>
  <c r="EE12" i="2" a="1"/>
  <c r="EE12" i="2" s="1"/>
  <c r="EE9" i="2" a="1"/>
  <c r="EE9" i="2" s="1"/>
  <c r="EE6" i="2" a="1"/>
  <c r="EE6" i="2" s="1"/>
  <c r="EE7" i="2" a="1"/>
  <c r="EE7" i="2" s="1"/>
  <c r="EE11" i="2" a="1"/>
  <c r="EE11" i="2" s="1"/>
  <c r="EF2" i="2"/>
  <c r="FM10" i="2" a="1"/>
  <c r="FM10" i="2" s="1"/>
  <c r="FM9" i="2" a="1"/>
  <c r="FM9" i="2" s="1"/>
  <c r="FM11" i="2" a="1"/>
  <c r="FM11" i="2" s="1"/>
  <c r="FM12" i="2" a="1"/>
  <c r="FM12" i="2" s="1"/>
  <c r="FM8" i="2" a="1"/>
  <c r="FM8" i="2" s="1"/>
  <c r="FM7" i="2" a="1"/>
  <c r="FM7" i="2" s="1"/>
  <c r="FM6" i="2" a="1"/>
  <c r="FM6" i="2" s="1"/>
  <c r="FN2" i="2"/>
  <c r="AV8" i="2" a="1"/>
  <c r="AV8" i="2" s="1"/>
  <c r="AV12" i="2" a="1"/>
  <c r="AV12" i="2" s="1"/>
  <c r="AV9" i="2" a="1"/>
  <c r="AV9" i="2" s="1"/>
  <c r="AV11" i="2" a="1"/>
  <c r="AV11" i="2" s="1"/>
  <c r="AV10" i="2" a="1"/>
  <c r="AV10" i="2" s="1"/>
  <c r="AW2" i="2"/>
  <c r="AV7" i="2" a="1"/>
  <c r="AV7" i="2" s="1"/>
  <c r="AV6" i="2" a="1"/>
  <c r="AV6" i="2" s="1"/>
  <c r="AU13" i="2"/>
  <c r="CD8" i="12" l="1"/>
  <c r="AV11" i="12"/>
  <c r="CB34" i="12"/>
  <c r="CC34" i="11"/>
  <c r="CD9" i="12"/>
  <c r="CU6" i="12"/>
  <c r="DK34" i="11"/>
  <c r="AV9" i="12"/>
  <c r="AU28" i="12"/>
  <c r="FJ31" i="12"/>
  <c r="DK13" i="12"/>
  <c r="DK28" i="12" s="1"/>
  <c r="DK27" i="12"/>
  <c r="AH28" i="12"/>
  <c r="ET11" i="12"/>
  <c r="CD10" i="12"/>
  <c r="CU7" i="12"/>
  <c r="FK6" i="12"/>
  <c r="AI34" i="11"/>
  <c r="BM6" i="12"/>
  <c r="AV10" i="12"/>
  <c r="EB33" i="11"/>
  <c r="AU29" i="11"/>
  <c r="AT32" i="12"/>
  <c r="CC28" i="11"/>
  <c r="AI27" i="11"/>
  <c r="CB32" i="12"/>
  <c r="AH29" i="12"/>
  <c r="BL30" i="11"/>
  <c r="AV7" i="12"/>
  <c r="ES29" i="11"/>
  <c r="ET12" i="12"/>
  <c r="ET33" i="11"/>
  <c r="DL6" i="12"/>
  <c r="CD11" i="12"/>
  <c r="CU8" i="12"/>
  <c r="BM8" i="12"/>
  <c r="AV12" i="12"/>
  <c r="AV33" i="11"/>
  <c r="FJ32" i="11"/>
  <c r="ER34" i="12"/>
  <c r="FJ29" i="11"/>
  <c r="FJ30" i="11"/>
  <c r="AT28" i="12"/>
  <c r="CC28" i="12"/>
  <c r="AI13" i="12"/>
  <c r="AI31" i="12" s="1"/>
  <c r="FJ27" i="11"/>
  <c r="AT30" i="12"/>
  <c r="BL32" i="11"/>
  <c r="DK31" i="11"/>
  <c r="EC6" i="12"/>
  <c r="DL7" i="12"/>
  <c r="DL28" i="11"/>
  <c r="CD12" i="12"/>
  <c r="CU9" i="12"/>
  <c r="FK8" i="12"/>
  <c r="BM7" i="12"/>
  <c r="FJ32" i="12"/>
  <c r="CC31" i="11"/>
  <c r="FJ29" i="12"/>
  <c r="FJ30" i="12"/>
  <c r="FJ13" i="12"/>
  <c r="FJ27" i="12"/>
  <c r="BL32" i="12"/>
  <c r="DK31" i="12"/>
  <c r="BL13" i="12"/>
  <c r="BL28" i="12" s="1"/>
  <c r="BL27" i="12"/>
  <c r="ES34" i="11"/>
  <c r="DL8" i="12"/>
  <c r="CU11" i="12"/>
  <c r="FK10" i="12"/>
  <c r="GB7" i="12"/>
  <c r="BM9" i="12"/>
  <c r="CC33" i="11"/>
  <c r="AI32" i="11"/>
  <c r="CC31" i="12"/>
  <c r="CC27" i="11"/>
  <c r="DK29" i="11"/>
  <c r="ER33" i="12"/>
  <c r="AU32" i="11"/>
  <c r="EC7" i="12"/>
  <c r="EB34" i="11"/>
  <c r="DL9" i="12"/>
  <c r="AJ6" i="12"/>
  <c r="AJ27" i="11"/>
  <c r="CU10" i="12"/>
  <c r="FK7" i="12"/>
  <c r="GB10" i="12"/>
  <c r="BL34" i="11"/>
  <c r="CC33" i="12"/>
  <c r="ES31" i="11"/>
  <c r="CS34" i="12"/>
  <c r="ER29" i="12"/>
  <c r="AU27" i="11"/>
  <c r="AT29" i="12"/>
  <c r="CC13" i="12"/>
  <c r="CC27" i="12"/>
  <c r="ES13" i="12"/>
  <c r="ES29" i="12" s="1"/>
  <c r="ES27" i="12"/>
  <c r="AT33" i="12"/>
  <c r="ES28" i="11"/>
  <c r="BL29" i="11"/>
  <c r="AU32" i="12"/>
  <c r="DL10" i="12"/>
  <c r="CT34" i="11"/>
  <c r="AJ8" i="12"/>
  <c r="CU12" i="12"/>
  <c r="GB9" i="12"/>
  <c r="BM11" i="12"/>
  <c r="ES31" i="12"/>
  <c r="CB31" i="12"/>
  <c r="EB32" i="11"/>
  <c r="AU13" i="12"/>
  <c r="AU30" i="12" s="1"/>
  <c r="AU27" i="12"/>
  <c r="ES28" i="12"/>
  <c r="DJ30" i="12"/>
  <c r="BL29" i="12"/>
  <c r="BK34" i="12"/>
  <c r="AJ7" i="12"/>
  <c r="FK9" i="12"/>
  <c r="GB6" i="12"/>
  <c r="GB27" i="11"/>
  <c r="ET7" i="12"/>
  <c r="BM10" i="12"/>
  <c r="AI33" i="11"/>
  <c r="CB30" i="12"/>
  <c r="CT27" i="11"/>
  <c r="CC30" i="11"/>
  <c r="CC29" i="11"/>
  <c r="ES33" i="11"/>
  <c r="AI29" i="11"/>
  <c r="AI28" i="11"/>
  <c r="BL33" i="11"/>
  <c r="EB27" i="11"/>
  <c r="ES30" i="11"/>
  <c r="CT32" i="11"/>
  <c r="EA34" i="12"/>
  <c r="AU31" i="11"/>
  <c r="EC8" i="12"/>
  <c r="AJ9" i="12"/>
  <c r="FK11" i="12"/>
  <c r="GB8" i="12"/>
  <c r="ET6" i="12"/>
  <c r="BM12" i="12"/>
  <c r="BM33" i="11"/>
  <c r="CT13" i="12"/>
  <c r="CT31" i="12" s="1"/>
  <c r="CT27" i="12"/>
  <c r="CB33" i="12"/>
  <c r="AH34" i="12"/>
  <c r="CC30" i="12"/>
  <c r="CC29" i="12"/>
  <c r="ES33" i="12"/>
  <c r="AT31" i="12"/>
  <c r="CS33" i="12"/>
  <c r="BL33" i="12"/>
  <c r="EB13" i="12"/>
  <c r="EB32" i="12" s="1"/>
  <c r="ES30" i="12"/>
  <c r="CT32" i="12"/>
  <c r="AU31" i="12"/>
  <c r="EC10" i="12"/>
  <c r="DL12" i="12"/>
  <c r="AJ12" i="12"/>
  <c r="FK12" i="12"/>
  <c r="GB11" i="12"/>
  <c r="ET10" i="12"/>
  <c r="ET31" i="11"/>
  <c r="AI31" i="11"/>
  <c r="CB29" i="12"/>
  <c r="CS32" i="12"/>
  <c r="CS28" i="12"/>
  <c r="AU33" i="12"/>
  <c r="EC9" i="12"/>
  <c r="EC12" i="12"/>
  <c r="CD6" i="12"/>
  <c r="AJ10" i="12"/>
  <c r="AU34" i="11"/>
  <c r="GB12" i="12"/>
  <c r="ET9" i="12"/>
  <c r="AV6" i="12"/>
  <c r="CT29" i="11"/>
  <c r="BK29" i="12"/>
  <c r="EB29" i="11"/>
  <c r="ER31" i="12"/>
  <c r="EB30" i="11"/>
  <c r="DK32" i="11"/>
  <c r="DK30" i="11"/>
  <c r="DK28" i="11"/>
  <c r="ES32" i="11"/>
  <c r="DL11" i="12"/>
  <c r="EC11" i="12"/>
  <c r="CD7" i="12"/>
  <c r="AJ11" i="12"/>
  <c r="FJ34" i="11"/>
  <c r="ET8" i="12"/>
  <c r="AV8" i="12"/>
  <c r="AT34" i="12"/>
  <c r="CT29" i="12"/>
  <c r="FJ33" i="12"/>
  <c r="DJ34" i="12"/>
  <c r="CS30" i="12"/>
  <c r="BK33" i="12"/>
  <c r="ER30" i="12"/>
  <c r="ES32" i="12"/>
  <c r="ET13" i="10"/>
  <c r="AK12" i="11" a="1"/>
  <c r="AK12" i="11" s="1"/>
  <c r="AK11" i="11" a="1"/>
  <c r="AK11" i="11" s="1"/>
  <c r="AK9" i="11" a="1"/>
  <c r="AK9" i="11" s="1"/>
  <c r="AK8" i="11" a="1"/>
  <c r="AK8" i="11" s="1"/>
  <c r="AK7" i="11" a="1"/>
  <c r="AK7" i="11" s="1"/>
  <c r="AK10" i="11" a="1"/>
  <c r="AK10" i="11" s="1"/>
  <c r="AK6" i="11" a="1"/>
  <c r="AK6" i="11" s="1"/>
  <c r="CV12" i="10" a="1"/>
  <c r="CV12" i="10" s="1"/>
  <c r="CV10" i="10" a="1"/>
  <c r="CV10" i="10" s="1"/>
  <c r="CV8" i="10" a="1"/>
  <c r="CV8" i="10" s="1"/>
  <c r="CV11" i="10" a="1"/>
  <c r="CV11" i="10" s="1"/>
  <c r="CV9" i="10" a="1"/>
  <c r="CV9" i="10" s="1"/>
  <c r="CW2" i="10"/>
  <c r="CV7" i="10" a="1"/>
  <c r="CV7" i="10" s="1"/>
  <c r="CV6" i="10" a="1"/>
  <c r="CV6" i="10" s="1"/>
  <c r="AJ13" i="11"/>
  <c r="AJ28" i="11" s="1"/>
  <c r="FK13" i="11"/>
  <c r="FK29" i="11" s="1"/>
  <c r="CU13" i="10"/>
  <c r="AW12" i="11" a="1"/>
  <c r="AW12" i="11" s="1"/>
  <c r="AW9" i="11" a="1"/>
  <c r="AW9" i="11" s="1"/>
  <c r="AW10" i="11" a="1"/>
  <c r="AW10" i="11" s="1"/>
  <c r="AW11" i="11" a="1"/>
  <c r="AW11" i="11" s="1"/>
  <c r="AW7" i="11" a="1"/>
  <c r="AW7" i="11" s="1"/>
  <c r="AW8" i="11" a="1"/>
  <c r="AW8" i="11" s="1"/>
  <c r="AW6" i="11" a="1"/>
  <c r="AW6" i="11" s="1"/>
  <c r="AX2" i="11"/>
  <c r="FL12" i="11" a="1"/>
  <c r="FL12" i="11" s="1"/>
  <c r="FL11" i="11" a="1"/>
  <c r="FL11" i="11" s="1"/>
  <c r="FL10" i="11" a="1"/>
  <c r="FL10" i="11" s="1"/>
  <c r="FL9" i="11" a="1"/>
  <c r="FL9" i="11" s="1"/>
  <c r="FL8" i="11" a="1"/>
  <c r="FL8" i="11" s="1"/>
  <c r="FL7" i="11" a="1"/>
  <c r="FL7" i="11" s="1"/>
  <c r="FL6" i="11" a="1"/>
  <c r="FL6" i="11" s="1"/>
  <c r="FM2" i="11"/>
  <c r="AV13" i="11"/>
  <c r="EC13" i="11"/>
  <c r="EC28" i="11" s="1"/>
  <c r="ED12" i="11" a="1"/>
  <c r="ED12" i="11" s="1"/>
  <c r="ED9" i="11" a="1"/>
  <c r="ED9" i="11" s="1"/>
  <c r="ED11" i="11" a="1"/>
  <c r="ED11" i="11" s="1"/>
  <c r="ED10" i="11" a="1"/>
  <c r="ED10" i="11" s="1"/>
  <c r="ED8" i="11" a="1"/>
  <c r="ED8" i="11" s="1"/>
  <c r="ED7" i="11" a="1"/>
  <c r="ED7" i="11" s="1"/>
  <c r="EE2" i="11"/>
  <c r="ED6" i="11" a="1"/>
  <c r="ED6" i="11" s="1"/>
  <c r="GC12" i="11" a="1"/>
  <c r="GC12" i="11" s="1"/>
  <c r="GC11" i="11" a="1"/>
  <c r="GC11" i="11" s="1"/>
  <c r="GC8" i="11" a="1"/>
  <c r="GC8" i="11" s="1"/>
  <c r="GC10" i="11" a="1"/>
  <c r="GC10" i="11" s="1"/>
  <c r="GC6" i="11" a="1"/>
  <c r="GC6" i="11" s="1"/>
  <c r="GC9" i="11" a="1"/>
  <c r="GC9" i="11" s="1"/>
  <c r="GB4" i="11"/>
  <c r="GC7" i="11" a="1"/>
  <c r="GC7" i="11" s="1"/>
  <c r="GD2" i="11"/>
  <c r="CE12" i="11" a="1"/>
  <c r="CE12" i="11" s="1"/>
  <c r="CE11" i="11" a="1"/>
  <c r="CE11" i="11" s="1"/>
  <c r="CE9" i="11" a="1"/>
  <c r="CE9" i="11" s="1"/>
  <c r="CF2" i="11"/>
  <c r="CE10" i="11" a="1"/>
  <c r="CE10" i="11" s="1"/>
  <c r="CE8" i="11" a="1"/>
  <c r="CE8" i="11" s="1"/>
  <c r="CE7" i="11" a="1"/>
  <c r="CE7" i="11" s="1"/>
  <c r="CE6" i="11" a="1"/>
  <c r="CE6" i="11" s="1"/>
  <c r="EC13" i="10"/>
  <c r="DM12" i="11" a="1"/>
  <c r="DM12" i="11" s="1"/>
  <c r="DM11" i="11" a="1"/>
  <c r="DM11" i="11" s="1"/>
  <c r="DM10" i="11" a="1"/>
  <c r="DM10" i="11" s="1"/>
  <c r="DM9" i="11" a="1"/>
  <c r="DM9" i="11" s="1"/>
  <c r="DM7" i="11" a="1"/>
  <c r="DM7" i="11" s="1"/>
  <c r="DM8" i="11" a="1"/>
  <c r="DM8" i="11" s="1"/>
  <c r="DN2" i="11"/>
  <c r="DM6" i="11" a="1"/>
  <c r="DM6" i="11" s="1"/>
  <c r="GT12" i="11" a="1"/>
  <c r="GT12" i="11" s="1"/>
  <c r="GT11" i="11" a="1"/>
  <c r="GT11" i="11" s="1"/>
  <c r="GT10" i="11" a="1"/>
  <c r="GT10" i="11" s="1"/>
  <c r="GT9" i="11" a="1"/>
  <c r="GT9" i="11" s="1"/>
  <c r="GT8" i="11" a="1"/>
  <c r="GT8" i="11" s="1"/>
  <c r="GT7" i="11" a="1"/>
  <c r="GT7" i="11" s="1"/>
  <c r="GT6" i="11" a="1"/>
  <c r="GT6" i="11" s="1"/>
  <c r="GU2" i="11"/>
  <c r="HL2" i="11"/>
  <c r="ED12" i="10" a="1"/>
  <c r="ED12" i="10" s="1"/>
  <c r="ED11" i="10" a="1"/>
  <c r="ED11" i="10" s="1"/>
  <c r="ED10" i="10" a="1"/>
  <c r="ED10" i="10" s="1"/>
  <c r="EE2" i="10"/>
  <c r="ED8" i="10" a="1"/>
  <c r="ED8" i="10" s="1"/>
  <c r="ED9" i="10" a="1"/>
  <c r="ED9" i="10" s="1"/>
  <c r="ED7" i="10" a="1"/>
  <c r="ED7" i="10" s="1"/>
  <c r="ED6" i="10" a="1"/>
  <c r="ED6" i="10" s="1"/>
  <c r="DL13" i="11"/>
  <c r="DL29" i="11" s="1"/>
  <c r="FK13" i="10"/>
  <c r="CE11" i="10" a="1"/>
  <c r="CE11" i="10" s="1"/>
  <c r="CE12" i="10" a="1"/>
  <c r="CE12" i="10" s="1"/>
  <c r="CE9" i="10" a="1"/>
  <c r="CE9" i="10" s="1"/>
  <c r="CE8" i="10" a="1"/>
  <c r="CE8" i="10" s="1"/>
  <c r="CE10" i="10" a="1"/>
  <c r="CE10" i="10" s="1"/>
  <c r="CE7" i="10" a="1"/>
  <c r="CE7" i="10" s="1"/>
  <c r="CF2" i="10"/>
  <c r="CE6" i="10" a="1"/>
  <c r="CE6" i="10" s="1"/>
  <c r="CD13" i="10"/>
  <c r="FL12" i="10" a="1"/>
  <c r="FL12" i="10" s="1"/>
  <c r="FL11" i="10" a="1"/>
  <c r="FL11" i="10" s="1"/>
  <c r="FL9" i="10" a="1"/>
  <c r="FL9" i="10" s="1"/>
  <c r="FL10" i="10" a="1"/>
  <c r="FL10" i="10" s="1"/>
  <c r="FL8" i="10" a="1"/>
  <c r="FL8" i="10" s="1"/>
  <c r="FL6" i="10" a="1"/>
  <c r="FL6" i="10" s="1"/>
  <c r="FL7" i="10" a="1"/>
  <c r="FL7" i="10" s="1"/>
  <c r="FM2" i="10"/>
  <c r="AH11" i="10" a="1"/>
  <c r="AH11" i="10" s="1"/>
  <c r="AH12" i="10" a="1"/>
  <c r="AH12" i="10" s="1"/>
  <c r="AH6" i="10" a="1"/>
  <c r="AH6" i="10" s="1"/>
  <c r="AH8" i="10" a="1"/>
  <c r="AH8" i="10" s="1"/>
  <c r="AH10" i="10" a="1"/>
  <c r="AH10" i="10" s="1"/>
  <c r="AH9" i="10" a="1"/>
  <c r="AH9" i="10" s="1"/>
  <c r="AH7" i="10" a="1"/>
  <c r="AH7" i="10" s="1"/>
  <c r="AI2" i="10"/>
  <c r="DL13" i="10"/>
  <c r="GB13" i="11"/>
  <c r="GB33" i="11" s="1"/>
  <c r="EU12" i="11" a="1"/>
  <c r="EU12" i="11" s="1"/>
  <c r="EU10" i="11" a="1"/>
  <c r="EU10" i="11" s="1"/>
  <c r="EU11" i="11" a="1"/>
  <c r="EU11" i="11" s="1"/>
  <c r="EU7" i="11" a="1"/>
  <c r="EU7" i="11" s="1"/>
  <c r="EU9" i="11" a="1"/>
  <c r="EU9" i="11" s="1"/>
  <c r="EU8" i="11" a="1"/>
  <c r="EU8" i="11" s="1"/>
  <c r="EV2" i="11"/>
  <c r="EU6" i="11" a="1"/>
  <c r="EU6" i="11" s="1"/>
  <c r="DM12" i="10" a="1"/>
  <c r="DM12" i="10" s="1"/>
  <c r="DM9" i="10" a="1"/>
  <c r="DM9" i="10" s="1"/>
  <c r="DM10" i="10" a="1"/>
  <c r="DM10" i="10" s="1"/>
  <c r="DM11" i="10" a="1"/>
  <c r="DM11" i="10" s="1"/>
  <c r="DM8" i="10" a="1"/>
  <c r="DM8" i="10" s="1"/>
  <c r="DM6" i="10" a="1"/>
  <c r="DM6" i="10" s="1"/>
  <c r="DM7" i="10" a="1"/>
  <c r="DM7" i="10" s="1"/>
  <c r="DN2" i="10"/>
  <c r="ET13" i="11"/>
  <c r="ET27" i="11" s="1"/>
  <c r="AV13" i="10"/>
  <c r="CV12" i="11" a="1"/>
  <c r="CV12" i="11" s="1"/>
  <c r="CV11" i="11" a="1"/>
  <c r="CV11" i="11" s="1"/>
  <c r="CV10" i="11" a="1"/>
  <c r="CV10" i="11" s="1"/>
  <c r="CV9" i="11" a="1"/>
  <c r="CV9" i="11" s="1"/>
  <c r="CV7" i="11" a="1"/>
  <c r="CV7" i="11" s="1"/>
  <c r="CV8" i="11" a="1"/>
  <c r="CV8" i="11" s="1"/>
  <c r="CW2" i="11"/>
  <c r="CV6" i="11" a="1"/>
  <c r="CV6" i="11" s="1"/>
  <c r="BM13" i="11"/>
  <c r="BM27" i="11" s="1"/>
  <c r="GB13" i="10"/>
  <c r="AG13" i="10"/>
  <c r="AW11" i="10" a="1"/>
  <c r="AW11" i="10" s="1"/>
  <c r="AW12" i="10" a="1"/>
  <c r="AW12" i="10" s="1"/>
  <c r="AW9" i="10" a="1"/>
  <c r="AW9" i="10" s="1"/>
  <c r="AW10" i="10" a="1"/>
  <c r="AW10" i="10" s="1"/>
  <c r="AW6" i="10" a="1"/>
  <c r="AW6" i="10" s="1"/>
  <c r="AW7" i="10" a="1"/>
  <c r="AW7" i="10" s="1"/>
  <c r="AW8" i="10" a="1"/>
  <c r="AW8" i="10" s="1"/>
  <c r="AX2" i="10"/>
  <c r="GT12" i="10" a="1"/>
  <c r="GT12" i="10" s="1"/>
  <c r="GT11" i="10" a="1"/>
  <c r="GT11" i="10" s="1"/>
  <c r="GT10" i="10" a="1"/>
  <c r="GT10" i="10" s="1"/>
  <c r="GT9" i="10" a="1"/>
  <c r="GT9" i="10" s="1"/>
  <c r="GT8" i="10" a="1"/>
  <c r="GT8" i="10" s="1"/>
  <c r="GT7" i="10" a="1"/>
  <c r="GT7" i="10" s="1"/>
  <c r="GU2" i="10"/>
  <c r="HL2" i="10"/>
  <c r="GT6" i="10" a="1"/>
  <c r="GT6" i="10" s="1"/>
  <c r="GT13" i="10" s="1"/>
  <c r="CU13" i="11"/>
  <c r="CU31" i="11" s="1"/>
  <c r="BM13" i="10"/>
  <c r="BN12" i="10" a="1"/>
  <c r="BN12" i="10" s="1"/>
  <c r="BN9" i="10" a="1"/>
  <c r="BN9" i="10" s="1"/>
  <c r="BN11" i="10" a="1"/>
  <c r="BN11" i="10" s="1"/>
  <c r="BN10" i="10" a="1"/>
  <c r="BN10" i="10" s="1"/>
  <c r="BO2" i="10"/>
  <c r="BN8" i="10" a="1"/>
  <c r="BN8" i="10" s="1"/>
  <c r="BN7" i="10" a="1"/>
  <c r="BN7" i="10" s="1"/>
  <c r="BN6" i="10" a="1"/>
  <c r="BN6" i="10" s="1"/>
  <c r="GC12" i="10" a="1"/>
  <c r="GC12" i="10" s="1"/>
  <c r="GC11" i="10" a="1"/>
  <c r="GC11" i="10" s="1"/>
  <c r="GC9" i="10" a="1"/>
  <c r="GC9" i="10" s="1"/>
  <c r="GC10" i="10" a="1"/>
  <c r="GC10" i="10" s="1"/>
  <c r="GC7" i="10" a="1"/>
  <c r="GC7" i="10" s="1"/>
  <c r="GC8" i="10" a="1"/>
  <c r="GC8" i="10" s="1"/>
  <c r="GD2" i="10"/>
  <c r="GB4" i="10"/>
  <c r="GC6" i="10" a="1"/>
  <c r="GC6" i="10" s="1"/>
  <c r="CD13" i="11"/>
  <c r="CD29" i="11" s="1"/>
  <c r="EU12" i="10" a="1"/>
  <c r="EU12" i="10" s="1"/>
  <c r="EU10" i="10" a="1"/>
  <c r="EU10" i="10" s="1"/>
  <c r="EU9" i="10" a="1"/>
  <c r="EU9" i="10" s="1"/>
  <c r="EU11" i="10" a="1"/>
  <c r="EU11" i="10" s="1"/>
  <c r="EU7" i="10" a="1"/>
  <c r="EU7" i="10" s="1"/>
  <c r="EU8" i="10" a="1"/>
  <c r="EU8" i="10" s="1"/>
  <c r="EV2" i="10"/>
  <c r="EU6" i="10" a="1"/>
  <c r="EU6" i="10" s="1"/>
  <c r="BN10" i="11" a="1"/>
  <c r="BN10" i="11" s="1"/>
  <c r="BN11" i="11" a="1"/>
  <c r="BN11" i="11" s="1"/>
  <c r="BN9" i="11" a="1"/>
  <c r="BN9" i="11" s="1"/>
  <c r="BN12" i="11" a="1"/>
  <c r="BN12" i="11" s="1"/>
  <c r="BN7" i="11" a="1"/>
  <c r="BN7" i="11" s="1"/>
  <c r="BO2" i="11"/>
  <c r="BN6" i="11" a="1"/>
  <c r="BN6" i="11" s="1"/>
  <c r="BN8" i="11" a="1"/>
  <c r="BN8" i="11" s="1"/>
  <c r="BN13" i="2"/>
  <c r="EE13" i="2"/>
  <c r="FM13" i="2"/>
  <c r="CW13" i="2"/>
  <c r="EV13" i="2"/>
  <c r="CX11" i="2" a="1"/>
  <c r="CX11" i="2" s="1"/>
  <c r="CX9" i="2" a="1"/>
  <c r="CX9" i="2" s="1"/>
  <c r="CX10" i="2" a="1"/>
  <c r="CX10" i="2" s="1"/>
  <c r="CY2" i="2"/>
  <c r="CX12" i="2" a="1"/>
  <c r="CX12" i="2" s="1"/>
  <c r="CX8" i="2" a="1"/>
  <c r="CX8" i="2" s="1"/>
  <c r="CX7" i="2" a="1"/>
  <c r="CX7" i="2" s="1"/>
  <c r="CX6" i="2" a="1"/>
  <c r="CX6" i="2" s="1"/>
  <c r="EF7" i="2" a="1"/>
  <c r="EF7" i="2" s="1"/>
  <c r="EF11" i="2" a="1"/>
  <c r="EF11" i="2" s="1"/>
  <c r="EF8" i="2" a="1"/>
  <c r="EF8" i="2" s="1"/>
  <c r="EF12" i="2" a="1"/>
  <c r="EF12" i="2" s="1"/>
  <c r="EF9" i="2" a="1"/>
  <c r="EF9" i="2" s="1"/>
  <c r="EF6" i="2" a="1"/>
  <c r="EF6" i="2" s="1"/>
  <c r="EG2" i="2"/>
  <c r="EF10" i="2" a="1"/>
  <c r="EF10" i="2" s="1"/>
  <c r="BO9" i="2" a="1"/>
  <c r="BO9" i="2" s="1"/>
  <c r="BP2" i="2"/>
  <c r="BO10" i="2" a="1"/>
  <c r="BO10" i="2" s="1"/>
  <c r="BO6" i="2" a="1"/>
  <c r="BO6" i="2" s="1"/>
  <c r="BO7" i="2" a="1"/>
  <c r="BO7" i="2" s="1"/>
  <c r="BO12" i="2" a="1"/>
  <c r="BO12" i="2" s="1"/>
  <c r="BO8" i="2" a="1"/>
  <c r="BO8" i="2" s="1"/>
  <c r="BO11" i="2" a="1"/>
  <c r="BO11" i="2" s="1"/>
  <c r="GU13" i="2"/>
  <c r="DO11" i="2" a="1"/>
  <c r="DO11" i="2" s="1"/>
  <c r="DO10" i="2" a="1"/>
  <c r="DO10" i="2" s="1"/>
  <c r="DO9" i="2" a="1"/>
  <c r="DO9" i="2" s="1"/>
  <c r="DO12" i="2" a="1"/>
  <c r="DO12" i="2" s="1"/>
  <c r="DO8" i="2" a="1"/>
  <c r="DO8" i="2" s="1"/>
  <c r="DO6" i="2" a="1"/>
  <c r="DO6" i="2" s="1"/>
  <c r="DP2" i="2"/>
  <c r="DO7" i="2" a="1"/>
  <c r="DO7" i="2" s="1"/>
  <c r="HL13" i="2"/>
  <c r="DN13" i="2"/>
  <c r="GE9" i="2" a="1"/>
  <c r="GE9" i="2" s="1"/>
  <c r="GE8" i="2" a="1"/>
  <c r="GE8" i="2" s="1"/>
  <c r="GE7" i="2" a="1"/>
  <c r="GE7" i="2" s="1"/>
  <c r="GE6" i="2" a="1"/>
  <c r="GE6" i="2" s="1"/>
  <c r="GF2" i="2"/>
  <c r="GE10" i="2" a="1"/>
  <c r="GE10" i="2" s="1"/>
  <c r="GE11" i="2" a="1"/>
  <c r="GE11" i="2" s="1"/>
  <c r="GE12" i="2" a="1"/>
  <c r="GE12" i="2" s="1"/>
  <c r="HM11" i="2" a="1"/>
  <c r="HM11" i="2" s="1"/>
  <c r="HM10" i="2" a="1"/>
  <c r="HM10" i="2" s="1"/>
  <c r="HM9" i="2" a="1"/>
  <c r="HM9" i="2" s="1"/>
  <c r="HM8" i="2" a="1"/>
  <c r="HM8" i="2" s="1"/>
  <c r="HM7" i="2" a="1"/>
  <c r="HM7" i="2" s="1"/>
  <c r="HM6" i="2" a="1"/>
  <c r="HM6" i="2" s="1"/>
  <c r="HN2" i="2"/>
  <c r="HM12" i="2" a="1"/>
  <c r="HM12" i="2" s="1"/>
  <c r="HL4" i="2"/>
  <c r="GD13" i="2"/>
  <c r="CF13" i="2"/>
  <c r="EW11" i="2" a="1"/>
  <c r="EW11" i="2" s="1"/>
  <c r="EW8" i="2" a="1"/>
  <c r="EW8" i="2" s="1"/>
  <c r="EW6" i="2" a="1"/>
  <c r="EW6" i="2" s="1"/>
  <c r="EW10" i="2" a="1"/>
  <c r="EW10" i="2" s="1"/>
  <c r="EW9" i="2" a="1"/>
  <c r="EW9" i="2" s="1"/>
  <c r="EX2" i="2"/>
  <c r="EW7" i="2" a="1"/>
  <c r="EW7" i="2" s="1"/>
  <c r="EW12" i="2" a="1"/>
  <c r="EW12" i="2" s="1"/>
  <c r="FN11" i="2" a="1"/>
  <c r="FN11" i="2" s="1"/>
  <c r="FN10" i="2" a="1"/>
  <c r="FN10" i="2" s="1"/>
  <c r="FN9" i="2" a="1"/>
  <c r="FN9" i="2" s="1"/>
  <c r="FN8" i="2" a="1"/>
  <c r="FN8" i="2" s="1"/>
  <c r="FN7" i="2" a="1"/>
  <c r="FN7" i="2" s="1"/>
  <c r="FN12" i="2" a="1"/>
  <c r="FN12" i="2" s="1"/>
  <c r="FN6" i="2" a="1"/>
  <c r="FN6" i="2" s="1"/>
  <c r="FO2" i="2"/>
  <c r="GV12" i="2" a="1"/>
  <c r="GV12" i="2" s="1"/>
  <c r="GV9" i="2" a="1"/>
  <c r="GV9" i="2" s="1"/>
  <c r="GV8" i="2" a="1"/>
  <c r="GV8" i="2" s="1"/>
  <c r="GV10" i="2" a="1"/>
  <c r="GV10" i="2" s="1"/>
  <c r="GV11" i="2" a="1"/>
  <c r="GV11" i="2" s="1"/>
  <c r="GV7" i="2" a="1"/>
  <c r="GV7" i="2" s="1"/>
  <c r="GV6" i="2" a="1"/>
  <c r="GV6" i="2" s="1"/>
  <c r="GW2" i="2"/>
  <c r="CG11" i="2" a="1"/>
  <c r="CG11" i="2" s="1"/>
  <c r="CG10" i="2" a="1"/>
  <c r="CG10" i="2" s="1"/>
  <c r="CG9" i="2" a="1"/>
  <c r="CG9" i="2" s="1"/>
  <c r="CG8" i="2" a="1"/>
  <c r="CG8" i="2" s="1"/>
  <c r="CG7" i="2" a="1"/>
  <c r="CG7" i="2" s="1"/>
  <c r="CG6" i="2" a="1"/>
  <c r="CG6" i="2" s="1"/>
  <c r="CG12" i="2" a="1"/>
  <c r="CG12" i="2" s="1"/>
  <c r="CH2" i="2"/>
  <c r="AV13" i="2"/>
  <c r="AW11" i="2" a="1"/>
  <c r="AW11" i="2" s="1"/>
  <c r="AW7" i="2" a="1"/>
  <c r="AW7" i="2" s="1"/>
  <c r="AW6" i="2" a="1"/>
  <c r="AW6" i="2" s="1"/>
  <c r="AW10" i="2" a="1"/>
  <c r="AW10" i="2" s="1"/>
  <c r="AX2" i="2"/>
  <c r="AW9" i="2" a="1"/>
  <c r="AW9" i="2" s="1"/>
  <c r="AW12" i="2" a="1"/>
  <c r="AW12" i="2" s="1"/>
  <c r="AW8" i="2" a="1"/>
  <c r="AW8" i="2" s="1"/>
  <c r="DM11" i="12" l="1"/>
  <c r="EU11" i="12"/>
  <c r="DM12" i="12"/>
  <c r="GC6" i="12"/>
  <c r="AV34" i="11"/>
  <c r="AW10" i="12"/>
  <c r="AK6" i="12"/>
  <c r="AK17" i="11"/>
  <c r="AJ32" i="11"/>
  <c r="ET30" i="11"/>
  <c r="EC33" i="11"/>
  <c r="EC31" i="11"/>
  <c r="EC29" i="12"/>
  <c r="GB30" i="11"/>
  <c r="AJ13" i="12"/>
  <c r="AJ27" i="12" s="1"/>
  <c r="BM28" i="11"/>
  <c r="AV31" i="11"/>
  <c r="CD31" i="11"/>
  <c r="CT28" i="12"/>
  <c r="DM10" i="12"/>
  <c r="AW11" i="12"/>
  <c r="BM33" i="12"/>
  <c r="EC29" i="11"/>
  <c r="GB13" i="12"/>
  <c r="GB27" i="12"/>
  <c r="CU32" i="11"/>
  <c r="DK34" i="12"/>
  <c r="ET34" i="11"/>
  <c r="GT6" i="12"/>
  <c r="EU10" i="12"/>
  <c r="GT7" i="12"/>
  <c r="GC10" i="12"/>
  <c r="AW9" i="12"/>
  <c r="AK10" i="12"/>
  <c r="AJ32" i="12"/>
  <c r="EC33" i="12"/>
  <c r="EC31" i="12"/>
  <c r="FK30" i="11"/>
  <c r="GB30" i="12"/>
  <c r="CC34" i="12"/>
  <c r="EC27" i="11"/>
  <c r="BM29" i="11"/>
  <c r="BL31" i="12"/>
  <c r="EU7" i="12"/>
  <c r="GT8" i="12"/>
  <c r="GT29" i="11"/>
  <c r="CE6" i="12"/>
  <c r="GC8" i="12"/>
  <c r="FL6" i="12"/>
  <c r="FL27" i="11"/>
  <c r="AW12" i="12"/>
  <c r="AK7" i="12"/>
  <c r="GB32" i="11"/>
  <c r="ET13" i="12"/>
  <c r="ET27" i="12"/>
  <c r="DL30" i="11"/>
  <c r="EC13" i="12"/>
  <c r="EC27" i="12"/>
  <c r="BM29" i="12"/>
  <c r="CC32" i="12"/>
  <c r="ED12" i="12"/>
  <c r="AV13" i="12"/>
  <c r="AV27" i="12"/>
  <c r="EB34" i="12"/>
  <c r="GT9" i="12"/>
  <c r="CE7" i="12"/>
  <c r="GC11" i="12"/>
  <c r="FL7" i="12"/>
  <c r="AK8" i="12"/>
  <c r="DK30" i="12"/>
  <c r="CD28" i="11"/>
  <c r="EC30" i="11"/>
  <c r="GB32" i="12"/>
  <c r="AI28" i="12"/>
  <c r="CU33" i="11"/>
  <c r="EB31" i="12"/>
  <c r="AV28" i="11"/>
  <c r="ET32" i="11"/>
  <c r="AV30" i="11"/>
  <c r="EU12" i="12"/>
  <c r="GB34" i="11"/>
  <c r="DL34" i="11"/>
  <c r="BM34" i="11"/>
  <c r="GT10" i="12"/>
  <c r="CE8" i="12"/>
  <c r="GC12" i="12"/>
  <c r="FL8" i="12"/>
  <c r="FK34" i="11"/>
  <c r="AK9" i="12"/>
  <c r="GB33" i="12"/>
  <c r="EC30" i="12"/>
  <c r="GB29" i="11"/>
  <c r="AU34" i="12"/>
  <c r="GB31" i="11"/>
  <c r="BM30" i="11"/>
  <c r="FJ34" i="12"/>
  <c r="FK29" i="12"/>
  <c r="BL30" i="12"/>
  <c r="CU29" i="11"/>
  <c r="BM13" i="12"/>
  <c r="BM27" i="12"/>
  <c r="ET32" i="12"/>
  <c r="AV30" i="12"/>
  <c r="AV32" i="11"/>
  <c r="CV12" i="12"/>
  <c r="CV6" i="12"/>
  <c r="CE10" i="12"/>
  <c r="ED6" i="12"/>
  <c r="FL9" i="12"/>
  <c r="AJ34" i="11"/>
  <c r="AK11" i="12"/>
  <c r="FK33" i="11"/>
  <c r="AI29" i="12"/>
  <c r="GB29" i="12"/>
  <c r="AJ28" i="12"/>
  <c r="GB31" i="12"/>
  <c r="AU29" i="12"/>
  <c r="FJ28" i="12"/>
  <c r="BN8" i="12"/>
  <c r="GT11" i="12"/>
  <c r="GT32" i="11"/>
  <c r="BN6" i="12"/>
  <c r="GT12" i="12"/>
  <c r="FL10" i="12"/>
  <c r="AK12" i="12"/>
  <c r="DK32" i="12"/>
  <c r="AV29" i="11"/>
  <c r="EC32" i="11"/>
  <c r="BM31" i="11"/>
  <c r="AJ29" i="11"/>
  <c r="DK29" i="12"/>
  <c r="CU30" i="11"/>
  <c r="AW7" i="12"/>
  <c r="CD13" i="12"/>
  <c r="CD27" i="12"/>
  <c r="BM32" i="12"/>
  <c r="AI34" i="12"/>
  <c r="EB28" i="12"/>
  <c r="CV8" i="12"/>
  <c r="CV29" i="11"/>
  <c r="DM6" i="12"/>
  <c r="CE9" i="12"/>
  <c r="ED7" i="12"/>
  <c r="FL11" i="12"/>
  <c r="AV29" i="12"/>
  <c r="EC32" i="12"/>
  <c r="CT34" i="12"/>
  <c r="FK32" i="11"/>
  <c r="BM31" i="12"/>
  <c r="AJ29" i="12"/>
  <c r="FK28" i="11"/>
  <c r="GB28" i="11"/>
  <c r="EB33" i="12"/>
  <c r="CD32" i="11"/>
  <c r="CT30" i="12"/>
  <c r="GC9" i="12"/>
  <c r="EC34" i="11"/>
  <c r="CD34" i="11"/>
  <c r="BN7" i="12"/>
  <c r="BN28" i="11"/>
  <c r="CV7" i="12"/>
  <c r="CE11" i="12"/>
  <c r="ED8" i="12"/>
  <c r="FL12" i="12"/>
  <c r="EB30" i="12"/>
  <c r="AJ31" i="11"/>
  <c r="AJ33" i="11"/>
  <c r="AI32" i="12"/>
  <c r="EC28" i="12"/>
  <c r="GB28" i="12"/>
  <c r="FK27" i="11"/>
  <c r="CT33" i="12"/>
  <c r="DK33" i="12"/>
  <c r="CU27" i="11"/>
  <c r="BN12" i="12"/>
  <c r="BN33" i="11"/>
  <c r="CV9" i="12"/>
  <c r="CV30" i="11"/>
  <c r="EU6" i="12"/>
  <c r="DM8" i="12"/>
  <c r="CE12" i="12"/>
  <c r="ED10" i="12"/>
  <c r="ET29" i="11"/>
  <c r="DL32" i="11"/>
  <c r="AJ31" i="12"/>
  <c r="AJ33" i="12"/>
  <c r="ET28" i="11"/>
  <c r="BL34" i="12"/>
  <c r="CD33" i="11"/>
  <c r="FK13" i="12"/>
  <c r="FK27" i="12" s="1"/>
  <c r="CU13" i="12"/>
  <c r="CU32" i="12" s="1"/>
  <c r="EU9" i="12"/>
  <c r="BN9" i="12"/>
  <c r="CV10" i="12"/>
  <c r="DM7" i="12"/>
  <c r="ED11" i="12"/>
  <c r="AW6" i="12"/>
  <c r="EB29" i="12"/>
  <c r="ET29" i="12"/>
  <c r="AI33" i="12"/>
  <c r="AJ30" i="11"/>
  <c r="ET28" i="12"/>
  <c r="FK31" i="11"/>
  <c r="DL27" i="11"/>
  <c r="AI30" i="12"/>
  <c r="BN10" i="12"/>
  <c r="CU34" i="11"/>
  <c r="BN11" i="12"/>
  <c r="CV11" i="12"/>
  <c r="EU8" i="12"/>
  <c r="DM9" i="12"/>
  <c r="GC7" i="12"/>
  <c r="ED9" i="12"/>
  <c r="AW8" i="12"/>
  <c r="AV27" i="11"/>
  <c r="CD27" i="11"/>
  <c r="DL33" i="11"/>
  <c r="EB27" i="12"/>
  <c r="AJ30" i="12"/>
  <c r="BM32" i="11"/>
  <c r="DL31" i="11"/>
  <c r="ES34" i="12"/>
  <c r="AI27" i="12"/>
  <c r="DL13" i="12"/>
  <c r="DL27" i="12" s="1"/>
  <c r="CU28" i="11"/>
  <c r="CD30" i="11"/>
  <c r="CE13" i="10"/>
  <c r="DN12" i="11" a="1"/>
  <c r="DN12" i="11" s="1"/>
  <c r="DN11" i="11" a="1"/>
  <c r="DN11" i="11" s="1"/>
  <c r="DN10" i="11" a="1"/>
  <c r="DN10" i="11" s="1"/>
  <c r="DN9" i="11" a="1"/>
  <c r="DN9" i="11" s="1"/>
  <c r="DN7" i="11" a="1"/>
  <c r="DN7" i="11" s="1"/>
  <c r="DO2" i="11"/>
  <c r="DN8" i="11" a="1"/>
  <c r="DN8" i="11" s="1"/>
  <c r="DN6" i="11" a="1"/>
  <c r="DN6" i="11" s="1"/>
  <c r="BN13" i="11"/>
  <c r="BO12" i="10" a="1"/>
  <c r="BO12" i="10" s="1"/>
  <c r="BO11" i="10" a="1"/>
  <c r="BO11" i="10" s="1"/>
  <c r="BO9" i="10" a="1"/>
  <c r="BO9" i="10" s="1"/>
  <c r="BO6" i="10" a="1"/>
  <c r="BO6" i="10" s="1"/>
  <c r="BO10" i="10" a="1"/>
  <c r="BO10" i="10" s="1"/>
  <c r="BO8" i="10" a="1"/>
  <c r="BO8" i="10" s="1"/>
  <c r="BP2" i="10"/>
  <c r="BO7" i="10" a="1"/>
  <c r="BO7" i="10" s="1"/>
  <c r="HL12" i="10" a="1"/>
  <c r="HL12" i="10" s="1"/>
  <c r="HL11" i="10" a="1"/>
  <c r="HL11" i="10" s="1"/>
  <c r="HL10" i="10" a="1"/>
  <c r="HL10" i="10" s="1"/>
  <c r="HL9" i="10" a="1"/>
  <c r="HL9" i="10" s="1"/>
  <c r="HL8" i="10" a="1"/>
  <c r="HL8" i="10" s="1"/>
  <c r="HL7" i="10" a="1"/>
  <c r="HL7" i="10" s="1"/>
  <c r="HM2" i="10"/>
  <c r="HL6" i="10" a="1"/>
  <c r="HL6" i="10" s="1"/>
  <c r="AW13" i="10"/>
  <c r="EV11" i="11" a="1"/>
  <c r="EV11" i="11" s="1"/>
  <c r="EV12" i="11" a="1"/>
  <c r="EV12" i="11" s="1"/>
  <c r="EV10" i="11" a="1"/>
  <c r="EV10" i="11" s="1"/>
  <c r="EV8" i="11" a="1"/>
  <c r="EV8" i="11" s="1"/>
  <c r="EV7" i="11" a="1"/>
  <c r="EV7" i="11" s="1"/>
  <c r="EV9" i="11" a="1"/>
  <c r="EV9" i="11" s="1"/>
  <c r="EW2" i="11"/>
  <c r="EV6" i="11" a="1"/>
  <c r="EV6" i="11" s="1"/>
  <c r="GU11" i="11" a="1"/>
  <c r="GU11" i="11" s="1"/>
  <c r="GU12" i="11" a="1"/>
  <c r="GU12" i="11" s="1"/>
  <c r="GU10" i="11" a="1"/>
  <c r="GU10" i="11" s="1"/>
  <c r="GU9" i="11" a="1"/>
  <c r="GU9" i="11" s="1"/>
  <c r="GU8" i="11" a="1"/>
  <c r="GU8" i="11" s="1"/>
  <c r="GT4" i="11"/>
  <c r="GU7" i="11" a="1"/>
  <c r="GU7" i="11" s="1"/>
  <c r="GU6" i="11" a="1"/>
  <c r="GU6" i="11" s="1"/>
  <c r="GV2" i="11"/>
  <c r="GU12" i="10" a="1"/>
  <c r="GU12" i="10" s="1"/>
  <c r="GU11" i="10" a="1"/>
  <c r="GU11" i="10" s="1"/>
  <c r="GU9" i="10" a="1"/>
  <c r="GU9" i="10" s="1"/>
  <c r="GU10" i="10" a="1"/>
  <c r="GU10" i="10" s="1"/>
  <c r="GU8" i="10" a="1"/>
  <c r="GU8" i="10" s="1"/>
  <c r="GU6" i="10" a="1"/>
  <c r="GU6" i="10" s="1"/>
  <c r="GU7" i="10" a="1"/>
  <c r="GU7" i="10" s="1"/>
  <c r="GT4" i="10"/>
  <c r="GV2" i="10"/>
  <c r="AH13" i="10"/>
  <c r="GT13" i="11"/>
  <c r="GT27" i="11" s="1"/>
  <c r="AK13" i="11"/>
  <c r="AK31" i="11" s="1"/>
  <c r="AL6" i="11"/>
  <c r="GD12" i="10" a="1"/>
  <c r="GD12" i="10" s="1"/>
  <c r="GD11" i="10" a="1"/>
  <c r="GD11" i="10" s="1"/>
  <c r="GD9" i="10" a="1"/>
  <c r="GD9" i="10" s="1"/>
  <c r="GD10" i="10" a="1"/>
  <c r="GD10" i="10" s="1"/>
  <c r="GD7" i="10" a="1"/>
  <c r="GD7" i="10" s="1"/>
  <c r="GD8" i="10" a="1"/>
  <c r="GD8" i="10" s="1"/>
  <c r="GE2" i="10"/>
  <c r="GD6" i="10" a="1"/>
  <c r="GD6" i="10" s="1"/>
  <c r="CV13" i="11"/>
  <c r="AL10" i="11"/>
  <c r="BO11" i="11" a="1"/>
  <c r="BO11" i="11" s="1"/>
  <c r="BO12" i="11" a="1"/>
  <c r="BO12" i="11" s="1"/>
  <c r="BO10" i="11" a="1"/>
  <c r="BO10" i="11" s="1"/>
  <c r="BO9" i="11" a="1"/>
  <c r="BO9" i="11" s="1"/>
  <c r="BO7" i="11" a="1"/>
  <c r="BO7" i="11" s="1"/>
  <c r="BO8" i="11" a="1"/>
  <c r="BO8" i="11" s="1"/>
  <c r="BO6" i="11" a="1"/>
  <c r="BO6" i="11" s="1"/>
  <c r="BP2" i="11"/>
  <c r="CW12" i="11" a="1"/>
  <c r="CW12" i="11" s="1"/>
  <c r="CW11" i="11" a="1"/>
  <c r="CW11" i="11" s="1"/>
  <c r="CW9" i="11" a="1"/>
  <c r="CW9" i="11" s="1"/>
  <c r="CW10" i="11" a="1"/>
  <c r="CW10" i="11" s="1"/>
  <c r="CX2" i="11"/>
  <c r="CW8" i="11" a="1"/>
  <c r="CW8" i="11" s="1"/>
  <c r="CW7" i="11" a="1"/>
  <c r="CW7" i="11" s="1"/>
  <c r="CW6" i="11" a="1"/>
  <c r="CW6" i="11" s="1"/>
  <c r="ED13" i="10"/>
  <c r="GD12" i="11" a="1"/>
  <c r="GD12" i="11" s="1"/>
  <c r="GD11" i="11" a="1"/>
  <c r="GD11" i="11" s="1"/>
  <c r="GD10" i="11" a="1"/>
  <c r="GD10" i="11" s="1"/>
  <c r="GD9" i="11" a="1"/>
  <c r="GD9" i="11" s="1"/>
  <c r="GD8" i="11" a="1"/>
  <c r="GD8" i="11" s="1"/>
  <c r="GD7" i="11" a="1"/>
  <c r="GD7" i="11" s="1"/>
  <c r="GD6" i="11" a="1"/>
  <c r="GD6" i="11" s="1"/>
  <c r="GE2" i="11"/>
  <c r="FM12" i="11" a="1"/>
  <c r="FM12" i="11" s="1"/>
  <c r="FM11" i="11" a="1"/>
  <c r="FM11" i="11" s="1"/>
  <c r="FM10" i="11" a="1"/>
  <c r="FM10" i="11" s="1"/>
  <c r="FM8" i="11" a="1"/>
  <c r="FM8" i="11" s="1"/>
  <c r="FM9" i="11" a="1"/>
  <c r="FM9" i="11" s="1"/>
  <c r="FM6" i="11" a="1"/>
  <c r="FM6" i="11" s="1"/>
  <c r="FN2" i="11"/>
  <c r="FM7" i="11" a="1"/>
  <c r="FM7" i="11" s="1"/>
  <c r="AL7" i="11"/>
  <c r="AK18" i="11" s="1"/>
  <c r="ED13" i="11"/>
  <c r="ED28" i="11" s="1"/>
  <c r="FL13" i="11"/>
  <c r="FL31" i="11" s="1"/>
  <c r="AL8" i="11"/>
  <c r="DN11" i="10" a="1"/>
  <c r="DN11" i="10" s="1"/>
  <c r="DN12" i="10" a="1"/>
  <c r="DN12" i="10" s="1"/>
  <c r="DN9" i="10" a="1"/>
  <c r="DN9" i="10" s="1"/>
  <c r="DN10" i="10" a="1"/>
  <c r="DN10" i="10" s="1"/>
  <c r="DN8" i="10" a="1"/>
  <c r="DN8" i="10" s="1"/>
  <c r="DN7" i="10" a="1"/>
  <c r="DN7" i="10" s="1"/>
  <c r="DN6" i="10" a="1"/>
  <c r="DN6" i="10" s="1"/>
  <c r="DO2" i="10"/>
  <c r="EE12" i="11" a="1"/>
  <c r="EE12" i="11" s="1"/>
  <c r="EE9" i="11" a="1"/>
  <c r="EE9" i="11" s="1"/>
  <c r="EE11" i="11" a="1"/>
  <c r="EE11" i="11" s="1"/>
  <c r="EE10" i="11" a="1"/>
  <c r="EE10" i="11" s="1"/>
  <c r="EE8" i="11" a="1"/>
  <c r="EE8" i="11" s="1"/>
  <c r="EE7" i="11" a="1"/>
  <c r="EE7" i="11" s="1"/>
  <c r="EE6" i="11" a="1"/>
  <c r="EE6" i="11" s="1"/>
  <c r="EF2" i="11"/>
  <c r="AX12" i="11" a="1"/>
  <c r="AX12" i="11" s="1"/>
  <c r="AX10" i="11" a="1"/>
  <c r="AX10" i="11" s="1"/>
  <c r="AX11" i="11" a="1"/>
  <c r="AX11" i="11" s="1"/>
  <c r="AX9" i="11" a="1"/>
  <c r="AX9" i="11" s="1"/>
  <c r="AX8" i="11" a="1"/>
  <c r="AX8" i="11" s="1"/>
  <c r="AX7" i="11" a="1"/>
  <c r="AX7" i="11" s="1"/>
  <c r="AX6" i="11" a="1"/>
  <c r="AX6" i="11" s="1"/>
  <c r="AY2" i="11"/>
  <c r="AL9" i="11"/>
  <c r="AK20" i="11" s="1"/>
  <c r="AW13" i="11"/>
  <c r="AW29" i="11" s="1"/>
  <c r="AL11" i="11"/>
  <c r="DM13" i="10"/>
  <c r="EE12" i="10" a="1"/>
  <c r="EE12" i="10" s="1"/>
  <c r="EE11" i="10" a="1"/>
  <c r="EE11" i="10" s="1"/>
  <c r="EE10" i="10" a="1"/>
  <c r="EE10" i="10" s="1"/>
  <c r="EE8" i="10" a="1"/>
  <c r="EE8" i="10" s="1"/>
  <c r="EE9" i="10" a="1"/>
  <c r="EE9" i="10" s="1"/>
  <c r="EE7" i="10" a="1"/>
  <c r="EE7" i="10" s="1"/>
  <c r="EF2" i="10"/>
  <c r="EE6" i="10" a="1"/>
  <c r="EE6" i="10" s="1"/>
  <c r="GC13" i="11"/>
  <c r="GC31" i="11" s="1"/>
  <c r="AL12" i="11"/>
  <c r="CE13" i="11"/>
  <c r="CE31" i="11" s="1"/>
  <c r="CV13" i="10"/>
  <c r="CW12" i="10" a="1"/>
  <c r="CW12" i="10" s="1"/>
  <c r="CW10" i="10" a="1"/>
  <c r="CW10" i="10" s="1"/>
  <c r="CW9" i="10" a="1"/>
  <c r="CW9" i="10" s="1"/>
  <c r="CW11" i="10" a="1"/>
  <c r="CW11" i="10" s="1"/>
  <c r="CW7" i="10" a="1"/>
  <c r="CW7" i="10" s="1"/>
  <c r="CW8" i="10" a="1"/>
  <c r="CW8" i="10" s="1"/>
  <c r="CW6" i="10" a="1"/>
  <c r="CW6" i="10" s="1"/>
  <c r="CX2" i="10"/>
  <c r="EU13" i="11"/>
  <c r="EU28" i="11" s="1"/>
  <c r="FM12" i="10" a="1"/>
  <c r="FM12" i="10" s="1"/>
  <c r="FM9" i="10" a="1"/>
  <c r="FM9" i="10" s="1"/>
  <c r="FM11" i="10" a="1"/>
  <c r="FM11" i="10" s="1"/>
  <c r="FM10" i="10" a="1"/>
  <c r="FM10" i="10" s="1"/>
  <c r="FM8" i="10" a="1"/>
  <c r="FM8" i="10" s="1"/>
  <c r="FM6" i="10" a="1"/>
  <c r="FM6" i="10" s="1"/>
  <c r="FN2" i="10"/>
  <c r="FM7" i="10" a="1"/>
  <c r="FM7" i="10" s="1"/>
  <c r="EU13" i="10"/>
  <c r="EV12" i="10" a="1"/>
  <c r="EV12" i="10" s="1"/>
  <c r="EV10" i="10" a="1"/>
  <c r="EV10" i="10" s="1"/>
  <c r="EV9" i="10" a="1"/>
  <c r="EV9" i="10" s="1"/>
  <c r="EW2" i="10"/>
  <c r="EV8" i="10" a="1"/>
  <c r="EV8" i="10" s="1"/>
  <c r="EV11" i="10" a="1"/>
  <c r="EV11" i="10" s="1"/>
  <c r="EV6" i="10" a="1"/>
  <c r="EV6" i="10" s="1"/>
  <c r="EV7" i="10" a="1"/>
  <c r="EV7" i="10" s="1"/>
  <c r="GC13" i="10"/>
  <c r="AI12" i="10" a="1"/>
  <c r="AI12" i="10" s="1"/>
  <c r="AI9" i="10" a="1"/>
  <c r="AI9" i="10" s="1"/>
  <c r="AI7" i="10" a="1"/>
  <c r="AI7" i="10" s="1"/>
  <c r="AI8" i="10" a="1"/>
  <c r="AI8" i="10" s="1"/>
  <c r="AI11" i="10" a="1"/>
  <c r="AI11" i="10" s="1"/>
  <c r="AI10" i="10" a="1"/>
  <c r="AI10" i="10" s="1"/>
  <c r="AJ2" i="10"/>
  <c r="AI6" i="10" a="1"/>
  <c r="AI6" i="10" s="1"/>
  <c r="FL13" i="10"/>
  <c r="CF12" i="11" a="1"/>
  <c r="CF12" i="11" s="1"/>
  <c r="CF9" i="11" a="1"/>
  <c r="CF9" i="11" s="1"/>
  <c r="CF11" i="11" a="1"/>
  <c r="CF11" i="11" s="1"/>
  <c r="CF7" i="11" a="1"/>
  <c r="CF7" i="11" s="1"/>
  <c r="CF10" i="11" a="1"/>
  <c r="CF10" i="11" s="1"/>
  <c r="CF8" i="11" a="1"/>
  <c r="CF8" i="11" s="1"/>
  <c r="CF6" i="11" a="1"/>
  <c r="CF6" i="11" s="1"/>
  <c r="CG2" i="11"/>
  <c r="CF11" i="10" a="1"/>
  <c r="CF11" i="10" s="1"/>
  <c r="CF12" i="10" a="1"/>
  <c r="CF12" i="10" s="1"/>
  <c r="CF9" i="10" a="1"/>
  <c r="CF9" i="10" s="1"/>
  <c r="CF10" i="10" a="1"/>
  <c r="CF10" i="10" s="1"/>
  <c r="CF6" i="10" a="1"/>
  <c r="CF6" i="10" s="1"/>
  <c r="CF7" i="10" a="1"/>
  <c r="CF7" i="10" s="1"/>
  <c r="CF8" i="10" a="1"/>
  <c r="CF8" i="10" s="1"/>
  <c r="CG2" i="10"/>
  <c r="HL12" i="11" a="1"/>
  <c r="HL12" i="11" s="1"/>
  <c r="HL11" i="11" a="1"/>
  <c r="HL11" i="11" s="1"/>
  <c r="HL8" i="11" a="1"/>
  <c r="HL8" i="11" s="1"/>
  <c r="HL9" i="11" a="1"/>
  <c r="HL9" i="11" s="1"/>
  <c r="HL10" i="11" a="1"/>
  <c r="HL10" i="11" s="1"/>
  <c r="HL6" i="11" a="1"/>
  <c r="HL6" i="11" s="1"/>
  <c r="HL7" i="11" a="1"/>
  <c r="HL7" i="11" s="1"/>
  <c r="HM2" i="11"/>
  <c r="BN13" i="10"/>
  <c r="AX10" i="10" a="1"/>
  <c r="AX10" i="10" s="1"/>
  <c r="AX11" i="10" a="1"/>
  <c r="AX11" i="10" s="1"/>
  <c r="AX9" i="10" a="1"/>
  <c r="AX9" i="10" s="1"/>
  <c r="AX7" i="10" a="1"/>
  <c r="AX7" i="10" s="1"/>
  <c r="AX12" i="10" a="1"/>
  <c r="AX12" i="10" s="1"/>
  <c r="AX8" i="10" a="1"/>
  <c r="AX8" i="10" s="1"/>
  <c r="AX6" i="10" a="1"/>
  <c r="AX6" i="10" s="1"/>
  <c r="AY2" i="10"/>
  <c r="DM13" i="11"/>
  <c r="DM30" i="11" s="1"/>
  <c r="DP11" i="2" a="1"/>
  <c r="DP11" i="2" s="1"/>
  <c r="DP10" i="2" a="1"/>
  <c r="DP10" i="2" s="1"/>
  <c r="DP12" i="2" a="1"/>
  <c r="DP12" i="2" s="1"/>
  <c r="DP8" i="2" a="1"/>
  <c r="DP8" i="2" s="1"/>
  <c r="DP7" i="2" a="1"/>
  <c r="DP7" i="2" s="1"/>
  <c r="DP6" i="2" a="1"/>
  <c r="DP6" i="2" s="1"/>
  <c r="DQ2" i="2"/>
  <c r="DP9" i="2" a="1"/>
  <c r="DP9" i="2" s="1"/>
  <c r="EH2" i="2"/>
  <c r="EG8" i="2" a="1"/>
  <c r="EG8" i="2" s="1"/>
  <c r="EG12" i="2" a="1"/>
  <c r="EG12" i="2" s="1"/>
  <c r="EG9" i="2" a="1"/>
  <c r="EG9" i="2" s="1"/>
  <c r="EG6" i="2" a="1"/>
  <c r="EG6" i="2" s="1"/>
  <c r="EG10" i="2" a="1"/>
  <c r="EG10" i="2" s="1"/>
  <c r="EG11" i="2" a="1"/>
  <c r="EG11" i="2" s="1"/>
  <c r="EG7" i="2" a="1"/>
  <c r="EG7" i="2" s="1"/>
  <c r="DO13" i="2"/>
  <c r="EF13" i="2"/>
  <c r="HN9" i="2" a="1"/>
  <c r="HN9" i="2" s="1"/>
  <c r="HN8" i="2" a="1"/>
  <c r="HN8" i="2" s="1"/>
  <c r="HN7" i="2" a="1"/>
  <c r="HN7" i="2" s="1"/>
  <c r="HN6" i="2" a="1"/>
  <c r="HN6" i="2" s="1"/>
  <c r="HO2" i="2"/>
  <c r="HN10" i="2" a="1"/>
  <c r="HN10" i="2" s="1"/>
  <c r="HN11" i="2" a="1"/>
  <c r="HN11" i="2" s="1"/>
  <c r="HN12" i="2" a="1"/>
  <c r="HN12" i="2" s="1"/>
  <c r="BO13" i="2"/>
  <c r="GV13" i="2"/>
  <c r="BQ2" i="2"/>
  <c r="BP9" i="2" a="1"/>
  <c r="BP9" i="2" s="1"/>
  <c r="BP10" i="2" a="1"/>
  <c r="BP10" i="2" s="1"/>
  <c r="BP11" i="2" a="1"/>
  <c r="BP11" i="2" s="1"/>
  <c r="BP7" i="2" a="1"/>
  <c r="BP7" i="2" s="1"/>
  <c r="BP6" i="2" a="1"/>
  <c r="BP6" i="2" s="1"/>
  <c r="BP12" i="2" a="1"/>
  <c r="BP12" i="2" s="1"/>
  <c r="BP8" i="2" a="1"/>
  <c r="BP8" i="2" s="1"/>
  <c r="EY2" i="2"/>
  <c r="EX8" i="2" a="1"/>
  <c r="EX8" i="2" s="1"/>
  <c r="EX12" i="2" a="1"/>
  <c r="EX12" i="2" s="1"/>
  <c r="EX9" i="2" a="1"/>
  <c r="EX9" i="2" s="1"/>
  <c r="EX11" i="2" a="1"/>
  <c r="EX11" i="2" s="1"/>
  <c r="EX10" i="2" a="1"/>
  <c r="EX10" i="2" s="1"/>
  <c r="EX7" i="2" a="1"/>
  <c r="EX7" i="2" s="1"/>
  <c r="EX6" i="2" a="1"/>
  <c r="EX6" i="2" s="1"/>
  <c r="HM13" i="2"/>
  <c r="CH9" i="2" a="1"/>
  <c r="CH9" i="2" s="1"/>
  <c r="CH8" i="2" a="1"/>
  <c r="CH8" i="2" s="1"/>
  <c r="CH7" i="2" a="1"/>
  <c r="CH7" i="2" s="1"/>
  <c r="CH6" i="2" a="1"/>
  <c r="CH6" i="2" s="1"/>
  <c r="CH12" i="2" a="1"/>
  <c r="CH12" i="2" s="1"/>
  <c r="CH11" i="2" a="1"/>
  <c r="CH11" i="2" s="1"/>
  <c r="CH10" i="2" a="1"/>
  <c r="CH10" i="2" s="1"/>
  <c r="CI2" i="2"/>
  <c r="CX13" i="2"/>
  <c r="EW13" i="2"/>
  <c r="CG13" i="2"/>
  <c r="FO12" i="2" a="1"/>
  <c r="FO12" i="2" s="1"/>
  <c r="FO11" i="2" a="1"/>
  <c r="FO11" i="2" s="1"/>
  <c r="FO10" i="2" a="1"/>
  <c r="FO10" i="2" s="1"/>
  <c r="FO9" i="2" a="1"/>
  <c r="FO9" i="2" s="1"/>
  <c r="FO7" i="2" a="1"/>
  <c r="FO7" i="2" s="1"/>
  <c r="FO6" i="2" a="1"/>
  <c r="FO6" i="2" s="1"/>
  <c r="FO8" i="2" a="1"/>
  <c r="FO8" i="2" s="1"/>
  <c r="FP2" i="2"/>
  <c r="FN13" i="2"/>
  <c r="CY11" i="2" a="1"/>
  <c r="CY11" i="2" s="1"/>
  <c r="CZ2" i="2"/>
  <c r="CY12" i="2" a="1"/>
  <c r="CY12" i="2" s="1"/>
  <c r="CY8" i="2" a="1"/>
  <c r="CY8" i="2" s="1"/>
  <c r="CY7" i="2" a="1"/>
  <c r="CY7" i="2" s="1"/>
  <c r="CY9" i="2" a="1"/>
  <c r="CY9" i="2" s="1"/>
  <c r="CY6" i="2" a="1"/>
  <c r="CY6" i="2" s="1"/>
  <c r="CY10" i="2" a="1"/>
  <c r="CY10" i="2" s="1"/>
  <c r="GW12" i="2" a="1"/>
  <c r="GW12" i="2" s="1"/>
  <c r="GW11" i="2" a="1"/>
  <c r="GW11" i="2" s="1"/>
  <c r="GW10" i="2" a="1"/>
  <c r="GW10" i="2" s="1"/>
  <c r="GW7" i="2" a="1"/>
  <c r="GW7" i="2" s="1"/>
  <c r="GW6" i="2" a="1"/>
  <c r="GW6" i="2" s="1"/>
  <c r="GW8" i="2" a="1"/>
  <c r="GW8" i="2" s="1"/>
  <c r="GW9" i="2" a="1"/>
  <c r="GW9" i="2" s="1"/>
  <c r="GX2" i="2"/>
  <c r="GF7" i="2" a="1"/>
  <c r="GF7" i="2" s="1"/>
  <c r="GF6" i="2" a="1"/>
  <c r="GF6" i="2" s="1"/>
  <c r="GG2" i="2"/>
  <c r="GF12" i="2" a="1"/>
  <c r="GF12" i="2" s="1"/>
  <c r="GF11" i="2" a="1"/>
  <c r="GF11" i="2" s="1"/>
  <c r="GF8" i="2" a="1"/>
  <c r="GF8" i="2" s="1"/>
  <c r="GF10" i="2" a="1"/>
  <c r="GF10" i="2" s="1"/>
  <c r="GF9" i="2" a="1"/>
  <c r="GF9" i="2" s="1"/>
  <c r="GE13" i="2"/>
  <c r="AX9" i="2" a="1"/>
  <c r="AX9" i="2" s="1"/>
  <c r="AX11" i="2" a="1"/>
  <c r="AX11" i="2" s="1"/>
  <c r="AX8" i="2" a="1"/>
  <c r="AX8" i="2" s="1"/>
  <c r="AY2" i="2"/>
  <c r="AX7" i="2" a="1"/>
  <c r="AX7" i="2" s="1"/>
  <c r="AX12" i="2" a="1"/>
  <c r="AX12" i="2" s="1"/>
  <c r="AX6" i="2" a="1"/>
  <c r="AX6" i="2" s="1"/>
  <c r="AX10" i="2" a="1"/>
  <c r="AX10" i="2" s="1"/>
  <c r="AW13" i="2"/>
  <c r="CF7" i="12" l="1"/>
  <c r="AL23" i="11"/>
  <c r="W23" i="11"/>
  <c r="V23" i="11"/>
  <c r="X23" i="11"/>
  <c r="Z23" i="11"/>
  <c r="Y23" i="11"/>
  <c r="AA23" i="11"/>
  <c r="AB23" i="11"/>
  <c r="AC23" i="11"/>
  <c r="AD23" i="11"/>
  <c r="AE23" i="11"/>
  <c r="AF23" i="11"/>
  <c r="AG23" i="11"/>
  <c r="AH23" i="11"/>
  <c r="AI23" i="11"/>
  <c r="AJ23" i="11"/>
  <c r="HL12" i="12"/>
  <c r="BO11" i="12"/>
  <c r="FM10" i="12"/>
  <c r="GU9" i="12"/>
  <c r="CD34" i="12"/>
  <c r="AK23" i="11"/>
  <c r="GT32" i="12"/>
  <c r="FL30" i="11"/>
  <c r="GC33" i="11"/>
  <c r="FL13" i="12"/>
  <c r="FL27" i="12" s="1"/>
  <c r="AX10" i="12"/>
  <c r="FM11" i="12"/>
  <c r="CV34" i="11"/>
  <c r="GU10" i="12"/>
  <c r="BN34" i="11"/>
  <c r="BN31" i="11"/>
  <c r="AK33" i="11"/>
  <c r="EU33" i="11"/>
  <c r="CE28" i="11"/>
  <c r="AV34" i="12"/>
  <c r="FK30" i="12"/>
  <c r="CD31" i="12"/>
  <c r="AW32" i="11"/>
  <c r="AK27" i="11"/>
  <c r="EU32" i="11"/>
  <c r="DM34" i="11"/>
  <c r="CF11" i="12"/>
  <c r="GC34" i="11"/>
  <c r="GU8" i="12"/>
  <c r="DM28" i="11"/>
  <c r="CU34" i="12"/>
  <c r="CU30" i="12"/>
  <c r="CW8" i="12"/>
  <c r="CW29" i="11"/>
  <c r="AL21" i="11"/>
  <c r="W21" i="11"/>
  <c r="V21" i="11"/>
  <c r="AA21" i="11"/>
  <c r="X21" i="11"/>
  <c r="Y21" i="11"/>
  <c r="Z21" i="11"/>
  <c r="AB21" i="11"/>
  <c r="AC21" i="11"/>
  <c r="AD21" i="11"/>
  <c r="AE21" i="11"/>
  <c r="AF21" i="11"/>
  <c r="AG21" i="11"/>
  <c r="AH21" i="11"/>
  <c r="AI21" i="11"/>
  <c r="AJ21" i="11"/>
  <c r="FM12" i="12"/>
  <c r="CW10" i="12"/>
  <c r="GU12" i="12"/>
  <c r="GU33" i="11"/>
  <c r="DN6" i="12"/>
  <c r="DL34" i="12"/>
  <c r="DM30" i="12"/>
  <c r="DL32" i="12"/>
  <c r="CV31" i="11"/>
  <c r="ED31" i="11"/>
  <c r="FL33" i="11"/>
  <c r="FL32" i="11"/>
  <c r="AW28" i="11"/>
  <c r="AL12" i="12"/>
  <c r="BN29" i="11"/>
  <c r="ED27" i="11"/>
  <c r="CE28" i="12"/>
  <c r="GC29" i="11"/>
  <c r="AK13" i="12"/>
  <c r="AK27" i="12" s="1"/>
  <c r="AL6" i="12"/>
  <c r="EE9" i="12"/>
  <c r="CW7" i="12"/>
  <c r="AX11" i="12"/>
  <c r="AX12" i="12"/>
  <c r="CW9" i="12"/>
  <c r="GU11" i="12"/>
  <c r="GU32" i="11"/>
  <c r="DN8" i="12"/>
  <c r="FK34" i="12"/>
  <c r="FL33" i="12"/>
  <c r="FL32" i="12"/>
  <c r="CE29" i="11"/>
  <c r="ED33" i="11"/>
  <c r="AV31" i="12"/>
  <c r="AV33" i="12"/>
  <c r="AJ34" i="12"/>
  <c r="HL9" i="12"/>
  <c r="AX9" i="12"/>
  <c r="HL7" i="12"/>
  <c r="EE6" i="12"/>
  <c r="GD6" i="12"/>
  <c r="GD27" i="11"/>
  <c r="CW11" i="12"/>
  <c r="EV6" i="12"/>
  <c r="EU29" i="11"/>
  <c r="CU28" i="12"/>
  <c r="ED13" i="12"/>
  <c r="ED27" i="12"/>
  <c r="CD28" i="12"/>
  <c r="GT30" i="11"/>
  <c r="ET34" i="12"/>
  <c r="GT28" i="11"/>
  <c r="DM31" i="11"/>
  <c r="AW31" i="11"/>
  <c r="DM32" i="11"/>
  <c r="HL8" i="12"/>
  <c r="FM8" i="12"/>
  <c r="HL6" i="12"/>
  <c r="EE7" i="12"/>
  <c r="AL19" i="11"/>
  <c r="W19" i="11"/>
  <c r="V19" i="11"/>
  <c r="AB19" i="11"/>
  <c r="Z19" i="11"/>
  <c r="X19" i="11"/>
  <c r="Y19" i="11"/>
  <c r="AA19" i="11"/>
  <c r="AC19" i="11"/>
  <c r="AD19" i="11"/>
  <c r="AE19" i="11"/>
  <c r="AF19" i="11"/>
  <c r="AG19" i="11"/>
  <c r="AH19" i="11"/>
  <c r="AI19" i="11"/>
  <c r="AJ19" i="11"/>
  <c r="GD7" i="12"/>
  <c r="CW12" i="12"/>
  <c r="DN7" i="12"/>
  <c r="BN30" i="11"/>
  <c r="CE33" i="11"/>
  <c r="FK28" i="12"/>
  <c r="ED29" i="11"/>
  <c r="FL31" i="12"/>
  <c r="AV32" i="12"/>
  <c r="AK19" i="11"/>
  <c r="CE27" i="11"/>
  <c r="ET30" i="12"/>
  <c r="GT28" i="12"/>
  <c r="DM31" i="12"/>
  <c r="DM32" i="12"/>
  <c r="FM7" i="12"/>
  <c r="HL10" i="12"/>
  <c r="CF6" i="12"/>
  <c r="AL22" i="11"/>
  <c r="W22" i="11"/>
  <c r="V22" i="11"/>
  <c r="AB22" i="11"/>
  <c r="AA22" i="11"/>
  <c r="X22" i="11"/>
  <c r="Y22" i="11"/>
  <c r="Z22" i="11"/>
  <c r="AC22" i="11"/>
  <c r="AD22" i="11"/>
  <c r="AE22" i="11"/>
  <c r="AF22" i="11"/>
  <c r="AG22" i="11"/>
  <c r="AH22" i="11"/>
  <c r="AI22" i="11"/>
  <c r="AJ22" i="11"/>
  <c r="EE8" i="12"/>
  <c r="FL34" i="11"/>
  <c r="GD8" i="12"/>
  <c r="EV9" i="12"/>
  <c r="DN9" i="12"/>
  <c r="FK31" i="12"/>
  <c r="CV32" i="11"/>
  <c r="CD29" i="12"/>
  <c r="ED29" i="12"/>
  <c r="ED28" i="12"/>
  <c r="AK30" i="11"/>
  <c r="GT31" i="11"/>
  <c r="AK29" i="11"/>
  <c r="CE13" i="12"/>
  <c r="CE33" i="12" s="1"/>
  <c r="DL28" i="12"/>
  <c r="CF8" i="12"/>
  <c r="AW34" i="11"/>
  <c r="EE10" i="12"/>
  <c r="ED34" i="11"/>
  <c r="GD9" i="12"/>
  <c r="BO6" i="12"/>
  <c r="EV7" i="12"/>
  <c r="DN10" i="12"/>
  <c r="AW29" i="12"/>
  <c r="CD33" i="12"/>
  <c r="AW27" i="11"/>
  <c r="GC30" i="11"/>
  <c r="GT33" i="11"/>
  <c r="CE31" i="12"/>
  <c r="BM34" i="12"/>
  <c r="AL9" i="12"/>
  <c r="GT31" i="12"/>
  <c r="DL29" i="12"/>
  <c r="AL8" i="12"/>
  <c r="AK28" i="11"/>
  <c r="BM28" i="12"/>
  <c r="EU31" i="11"/>
  <c r="CF10" i="12"/>
  <c r="CE34" i="11"/>
  <c r="AL20" i="11"/>
  <c r="V20" i="11"/>
  <c r="W20" i="11"/>
  <c r="Y20" i="11"/>
  <c r="AA20" i="11"/>
  <c r="X20" i="11"/>
  <c r="Z20" i="11"/>
  <c r="AB20" i="11"/>
  <c r="AC20" i="11"/>
  <c r="AD20" i="11"/>
  <c r="AE20" i="11"/>
  <c r="AF20" i="11"/>
  <c r="AG20" i="11"/>
  <c r="AH20" i="11"/>
  <c r="AI20" i="11"/>
  <c r="AJ20" i="11"/>
  <c r="EE11" i="12"/>
  <c r="AL18" i="11"/>
  <c r="V18" i="11"/>
  <c r="W18" i="11"/>
  <c r="AA18" i="11"/>
  <c r="Y18" i="11"/>
  <c r="Z18" i="11"/>
  <c r="X18" i="11"/>
  <c r="AB18" i="11"/>
  <c r="AC18" i="11"/>
  <c r="AD18" i="11"/>
  <c r="AE18" i="11"/>
  <c r="AF18" i="11"/>
  <c r="AG18" i="11"/>
  <c r="AH18" i="11"/>
  <c r="AI18" i="11"/>
  <c r="AJ18" i="11"/>
  <c r="GD10" i="12"/>
  <c r="BO8" i="12"/>
  <c r="EV8" i="12"/>
  <c r="DN11" i="12"/>
  <c r="CU31" i="12"/>
  <c r="CV32" i="12"/>
  <c r="AW13" i="12"/>
  <c r="AW32" i="12" s="1"/>
  <c r="AW27" i="12"/>
  <c r="EU30" i="11"/>
  <c r="DM29" i="11"/>
  <c r="CE32" i="11"/>
  <c r="CE30" i="11"/>
  <c r="GT33" i="12"/>
  <c r="CU29" i="12"/>
  <c r="AK22" i="11"/>
  <c r="CU33" i="12"/>
  <c r="CD30" i="12"/>
  <c r="AK18" i="12"/>
  <c r="AK28" i="12"/>
  <c r="AL7" i="12"/>
  <c r="AK21" i="11"/>
  <c r="BO7" i="12"/>
  <c r="EV10" i="12"/>
  <c r="DN12" i="12"/>
  <c r="ED30" i="11"/>
  <c r="CE32" i="12"/>
  <c r="CE30" i="12"/>
  <c r="AK32" i="11"/>
  <c r="CV27" i="11"/>
  <c r="AV28" i="12"/>
  <c r="FL28" i="11"/>
  <c r="GT29" i="12"/>
  <c r="GC27" i="11"/>
  <c r="AX6" i="12"/>
  <c r="EE12" i="12"/>
  <c r="GD12" i="12"/>
  <c r="BO9" i="12"/>
  <c r="AL17" i="11"/>
  <c r="W17" i="11"/>
  <c r="V17" i="11"/>
  <c r="Z17" i="11"/>
  <c r="Y17" i="11"/>
  <c r="AA17" i="11"/>
  <c r="X17" i="11"/>
  <c r="AB17" i="11"/>
  <c r="AC17" i="11"/>
  <c r="AD17" i="11"/>
  <c r="AE17" i="11"/>
  <c r="AF17" i="11"/>
  <c r="AG17" i="11"/>
  <c r="AH17" i="11"/>
  <c r="AI17" i="11"/>
  <c r="AJ17" i="11"/>
  <c r="GU6" i="12"/>
  <c r="EV12" i="12"/>
  <c r="BN32" i="11"/>
  <c r="ED32" i="11"/>
  <c r="FK32" i="12"/>
  <c r="FK33" i="12"/>
  <c r="BN27" i="11"/>
  <c r="AK22" i="12"/>
  <c r="AL11" i="12"/>
  <c r="CV13" i="12"/>
  <c r="CV27" i="12"/>
  <c r="DL30" i="12"/>
  <c r="FL28" i="12"/>
  <c r="DL31" i="12"/>
  <c r="AW33" i="11"/>
  <c r="AL10" i="12"/>
  <c r="GB34" i="12"/>
  <c r="ET33" i="12"/>
  <c r="ET31" i="12"/>
  <c r="GC13" i="12"/>
  <c r="GD11" i="12"/>
  <c r="AX7" i="12"/>
  <c r="FM6" i="12"/>
  <c r="BO10" i="12"/>
  <c r="AK34" i="11"/>
  <c r="GU7" i="12"/>
  <c r="EV11" i="12"/>
  <c r="ED32" i="12"/>
  <c r="EU27" i="11"/>
  <c r="CV28" i="11"/>
  <c r="DM27" i="11"/>
  <c r="DL33" i="12"/>
  <c r="BN13" i="12"/>
  <c r="BN30" i="12" s="1"/>
  <c r="FL29" i="11"/>
  <c r="EC34" i="12"/>
  <c r="AW33" i="12"/>
  <c r="AW30" i="11"/>
  <c r="GT13" i="12"/>
  <c r="GT27" i="12" s="1"/>
  <c r="HL11" i="12"/>
  <c r="CF9" i="12"/>
  <c r="CF12" i="12"/>
  <c r="EU34" i="11"/>
  <c r="AX8" i="12"/>
  <c r="FM9" i="12"/>
  <c r="CW6" i="12"/>
  <c r="BO12" i="12"/>
  <c r="BO33" i="11"/>
  <c r="GT34" i="11"/>
  <c r="GC28" i="11"/>
  <c r="CU27" i="12"/>
  <c r="EU13" i="12"/>
  <c r="EU27" i="12" s="1"/>
  <c r="CD32" i="12"/>
  <c r="DM13" i="12"/>
  <c r="DM33" i="12" s="1"/>
  <c r="DM27" i="12"/>
  <c r="BM30" i="12"/>
  <c r="CV33" i="11"/>
  <c r="FL29" i="12"/>
  <c r="GC32" i="11"/>
  <c r="DM33" i="11"/>
  <c r="EF12" i="10" a="1"/>
  <c r="EF12" i="10" s="1"/>
  <c r="EF9" i="10" a="1"/>
  <c r="EF9" i="10" s="1"/>
  <c r="EF11" i="10" a="1"/>
  <c r="EF11" i="10" s="1"/>
  <c r="EF10" i="10" a="1"/>
  <c r="EF10" i="10" s="1"/>
  <c r="EF8" i="10" a="1"/>
  <c r="EF8" i="10" s="1"/>
  <c r="EF7" i="10" a="1"/>
  <c r="EF7" i="10" s="1"/>
  <c r="EG2" i="10"/>
  <c r="EF6" i="10" a="1"/>
  <c r="EF6" i="10" s="1"/>
  <c r="GD13" i="11"/>
  <c r="GD32" i="11" s="1"/>
  <c r="GD13" i="10"/>
  <c r="GV11" i="11" a="1"/>
  <c r="GV11" i="11" s="1"/>
  <c r="GV12" i="11" a="1"/>
  <c r="GV12" i="11" s="1"/>
  <c r="GV10" i="11" a="1"/>
  <c r="GV10" i="11" s="1"/>
  <c r="GV9" i="11" a="1"/>
  <c r="GV9" i="11" s="1"/>
  <c r="GV8" i="11" a="1"/>
  <c r="GV8" i="11" s="1"/>
  <c r="GV7" i="11" a="1"/>
  <c r="GV7" i="11" s="1"/>
  <c r="GV6" i="11" a="1"/>
  <c r="GV6" i="11" s="1"/>
  <c r="GW2" i="11"/>
  <c r="CX12" i="11" a="1"/>
  <c r="CX12" i="11" s="1"/>
  <c r="CX11" i="11" a="1"/>
  <c r="CX11" i="11" s="1"/>
  <c r="CX9" i="11" a="1"/>
  <c r="CX9" i="11" s="1"/>
  <c r="CX10" i="11" a="1"/>
  <c r="CX10" i="11" s="1"/>
  <c r="CX8" i="11" a="1"/>
  <c r="CX8" i="11" s="1"/>
  <c r="CY2" i="11"/>
  <c r="CX6" i="11" a="1"/>
  <c r="CX6" i="11" s="1"/>
  <c r="CX7" i="11" a="1"/>
  <c r="CX7" i="11" s="1"/>
  <c r="GE12" i="10" a="1"/>
  <c r="GE12" i="10" s="1"/>
  <c r="GE11" i="10" a="1"/>
  <c r="GE11" i="10" s="1"/>
  <c r="GE9" i="10" a="1"/>
  <c r="GE9" i="10" s="1"/>
  <c r="GE10" i="10" a="1"/>
  <c r="GE10" i="10" s="1"/>
  <c r="GE8" i="10" a="1"/>
  <c r="GE8" i="10" s="1"/>
  <c r="GF2" i="10"/>
  <c r="GE6" i="10" a="1"/>
  <c r="GE6" i="10" s="1"/>
  <c r="GE7" i="10" a="1"/>
  <c r="GE7" i="10" s="1"/>
  <c r="GU13" i="11"/>
  <c r="GU28" i="11" s="1"/>
  <c r="BO13" i="10"/>
  <c r="GV12" i="10" a="1"/>
  <c r="GV12" i="10" s="1"/>
  <c r="GV11" i="10" a="1"/>
  <c r="GV11" i="10" s="1"/>
  <c r="GV10" i="10" a="1"/>
  <c r="GV10" i="10" s="1"/>
  <c r="GV9" i="10" a="1"/>
  <c r="GV9" i="10" s="1"/>
  <c r="GV8" i="10" a="1"/>
  <c r="GV8" i="10" s="1"/>
  <c r="GV7" i="10" a="1"/>
  <c r="GV7" i="10" s="1"/>
  <c r="GW2" i="10"/>
  <c r="GV6" i="10" a="1"/>
  <c r="GV6" i="10" s="1"/>
  <c r="CG10" i="11" a="1"/>
  <c r="CG10" i="11" s="1"/>
  <c r="CG11" i="11" a="1"/>
  <c r="CG11" i="11" s="1"/>
  <c r="CG12" i="11" a="1"/>
  <c r="CG12" i="11" s="1"/>
  <c r="CG9" i="11" a="1"/>
  <c r="CG9" i="11" s="1"/>
  <c r="CG8" i="11" a="1"/>
  <c r="CG8" i="11" s="1"/>
  <c r="CG7" i="11" a="1"/>
  <c r="CG7" i="11" s="1"/>
  <c r="CH2" i="11"/>
  <c r="CG6" i="11" a="1"/>
  <c r="CG6" i="11" s="1"/>
  <c r="AX13" i="11"/>
  <c r="AX31" i="11" s="1"/>
  <c r="GU13" i="10"/>
  <c r="HL13" i="10"/>
  <c r="EV13" i="10"/>
  <c r="AY10" i="11" a="1"/>
  <c r="AY10" i="11" s="1"/>
  <c r="AY11" i="11" a="1"/>
  <c r="AY11" i="11" s="1"/>
  <c r="AY12" i="11" a="1"/>
  <c r="AY12" i="11" s="1"/>
  <c r="AY9" i="11" a="1"/>
  <c r="AY9" i="11" s="1"/>
  <c r="AY8" i="11" a="1"/>
  <c r="AY8" i="11" s="1"/>
  <c r="AY7" i="11" a="1"/>
  <c r="AY7" i="11" s="1"/>
  <c r="AZ2" i="11"/>
  <c r="AY6" i="11" a="1"/>
  <c r="AY6" i="11" s="1"/>
  <c r="HM12" i="10" a="1"/>
  <c r="HM12" i="10" s="1"/>
  <c r="HM10" i="10" a="1"/>
  <c r="HM10" i="10" s="1"/>
  <c r="HM9" i="10" a="1"/>
  <c r="HM9" i="10" s="1"/>
  <c r="HM8" i="10" a="1"/>
  <c r="HM8" i="10" s="1"/>
  <c r="HM7" i="10" a="1"/>
  <c r="HM7" i="10" s="1"/>
  <c r="HM11" i="10" a="1"/>
  <c r="HM11" i="10" s="1"/>
  <c r="HL4" i="10"/>
  <c r="HM6" i="10" a="1"/>
  <c r="HM6" i="10" s="1"/>
  <c r="HN2" i="10"/>
  <c r="AJ12" i="10" a="1"/>
  <c r="AJ12" i="10" s="1"/>
  <c r="AJ10" i="10" a="1"/>
  <c r="AJ10" i="10" s="1"/>
  <c r="AJ8" i="10" a="1"/>
  <c r="AJ8" i="10" s="1"/>
  <c r="AJ11" i="10" a="1"/>
  <c r="AJ11" i="10" s="1"/>
  <c r="AJ9" i="10" a="1"/>
  <c r="AJ9" i="10" s="1"/>
  <c r="AK2" i="10"/>
  <c r="AJ6" i="10" a="1"/>
  <c r="AJ6" i="10" s="1"/>
  <c r="AJ7" i="10" a="1"/>
  <c r="AJ7" i="10" s="1"/>
  <c r="CG12" i="10" a="1"/>
  <c r="CG12" i="10" s="1"/>
  <c r="CG10" i="10" a="1"/>
  <c r="CG10" i="10" s="1"/>
  <c r="CG9" i="10" a="1"/>
  <c r="CG9" i="10" s="1"/>
  <c r="CG7" i="10" a="1"/>
  <c r="CG7" i="10" s="1"/>
  <c r="CG11" i="10" a="1"/>
  <c r="CG11" i="10" s="1"/>
  <c r="CG8" i="10" a="1"/>
  <c r="CG8" i="10" s="1"/>
  <c r="CG6" i="10" a="1"/>
  <c r="CG6" i="10" s="1"/>
  <c r="CH2" i="10"/>
  <c r="DO11" i="10" a="1"/>
  <c r="DO11" i="10" s="1"/>
  <c r="DO12" i="10" a="1"/>
  <c r="DO12" i="10" s="1"/>
  <c r="DO9" i="10" a="1"/>
  <c r="DO9" i="10" s="1"/>
  <c r="DO10" i="10" a="1"/>
  <c r="DO10" i="10" s="1"/>
  <c r="DO6" i="10" a="1"/>
  <c r="DO6" i="10" s="1"/>
  <c r="DO7" i="10" a="1"/>
  <c r="DO7" i="10" s="1"/>
  <c r="DO8" i="10" a="1"/>
  <c r="DO8" i="10" s="1"/>
  <c r="DP2" i="10"/>
  <c r="FN12" i="11" a="1"/>
  <c r="FN12" i="11" s="1"/>
  <c r="FN11" i="11" a="1"/>
  <c r="FN11" i="11" s="1"/>
  <c r="FN10" i="11" a="1"/>
  <c r="FN10" i="11" s="1"/>
  <c r="FN9" i="11" a="1"/>
  <c r="FN9" i="11" s="1"/>
  <c r="FN8" i="11" a="1"/>
  <c r="FN8" i="11" s="1"/>
  <c r="FO2" i="11"/>
  <c r="FN7" i="11" a="1"/>
  <c r="FN7" i="11" s="1"/>
  <c r="FN6" i="11" a="1"/>
  <c r="FN6" i="11" s="1"/>
  <c r="BP10" i="11" a="1"/>
  <c r="BP10" i="11" s="1"/>
  <c r="BP12" i="11" a="1"/>
  <c r="BP12" i="11" s="1"/>
  <c r="BP11" i="11" a="1"/>
  <c r="BP11" i="11" s="1"/>
  <c r="BP8" i="11" a="1"/>
  <c r="BP8" i="11" s="1"/>
  <c r="BP9" i="11" a="1"/>
  <c r="BP9" i="11" s="1"/>
  <c r="BP7" i="11" a="1"/>
  <c r="BP7" i="11" s="1"/>
  <c r="BP6" i="11" a="1"/>
  <c r="BP6" i="11" s="1"/>
  <c r="BQ2" i="11"/>
  <c r="AL13" i="11"/>
  <c r="AL28" i="11" s="1"/>
  <c r="EW11" i="10" a="1"/>
  <c r="EW11" i="10" s="1"/>
  <c r="EW12" i="10" a="1"/>
  <c r="EW12" i="10" s="1"/>
  <c r="EW9" i="10" a="1"/>
  <c r="EW9" i="10" s="1"/>
  <c r="EW10" i="10" a="1"/>
  <c r="EW10" i="10" s="1"/>
  <c r="EW8" i="10" a="1"/>
  <c r="EW8" i="10" s="1"/>
  <c r="EW7" i="10" a="1"/>
  <c r="EW7" i="10" s="1"/>
  <c r="EX2" i="10"/>
  <c r="EW6" i="10" a="1"/>
  <c r="EW6" i="10" s="1"/>
  <c r="CF13" i="11"/>
  <c r="CF30" i="11" s="1"/>
  <c r="CF13" i="10"/>
  <c r="DN13" i="10"/>
  <c r="FM13" i="11"/>
  <c r="FM32" i="11" s="1"/>
  <c r="BO13" i="11"/>
  <c r="BO27" i="11" s="1"/>
  <c r="FN12" i="10" a="1"/>
  <c r="FN12" i="10" s="1"/>
  <c r="FN10" i="10" a="1"/>
  <c r="FN10" i="10" s="1"/>
  <c r="FN9" i="10" a="1"/>
  <c r="FN9" i="10" s="1"/>
  <c r="FO2" i="10"/>
  <c r="FN11" i="10" a="1"/>
  <c r="FN11" i="10" s="1"/>
  <c r="FN8" i="10" a="1"/>
  <c r="FN8" i="10" s="1"/>
  <c r="FN7" i="10" a="1"/>
  <c r="FN7" i="10" s="1"/>
  <c r="FN6" i="10" a="1"/>
  <c r="FN6" i="10" s="1"/>
  <c r="CX12" i="10" a="1"/>
  <c r="CX12" i="10" s="1"/>
  <c r="CX11" i="10" a="1"/>
  <c r="CX11" i="10" s="1"/>
  <c r="CX6" i="10" a="1"/>
  <c r="CX6" i="10" s="1"/>
  <c r="CX9" i="10" a="1"/>
  <c r="CX9" i="10" s="1"/>
  <c r="CX10" i="10" a="1"/>
  <c r="CX10" i="10" s="1"/>
  <c r="CX8" i="10" a="1"/>
  <c r="CX8" i="10" s="1"/>
  <c r="CX7" i="10" a="1"/>
  <c r="CX7" i="10" s="1"/>
  <c r="CY2" i="10"/>
  <c r="FM13" i="10"/>
  <c r="CW13" i="10"/>
  <c r="EV13" i="11"/>
  <c r="EV27" i="11" s="1"/>
  <c r="AX13" i="10"/>
  <c r="AY12" i="10" a="1"/>
  <c r="AY12" i="10" s="1"/>
  <c r="AY10" i="10" a="1"/>
  <c r="AY10" i="10" s="1"/>
  <c r="AY11" i="10" a="1"/>
  <c r="AY11" i="10" s="1"/>
  <c r="AY9" i="10" a="1"/>
  <c r="AY9" i="10" s="1"/>
  <c r="AY6" i="10" a="1"/>
  <c r="AY6" i="10" s="1"/>
  <c r="AY7" i="10" a="1"/>
  <c r="AY7" i="10" s="1"/>
  <c r="AY8" i="10" a="1"/>
  <c r="AY8" i="10" s="1"/>
  <c r="AZ2" i="10"/>
  <c r="HM10" i="11" a="1"/>
  <c r="HM10" i="11" s="1"/>
  <c r="HM11" i="11" a="1"/>
  <c r="HM11" i="11" s="1"/>
  <c r="HM12" i="11" a="1"/>
  <c r="HM12" i="11" s="1"/>
  <c r="HM8" i="11" a="1"/>
  <c r="HM8" i="11" s="1"/>
  <c r="HM7" i="11" a="1"/>
  <c r="HM7" i="11" s="1"/>
  <c r="HM9" i="11" a="1"/>
  <c r="HM9" i="11" s="1"/>
  <c r="HM6" i="11" a="1"/>
  <c r="HM6" i="11" s="1"/>
  <c r="HN2" i="11"/>
  <c r="HL4" i="11"/>
  <c r="EF12" i="11" a="1"/>
  <c r="EF12" i="11" s="1"/>
  <c r="EF11" i="11" a="1"/>
  <c r="EF11" i="11" s="1"/>
  <c r="EF10" i="11" a="1"/>
  <c r="EF10" i="11" s="1"/>
  <c r="EF9" i="11" a="1"/>
  <c r="EF9" i="11" s="1"/>
  <c r="EF7" i="11" a="1"/>
  <c r="EF7" i="11" s="1"/>
  <c r="EF8" i="11" a="1"/>
  <c r="EF8" i="11" s="1"/>
  <c r="EF6" i="11" a="1"/>
  <c r="EF6" i="11" s="1"/>
  <c r="EG2" i="11"/>
  <c r="EW10" i="11" a="1"/>
  <c r="EW10" i="11" s="1"/>
  <c r="EW12" i="11" a="1"/>
  <c r="EW12" i="11" s="1"/>
  <c r="EW11" i="11" a="1"/>
  <c r="EW11" i="11" s="1"/>
  <c r="EW9" i="11" a="1"/>
  <c r="EW9" i="11" s="1"/>
  <c r="EW8" i="11" a="1"/>
  <c r="EW8" i="11" s="1"/>
  <c r="EW7" i="11" a="1"/>
  <c r="EW7" i="11" s="1"/>
  <c r="EW6" i="11" a="1"/>
  <c r="EW6" i="11" s="1"/>
  <c r="EX2" i="11"/>
  <c r="DN13" i="11"/>
  <c r="DN28" i="11" s="1"/>
  <c r="EE13" i="11"/>
  <c r="EE28" i="11" s="1"/>
  <c r="CW13" i="11"/>
  <c r="CW30" i="11" s="1"/>
  <c r="HL13" i="11"/>
  <c r="HL33" i="11" s="1"/>
  <c r="AI13" i="10"/>
  <c r="EE13" i="10"/>
  <c r="GE10" i="11" a="1"/>
  <c r="GE10" i="11" s="1"/>
  <c r="GE12" i="11" a="1"/>
  <c r="GE12" i="11" s="1"/>
  <c r="GE11" i="11" a="1"/>
  <c r="GE11" i="11" s="1"/>
  <c r="GE9" i="11" a="1"/>
  <c r="GE9" i="11" s="1"/>
  <c r="GE8" i="11" a="1"/>
  <c r="GE8" i="11" s="1"/>
  <c r="GE7" i="11" a="1"/>
  <c r="GE7" i="11" s="1"/>
  <c r="GF2" i="11"/>
  <c r="GE6" i="11" a="1"/>
  <c r="GE6" i="11" s="1"/>
  <c r="BP12" i="10" a="1"/>
  <c r="BP12" i="10" s="1"/>
  <c r="BP11" i="10" a="1"/>
  <c r="BP11" i="10" s="1"/>
  <c r="BP9" i="10" a="1"/>
  <c r="BP9" i="10" s="1"/>
  <c r="BP7" i="10" a="1"/>
  <c r="BP7" i="10" s="1"/>
  <c r="BP10" i="10" a="1"/>
  <c r="BP10" i="10" s="1"/>
  <c r="BP8" i="10" a="1"/>
  <c r="BP8" i="10" s="1"/>
  <c r="BQ2" i="10"/>
  <c r="BP6" i="10" a="1"/>
  <c r="BP6" i="10" s="1"/>
  <c r="DO12" i="11" a="1"/>
  <c r="DO12" i="11" s="1"/>
  <c r="DO9" i="11" a="1"/>
  <c r="DO9" i="11" s="1"/>
  <c r="DO11" i="11" a="1"/>
  <c r="DO11" i="11" s="1"/>
  <c r="DO7" i="11" a="1"/>
  <c r="DO7" i="11" s="1"/>
  <c r="DO10" i="11" a="1"/>
  <c r="DO10" i="11" s="1"/>
  <c r="DP2" i="11"/>
  <c r="DO8" i="11" a="1"/>
  <c r="DO8" i="11" s="1"/>
  <c r="DO6" i="11" a="1"/>
  <c r="DO6" i="11" s="1"/>
  <c r="EX13" i="2"/>
  <c r="HN13" i="2"/>
  <c r="BP13" i="2"/>
  <c r="CH13" i="2"/>
  <c r="EI2" i="2"/>
  <c r="EH11" i="2" a="1"/>
  <c r="EH11" i="2" s="1"/>
  <c r="EH8" i="2" a="1"/>
  <c r="EH8" i="2" s="1"/>
  <c r="EH6" i="2" a="1"/>
  <c r="EH6" i="2" s="1"/>
  <c r="EH10" i="2" a="1"/>
  <c r="EH10" i="2" s="1"/>
  <c r="EH9" i="2" a="1"/>
  <c r="EH9" i="2" s="1"/>
  <c r="EH12" i="2" a="1"/>
  <c r="EH12" i="2" s="1"/>
  <c r="EH7" i="2" a="1"/>
  <c r="EH7" i="2" s="1"/>
  <c r="HO7" i="2" a="1"/>
  <c r="HO7" i="2" s="1"/>
  <c r="HO6" i="2" a="1"/>
  <c r="HO6" i="2" s="1"/>
  <c r="HP2" i="2"/>
  <c r="HO11" i="2" a="1"/>
  <c r="HO11" i="2" s="1"/>
  <c r="HO12" i="2" a="1"/>
  <c r="HO12" i="2" s="1"/>
  <c r="HO9" i="2" a="1"/>
  <c r="HO9" i="2" s="1"/>
  <c r="HO10" i="2" a="1"/>
  <c r="HO10" i="2" s="1"/>
  <c r="HO8" i="2" a="1"/>
  <c r="HO8" i="2" s="1"/>
  <c r="GX12" i="2" a="1"/>
  <c r="GX12" i="2" s="1"/>
  <c r="GX11" i="2" a="1"/>
  <c r="GX11" i="2" s="1"/>
  <c r="GX10" i="2" a="1"/>
  <c r="GX10" i="2" s="1"/>
  <c r="GX9" i="2" a="1"/>
  <c r="GX9" i="2" s="1"/>
  <c r="GX8" i="2" a="1"/>
  <c r="GX8" i="2" s="1"/>
  <c r="GY2" i="2"/>
  <c r="GX6" i="2" a="1"/>
  <c r="GX6" i="2" s="1"/>
  <c r="GX7" i="2" a="1"/>
  <c r="GX7" i="2" s="1"/>
  <c r="CZ11" i="2" a="1"/>
  <c r="CZ11" i="2" s="1"/>
  <c r="DA2" i="2"/>
  <c r="CZ8" i="2" a="1"/>
  <c r="CZ8" i="2" s="1"/>
  <c r="CZ12" i="2" a="1"/>
  <c r="CZ12" i="2" s="1"/>
  <c r="CZ7" i="2" a="1"/>
  <c r="CZ7" i="2" s="1"/>
  <c r="CZ9" i="2" a="1"/>
  <c r="CZ9" i="2" s="1"/>
  <c r="CZ6" i="2" a="1"/>
  <c r="CZ6" i="2" s="1"/>
  <c r="CZ10" i="2" a="1"/>
  <c r="CZ10" i="2" s="1"/>
  <c r="CY13" i="2"/>
  <c r="DQ9" i="2" a="1"/>
  <c r="DQ9" i="2" s="1"/>
  <c r="DQ12" i="2" a="1"/>
  <c r="DQ12" i="2" s="1"/>
  <c r="DQ8" i="2" a="1"/>
  <c r="DQ8" i="2" s="1"/>
  <c r="DQ6" i="2" a="1"/>
  <c r="DQ6" i="2" s="1"/>
  <c r="DQ7" i="2" a="1"/>
  <c r="DQ7" i="2" s="1"/>
  <c r="DQ10" i="2" a="1"/>
  <c r="DQ10" i="2" s="1"/>
  <c r="DR2" i="2"/>
  <c r="DQ11" i="2" a="1"/>
  <c r="DQ11" i="2" s="1"/>
  <c r="EG13" i="2"/>
  <c r="EY12" i="2" a="1"/>
  <c r="EY12" i="2" s="1"/>
  <c r="EY11" i="2" a="1"/>
  <c r="EY11" i="2" s="1"/>
  <c r="EY10" i="2" a="1"/>
  <c r="EY10" i="2" s="1"/>
  <c r="EY9" i="2" a="1"/>
  <c r="EY9" i="2" s="1"/>
  <c r="EY8" i="2" a="1"/>
  <c r="EY8" i="2" s="1"/>
  <c r="EY7" i="2" a="1"/>
  <c r="EY7" i="2" s="1"/>
  <c r="EZ2" i="2"/>
  <c r="EY6" i="2" a="1"/>
  <c r="EY6" i="2" s="1"/>
  <c r="BQ12" i="2" a="1"/>
  <c r="BQ12" i="2" s="1"/>
  <c r="BQ11" i="2" a="1"/>
  <c r="BQ11" i="2" s="1"/>
  <c r="BQ10" i="2" a="1"/>
  <c r="BQ10" i="2" s="1"/>
  <c r="BQ7" i="2" a="1"/>
  <c r="BQ7" i="2" s="1"/>
  <c r="BR2" i="2"/>
  <c r="BQ6" i="2" a="1"/>
  <c r="BQ6" i="2" s="1"/>
  <c r="BQ8" i="2" a="1"/>
  <c r="BQ8" i="2" s="1"/>
  <c r="BQ9" i="2" a="1"/>
  <c r="BQ9" i="2" s="1"/>
  <c r="DP13" i="2"/>
  <c r="GW13" i="2"/>
  <c r="GF13" i="2"/>
  <c r="FO13" i="2"/>
  <c r="FP12" i="2" a="1"/>
  <c r="FP12" i="2" s="1"/>
  <c r="FP11" i="2" a="1"/>
  <c r="FP11" i="2" s="1"/>
  <c r="FP7" i="2" a="1"/>
  <c r="FP7" i="2" s="1"/>
  <c r="FP6" i="2" a="1"/>
  <c r="FP6" i="2" s="1"/>
  <c r="FP8" i="2" a="1"/>
  <c r="FP8" i="2" s="1"/>
  <c r="FP10" i="2" a="1"/>
  <c r="FP10" i="2" s="1"/>
  <c r="FP9" i="2" a="1"/>
  <c r="FP9" i="2" s="1"/>
  <c r="FQ2" i="2"/>
  <c r="GH2" i="2"/>
  <c r="GG12" i="2" a="1"/>
  <c r="GG12" i="2" s="1"/>
  <c r="GG11" i="2" a="1"/>
  <c r="GG11" i="2" s="1"/>
  <c r="GG10" i="2" a="1"/>
  <c r="GG10" i="2" s="1"/>
  <c r="GG9" i="2" a="1"/>
  <c r="GG9" i="2" s="1"/>
  <c r="GG7" i="2" a="1"/>
  <c r="GG7" i="2" s="1"/>
  <c r="GG8" i="2" a="1"/>
  <c r="GG8" i="2" s="1"/>
  <c r="GG6" i="2" a="1"/>
  <c r="GG6" i="2" s="1"/>
  <c r="CI7" i="2" a="1"/>
  <c r="CI7" i="2" s="1"/>
  <c r="CI6" i="2" a="1"/>
  <c r="CI6" i="2" s="1"/>
  <c r="CI11" i="2" a="1"/>
  <c r="CI11" i="2" s="1"/>
  <c r="CI8" i="2" a="1"/>
  <c r="CI8" i="2" s="1"/>
  <c r="CI10" i="2" a="1"/>
  <c r="CI10" i="2" s="1"/>
  <c r="CI12" i="2" a="1"/>
  <c r="CI12" i="2" s="1"/>
  <c r="CJ2" i="2"/>
  <c r="CI9" i="2" a="1"/>
  <c r="CI9" i="2" s="1"/>
  <c r="AX13" i="2"/>
  <c r="AY7" i="2" a="1"/>
  <c r="AY7" i="2" s="1"/>
  <c r="AY9" i="2" a="1"/>
  <c r="AY9" i="2" s="1"/>
  <c r="AY6" i="2" a="1"/>
  <c r="AY6" i="2" s="1"/>
  <c r="AY10" i="2" a="1"/>
  <c r="AY10" i="2" s="1"/>
  <c r="AY8" i="2" a="1"/>
  <c r="AY8" i="2" s="1"/>
  <c r="AZ2" i="2"/>
  <c r="AY11" i="2" a="1"/>
  <c r="AY11" i="2" s="1"/>
  <c r="AY12" i="2" a="1"/>
  <c r="AY12" i="2" s="1"/>
  <c r="GE9" i="12" l="1"/>
  <c r="CG12" i="12"/>
  <c r="CX12" i="12"/>
  <c r="GC34" i="12"/>
  <c r="EV33" i="11"/>
  <c r="EV31" i="11"/>
  <c r="EV28" i="11"/>
  <c r="DN13" i="12"/>
  <c r="DN27" i="12" s="1"/>
  <c r="EW8" i="12"/>
  <c r="EW10" i="12"/>
  <c r="FN8" i="12"/>
  <c r="AY9" i="12"/>
  <c r="CG11" i="12"/>
  <c r="BO31" i="12"/>
  <c r="EE33" i="11"/>
  <c r="EV30" i="11"/>
  <c r="CF27" i="11"/>
  <c r="AL29" i="11"/>
  <c r="GD13" i="12"/>
  <c r="GD27" i="12"/>
  <c r="EE30" i="11"/>
  <c r="GC31" i="12"/>
  <c r="DO12" i="12"/>
  <c r="HM12" i="12"/>
  <c r="CG10" i="12"/>
  <c r="GV6" i="12"/>
  <c r="CF33" i="11"/>
  <c r="CV34" i="12"/>
  <c r="CF29" i="11"/>
  <c r="EV30" i="12"/>
  <c r="CF13" i="12"/>
  <c r="CF31" i="12" s="1"/>
  <c r="CF27" i="12"/>
  <c r="ED34" i="12"/>
  <c r="EE27" i="11"/>
  <c r="CV29" i="12"/>
  <c r="GE12" i="12"/>
  <c r="GE33" i="11"/>
  <c r="HM11" i="12"/>
  <c r="EF8" i="12"/>
  <c r="FN10" i="12"/>
  <c r="AY11" i="12"/>
  <c r="GV7" i="12"/>
  <c r="CF33" i="12"/>
  <c r="FM27" i="11"/>
  <c r="AL22" i="12"/>
  <c r="V22" i="12"/>
  <c r="W22" i="12"/>
  <c r="AB22" i="12"/>
  <c r="Y22" i="12"/>
  <c r="AA22" i="12"/>
  <c r="Z22" i="12"/>
  <c r="X22" i="12"/>
  <c r="AC22" i="12"/>
  <c r="AD22" i="12"/>
  <c r="AE22" i="12"/>
  <c r="AF22" i="12"/>
  <c r="AG22" i="12"/>
  <c r="AH22" i="12"/>
  <c r="AI22" i="12"/>
  <c r="AJ22" i="12"/>
  <c r="GU27" i="11"/>
  <c r="BO28" i="11"/>
  <c r="CF29" i="12"/>
  <c r="EU29" i="12"/>
  <c r="GU33" i="12"/>
  <c r="GC28" i="12"/>
  <c r="DO9" i="12"/>
  <c r="HM8" i="12"/>
  <c r="EF6" i="12"/>
  <c r="AY12" i="12"/>
  <c r="HL34" i="11"/>
  <c r="HM10" i="12"/>
  <c r="AL34" i="11"/>
  <c r="AL24" i="11"/>
  <c r="W24" i="11"/>
  <c r="V24" i="11"/>
  <c r="AL14" i="11"/>
  <c r="AL15" i="11" s="1"/>
  <c r="AA24" i="11"/>
  <c r="Z24" i="11"/>
  <c r="Y24" i="11"/>
  <c r="AB24" i="11"/>
  <c r="X24" i="11"/>
  <c r="AC24" i="11"/>
  <c r="AD24" i="11"/>
  <c r="AE24" i="11"/>
  <c r="AF24" i="11"/>
  <c r="AG24" i="11"/>
  <c r="AH24" i="11"/>
  <c r="AI24" i="11"/>
  <c r="AJ24" i="11"/>
  <c r="CW34" i="11"/>
  <c r="EF7" i="12"/>
  <c r="BO34" i="11"/>
  <c r="FN11" i="12"/>
  <c r="AY10" i="12"/>
  <c r="GV8" i="12"/>
  <c r="DM34" i="12"/>
  <c r="BN32" i="12"/>
  <c r="FM13" i="12"/>
  <c r="FM27" i="12" s="1"/>
  <c r="AK32" i="12"/>
  <c r="GU13" i="12"/>
  <c r="GU27" i="12"/>
  <c r="AX27" i="11"/>
  <c r="BO28" i="12"/>
  <c r="DN32" i="11"/>
  <c r="BO13" i="12"/>
  <c r="BO27" i="12" s="1"/>
  <c r="GD29" i="11"/>
  <c r="HL31" i="11"/>
  <c r="EE13" i="12"/>
  <c r="EE27" i="12"/>
  <c r="ED31" i="12"/>
  <c r="BN28" i="12"/>
  <c r="DO11" i="12"/>
  <c r="AY8" i="12"/>
  <c r="DO6" i="12"/>
  <c r="EE34" i="11"/>
  <c r="EF9" i="12"/>
  <c r="FM34" i="11"/>
  <c r="BP6" i="12"/>
  <c r="FN12" i="12"/>
  <c r="FN33" i="11"/>
  <c r="GV9" i="12"/>
  <c r="CW27" i="11"/>
  <c r="AL21" i="12"/>
  <c r="V21" i="12"/>
  <c r="W21" i="12"/>
  <c r="AB21" i="12"/>
  <c r="X21" i="12"/>
  <c r="AA21" i="12"/>
  <c r="Z21" i="12"/>
  <c r="Y21" i="12"/>
  <c r="AC21" i="12"/>
  <c r="AD21" i="12"/>
  <c r="AE21" i="12"/>
  <c r="AF21" i="12"/>
  <c r="AG21" i="12"/>
  <c r="AH21" i="12"/>
  <c r="AI21" i="12"/>
  <c r="AJ21" i="12"/>
  <c r="AX13" i="12"/>
  <c r="AX27" i="12"/>
  <c r="DN32" i="12"/>
  <c r="EE32" i="11"/>
  <c r="AL19" i="12"/>
  <c r="V19" i="12"/>
  <c r="W19" i="12"/>
  <c r="Y19" i="12"/>
  <c r="AA19" i="12"/>
  <c r="AB19" i="12"/>
  <c r="Z19" i="12"/>
  <c r="X19" i="12"/>
  <c r="AC19" i="12"/>
  <c r="AD19" i="12"/>
  <c r="AE19" i="12"/>
  <c r="AF19" i="12"/>
  <c r="AG19" i="12"/>
  <c r="AH19" i="12"/>
  <c r="AI19" i="12"/>
  <c r="AJ19" i="12"/>
  <c r="BN33" i="12"/>
  <c r="EU32" i="12"/>
  <c r="CW31" i="11"/>
  <c r="AW30" i="12"/>
  <c r="GU29" i="11"/>
  <c r="DM28" i="12"/>
  <c r="GE10" i="12"/>
  <c r="FN9" i="12"/>
  <c r="DO8" i="12"/>
  <c r="DN34" i="11"/>
  <c r="EF10" i="12"/>
  <c r="BP7" i="12"/>
  <c r="GV10" i="12"/>
  <c r="CV28" i="12"/>
  <c r="CW13" i="12"/>
  <c r="CW27" i="12" s="1"/>
  <c r="CF30" i="12"/>
  <c r="EV32" i="11"/>
  <c r="AX28" i="11"/>
  <c r="AK21" i="12"/>
  <c r="DM29" i="12"/>
  <c r="EU31" i="12"/>
  <c r="EE32" i="12"/>
  <c r="AK19" i="12"/>
  <c r="GD30" i="11"/>
  <c r="CE27" i="12"/>
  <c r="FM28" i="11"/>
  <c r="DN28" i="12"/>
  <c r="HL27" i="11"/>
  <c r="HL28" i="11"/>
  <c r="GC29" i="12"/>
  <c r="AX33" i="11"/>
  <c r="AL17" i="12"/>
  <c r="AL13" i="12"/>
  <c r="AL27" i="12" s="1"/>
  <c r="W17" i="12"/>
  <c r="V17" i="12"/>
  <c r="AA17" i="12"/>
  <c r="Z17" i="12"/>
  <c r="Y17" i="12"/>
  <c r="AB17" i="12"/>
  <c r="X17" i="12"/>
  <c r="AC17" i="12"/>
  <c r="AD17" i="12"/>
  <c r="AE17" i="12"/>
  <c r="AF17" i="12"/>
  <c r="AG17" i="12"/>
  <c r="AH17" i="12"/>
  <c r="AI17" i="12"/>
  <c r="AJ17" i="12"/>
  <c r="CW31" i="12"/>
  <c r="GU29" i="12"/>
  <c r="CV30" i="12"/>
  <c r="AL33" i="11"/>
  <c r="EF11" i="12"/>
  <c r="BP9" i="12"/>
  <c r="CX7" i="12"/>
  <c r="GV12" i="12"/>
  <c r="EV32" i="12"/>
  <c r="AX28" i="12"/>
  <c r="AK31" i="12"/>
  <c r="AL27" i="11"/>
  <c r="GC30" i="12"/>
  <c r="EV29" i="11"/>
  <c r="AK29" i="12"/>
  <c r="CE34" i="12"/>
  <c r="GT30" i="12"/>
  <c r="HL13" i="12"/>
  <c r="AX33" i="12"/>
  <c r="AK17" i="12"/>
  <c r="BN31" i="12"/>
  <c r="AX31" i="12"/>
  <c r="GU30" i="11"/>
  <c r="DO10" i="12"/>
  <c r="DO31" i="11"/>
  <c r="EW6" i="12"/>
  <c r="EF12" i="12"/>
  <c r="CF34" i="11"/>
  <c r="BP8" i="12"/>
  <c r="AX34" i="11"/>
  <c r="CX6" i="12"/>
  <c r="GV11" i="12"/>
  <c r="FM30" i="11"/>
  <c r="HL32" i="11"/>
  <c r="BN27" i="12"/>
  <c r="EU30" i="12"/>
  <c r="AL18" i="12"/>
  <c r="AL28" i="12"/>
  <c r="W18" i="12"/>
  <c r="V18" i="12"/>
  <c r="Y18" i="12"/>
  <c r="AA18" i="12"/>
  <c r="Z18" i="12"/>
  <c r="AB18" i="12"/>
  <c r="X18" i="12"/>
  <c r="AC18" i="12"/>
  <c r="AD18" i="12"/>
  <c r="AE18" i="12"/>
  <c r="AF18" i="12"/>
  <c r="AG18" i="12"/>
  <c r="AH18" i="12"/>
  <c r="AI18" i="12"/>
  <c r="AJ18" i="12"/>
  <c r="EV29" i="12"/>
  <c r="CW33" i="11"/>
  <c r="ED33" i="12"/>
  <c r="EU33" i="12"/>
  <c r="FM33" i="11"/>
  <c r="GC32" i="12"/>
  <c r="GU30" i="12"/>
  <c r="CF28" i="11"/>
  <c r="GE6" i="12"/>
  <c r="DO7" i="12"/>
  <c r="GE7" i="12"/>
  <c r="EW7" i="12"/>
  <c r="BP11" i="12"/>
  <c r="BP32" i="11"/>
  <c r="CG6" i="12"/>
  <c r="EU28" i="12"/>
  <c r="FM30" i="12"/>
  <c r="BN34" i="12"/>
  <c r="BO30" i="11"/>
  <c r="AL30" i="11"/>
  <c r="EE29" i="11"/>
  <c r="CW33" i="12"/>
  <c r="FM29" i="11"/>
  <c r="EV13" i="12"/>
  <c r="EV27" i="12" s="1"/>
  <c r="AX30" i="11"/>
  <c r="CV31" i="12"/>
  <c r="AX32" i="11"/>
  <c r="AK34" i="12"/>
  <c r="AK24" i="12"/>
  <c r="FM33" i="12"/>
  <c r="CF28" i="12"/>
  <c r="BP12" i="12"/>
  <c r="CX8" i="12"/>
  <c r="GD34" i="11"/>
  <c r="EU34" i="12"/>
  <c r="GU28" i="12"/>
  <c r="BO30" i="12"/>
  <c r="DN33" i="11"/>
  <c r="BO29" i="11"/>
  <c r="EE29" i="12"/>
  <c r="FM29" i="12"/>
  <c r="AX30" i="12"/>
  <c r="BN29" i="12"/>
  <c r="AX32" i="12"/>
  <c r="CV33" i="12"/>
  <c r="CF32" i="11"/>
  <c r="FL34" i="12"/>
  <c r="FM31" i="11"/>
  <c r="EW9" i="12"/>
  <c r="HM6" i="12"/>
  <c r="HM27" i="11"/>
  <c r="BP10" i="12"/>
  <c r="AY6" i="12"/>
  <c r="CG7" i="12"/>
  <c r="CX10" i="12"/>
  <c r="AX29" i="11"/>
  <c r="AK24" i="11"/>
  <c r="BO29" i="12"/>
  <c r="AL20" i="12"/>
  <c r="AL30" i="12"/>
  <c r="W20" i="12"/>
  <c r="V20" i="12"/>
  <c r="AB20" i="12"/>
  <c r="X20" i="12"/>
  <c r="AA20" i="12"/>
  <c r="Z20" i="12"/>
  <c r="Y20" i="12"/>
  <c r="AC20" i="12"/>
  <c r="AD20" i="12"/>
  <c r="AE20" i="12"/>
  <c r="AF20" i="12"/>
  <c r="AG20" i="12"/>
  <c r="AH20" i="12"/>
  <c r="AI20" i="12"/>
  <c r="AJ20" i="12"/>
  <c r="DN31" i="11"/>
  <c r="EE31" i="11"/>
  <c r="GD28" i="11"/>
  <c r="CW32" i="11"/>
  <c r="DN29" i="11"/>
  <c r="AL23" i="12"/>
  <c r="AL33" i="12"/>
  <c r="W23" i="12"/>
  <c r="V23" i="12"/>
  <c r="X23" i="12"/>
  <c r="AB23" i="12"/>
  <c r="AA23" i="12"/>
  <c r="Y23" i="12"/>
  <c r="Z23" i="12"/>
  <c r="AC23" i="12"/>
  <c r="AD23" i="12"/>
  <c r="AE23" i="12"/>
  <c r="AF23" i="12"/>
  <c r="AG23" i="12"/>
  <c r="AH23" i="12"/>
  <c r="AI23" i="12"/>
  <c r="AJ23" i="12"/>
  <c r="CF32" i="12"/>
  <c r="GC33" i="12"/>
  <c r="FM31" i="12"/>
  <c r="GE8" i="12"/>
  <c r="GE11" i="12"/>
  <c r="EW11" i="12"/>
  <c r="EW32" i="11"/>
  <c r="HM9" i="12"/>
  <c r="FN6" i="12"/>
  <c r="CG8" i="12"/>
  <c r="GU34" i="11"/>
  <c r="CX9" i="12"/>
  <c r="AX29" i="12"/>
  <c r="ED30" i="12"/>
  <c r="GD33" i="11"/>
  <c r="DN33" i="12"/>
  <c r="AK30" i="12"/>
  <c r="DN31" i="12"/>
  <c r="EE31" i="12"/>
  <c r="DN30" i="11"/>
  <c r="HL29" i="11"/>
  <c r="CE29" i="12"/>
  <c r="CW32" i="12"/>
  <c r="HL30" i="11"/>
  <c r="AW28" i="12"/>
  <c r="DN29" i="12"/>
  <c r="CW28" i="11"/>
  <c r="AK33" i="12"/>
  <c r="AL31" i="11"/>
  <c r="GU31" i="11"/>
  <c r="EW12" i="12"/>
  <c r="HM7" i="12"/>
  <c r="EV34" i="11"/>
  <c r="FN7" i="12"/>
  <c r="FN28" i="11"/>
  <c r="AY7" i="12"/>
  <c r="CG9" i="12"/>
  <c r="CX11" i="12"/>
  <c r="GT34" i="12"/>
  <c r="BO31" i="11"/>
  <c r="GC27" i="12"/>
  <c r="AW34" i="12"/>
  <c r="GD31" i="11"/>
  <c r="CF31" i="11"/>
  <c r="AK20" i="12"/>
  <c r="DN30" i="12"/>
  <c r="AL32" i="11"/>
  <c r="AW31" i="12"/>
  <c r="CW28" i="12"/>
  <c r="AK23" i="12"/>
  <c r="DN27" i="11"/>
  <c r="FL30" i="12"/>
  <c r="GU31" i="12"/>
  <c r="BO32" i="11"/>
  <c r="CX13" i="11"/>
  <c r="CX33" i="11" s="1"/>
  <c r="BQ12" i="11" a="1"/>
  <c r="BQ12" i="11" s="1"/>
  <c r="BQ11" i="11" a="1"/>
  <c r="BQ11" i="11" s="1"/>
  <c r="BQ8" i="11" a="1"/>
  <c r="BQ8" i="11" s="1"/>
  <c r="BQ9" i="11" a="1"/>
  <c r="BQ9" i="11" s="1"/>
  <c r="BQ10" i="11" a="1"/>
  <c r="BQ10" i="11" s="1"/>
  <c r="BQ6" i="11" a="1"/>
  <c r="BQ6" i="11" s="1"/>
  <c r="BQ7" i="11" a="1"/>
  <c r="BQ7" i="11" s="1"/>
  <c r="BR2" i="11"/>
  <c r="DP12" i="10" a="1"/>
  <c r="DP12" i="10" s="1"/>
  <c r="DP10" i="10" a="1"/>
  <c r="DP10" i="10" s="1"/>
  <c r="DP11" i="10" a="1"/>
  <c r="DP11" i="10" s="1"/>
  <c r="DP9" i="10" a="1"/>
  <c r="DP9" i="10" s="1"/>
  <c r="DP7" i="10" a="1"/>
  <c r="DP7" i="10" s="1"/>
  <c r="DP8" i="10" a="1"/>
  <c r="DP8" i="10" s="1"/>
  <c r="DP6" i="10" a="1"/>
  <c r="DP6" i="10" s="1"/>
  <c r="DQ2" i="10"/>
  <c r="CY10" i="11" a="1"/>
  <c r="CY10" i="11" s="1"/>
  <c r="CY12" i="11" a="1"/>
  <c r="CY12" i="11" s="1"/>
  <c r="CY11" i="11" a="1"/>
  <c r="CY11" i="11" s="1"/>
  <c r="CY8" i="11" a="1"/>
  <c r="CY8" i="11" s="1"/>
  <c r="CY9" i="11" a="1"/>
  <c r="CY9" i="11" s="1"/>
  <c r="CY7" i="11" a="1"/>
  <c r="CY7" i="11" s="1"/>
  <c r="CY6" i="11" a="1"/>
  <c r="CY6" i="11" s="1"/>
  <c r="CZ2" i="11"/>
  <c r="EG12" i="10" a="1"/>
  <c r="EG12" i="10" s="1"/>
  <c r="EG11" i="10" a="1"/>
  <c r="EG11" i="10" s="1"/>
  <c r="EG6" i="10" a="1"/>
  <c r="EG6" i="10" s="1"/>
  <c r="EG10" i="10" a="1"/>
  <c r="EG10" i="10" s="1"/>
  <c r="EG9" i="10" a="1"/>
  <c r="EG9" i="10" s="1"/>
  <c r="EG7" i="10" a="1"/>
  <c r="EG7" i="10" s="1"/>
  <c r="EG8" i="10" a="1"/>
  <c r="EG8" i="10" s="1"/>
  <c r="EH2" i="10"/>
  <c r="EF13" i="10"/>
  <c r="DO13" i="11"/>
  <c r="DO30" i="11" s="1"/>
  <c r="CY12" i="10" a="1"/>
  <c r="CY12" i="10" s="1"/>
  <c r="CY11" i="10" a="1"/>
  <c r="CY11" i="10" s="1"/>
  <c r="CY10" i="10" a="1"/>
  <c r="CY10" i="10" s="1"/>
  <c r="CY9" i="10" a="1"/>
  <c r="CY9" i="10" s="1"/>
  <c r="CY7" i="10" a="1"/>
  <c r="CY7" i="10" s="1"/>
  <c r="CY8" i="10" a="1"/>
  <c r="CY8" i="10" s="1"/>
  <c r="CZ2" i="10"/>
  <c r="CY6" i="10" a="1"/>
  <c r="CY6" i="10" s="1"/>
  <c r="EW13" i="10"/>
  <c r="BP13" i="11"/>
  <c r="BP31" i="11" s="1"/>
  <c r="HN12" i="10" a="1"/>
  <c r="HN12" i="10" s="1"/>
  <c r="HN10" i="10" a="1"/>
  <c r="HN10" i="10" s="1"/>
  <c r="HN9" i="10" a="1"/>
  <c r="HN9" i="10" s="1"/>
  <c r="HN11" i="10" a="1"/>
  <c r="HN11" i="10" s="1"/>
  <c r="HN8" i="10" a="1"/>
  <c r="HN8" i="10" s="1"/>
  <c r="HN7" i="10" a="1"/>
  <c r="HN7" i="10" s="1"/>
  <c r="HN6" i="10" a="1"/>
  <c r="HN6" i="10" s="1"/>
  <c r="HO2" i="10"/>
  <c r="GW12" i="11" a="1"/>
  <c r="GW12" i="11" s="1"/>
  <c r="GW11" i="11" a="1"/>
  <c r="GW11" i="11" s="1"/>
  <c r="GW10" i="11" a="1"/>
  <c r="GW10" i="11" s="1"/>
  <c r="GW9" i="11" a="1"/>
  <c r="GW9" i="11" s="1"/>
  <c r="GW7" i="11" a="1"/>
  <c r="GW7" i="11" s="1"/>
  <c r="GW8" i="11" a="1"/>
  <c r="GW8" i="11" s="1"/>
  <c r="GW6" i="11" a="1"/>
  <c r="GW6" i="11" s="1"/>
  <c r="GX2" i="11"/>
  <c r="EX11" i="10" a="1"/>
  <c r="EX11" i="10" s="1"/>
  <c r="EX12" i="10" a="1"/>
  <c r="EX12" i="10" s="1"/>
  <c r="EX9" i="10" a="1"/>
  <c r="EX9" i="10" s="1"/>
  <c r="EX10" i="10" a="1"/>
  <c r="EX10" i="10" s="1"/>
  <c r="EX8" i="10" a="1"/>
  <c r="EX8" i="10" s="1"/>
  <c r="EX6" i="10" a="1"/>
  <c r="EX6" i="10" s="1"/>
  <c r="EX7" i="10" a="1"/>
  <c r="EX7" i="10" s="1"/>
  <c r="EY2" i="10"/>
  <c r="HM13" i="10"/>
  <c r="GV13" i="11"/>
  <c r="AY13" i="10"/>
  <c r="DP12" i="11" a="1"/>
  <c r="DP12" i="11" s="1"/>
  <c r="DP10" i="11" a="1"/>
  <c r="DP10" i="11" s="1"/>
  <c r="DP11" i="11" a="1"/>
  <c r="DP11" i="11" s="1"/>
  <c r="DP9" i="11" a="1"/>
  <c r="DP9" i="11" s="1"/>
  <c r="DP8" i="11" a="1"/>
  <c r="DP8" i="11" s="1"/>
  <c r="DP7" i="11" a="1"/>
  <c r="DP7" i="11" s="1"/>
  <c r="DQ2" i="11"/>
  <c r="DP6" i="11" a="1"/>
  <c r="DP6" i="11" s="1"/>
  <c r="DO13" i="10"/>
  <c r="GE13" i="11"/>
  <c r="AY13" i="11"/>
  <c r="GF12" i="11" a="1"/>
  <c r="GF12" i="11" s="1"/>
  <c r="GF10" i="11" a="1"/>
  <c r="GF10" i="11" s="1"/>
  <c r="GF11" i="11" a="1"/>
  <c r="GF11" i="11" s="1"/>
  <c r="GF9" i="11" a="1"/>
  <c r="GF9" i="11" s="1"/>
  <c r="GG2" i="11"/>
  <c r="GF7" i="11" a="1"/>
  <c r="GF7" i="11" s="1"/>
  <c r="GF8" i="11" a="1"/>
  <c r="GF8" i="11" s="1"/>
  <c r="GF6" i="11" a="1"/>
  <c r="GF6" i="11" s="1"/>
  <c r="AZ11" i="11" a="1"/>
  <c r="AZ11" i="11" s="1"/>
  <c r="AZ12" i="11" a="1"/>
  <c r="AZ12" i="11" s="1"/>
  <c r="AZ10" i="11" a="1"/>
  <c r="AZ10" i="11" s="1"/>
  <c r="AZ8" i="11" a="1"/>
  <c r="AZ8" i="11" s="1"/>
  <c r="AZ9" i="11" a="1"/>
  <c r="AZ9" i="11" s="1"/>
  <c r="AZ6" i="11" a="1"/>
  <c r="AZ6" i="11" s="1"/>
  <c r="AZ7" i="11" a="1"/>
  <c r="AZ7" i="11" s="1"/>
  <c r="BA2" i="11"/>
  <c r="GV13" i="10"/>
  <c r="CX13" i="10"/>
  <c r="GW12" i="10" a="1"/>
  <c r="GW12" i="10" s="1"/>
  <c r="GW11" i="10" a="1"/>
  <c r="GW11" i="10" s="1"/>
  <c r="GW10" i="10" a="1"/>
  <c r="GW10" i="10" s="1"/>
  <c r="GX2" i="10"/>
  <c r="GW9" i="10" a="1"/>
  <c r="GW9" i="10" s="1"/>
  <c r="GW8" i="10" a="1"/>
  <c r="GW8" i="10" s="1"/>
  <c r="GW7" i="10" a="1"/>
  <c r="GW7" i="10" s="1"/>
  <c r="GW6" i="10" a="1"/>
  <c r="GW6" i="10" s="1"/>
  <c r="HN11" i="11" a="1"/>
  <c r="HN11" i="11" s="1"/>
  <c r="HN10" i="11" a="1"/>
  <c r="HN10" i="11" s="1"/>
  <c r="HN12" i="11" a="1"/>
  <c r="HN12" i="11" s="1"/>
  <c r="HN9" i="11" a="1"/>
  <c r="HN9" i="11" s="1"/>
  <c r="HN8" i="11" a="1"/>
  <c r="HN8" i="11" s="1"/>
  <c r="HN7" i="11" a="1"/>
  <c r="HN7" i="11" s="1"/>
  <c r="HN6" i="11" a="1"/>
  <c r="HN6" i="11" s="1"/>
  <c r="HO2" i="11"/>
  <c r="GE13" i="10"/>
  <c r="HM13" i="11"/>
  <c r="HM31" i="11" s="1"/>
  <c r="FN13" i="11"/>
  <c r="CG13" i="11"/>
  <c r="CG28" i="11" s="1"/>
  <c r="GF11" i="10" a="1"/>
  <c r="GF11" i="10" s="1"/>
  <c r="GF12" i="10" a="1"/>
  <c r="GF12" i="10" s="1"/>
  <c r="GF9" i="10" a="1"/>
  <c r="GF9" i="10" s="1"/>
  <c r="GF10" i="10" a="1"/>
  <c r="GF10" i="10" s="1"/>
  <c r="GG2" i="10"/>
  <c r="GF8" i="10" a="1"/>
  <c r="GF8" i="10" s="1"/>
  <c r="GF7" i="10" a="1"/>
  <c r="GF7" i="10" s="1"/>
  <c r="GF6" i="10" a="1"/>
  <c r="GF6" i="10" s="1"/>
  <c r="EG12" i="11" a="1"/>
  <c r="EG12" i="11" s="1"/>
  <c r="EG11" i="11" a="1"/>
  <c r="EG11" i="11" s="1"/>
  <c r="EG9" i="11" a="1"/>
  <c r="EG9" i="11" s="1"/>
  <c r="EH2" i="11"/>
  <c r="EG10" i="11" a="1"/>
  <c r="EG10" i="11" s="1"/>
  <c r="EG8" i="11" a="1"/>
  <c r="EG8" i="11" s="1"/>
  <c r="EG6" i="11" a="1"/>
  <c r="EG6" i="11" s="1"/>
  <c r="EG7" i="11" a="1"/>
  <c r="EG7" i="11" s="1"/>
  <c r="FN13" i="10"/>
  <c r="CH10" i="11" a="1"/>
  <c r="CH10" i="11" s="1"/>
  <c r="CH11" i="11" a="1"/>
  <c r="CH11" i="11" s="1"/>
  <c r="CH12" i="11" a="1"/>
  <c r="CH12" i="11" s="1"/>
  <c r="CH8" i="11" a="1"/>
  <c r="CH8" i="11" s="1"/>
  <c r="CH9" i="11" a="1"/>
  <c r="CH9" i="11" s="1"/>
  <c r="CH7" i="11" a="1"/>
  <c r="CH7" i="11" s="1"/>
  <c r="CH6" i="11" a="1"/>
  <c r="CH6" i="11" s="1"/>
  <c r="CI2" i="11"/>
  <c r="EF13" i="11"/>
  <c r="EF27" i="11" s="1"/>
  <c r="FO9" i="11" a="1"/>
  <c r="FO9" i="11" s="1"/>
  <c r="FO12" i="11" a="1"/>
  <c r="FO12" i="11" s="1"/>
  <c r="FO10" i="11" a="1"/>
  <c r="FO10" i="11" s="1"/>
  <c r="FO11" i="11" a="1"/>
  <c r="FO11" i="11" s="1"/>
  <c r="FO7" i="11" a="1"/>
  <c r="FO7" i="11" s="1"/>
  <c r="FP2" i="11"/>
  <c r="FO6" i="11" a="1"/>
  <c r="FO6" i="11" s="1"/>
  <c r="FO8" i="11" a="1"/>
  <c r="FO8" i="11" s="1"/>
  <c r="AJ13" i="10"/>
  <c r="EX9" i="11" a="1"/>
  <c r="EX9" i="11" s="1"/>
  <c r="EX12" i="11" a="1"/>
  <c r="EX12" i="11" s="1"/>
  <c r="EX7" i="11" a="1"/>
  <c r="EX7" i="11" s="1"/>
  <c r="EX10" i="11" a="1"/>
  <c r="EX10" i="11" s="1"/>
  <c r="EX11" i="11" a="1"/>
  <c r="EX11" i="11" s="1"/>
  <c r="EX8" i="11" a="1"/>
  <c r="EX8" i="11" s="1"/>
  <c r="EY2" i="11"/>
  <c r="EX6" i="11" a="1"/>
  <c r="EX6" i="11" s="1"/>
  <c r="AK12" i="10" a="1"/>
  <c r="AK12" i="10" s="1"/>
  <c r="AK11" i="10" a="1"/>
  <c r="AK11" i="10" s="1"/>
  <c r="AK8" i="10" a="1"/>
  <c r="AK8" i="10" s="1"/>
  <c r="AK10" i="10" a="1"/>
  <c r="AK10" i="10" s="1"/>
  <c r="AK9" i="10" a="1"/>
  <c r="AK9" i="10" s="1"/>
  <c r="AK7" i="10" a="1"/>
  <c r="AK7" i="10" s="1"/>
  <c r="AK6" i="10" a="1"/>
  <c r="AK6" i="10" s="1"/>
  <c r="AZ10" i="10" a="1"/>
  <c r="AZ10" i="10" s="1"/>
  <c r="AZ11" i="10" a="1"/>
  <c r="AZ11" i="10" s="1"/>
  <c r="AZ12" i="10" a="1"/>
  <c r="AZ12" i="10" s="1"/>
  <c r="AZ7" i="10" a="1"/>
  <c r="AZ7" i="10" s="1"/>
  <c r="AZ8" i="10" a="1"/>
  <c r="AZ8" i="10" s="1"/>
  <c r="AZ6" i="10" a="1"/>
  <c r="AZ6" i="10" s="1"/>
  <c r="BA2" i="10"/>
  <c r="AZ9" i="10" a="1"/>
  <c r="AZ9" i="10" s="1"/>
  <c r="FO12" i="10" a="1"/>
  <c r="FO12" i="10" s="1"/>
  <c r="FO11" i="10" a="1"/>
  <c r="FO11" i="10" s="1"/>
  <c r="FO10" i="10" a="1"/>
  <c r="FO10" i="10" s="1"/>
  <c r="FO9" i="10" a="1"/>
  <c r="FO9" i="10" s="1"/>
  <c r="FO8" i="10" a="1"/>
  <c r="FO8" i="10" s="1"/>
  <c r="FP2" i="10"/>
  <c r="FO7" i="10" a="1"/>
  <c r="FO7" i="10" s="1"/>
  <c r="FO6" i="10" a="1"/>
  <c r="FO6" i="10" s="1"/>
  <c r="CH12" i="10" a="1"/>
  <c r="CH12" i="10" s="1"/>
  <c r="CH10" i="10" a="1"/>
  <c r="CH10" i="10" s="1"/>
  <c r="CH11" i="10" a="1"/>
  <c r="CH11" i="10" s="1"/>
  <c r="CH9" i="10" a="1"/>
  <c r="CH9" i="10" s="1"/>
  <c r="CH6" i="10" a="1"/>
  <c r="CH6" i="10" s="1"/>
  <c r="CH7" i="10" a="1"/>
  <c r="CH7" i="10" s="1"/>
  <c r="CH8" i="10" a="1"/>
  <c r="CH8" i="10" s="1"/>
  <c r="CI2" i="10"/>
  <c r="BP13" i="10"/>
  <c r="BQ10" i="10" a="1"/>
  <c r="BQ10" i="10" s="1"/>
  <c r="BQ11" i="10" a="1"/>
  <c r="BQ11" i="10" s="1"/>
  <c r="BQ12" i="10" a="1"/>
  <c r="BQ12" i="10" s="1"/>
  <c r="BQ9" i="10" a="1"/>
  <c r="BQ9" i="10" s="1"/>
  <c r="BQ6" i="10" a="1"/>
  <c r="BQ6" i="10" s="1"/>
  <c r="BQ8" i="10" a="1"/>
  <c r="BQ8" i="10" s="1"/>
  <c r="BR2" i="10"/>
  <c r="BQ7" i="10" a="1"/>
  <c r="BQ7" i="10" s="1"/>
  <c r="EW13" i="11"/>
  <c r="EW28" i="11" s="1"/>
  <c r="CG13" i="10"/>
  <c r="DA11" i="2" a="1"/>
  <c r="DA11" i="2" s="1"/>
  <c r="DB2" i="2"/>
  <c r="DA12" i="2" a="1"/>
  <c r="DA12" i="2" s="1"/>
  <c r="DA10" i="2" a="1"/>
  <c r="DA10" i="2" s="1"/>
  <c r="DA7" i="2" a="1"/>
  <c r="DA7" i="2" s="1"/>
  <c r="DA8" i="2" a="1"/>
  <c r="DA8" i="2" s="1"/>
  <c r="DA9" i="2" a="1"/>
  <c r="DA9" i="2" s="1"/>
  <c r="DA6" i="2" a="1"/>
  <c r="DA6" i="2" s="1"/>
  <c r="HQ2" i="2"/>
  <c r="HP12" i="2" a="1"/>
  <c r="HP12" i="2" s="1"/>
  <c r="HP11" i="2" a="1"/>
  <c r="HP11" i="2" s="1"/>
  <c r="HP9" i="2" a="1"/>
  <c r="HP9" i="2" s="1"/>
  <c r="HP7" i="2" a="1"/>
  <c r="HP7" i="2" s="1"/>
  <c r="HP10" i="2" a="1"/>
  <c r="HP10" i="2" s="1"/>
  <c r="HP6" i="2" a="1"/>
  <c r="HP6" i="2" s="1"/>
  <c r="HP8" i="2" a="1"/>
  <c r="HP8" i="2" s="1"/>
  <c r="FQ12" i="2" a="1"/>
  <c r="FQ12" i="2" s="1"/>
  <c r="FQ8" i="2" a="1"/>
  <c r="FQ8" i="2" s="1"/>
  <c r="FQ6" i="2" a="1"/>
  <c r="FQ6" i="2" s="1"/>
  <c r="FQ9" i="2" a="1"/>
  <c r="FQ9" i="2" s="1"/>
  <c r="FQ7" i="2" a="1"/>
  <c r="FQ7" i="2" s="1"/>
  <c r="FQ10" i="2" a="1"/>
  <c r="FQ10" i="2" s="1"/>
  <c r="FQ11" i="2" a="1"/>
  <c r="FQ11" i="2" s="1"/>
  <c r="FR2" i="2"/>
  <c r="HO13" i="2"/>
  <c r="EI12" i="2" a="1"/>
  <c r="EI12" i="2" s="1"/>
  <c r="EI11" i="2" a="1"/>
  <c r="EI11" i="2" s="1"/>
  <c r="EI10" i="2" a="1"/>
  <c r="EI10" i="2" s="1"/>
  <c r="EI9" i="2" a="1"/>
  <c r="EI9" i="2" s="1"/>
  <c r="EI6" i="2" a="1"/>
  <c r="EI6" i="2" s="1"/>
  <c r="EI7" i="2" a="1"/>
  <c r="EI7" i="2" s="1"/>
  <c r="EJ2" i="2"/>
  <c r="EI8" i="2" a="1"/>
  <c r="EI8" i="2" s="1"/>
  <c r="EZ12" i="2" a="1"/>
  <c r="EZ12" i="2" s="1"/>
  <c r="EZ10" i="2" a="1"/>
  <c r="EZ10" i="2" s="1"/>
  <c r="EZ9" i="2" a="1"/>
  <c r="EZ9" i="2" s="1"/>
  <c r="EZ6" i="2" a="1"/>
  <c r="EZ6" i="2" s="1"/>
  <c r="EZ11" i="2" a="1"/>
  <c r="EZ11" i="2" s="1"/>
  <c r="EZ7" i="2" a="1"/>
  <c r="EZ7" i="2" s="1"/>
  <c r="FA2" i="2"/>
  <c r="EZ8" i="2" a="1"/>
  <c r="EZ8" i="2" s="1"/>
  <c r="CJ11" i="2" a="1"/>
  <c r="CJ11" i="2" s="1"/>
  <c r="CJ7" i="2" a="1"/>
  <c r="CJ7" i="2" s="1"/>
  <c r="CJ10" i="2" a="1"/>
  <c r="CJ10" i="2" s="1"/>
  <c r="CJ8" i="2" a="1"/>
  <c r="CJ8" i="2" s="1"/>
  <c r="CJ6" i="2" a="1"/>
  <c r="CJ6" i="2" s="1"/>
  <c r="CK2" i="2"/>
  <c r="CJ9" i="2" a="1"/>
  <c r="CJ9" i="2" s="1"/>
  <c r="CJ12" i="2" a="1"/>
  <c r="CJ12" i="2" s="1"/>
  <c r="GI2" i="2"/>
  <c r="GH10" i="2" a="1"/>
  <c r="GH10" i="2" s="1"/>
  <c r="GH9" i="2" a="1"/>
  <c r="GH9" i="2" s="1"/>
  <c r="GH12" i="2" a="1"/>
  <c r="GH12" i="2" s="1"/>
  <c r="GH11" i="2" a="1"/>
  <c r="GH11" i="2" s="1"/>
  <c r="GH8" i="2" a="1"/>
  <c r="GH8" i="2" s="1"/>
  <c r="GH6" i="2" a="1"/>
  <c r="GH6" i="2" s="1"/>
  <c r="GH7" i="2" a="1"/>
  <c r="GH7" i="2" s="1"/>
  <c r="GX13" i="2"/>
  <c r="GY12" i="2" a="1"/>
  <c r="GY12" i="2" s="1"/>
  <c r="GY11" i="2" a="1"/>
  <c r="GY11" i="2" s="1"/>
  <c r="GY10" i="2" a="1"/>
  <c r="GY10" i="2" s="1"/>
  <c r="GY9" i="2" a="1"/>
  <c r="GY9" i="2" s="1"/>
  <c r="GY8" i="2" a="1"/>
  <c r="GY8" i="2" s="1"/>
  <c r="GY7" i="2" a="1"/>
  <c r="GY7" i="2" s="1"/>
  <c r="GY6" i="2" a="1"/>
  <c r="GY6" i="2" s="1"/>
  <c r="GZ2" i="2"/>
  <c r="BQ13" i="2"/>
  <c r="CI13" i="2"/>
  <c r="GG13" i="2"/>
  <c r="BR12" i="2" a="1"/>
  <c r="BR12" i="2" s="1"/>
  <c r="BR11" i="2" a="1"/>
  <c r="BR11" i="2" s="1"/>
  <c r="BR10" i="2" a="1"/>
  <c r="BR10" i="2" s="1"/>
  <c r="BR9" i="2" a="1"/>
  <c r="BR9" i="2" s="1"/>
  <c r="BR7" i="2" a="1"/>
  <c r="BR7" i="2" s="1"/>
  <c r="BR6" i="2" a="1"/>
  <c r="BR6" i="2" s="1"/>
  <c r="BR8" i="2" a="1"/>
  <c r="BR8" i="2" s="1"/>
  <c r="BS2" i="2"/>
  <c r="EY13" i="2"/>
  <c r="FP13" i="2"/>
  <c r="DR7" i="2" a="1"/>
  <c r="DR7" i="2" s="1"/>
  <c r="DR6" i="2" a="1"/>
  <c r="DR6" i="2" s="1"/>
  <c r="DR11" i="2" a="1"/>
  <c r="DR11" i="2" s="1"/>
  <c r="DR10" i="2" a="1"/>
  <c r="DR10" i="2" s="1"/>
  <c r="DR9" i="2" a="1"/>
  <c r="DR9" i="2" s="1"/>
  <c r="DS2" i="2"/>
  <c r="DR12" i="2" a="1"/>
  <c r="DR12" i="2" s="1"/>
  <c r="DR8" i="2" a="1"/>
  <c r="DR8" i="2" s="1"/>
  <c r="CZ13" i="2"/>
  <c r="DQ13" i="2"/>
  <c r="EH13" i="2"/>
  <c r="AZ9" i="2" a="1"/>
  <c r="AZ9" i="2" s="1"/>
  <c r="AZ12" i="2" a="1"/>
  <c r="AZ12" i="2" s="1"/>
  <c r="BA2" i="2"/>
  <c r="AZ10" i="2" a="1"/>
  <c r="AZ10" i="2" s="1"/>
  <c r="AZ7" i="2" a="1"/>
  <c r="AZ7" i="2" s="1"/>
  <c r="AZ11" i="2" a="1"/>
  <c r="AZ11" i="2" s="1"/>
  <c r="AZ8" i="2" a="1"/>
  <c r="AZ8" i="2" s="1"/>
  <c r="AZ6" i="2" a="1"/>
  <c r="AZ6" i="2" s="1"/>
  <c r="AY13" i="2"/>
  <c r="GF10" i="12" l="1"/>
  <c r="GV34" i="11"/>
  <c r="HN12" i="12"/>
  <c r="GW10" i="12"/>
  <c r="GW31" i="11"/>
  <c r="EW32" i="12"/>
  <c r="HM13" i="12"/>
  <c r="HM27" i="12"/>
  <c r="DO31" i="12"/>
  <c r="EF31" i="11"/>
  <c r="GV29" i="11"/>
  <c r="GV28" i="11"/>
  <c r="EW29" i="11"/>
  <c r="CH12" i="12"/>
  <c r="CH11" i="12"/>
  <c r="CH10" i="12"/>
  <c r="CH31" i="11"/>
  <c r="AZ6" i="12"/>
  <c r="AY34" i="11"/>
  <c r="GW11" i="12"/>
  <c r="CX31" i="11"/>
  <c r="EW30" i="11"/>
  <c r="BP32" i="12"/>
  <c r="AY29" i="11"/>
  <c r="EF13" i="12"/>
  <c r="EF27" i="12" s="1"/>
  <c r="HM33" i="11"/>
  <c r="GD34" i="12"/>
  <c r="EW29" i="12"/>
  <c r="FO8" i="12"/>
  <c r="FO6" i="12"/>
  <c r="GF12" i="12"/>
  <c r="FO7" i="12"/>
  <c r="FO28" i="11"/>
  <c r="HN11" i="12"/>
  <c r="AZ9" i="12"/>
  <c r="GE34" i="11"/>
  <c r="GW12" i="12"/>
  <c r="GE32" i="11"/>
  <c r="CX31" i="12"/>
  <c r="BP29" i="11"/>
  <c r="GV33" i="11"/>
  <c r="BP27" i="11"/>
  <c r="EE34" i="12"/>
  <c r="HM33" i="12"/>
  <c r="CG32" i="11"/>
  <c r="HN9" i="12"/>
  <c r="AZ7" i="12"/>
  <c r="HN10" i="12"/>
  <c r="FO11" i="12"/>
  <c r="FO32" i="11"/>
  <c r="EG7" i="12"/>
  <c r="AZ8" i="12"/>
  <c r="EW30" i="12"/>
  <c r="BP29" i="12"/>
  <c r="GV33" i="12"/>
  <c r="BP13" i="12"/>
  <c r="BP27" i="12" s="1"/>
  <c r="AY31" i="11"/>
  <c r="HM29" i="11"/>
  <c r="AY32" i="11"/>
  <c r="DO33" i="11"/>
  <c r="BO32" i="12"/>
  <c r="EG6" i="12"/>
  <c r="AZ10" i="12"/>
  <c r="DP6" i="12"/>
  <c r="CY6" i="12"/>
  <c r="CX32" i="11"/>
  <c r="HM28" i="11"/>
  <c r="CG29" i="11"/>
  <c r="EW28" i="12"/>
  <c r="GD30" i="12"/>
  <c r="AX34" i="12"/>
  <c r="DO32" i="11"/>
  <c r="HM29" i="12"/>
  <c r="EE33" i="12"/>
  <c r="EX7" i="12"/>
  <c r="GW9" i="12"/>
  <c r="CX34" i="11"/>
  <c r="CX30" i="11"/>
  <c r="GE13" i="12"/>
  <c r="GE33" i="12" s="1"/>
  <c r="GE27" i="12"/>
  <c r="HL34" i="12"/>
  <c r="DO13" i="12"/>
  <c r="DO27" i="12"/>
  <c r="EX6" i="12"/>
  <c r="FO10" i="12"/>
  <c r="EW34" i="11"/>
  <c r="FO12" i="12"/>
  <c r="EG8" i="12"/>
  <c r="CG34" i="11"/>
  <c r="AZ12" i="12"/>
  <c r="CY7" i="12"/>
  <c r="CX32" i="12"/>
  <c r="GE29" i="11"/>
  <c r="CX29" i="11"/>
  <c r="HL32" i="12"/>
  <c r="CX28" i="11"/>
  <c r="CW34" i="12"/>
  <c r="DO29" i="11"/>
  <c r="EE28" i="12"/>
  <c r="GU34" i="12"/>
  <c r="EE30" i="12"/>
  <c r="AY30" i="11"/>
  <c r="CX33" i="12"/>
  <c r="FO9" i="12"/>
  <c r="EG10" i="12"/>
  <c r="FN34" i="11"/>
  <c r="AZ11" i="12"/>
  <c r="DP7" i="12"/>
  <c r="CY9" i="12"/>
  <c r="BQ7" i="12"/>
  <c r="GE29" i="12"/>
  <c r="GE28" i="11"/>
  <c r="DO29" i="12"/>
  <c r="FN32" i="11"/>
  <c r="AL32" i="12"/>
  <c r="FN31" i="11"/>
  <c r="EV28" i="12"/>
  <c r="AY30" i="12"/>
  <c r="DN34" i="12"/>
  <c r="EX8" i="12"/>
  <c r="EX11" i="12"/>
  <c r="EX32" i="11"/>
  <c r="EF34" i="11"/>
  <c r="HM34" i="11"/>
  <c r="GF6" i="12"/>
  <c r="DP8" i="12"/>
  <c r="DO34" i="11"/>
  <c r="CY8" i="12"/>
  <c r="BQ6" i="12"/>
  <c r="CG30" i="11"/>
  <c r="EW33" i="11"/>
  <c r="FN27" i="11"/>
  <c r="AY27" i="11"/>
  <c r="GE28" i="12"/>
  <c r="EF33" i="11"/>
  <c r="HL31" i="12"/>
  <c r="AL31" i="12"/>
  <c r="EF30" i="11"/>
  <c r="HM31" i="12"/>
  <c r="DO30" i="12"/>
  <c r="FN31" i="12"/>
  <c r="CW29" i="12"/>
  <c r="CG33" i="11"/>
  <c r="EX10" i="12"/>
  <c r="EG9" i="12"/>
  <c r="GF8" i="12"/>
  <c r="DP9" i="12"/>
  <c r="CY11" i="12"/>
  <c r="CY32" i="11"/>
  <c r="BQ10" i="12"/>
  <c r="EW33" i="12"/>
  <c r="FN13" i="12"/>
  <c r="FN27" i="12" s="1"/>
  <c r="AY13" i="12"/>
  <c r="AY27" i="12"/>
  <c r="BP33" i="11"/>
  <c r="GV32" i="11"/>
  <c r="BP30" i="11"/>
  <c r="GV31" i="11"/>
  <c r="FN30" i="11"/>
  <c r="EF30" i="12"/>
  <c r="FM32" i="12"/>
  <c r="FN29" i="11"/>
  <c r="CH6" i="12"/>
  <c r="EG11" i="12"/>
  <c r="GF7" i="12"/>
  <c r="DP11" i="12"/>
  <c r="CY12" i="12"/>
  <c r="CY33" i="11"/>
  <c r="BQ9" i="12"/>
  <c r="GD33" i="12"/>
  <c r="GD28" i="12"/>
  <c r="BP33" i="12"/>
  <c r="EV34" i="12"/>
  <c r="DO28" i="11"/>
  <c r="GV32" i="12"/>
  <c r="BP30" i="12"/>
  <c r="AL34" i="12"/>
  <c r="AL24" i="12"/>
  <c r="V24" i="12"/>
  <c r="W24" i="12"/>
  <c r="AL14" i="12"/>
  <c r="AL15" i="12" s="1"/>
  <c r="AB24" i="12"/>
  <c r="Y24" i="12"/>
  <c r="Z24" i="12"/>
  <c r="X24" i="12"/>
  <c r="AA24" i="12"/>
  <c r="AC24" i="12"/>
  <c r="AD24" i="12"/>
  <c r="AE24" i="12"/>
  <c r="AF24" i="12"/>
  <c r="AG24" i="12"/>
  <c r="AH24" i="12"/>
  <c r="AI24" i="12"/>
  <c r="AJ24" i="12"/>
  <c r="FN30" i="12"/>
  <c r="GD29" i="12"/>
  <c r="FM34" i="12"/>
  <c r="HL33" i="12"/>
  <c r="EF29" i="11"/>
  <c r="GV27" i="11"/>
  <c r="EV31" i="12"/>
  <c r="EX12" i="12"/>
  <c r="EG12" i="12"/>
  <c r="HN6" i="12"/>
  <c r="DP10" i="12"/>
  <c r="GW6" i="12"/>
  <c r="CY10" i="12"/>
  <c r="BQ8" i="12"/>
  <c r="HL30" i="12"/>
  <c r="AY28" i="11"/>
  <c r="HM30" i="11"/>
  <c r="GD32" i="12"/>
  <c r="EW27" i="11"/>
  <c r="HL28" i="12"/>
  <c r="GV30" i="11"/>
  <c r="EF29" i="12"/>
  <c r="GV13" i="12"/>
  <c r="GV27" i="12" s="1"/>
  <c r="GE30" i="11"/>
  <c r="EX9" i="12"/>
  <c r="HN7" i="12"/>
  <c r="GF9" i="12"/>
  <c r="DP12" i="12"/>
  <c r="GW8" i="12"/>
  <c r="GW29" i="11"/>
  <c r="BP34" i="11"/>
  <c r="BQ11" i="12"/>
  <c r="HM30" i="12"/>
  <c r="BP31" i="12"/>
  <c r="CG27" i="11"/>
  <c r="FM28" i="12"/>
  <c r="CX27" i="11"/>
  <c r="EW13" i="12"/>
  <c r="EW27" i="12"/>
  <c r="EF32" i="11"/>
  <c r="BP28" i="11"/>
  <c r="GE31" i="11"/>
  <c r="AL29" i="12"/>
  <c r="CW30" i="12"/>
  <c r="BO34" i="12"/>
  <c r="EF28" i="11"/>
  <c r="AY33" i="11"/>
  <c r="EW31" i="11"/>
  <c r="GE30" i="12"/>
  <c r="CH7" i="12"/>
  <c r="CH9" i="12"/>
  <c r="CH8" i="12"/>
  <c r="HN8" i="12"/>
  <c r="GF11" i="12"/>
  <c r="GW7" i="12"/>
  <c r="BQ12" i="12"/>
  <c r="HL29" i="12"/>
  <c r="CG13" i="12"/>
  <c r="CG29" i="12" s="1"/>
  <c r="CG27" i="12"/>
  <c r="GE27" i="11"/>
  <c r="CX13" i="12"/>
  <c r="CX28" i="12" s="1"/>
  <c r="CX27" i="12"/>
  <c r="HL27" i="12"/>
  <c r="EF32" i="12"/>
  <c r="BP28" i="12"/>
  <c r="DO27" i="11"/>
  <c r="EF28" i="12"/>
  <c r="AY33" i="12"/>
  <c r="BO33" i="12"/>
  <c r="HM32" i="11"/>
  <c r="CF34" i="12"/>
  <c r="CG31" i="11"/>
  <c r="GU32" i="12"/>
  <c r="EV33" i="12"/>
  <c r="EW31" i="12"/>
  <c r="GD31" i="12"/>
  <c r="DQ10" i="11" a="1"/>
  <c r="DQ10" i="11" s="1"/>
  <c r="DQ11" i="11" a="1"/>
  <c r="DQ11" i="11" s="1"/>
  <c r="DQ12" i="11" a="1"/>
  <c r="DQ12" i="11" s="1"/>
  <c r="DQ8" i="11" a="1"/>
  <c r="DQ8" i="11" s="1"/>
  <c r="DQ9" i="11" a="1"/>
  <c r="DQ9" i="11" s="1"/>
  <c r="DQ7" i="11" a="1"/>
  <c r="DQ7" i="11" s="1"/>
  <c r="DQ6" i="11" a="1"/>
  <c r="DQ6" i="11" s="1"/>
  <c r="DR2" i="11"/>
  <c r="CI11" i="11" a="1"/>
  <c r="CI11" i="11" s="1"/>
  <c r="CI12" i="11" a="1"/>
  <c r="CI12" i="11" s="1"/>
  <c r="CI10" i="11" a="1"/>
  <c r="CI10" i="11" s="1"/>
  <c r="CI9" i="11" a="1"/>
  <c r="CI9" i="11" s="1"/>
  <c r="CI8" i="11" a="1"/>
  <c r="CI8" i="11" s="1"/>
  <c r="CI6" i="11" a="1"/>
  <c r="CI6" i="11" s="1"/>
  <c r="CI7" i="11" a="1"/>
  <c r="CI7" i="11" s="1"/>
  <c r="CJ2" i="11"/>
  <c r="GG11" i="10" a="1"/>
  <c r="GG11" i="10" s="1"/>
  <c r="GG12" i="10" a="1"/>
  <c r="GG12" i="10" s="1"/>
  <c r="GG9" i="10" a="1"/>
  <c r="GG9" i="10" s="1"/>
  <c r="GG10" i="10" a="1"/>
  <c r="GG10" i="10" s="1"/>
  <c r="GG8" i="10" a="1"/>
  <c r="GG8" i="10" s="1"/>
  <c r="GG6" i="10" a="1"/>
  <c r="GG6" i="10" s="1"/>
  <c r="GG7" i="10" a="1"/>
  <c r="GG7" i="10" s="1"/>
  <c r="GH2" i="10"/>
  <c r="AL8" i="10"/>
  <c r="EG13" i="10"/>
  <c r="AL11" i="10"/>
  <c r="GX12" i="11" a="1"/>
  <c r="GX12" i="11" s="1"/>
  <c r="GX10" i="11" a="1"/>
  <c r="GX10" i="11" s="1"/>
  <c r="GX8" i="11" a="1"/>
  <c r="GX8" i="11" s="1"/>
  <c r="GX7" i="11" a="1"/>
  <c r="GX7" i="11" s="1"/>
  <c r="GX11" i="11" a="1"/>
  <c r="GX11" i="11" s="1"/>
  <c r="GX9" i="11" a="1"/>
  <c r="GX9" i="11" s="1"/>
  <c r="GX6" i="11" a="1"/>
  <c r="GX6" i="11" s="1"/>
  <c r="GY2" i="11"/>
  <c r="CZ12" i="11" a="1"/>
  <c r="CZ12" i="11" s="1"/>
  <c r="CZ11" i="11" a="1"/>
  <c r="CZ11" i="11" s="1"/>
  <c r="CZ9" i="11" a="1"/>
  <c r="CZ9" i="11" s="1"/>
  <c r="CZ8" i="11" a="1"/>
  <c r="CZ8" i="11" s="1"/>
  <c r="CZ10" i="11" a="1"/>
  <c r="CZ10" i="11" s="1"/>
  <c r="CZ7" i="11" a="1"/>
  <c r="CZ7" i="11" s="1"/>
  <c r="CZ6" i="11" a="1"/>
  <c r="CZ6" i="11" s="1"/>
  <c r="DA2" i="11"/>
  <c r="HO12" i="11" a="1"/>
  <c r="HO12" i="11" s="1"/>
  <c r="HO10" i="11" a="1"/>
  <c r="HO10" i="11" s="1"/>
  <c r="HO9" i="11" a="1"/>
  <c r="HO9" i="11" s="1"/>
  <c r="HO8" i="11" a="1"/>
  <c r="HO8" i="11" s="1"/>
  <c r="HO7" i="11" a="1"/>
  <c r="HO7" i="11" s="1"/>
  <c r="HO6" i="11" a="1"/>
  <c r="HO6" i="11" s="1"/>
  <c r="HO11" i="11" a="1"/>
  <c r="HO11" i="11" s="1"/>
  <c r="HP2" i="11"/>
  <c r="GW13" i="11"/>
  <c r="GW27" i="11" s="1"/>
  <c r="CY13" i="11"/>
  <c r="CY27" i="11" s="1"/>
  <c r="AZ13" i="10"/>
  <c r="EH12" i="11" a="1"/>
  <c r="EH12" i="11" s="1"/>
  <c r="EH10" i="11" a="1"/>
  <c r="EH10" i="11" s="1"/>
  <c r="EH8" i="11" a="1"/>
  <c r="EH8" i="11" s="1"/>
  <c r="EH9" i="11" a="1"/>
  <c r="EH9" i="11" s="1"/>
  <c r="EH11" i="11" a="1"/>
  <c r="EH11" i="11" s="1"/>
  <c r="EH6" i="11" a="1"/>
  <c r="EH6" i="11" s="1"/>
  <c r="EI2" i="11"/>
  <c r="EH7" i="11" a="1"/>
  <c r="EH7" i="11" s="1"/>
  <c r="HN13" i="11"/>
  <c r="HN28" i="11" s="1"/>
  <c r="GX12" i="10" a="1"/>
  <c r="GX12" i="10" s="1"/>
  <c r="GX11" i="10" a="1"/>
  <c r="GX11" i="10" s="1"/>
  <c r="GX9" i="10" a="1"/>
  <c r="GX9" i="10" s="1"/>
  <c r="GX10" i="10" a="1"/>
  <c r="GX10" i="10" s="1"/>
  <c r="GY2" i="10"/>
  <c r="GX8" i="10" a="1"/>
  <c r="GX8" i="10" s="1"/>
  <c r="GX7" i="10" a="1"/>
  <c r="GX7" i="10" s="1"/>
  <c r="GX6" i="10" a="1"/>
  <c r="GX6" i="10" s="1"/>
  <c r="BR11" i="11" a="1"/>
  <c r="BR11" i="11" s="1"/>
  <c r="BR12" i="11" a="1"/>
  <c r="BR12" i="11" s="1"/>
  <c r="BR9" i="11" a="1"/>
  <c r="BR9" i="11" s="1"/>
  <c r="BR10" i="11" a="1"/>
  <c r="BR10" i="11" s="1"/>
  <c r="BR7" i="11" a="1"/>
  <c r="BR7" i="11" s="1"/>
  <c r="BR6" i="11" a="1"/>
  <c r="BR6" i="11" s="1"/>
  <c r="BR8" i="11" a="1"/>
  <c r="BR8" i="11" s="1"/>
  <c r="BS2" i="11"/>
  <c r="EY11" i="10" a="1"/>
  <c r="EY11" i="10" s="1"/>
  <c r="EY12" i="10" a="1"/>
  <c r="EY12" i="10" s="1"/>
  <c r="EY8" i="10" a="1"/>
  <c r="EY8" i="10" s="1"/>
  <c r="EY7" i="10" a="1"/>
  <c r="EY7" i="10" s="1"/>
  <c r="EY9" i="10" a="1"/>
  <c r="EY9" i="10" s="1"/>
  <c r="EY6" i="10" a="1"/>
  <c r="EY6" i="10" s="1"/>
  <c r="EZ2" i="10"/>
  <c r="EY10" i="10" a="1"/>
  <c r="EY10" i="10" s="1"/>
  <c r="BQ13" i="11"/>
  <c r="BQ28" i="11" s="1"/>
  <c r="AL12" i="10"/>
  <c r="FP12" i="10" a="1"/>
  <c r="FP12" i="10" s="1"/>
  <c r="FP11" i="10" a="1"/>
  <c r="FP11" i="10" s="1"/>
  <c r="FP9" i="10" a="1"/>
  <c r="FP9" i="10" s="1"/>
  <c r="FP8" i="10" a="1"/>
  <c r="FP8" i="10" s="1"/>
  <c r="FP10" i="10" a="1"/>
  <c r="FP10" i="10" s="1"/>
  <c r="FP6" i="10" a="1"/>
  <c r="FP6" i="10" s="1"/>
  <c r="FQ2" i="10"/>
  <c r="FP7" i="10" a="1"/>
  <c r="FP7" i="10" s="1"/>
  <c r="AL10" i="10"/>
  <c r="EG13" i="11"/>
  <c r="EG31" i="11" s="1"/>
  <c r="BR12" i="10" a="1"/>
  <c r="BR12" i="10" s="1"/>
  <c r="BR10" i="10" a="1"/>
  <c r="BR10" i="10" s="1"/>
  <c r="BR9" i="10" a="1"/>
  <c r="BR9" i="10" s="1"/>
  <c r="BR7" i="10" a="1"/>
  <c r="BR7" i="10" s="1"/>
  <c r="BR8" i="10" a="1"/>
  <c r="BR8" i="10" s="1"/>
  <c r="BS2" i="10"/>
  <c r="BR6" i="10" a="1"/>
  <c r="BR6" i="10" s="1"/>
  <c r="BR11" i="10" a="1"/>
  <c r="BR11" i="10" s="1"/>
  <c r="CI12" i="10" a="1"/>
  <c r="CI12" i="10" s="1"/>
  <c r="CI11" i="10" a="1"/>
  <c r="CI11" i="10" s="1"/>
  <c r="CI10" i="10" a="1"/>
  <c r="CI10" i="10" s="1"/>
  <c r="CI9" i="10" a="1"/>
  <c r="CI9" i="10" s="1"/>
  <c r="CI7" i="10" a="1"/>
  <c r="CI7" i="10" s="1"/>
  <c r="CI8" i="10" a="1"/>
  <c r="CI8" i="10" s="1"/>
  <c r="CI6" i="10" a="1"/>
  <c r="CI6" i="10" s="1"/>
  <c r="CJ2" i="10"/>
  <c r="EX13" i="10"/>
  <c r="FP12" i="11" a="1"/>
  <c r="FP12" i="11" s="1"/>
  <c r="FP9" i="11" a="1"/>
  <c r="FP9" i="11" s="1"/>
  <c r="FP7" i="11" a="1"/>
  <c r="FP7" i="11" s="1"/>
  <c r="FP10" i="11" a="1"/>
  <c r="FP10" i="11" s="1"/>
  <c r="FP8" i="11" a="1"/>
  <c r="FP8" i="11" s="1"/>
  <c r="FP11" i="11" a="1"/>
  <c r="FP11" i="11" s="1"/>
  <c r="FP6" i="11" a="1"/>
  <c r="FP6" i="11" s="1"/>
  <c r="FQ2" i="11"/>
  <c r="CH13" i="11"/>
  <c r="CH33" i="11" s="1"/>
  <c r="CY13" i="10"/>
  <c r="GW13" i="10"/>
  <c r="BQ13" i="10"/>
  <c r="EX13" i="11"/>
  <c r="EX29" i="11" s="1"/>
  <c r="BA12" i="11" a="1"/>
  <c r="BA12" i="11" s="1"/>
  <c r="BA11" i="11" a="1"/>
  <c r="BA11" i="11" s="1"/>
  <c r="BA10" i="11" a="1"/>
  <c r="BA10" i="11" s="1"/>
  <c r="BA8" i="11" a="1"/>
  <c r="BA8" i="11" s="1"/>
  <c r="BA6" i="11" a="1"/>
  <c r="BA6" i="11" s="1"/>
  <c r="BA7" i="11" a="1"/>
  <c r="BA7" i="11" s="1"/>
  <c r="BB2" i="11"/>
  <c r="BA9" i="11" a="1"/>
  <c r="BA9" i="11" s="1"/>
  <c r="GF13" i="11"/>
  <c r="GF31" i="11" s="1"/>
  <c r="CZ12" i="10" a="1"/>
  <c r="CZ12" i="10" s="1"/>
  <c r="CZ10" i="10" a="1"/>
  <c r="CZ10" i="10" s="1"/>
  <c r="CZ11" i="10" a="1"/>
  <c r="CZ11" i="10" s="1"/>
  <c r="CZ6" i="10" a="1"/>
  <c r="CZ6" i="10" s="1"/>
  <c r="CZ9" i="10" a="1"/>
  <c r="CZ9" i="10" s="1"/>
  <c r="CZ8" i="10" a="1"/>
  <c r="CZ8" i="10" s="1"/>
  <c r="CZ7" i="10" a="1"/>
  <c r="CZ7" i="10" s="1"/>
  <c r="DA2" i="10"/>
  <c r="EH12" i="10" a="1"/>
  <c r="EH12" i="10" s="1"/>
  <c r="EH9" i="10" a="1"/>
  <c r="EH9" i="10" s="1"/>
  <c r="EH10" i="10" a="1"/>
  <c r="EH10" i="10" s="1"/>
  <c r="EH7" i="10" a="1"/>
  <c r="EH7" i="10" s="1"/>
  <c r="EH11" i="10" a="1"/>
  <c r="EH11" i="10" s="1"/>
  <c r="EH8" i="10" a="1"/>
  <c r="EH8" i="10" s="1"/>
  <c r="EI2" i="10"/>
  <c r="EH6" i="10" a="1"/>
  <c r="EH6" i="10" s="1"/>
  <c r="DP13" i="11"/>
  <c r="DP29" i="11" s="1"/>
  <c r="FO13" i="10"/>
  <c r="BA12" i="10" a="1"/>
  <c r="BA12" i="10" s="1"/>
  <c r="BA11" i="10" a="1"/>
  <c r="BA11" i="10" s="1"/>
  <c r="BA9" i="10" a="1"/>
  <c r="BA9" i="10" s="1"/>
  <c r="BA10" i="10" a="1"/>
  <c r="BA10" i="10" s="1"/>
  <c r="BA7" i="10" a="1"/>
  <c r="BA7" i="10" s="1"/>
  <c r="BA8" i="10" a="1"/>
  <c r="BA8" i="10" s="1"/>
  <c r="BB2" i="10"/>
  <c r="BA6" i="10" a="1"/>
  <c r="BA6" i="10" s="1"/>
  <c r="CH13" i="10"/>
  <c r="EY12" i="11" a="1"/>
  <c r="EY12" i="11" s="1"/>
  <c r="EY10" i="11" a="1"/>
  <c r="EY10" i="11" s="1"/>
  <c r="EY11" i="11" a="1"/>
  <c r="EY11" i="11" s="1"/>
  <c r="EY7" i="11" a="1"/>
  <c r="EY7" i="11" s="1"/>
  <c r="EY9" i="11" a="1"/>
  <c r="EY9" i="11" s="1"/>
  <c r="EY8" i="11" a="1"/>
  <c r="EY8" i="11" s="1"/>
  <c r="EZ2" i="11"/>
  <c r="EY6" i="11" a="1"/>
  <c r="EY6" i="11" s="1"/>
  <c r="HO11" i="10" a="1"/>
  <c r="HO11" i="10" s="1"/>
  <c r="HO12" i="10" a="1"/>
  <c r="HO12" i="10" s="1"/>
  <c r="HO9" i="10" a="1"/>
  <c r="HO9" i="10" s="1"/>
  <c r="HP2" i="10"/>
  <c r="HO8" i="10" a="1"/>
  <c r="HO8" i="10" s="1"/>
  <c r="HO10" i="10" a="1"/>
  <c r="HO10" i="10" s="1"/>
  <c r="HO7" i="10" a="1"/>
  <c r="HO7" i="10" s="1"/>
  <c r="HO6" i="10" a="1"/>
  <c r="HO6" i="10" s="1"/>
  <c r="AK13" i="10"/>
  <c r="AL6" i="10"/>
  <c r="GF13" i="10"/>
  <c r="AZ13" i="11"/>
  <c r="AZ28" i="11" s="1"/>
  <c r="HN13" i="10"/>
  <c r="DQ12" i="10" a="1"/>
  <c r="DQ12" i="10" s="1"/>
  <c r="DQ11" i="10" a="1"/>
  <c r="DQ11" i="10" s="1"/>
  <c r="DQ10" i="10" a="1"/>
  <c r="DQ10" i="10" s="1"/>
  <c r="DQ9" i="10" a="1"/>
  <c r="DQ9" i="10" s="1"/>
  <c r="DQ6" i="10" a="1"/>
  <c r="DQ6" i="10" s="1"/>
  <c r="DQ7" i="10" a="1"/>
  <c r="DQ7" i="10" s="1"/>
  <c r="DQ8" i="10" a="1"/>
  <c r="DQ8" i="10" s="1"/>
  <c r="DR2" i="10"/>
  <c r="AL7" i="10"/>
  <c r="GG9" i="11" a="1"/>
  <c r="GG9" i="11" s="1"/>
  <c r="GG12" i="11" a="1"/>
  <c r="GG12" i="11" s="1"/>
  <c r="GG11" i="11" a="1"/>
  <c r="GG11" i="11" s="1"/>
  <c r="GG7" i="11" a="1"/>
  <c r="GG7" i="11" s="1"/>
  <c r="GG10" i="11" a="1"/>
  <c r="GG10" i="11" s="1"/>
  <c r="GG8" i="11" a="1"/>
  <c r="GG8" i="11" s="1"/>
  <c r="GG6" i="11" a="1"/>
  <c r="GG6" i="11" s="1"/>
  <c r="GH2" i="11"/>
  <c r="DP13" i="10"/>
  <c r="AL9" i="10"/>
  <c r="FO13" i="11"/>
  <c r="FO29" i="11" s="1"/>
  <c r="HR2" i="2"/>
  <c r="HQ10" i="2" a="1"/>
  <c r="HQ10" i="2" s="1"/>
  <c r="HQ9" i="2" a="1"/>
  <c r="HQ9" i="2" s="1"/>
  <c r="HQ8" i="2" a="1"/>
  <c r="HQ8" i="2" s="1"/>
  <c r="HQ7" i="2" a="1"/>
  <c r="HQ7" i="2" s="1"/>
  <c r="HQ11" i="2" a="1"/>
  <c r="HQ11" i="2" s="1"/>
  <c r="HQ6" i="2" a="1"/>
  <c r="HQ6" i="2" s="1"/>
  <c r="HQ12" i="2" a="1"/>
  <c r="HQ12" i="2" s="1"/>
  <c r="CJ13" i="2"/>
  <c r="FR12" i="2" a="1"/>
  <c r="FR12" i="2" s="1"/>
  <c r="FR11" i="2" a="1"/>
  <c r="FR11" i="2" s="1"/>
  <c r="FR8" i="2" a="1"/>
  <c r="FR8" i="2" s="1"/>
  <c r="FR10" i="2" a="1"/>
  <c r="FR10" i="2" s="1"/>
  <c r="FR6" i="2" a="1"/>
  <c r="FR6" i="2" s="1"/>
  <c r="FR9" i="2" a="1"/>
  <c r="FR9" i="2" s="1"/>
  <c r="FR7" i="2" a="1"/>
  <c r="FR7" i="2" s="1"/>
  <c r="FS2" i="2"/>
  <c r="DA13" i="2"/>
  <c r="GY13" i="2"/>
  <c r="EJ10" i="2" a="1"/>
  <c r="EJ10" i="2" s="1"/>
  <c r="EJ9" i="2" a="1"/>
  <c r="EJ9" i="2" s="1"/>
  <c r="EJ8" i="2" a="1"/>
  <c r="EJ8" i="2" s="1"/>
  <c r="EJ6" i="2" a="1"/>
  <c r="EJ6" i="2" s="1"/>
  <c r="EJ12" i="2" a="1"/>
  <c r="EJ12" i="2" s="1"/>
  <c r="EJ7" i="2" a="1"/>
  <c r="EJ7" i="2" s="1"/>
  <c r="EK2" i="2"/>
  <c r="EJ11" i="2" a="1"/>
  <c r="EJ11" i="2" s="1"/>
  <c r="FQ13" i="2"/>
  <c r="GH13" i="2"/>
  <c r="FA10" i="2" a="1"/>
  <c r="FA10" i="2" s="1"/>
  <c r="FA8" i="2" a="1"/>
  <c r="FA8" i="2" s="1"/>
  <c r="FA7" i="2" a="1"/>
  <c r="FA7" i="2" s="1"/>
  <c r="FA6" i="2" a="1"/>
  <c r="FA6" i="2" s="1"/>
  <c r="FA12" i="2" a="1"/>
  <c r="FA12" i="2" s="1"/>
  <c r="FA9" i="2" a="1"/>
  <c r="FA9" i="2" s="1"/>
  <c r="FB2" i="2"/>
  <c r="FA11" i="2" a="1"/>
  <c r="FA11" i="2" s="1"/>
  <c r="EI13" i="2"/>
  <c r="DB12" i="2" a="1"/>
  <c r="DB12" i="2" s="1"/>
  <c r="DC2" i="2"/>
  <c r="DB7" i="2" a="1"/>
  <c r="DB7" i="2" s="1"/>
  <c r="DB6" i="2" a="1"/>
  <c r="DB6" i="2" s="1"/>
  <c r="DB8" i="2" a="1"/>
  <c r="DB8" i="2" s="1"/>
  <c r="DB9" i="2" a="1"/>
  <c r="DB9" i="2" s="1"/>
  <c r="DB10" i="2" a="1"/>
  <c r="DB10" i="2" s="1"/>
  <c r="DB11" i="2" a="1"/>
  <c r="DB11" i="2" s="1"/>
  <c r="GZ10" i="2" a="1"/>
  <c r="GZ10" i="2" s="1"/>
  <c r="GZ9" i="2" a="1"/>
  <c r="GZ9" i="2" s="1"/>
  <c r="GZ8" i="2" a="1"/>
  <c r="GZ8" i="2" s="1"/>
  <c r="GZ7" i="2" a="1"/>
  <c r="GZ7" i="2" s="1"/>
  <c r="GZ6" i="2" a="1"/>
  <c r="GZ6" i="2" s="1"/>
  <c r="HA2" i="2"/>
  <c r="GZ11" i="2" a="1"/>
  <c r="GZ11" i="2" s="1"/>
  <c r="GZ12" i="2" a="1"/>
  <c r="GZ12" i="2" s="1"/>
  <c r="EZ13" i="2"/>
  <c r="HP13" i="2"/>
  <c r="BR13" i="2"/>
  <c r="DS11" i="2" a="1"/>
  <c r="DS11" i="2" s="1"/>
  <c r="DS10" i="2" a="1"/>
  <c r="DS10" i="2" s="1"/>
  <c r="DS9" i="2" a="1"/>
  <c r="DS9" i="2" s="1"/>
  <c r="DS12" i="2" a="1"/>
  <c r="DS12" i="2" s="1"/>
  <c r="DS7" i="2" a="1"/>
  <c r="DS7" i="2" s="1"/>
  <c r="DT2" i="2"/>
  <c r="DS8" i="2" a="1"/>
  <c r="DS8" i="2" s="1"/>
  <c r="DS6" i="2" a="1"/>
  <c r="DS6" i="2" s="1"/>
  <c r="DR13" i="2"/>
  <c r="GJ2" i="2"/>
  <c r="GI12" i="2" a="1"/>
  <c r="GI12" i="2" s="1"/>
  <c r="GI8" i="2" a="1"/>
  <c r="GI8" i="2" s="1"/>
  <c r="GI7" i="2" a="1"/>
  <c r="GI7" i="2" s="1"/>
  <c r="GI11" i="2" a="1"/>
  <c r="GI11" i="2" s="1"/>
  <c r="GI10" i="2" a="1"/>
  <c r="GI10" i="2" s="1"/>
  <c r="GI9" i="2" a="1"/>
  <c r="GI9" i="2" s="1"/>
  <c r="GI6" i="2" a="1"/>
  <c r="GI6" i="2" s="1"/>
  <c r="BS12" i="2" a="1"/>
  <c r="BS12" i="2" s="1"/>
  <c r="BS11" i="2" a="1"/>
  <c r="BS11" i="2" s="1"/>
  <c r="BS8" i="2" a="1"/>
  <c r="BS8" i="2" s="1"/>
  <c r="BS6" i="2" a="1"/>
  <c r="BS6" i="2" s="1"/>
  <c r="BT2" i="2"/>
  <c r="BS10" i="2" a="1"/>
  <c r="BS10" i="2" s="1"/>
  <c r="BS7" i="2" a="1"/>
  <c r="BS7" i="2" s="1"/>
  <c r="BS9" i="2" a="1"/>
  <c r="BS9" i="2" s="1"/>
  <c r="CK7" i="2" a="1"/>
  <c r="CK7" i="2" s="1"/>
  <c r="CK10" i="2" a="1"/>
  <c r="CK10" i="2" s="1"/>
  <c r="CK6" i="2" a="1"/>
  <c r="CK6" i="2" s="1"/>
  <c r="CK11" i="2" a="1"/>
  <c r="CK11" i="2" s="1"/>
  <c r="CK9" i="2" a="1"/>
  <c r="CK9" i="2" s="1"/>
  <c r="CL2" i="2"/>
  <c r="CK12" i="2" a="1"/>
  <c r="CK12" i="2" s="1"/>
  <c r="CK8" i="2" a="1"/>
  <c r="CK8" i="2" s="1"/>
  <c r="AZ13" i="2"/>
  <c r="BA9" i="2" a="1"/>
  <c r="BA9" i="2" s="1"/>
  <c r="BB2" i="2"/>
  <c r="BA12" i="2" a="1"/>
  <c r="BA12" i="2" s="1"/>
  <c r="BA6" i="2" a="1"/>
  <c r="BA6" i="2" s="1"/>
  <c r="BA8" i="2" a="1"/>
  <c r="BA8" i="2" s="1"/>
  <c r="BA11" i="2" a="1"/>
  <c r="BA11" i="2" s="1"/>
  <c r="BA10" i="2" a="1"/>
  <c r="BA10" i="2" s="1"/>
  <c r="BA7" i="2" a="1"/>
  <c r="BA7" i="2" s="1"/>
  <c r="EH7" i="12" l="1"/>
  <c r="GX6" i="12"/>
  <c r="DQ7" i="12"/>
  <c r="BQ33" i="11"/>
  <c r="HN27" i="11"/>
  <c r="DP28" i="11"/>
  <c r="EX28" i="11"/>
  <c r="GG8" i="12"/>
  <c r="GG29" i="11"/>
  <c r="FP12" i="12"/>
  <c r="BR10" i="12"/>
  <c r="HO8" i="12"/>
  <c r="GX9" i="12"/>
  <c r="DQ9" i="12"/>
  <c r="CH30" i="11"/>
  <c r="HN13" i="12"/>
  <c r="HN27" i="12"/>
  <c r="CG33" i="12"/>
  <c r="AY34" i="12"/>
  <c r="DP28" i="12"/>
  <c r="CY28" i="11"/>
  <c r="DO34" i="12"/>
  <c r="EG27" i="11"/>
  <c r="EH6" i="12"/>
  <c r="HO9" i="12"/>
  <c r="GX11" i="12"/>
  <c r="DQ8" i="12"/>
  <c r="DP33" i="11"/>
  <c r="GV34" i="12"/>
  <c r="BQ29" i="11"/>
  <c r="DP30" i="11"/>
  <c r="FO31" i="11"/>
  <c r="EG13" i="12"/>
  <c r="EG27" i="12" s="1"/>
  <c r="CH32" i="11"/>
  <c r="HN33" i="11"/>
  <c r="HO6" i="12"/>
  <c r="CH13" i="12"/>
  <c r="CH27" i="12" s="1"/>
  <c r="EY8" i="12"/>
  <c r="EX34" i="11"/>
  <c r="EH11" i="12"/>
  <c r="HO10" i="12"/>
  <c r="GX7" i="12"/>
  <c r="DQ12" i="12"/>
  <c r="DQ33" i="11"/>
  <c r="GW28" i="11"/>
  <c r="GV30" i="12"/>
  <c r="DP33" i="12"/>
  <c r="EG33" i="11"/>
  <c r="DP32" i="11"/>
  <c r="AZ32" i="11"/>
  <c r="DO33" i="12"/>
  <c r="CG28" i="12"/>
  <c r="HN31" i="11"/>
  <c r="GW33" i="11"/>
  <c r="GF33" i="11"/>
  <c r="HN33" i="12"/>
  <c r="FP9" i="12"/>
  <c r="BR12" i="12"/>
  <c r="BR33" i="11"/>
  <c r="EH9" i="12"/>
  <c r="HO12" i="12"/>
  <c r="GX8" i="12"/>
  <c r="DQ11" i="12"/>
  <c r="CX34" i="12"/>
  <c r="CH28" i="11"/>
  <c r="FN34" i="12"/>
  <c r="CX29" i="12"/>
  <c r="AZ32" i="12"/>
  <c r="AZ33" i="11"/>
  <c r="AY32" i="12"/>
  <c r="HN31" i="12"/>
  <c r="GF33" i="12"/>
  <c r="GV28" i="12"/>
  <c r="HM34" i="12"/>
  <c r="DQ6" i="12"/>
  <c r="DQ27" i="11"/>
  <c r="BR9" i="12"/>
  <c r="EH8" i="12"/>
  <c r="GX10" i="12"/>
  <c r="CI7" i="12"/>
  <c r="DQ10" i="12"/>
  <c r="GF30" i="11"/>
  <c r="CY31" i="11"/>
  <c r="GF29" i="11"/>
  <c r="AZ33" i="12"/>
  <c r="CG32" i="12"/>
  <c r="GW32" i="11"/>
  <c r="HO7" i="12"/>
  <c r="EY9" i="12"/>
  <c r="EH10" i="12"/>
  <c r="CZ6" i="12"/>
  <c r="CZ27" i="11"/>
  <c r="GX12" i="12"/>
  <c r="CI6" i="12"/>
  <c r="GF32" i="11"/>
  <c r="AY28" i="12"/>
  <c r="GF30" i="12"/>
  <c r="EX33" i="11"/>
  <c r="GV31" i="12"/>
  <c r="GF28" i="11"/>
  <c r="GF29" i="12"/>
  <c r="GF27" i="11"/>
  <c r="EX27" i="11"/>
  <c r="GE34" i="12"/>
  <c r="GE32" i="12"/>
  <c r="FO27" i="11"/>
  <c r="BA8" i="12"/>
  <c r="BA11" i="12"/>
  <c r="BR11" i="12"/>
  <c r="EY10" i="12"/>
  <c r="CH34" i="11"/>
  <c r="EH12" i="12"/>
  <c r="CZ7" i="12"/>
  <c r="CI8" i="12"/>
  <c r="GF32" i="12"/>
  <c r="EX33" i="12"/>
  <c r="GF28" i="12"/>
  <c r="GF13" i="12"/>
  <c r="GF27" i="12"/>
  <c r="EX13" i="12"/>
  <c r="EX28" i="12" s="1"/>
  <c r="EX27" i="12"/>
  <c r="CY13" i="12"/>
  <c r="CY33" i="12" s="1"/>
  <c r="AY29" i="12"/>
  <c r="FO13" i="12"/>
  <c r="EF34" i="12"/>
  <c r="GG6" i="12"/>
  <c r="GG7" i="12"/>
  <c r="AZ34" i="11"/>
  <c r="GG9" i="12"/>
  <c r="GG30" i="11"/>
  <c r="EY12" i="12"/>
  <c r="GF34" i="11"/>
  <c r="CZ10" i="12"/>
  <c r="CI9" i="12"/>
  <c r="CG34" i="12"/>
  <c r="BQ32" i="11"/>
  <c r="CG30" i="12"/>
  <c r="EG30" i="11"/>
  <c r="AZ29" i="11"/>
  <c r="AZ30" i="11"/>
  <c r="GF31" i="12"/>
  <c r="BR6" i="12"/>
  <c r="BR27" i="11"/>
  <c r="HN34" i="11"/>
  <c r="BA12" i="12"/>
  <c r="BA33" i="11"/>
  <c r="BQ34" i="11"/>
  <c r="EY7" i="12"/>
  <c r="DP34" i="11"/>
  <c r="EG34" i="11"/>
  <c r="FP6" i="12"/>
  <c r="CY34" i="11"/>
  <c r="CZ8" i="12"/>
  <c r="CI10" i="12"/>
  <c r="HN29" i="11"/>
  <c r="HN28" i="12"/>
  <c r="GW13" i="12"/>
  <c r="FN29" i="12"/>
  <c r="EG32" i="11"/>
  <c r="BQ27" i="11"/>
  <c r="DO32" i="12"/>
  <c r="EG29" i="11"/>
  <c r="CG31" i="12"/>
  <c r="AY31" i="12"/>
  <c r="DP27" i="11"/>
  <c r="HN30" i="11"/>
  <c r="AZ30" i="12"/>
  <c r="GV29" i="12"/>
  <c r="CX30" i="12"/>
  <c r="FP7" i="12"/>
  <c r="EY6" i="12"/>
  <c r="GG11" i="12"/>
  <c r="EY11" i="12"/>
  <c r="BA9" i="12"/>
  <c r="FO34" i="11"/>
  <c r="FP11" i="12"/>
  <c r="GW34" i="11"/>
  <c r="CZ9" i="12"/>
  <c r="CI12" i="12"/>
  <c r="GE31" i="12"/>
  <c r="HN29" i="12"/>
  <c r="EW34" i="12"/>
  <c r="DO28" i="12"/>
  <c r="EG32" i="12"/>
  <c r="EF33" i="12"/>
  <c r="BQ31" i="11"/>
  <c r="FN32" i="12"/>
  <c r="BQ13" i="12"/>
  <c r="BQ30" i="12" s="1"/>
  <c r="HM28" i="12"/>
  <c r="DP13" i="12"/>
  <c r="DP30" i="12" s="1"/>
  <c r="DP27" i="12"/>
  <c r="HN30" i="12"/>
  <c r="AZ27" i="11"/>
  <c r="BA10" i="12"/>
  <c r="GG10" i="12"/>
  <c r="GG12" i="12"/>
  <c r="BA7" i="12"/>
  <c r="FP8" i="12"/>
  <c r="FP29" i="11"/>
  <c r="CZ11" i="12"/>
  <c r="CI11" i="12"/>
  <c r="EX30" i="11"/>
  <c r="DP31" i="11"/>
  <c r="BQ30" i="11"/>
  <c r="EX31" i="11"/>
  <c r="CY30" i="11"/>
  <c r="FO30" i="11"/>
  <c r="GW30" i="11"/>
  <c r="EG28" i="11"/>
  <c r="HN32" i="11"/>
  <c r="AZ13" i="12"/>
  <c r="AZ29" i="12" s="1"/>
  <c r="FN33" i="12"/>
  <c r="FN28" i="12"/>
  <c r="BR7" i="12"/>
  <c r="BR28" i="11"/>
  <c r="BA6" i="12"/>
  <c r="FP10" i="12"/>
  <c r="BR8" i="12"/>
  <c r="HO11" i="12"/>
  <c r="CZ12" i="12"/>
  <c r="CZ33" i="11"/>
  <c r="CH29" i="11"/>
  <c r="EX30" i="12"/>
  <c r="DP31" i="12"/>
  <c r="CH27" i="11"/>
  <c r="EX31" i="12"/>
  <c r="CY29" i="11"/>
  <c r="CY30" i="12"/>
  <c r="FO33" i="11"/>
  <c r="HM32" i="12"/>
  <c r="AZ31" i="11"/>
  <c r="BP34" i="12"/>
  <c r="EG28" i="12"/>
  <c r="HN32" i="12"/>
  <c r="EF31" i="12"/>
  <c r="DQ13" i="11"/>
  <c r="DQ28" i="11" s="1"/>
  <c r="GH10" i="11" a="1"/>
  <c r="GH10" i="11" s="1"/>
  <c r="GH9" i="11" a="1"/>
  <c r="GH9" i="11" s="1"/>
  <c r="GH12" i="11" a="1"/>
  <c r="GH12" i="11" s="1"/>
  <c r="GH7" i="11" a="1"/>
  <c r="GH7" i="11" s="1"/>
  <c r="GH11" i="11" a="1"/>
  <c r="GH11" i="11" s="1"/>
  <c r="GH8" i="11" a="1"/>
  <c r="GH8" i="11" s="1"/>
  <c r="GI2" i="11"/>
  <c r="GH6" i="11" a="1"/>
  <c r="GH6" i="11" s="1"/>
  <c r="DR11" i="10" a="1"/>
  <c r="DR11" i="10" s="1"/>
  <c r="DR10" i="10" a="1"/>
  <c r="DR10" i="10" s="1"/>
  <c r="DR12" i="10" a="1"/>
  <c r="DR12" i="10" s="1"/>
  <c r="DR7" i="10" a="1"/>
  <c r="DR7" i="10" s="1"/>
  <c r="DR9" i="10" a="1"/>
  <c r="DR9" i="10" s="1"/>
  <c r="DR8" i="10" a="1"/>
  <c r="DR8" i="10" s="1"/>
  <c r="DR6" i="10" a="1"/>
  <c r="DR6" i="10" s="1"/>
  <c r="DS2" i="10"/>
  <c r="EZ12" i="10" a="1"/>
  <c r="EZ12" i="10" s="1"/>
  <c r="EZ11" i="10" a="1"/>
  <c r="EZ11" i="10" s="1"/>
  <c r="EZ10" i="10" a="1"/>
  <c r="EZ10" i="10" s="1"/>
  <c r="EZ9" i="10" a="1"/>
  <c r="EZ9" i="10" s="1"/>
  <c r="EZ6" i="10" a="1"/>
  <c r="EZ6" i="10" s="1"/>
  <c r="EZ7" i="10" a="1"/>
  <c r="EZ7" i="10" s="1"/>
  <c r="EZ8" i="10" a="1"/>
  <c r="EZ8" i="10" s="1"/>
  <c r="FA2" i="10"/>
  <c r="BA13" i="10"/>
  <c r="EY13" i="10"/>
  <c r="BR13" i="11"/>
  <c r="BR31" i="11" s="1"/>
  <c r="CJ12" i="11" a="1"/>
  <c r="CJ12" i="11" s="1"/>
  <c r="CJ10" i="11" a="1"/>
  <c r="CJ10" i="11" s="1"/>
  <c r="CJ9" i="11" a="1"/>
  <c r="CJ9" i="11" s="1"/>
  <c r="CJ8" i="11" a="1"/>
  <c r="CJ8" i="11" s="1"/>
  <c r="CJ11" i="11" a="1"/>
  <c r="CJ11" i="11" s="1"/>
  <c r="CJ6" i="11" a="1"/>
  <c r="CJ6" i="11" s="1"/>
  <c r="CJ7" i="11" a="1"/>
  <c r="CJ7" i="11" s="1"/>
  <c r="CK2" i="11"/>
  <c r="BR13" i="10"/>
  <c r="DA12" i="11" a="1"/>
  <c r="DA12" i="11" s="1"/>
  <c r="DA11" i="11" a="1"/>
  <c r="DA11" i="11" s="1"/>
  <c r="DA7" i="11" a="1"/>
  <c r="DA7" i="11" s="1"/>
  <c r="DA10" i="11" a="1"/>
  <c r="DA10" i="11" s="1"/>
  <c r="DA9" i="11" a="1"/>
  <c r="DA9" i="11" s="1"/>
  <c r="DA8" i="11" a="1"/>
  <c r="DA8" i="11" s="1"/>
  <c r="DA6" i="11" a="1"/>
  <c r="DA6" i="11" s="1"/>
  <c r="DB2" i="11"/>
  <c r="BB11" i="11" a="1"/>
  <c r="BB11" i="11" s="1"/>
  <c r="BB10" i="11" a="1"/>
  <c r="BB10" i="11" s="1"/>
  <c r="BB12" i="11" a="1"/>
  <c r="BB12" i="11" s="1"/>
  <c r="BB8" i="11" a="1"/>
  <c r="BB8" i="11" s="1"/>
  <c r="BB9" i="11" a="1"/>
  <c r="BB9" i="11" s="1"/>
  <c r="BC2" i="11"/>
  <c r="BB7" i="11" a="1"/>
  <c r="BB7" i="11" s="1"/>
  <c r="BB6" i="11" a="1"/>
  <c r="BB6" i="11" s="1"/>
  <c r="BS12" i="10" a="1"/>
  <c r="BS12" i="10" s="1"/>
  <c r="BS10" i="10" a="1"/>
  <c r="BS10" i="10" s="1"/>
  <c r="BS11" i="10" a="1"/>
  <c r="BS11" i="10" s="1"/>
  <c r="BS9" i="10" a="1"/>
  <c r="BS9" i="10" s="1"/>
  <c r="BS8" i="10" a="1"/>
  <c r="BS8" i="10" s="1"/>
  <c r="BS6" i="10" a="1"/>
  <c r="BS6" i="10" s="1"/>
  <c r="BS7" i="10" a="1"/>
  <c r="BS7" i="10" s="1"/>
  <c r="BT2" i="10"/>
  <c r="HP9" i="11" a="1"/>
  <c r="HP9" i="11" s="1"/>
  <c r="HP11" i="11" a="1"/>
  <c r="HP11" i="11" s="1"/>
  <c r="HP12" i="11" a="1"/>
  <c r="HP12" i="11" s="1"/>
  <c r="HP7" i="11" a="1"/>
  <c r="HP7" i="11" s="1"/>
  <c r="HP10" i="11" a="1"/>
  <c r="HP10" i="11" s="1"/>
  <c r="HP8" i="11" a="1"/>
  <c r="HP8" i="11" s="1"/>
  <c r="HP6" i="11" a="1"/>
  <c r="HP6" i="11" s="1"/>
  <c r="HQ2" i="11"/>
  <c r="CZ13" i="11"/>
  <c r="CZ31" i="11" s="1"/>
  <c r="CI13" i="11"/>
  <c r="CI29" i="11" s="1"/>
  <c r="DQ13" i="10"/>
  <c r="AL13" i="10"/>
  <c r="BA13" i="11"/>
  <c r="BA28" i="11" s="1"/>
  <c r="HO13" i="11"/>
  <c r="EY13" i="11"/>
  <c r="EY29" i="11" s="1"/>
  <c r="FQ10" i="11" a="1"/>
  <c r="FQ10" i="11" s="1"/>
  <c r="FQ11" i="11" a="1"/>
  <c r="FQ11" i="11" s="1"/>
  <c r="FQ12" i="11" a="1"/>
  <c r="FQ12" i="11" s="1"/>
  <c r="FQ8" i="11" a="1"/>
  <c r="FQ8" i="11" s="1"/>
  <c r="FR2" i="11"/>
  <c r="FQ9" i="11" a="1"/>
  <c r="FQ9" i="11" s="1"/>
  <c r="FQ6" i="11" a="1"/>
  <c r="FQ6" i="11" s="1"/>
  <c r="FQ7" i="11" a="1"/>
  <c r="FQ7" i="11" s="1"/>
  <c r="FP13" i="10"/>
  <c r="EZ12" i="11" a="1"/>
  <c r="EZ12" i="11" s="1"/>
  <c r="EZ10" i="11" a="1"/>
  <c r="EZ10" i="11" s="1"/>
  <c r="EZ11" i="11" a="1"/>
  <c r="EZ11" i="11" s="1"/>
  <c r="EZ9" i="11" a="1"/>
  <c r="EZ9" i="11" s="1"/>
  <c r="EZ8" i="11" a="1"/>
  <c r="EZ8" i="11" s="1"/>
  <c r="EZ7" i="11" a="1"/>
  <c r="EZ7" i="11" s="1"/>
  <c r="EZ6" i="11" a="1"/>
  <c r="EZ6" i="11" s="1"/>
  <c r="FA2" i="11"/>
  <c r="DA12" i="10" a="1"/>
  <c r="DA12" i="10" s="1"/>
  <c r="DA11" i="10" a="1"/>
  <c r="DA11" i="10" s="1"/>
  <c r="DA9" i="10" a="1"/>
  <c r="DA9" i="10" s="1"/>
  <c r="DA10" i="10" a="1"/>
  <c r="DA10" i="10" s="1"/>
  <c r="DA7" i="10" a="1"/>
  <c r="DA7" i="10" s="1"/>
  <c r="DA8" i="10" a="1"/>
  <c r="DA8" i="10" s="1"/>
  <c r="DB2" i="10"/>
  <c r="DA6" i="10" a="1"/>
  <c r="DA6" i="10" s="1"/>
  <c r="FP13" i="11"/>
  <c r="FP30" i="11" s="1"/>
  <c r="EI11" i="11" a="1"/>
  <c r="EI11" i="11" s="1"/>
  <c r="EI12" i="11" a="1"/>
  <c r="EI12" i="11" s="1"/>
  <c r="EI8" i="11" a="1"/>
  <c r="EI8" i="11" s="1"/>
  <c r="EI9" i="11" a="1"/>
  <c r="EI9" i="11" s="1"/>
  <c r="EI10" i="11" a="1"/>
  <c r="EI10" i="11" s="1"/>
  <c r="EI6" i="11" a="1"/>
  <c r="EI6" i="11" s="1"/>
  <c r="EJ2" i="11"/>
  <c r="EI7" i="11" a="1"/>
  <c r="EI7" i="11" s="1"/>
  <c r="EI12" i="10" a="1"/>
  <c r="EI12" i="10" s="1"/>
  <c r="EI10" i="10" a="1"/>
  <c r="EI10" i="10" s="1"/>
  <c r="EI11" i="10" a="1"/>
  <c r="EI11" i="10" s="1"/>
  <c r="EI6" i="10" a="1"/>
  <c r="EI6" i="10" s="1"/>
  <c r="EI9" i="10" a="1"/>
  <c r="EI9" i="10" s="1"/>
  <c r="EI8" i="10" a="1"/>
  <c r="EI8" i="10" s="1"/>
  <c r="EI7" i="10" a="1"/>
  <c r="EI7" i="10" s="1"/>
  <c r="EJ2" i="10"/>
  <c r="EH13" i="11"/>
  <c r="BB11" i="10" a="1"/>
  <c r="BB11" i="10" s="1"/>
  <c r="BB9" i="10" a="1"/>
  <c r="BB9" i="10" s="1"/>
  <c r="BB12" i="10" a="1"/>
  <c r="BB12" i="10" s="1"/>
  <c r="BB10" i="10" a="1"/>
  <c r="BB10" i="10" s="1"/>
  <c r="BB7" i="10" a="1"/>
  <c r="BB7" i="10" s="1"/>
  <c r="BB8" i="10" a="1"/>
  <c r="BB8" i="10" s="1"/>
  <c r="BC2" i="10"/>
  <c r="BB6" i="10" a="1"/>
  <c r="BB6" i="10" s="1"/>
  <c r="CJ11" i="10" a="1"/>
  <c r="CJ11" i="10" s="1"/>
  <c r="CJ12" i="10" a="1"/>
  <c r="CJ12" i="10" s="1"/>
  <c r="CJ10" i="10" a="1"/>
  <c r="CJ10" i="10" s="1"/>
  <c r="CJ9" i="10" a="1"/>
  <c r="CJ9" i="10" s="1"/>
  <c r="CJ7" i="10" a="1"/>
  <c r="CJ7" i="10" s="1"/>
  <c r="CJ8" i="10" a="1"/>
  <c r="CJ8" i="10" s="1"/>
  <c r="CK2" i="10"/>
  <c r="CJ6" i="10" a="1"/>
  <c r="CJ6" i="10" s="1"/>
  <c r="GH11" i="10" a="1"/>
  <c r="GH11" i="10" s="1"/>
  <c r="GH12" i="10" a="1"/>
  <c r="GH12" i="10" s="1"/>
  <c r="GH10" i="10" a="1"/>
  <c r="GH10" i="10" s="1"/>
  <c r="GH9" i="10" a="1"/>
  <c r="GH9" i="10" s="1"/>
  <c r="GH8" i="10" a="1"/>
  <c r="GH8" i="10" s="1"/>
  <c r="GH7" i="10" a="1"/>
  <c r="GH7" i="10" s="1"/>
  <c r="GH6" i="10" a="1"/>
  <c r="GH6" i="10" s="1"/>
  <c r="GI2" i="10"/>
  <c r="BS12" i="11" a="1"/>
  <c r="BS12" i="11" s="1"/>
  <c r="BS11" i="11" a="1"/>
  <c r="BS11" i="11" s="1"/>
  <c r="BS10" i="11" a="1"/>
  <c r="BS10" i="11" s="1"/>
  <c r="BS9" i="11" a="1"/>
  <c r="BS9" i="11" s="1"/>
  <c r="BS7" i="11" a="1"/>
  <c r="BS7" i="11" s="1"/>
  <c r="BS6" i="11" a="1"/>
  <c r="BS6" i="11" s="1"/>
  <c r="BS8" i="11" a="1"/>
  <c r="BS8" i="11" s="1"/>
  <c r="BT2" i="11"/>
  <c r="GY12" i="10" a="1"/>
  <c r="GY12" i="10" s="1"/>
  <c r="GY9" i="10" a="1"/>
  <c r="GY9" i="10" s="1"/>
  <c r="GY10" i="10" a="1"/>
  <c r="GY10" i="10" s="1"/>
  <c r="GY8" i="10" a="1"/>
  <c r="GY8" i="10" s="1"/>
  <c r="GY6" i="10" a="1"/>
  <c r="GY6" i="10" s="1"/>
  <c r="GY11" i="10" a="1"/>
  <c r="GY11" i="10" s="1"/>
  <c r="GZ2" i="10"/>
  <c r="GY7" i="10" a="1"/>
  <c r="GY7" i="10" s="1"/>
  <c r="HO13" i="10"/>
  <c r="CI13" i="10"/>
  <c r="EH13" i="10"/>
  <c r="CZ13" i="10"/>
  <c r="GY12" i="11" a="1"/>
  <c r="GY12" i="11" s="1"/>
  <c r="GY10" i="11" a="1"/>
  <c r="GY10" i="11" s="1"/>
  <c r="GY8" i="11" a="1"/>
  <c r="GY8" i="11" s="1"/>
  <c r="GY11" i="11" a="1"/>
  <c r="GY11" i="11" s="1"/>
  <c r="GY9" i="11" a="1"/>
  <c r="GY9" i="11" s="1"/>
  <c r="GZ2" i="11"/>
  <c r="GY6" i="11" a="1"/>
  <c r="GY6" i="11" s="1"/>
  <c r="GY7" i="11" a="1"/>
  <c r="GY7" i="11" s="1"/>
  <c r="GG13" i="10"/>
  <c r="GX13" i="10"/>
  <c r="GX13" i="11"/>
  <c r="GX30" i="11" s="1"/>
  <c r="GG13" i="11"/>
  <c r="GG33" i="11" s="1"/>
  <c r="HP11" i="10" a="1"/>
  <c r="HP11" i="10" s="1"/>
  <c r="HP12" i="10" a="1"/>
  <c r="HP12" i="10" s="1"/>
  <c r="HP9" i="10" a="1"/>
  <c r="HP9" i="10" s="1"/>
  <c r="HP10" i="10" a="1"/>
  <c r="HP10" i="10" s="1"/>
  <c r="HP8" i="10" a="1"/>
  <c r="HP8" i="10" s="1"/>
  <c r="HQ2" i="10"/>
  <c r="HP6" i="10" a="1"/>
  <c r="HP6" i="10" s="1"/>
  <c r="HP7" i="10" a="1"/>
  <c r="HP7" i="10" s="1"/>
  <c r="FQ12" i="10" a="1"/>
  <c r="FQ12" i="10" s="1"/>
  <c r="FQ11" i="10" a="1"/>
  <c r="FQ11" i="10" s="1"/>
  <c r="FQ10" i="10" a="1"/>
  <c r="FQ10" i="10" s="1"/>
  <c r="FQ9" i="10" a="1"/>
  <c r="FQ9" i="10" s="1"/>
  <c r="FQ8" i="10" a="1"/>
  <c r="FQ8" i="10" s="1"/>
  <c r="FQ7" i="10" a="1"/>
  <c r="FQ7" i="10" s="1"/>
  <c r="FQ6" i="10" a="1"/>
  <c r="FQ6" i="10" s="1"/>
  <c r="FR2" i="10"/>
  <c r="DR11" i="11" a="1"/>
  <c r="DR11" i="11" s="1"/>
  <c r="DR12" i="11" a="1"/>
  <c r="DR12" i="11" s="1"/>
  <c r="DR10" i="11" a="1"/>
  <c r="DR10" i="11" s="1"/>
  <c r="DR9" i="11" a="1"/>
  <c r="DR9" i="11" s="1"/>
  <c r="DR8" i="11" a="1"/>
  <c r="DR8" i="11" s="1"/>
  <c r="DR6" i="11" a="1"/>
  <c r="DR6" i="11" s="1"/>
  <c r="DR7" i="11" a="1"/>
  <c r="DR7" i="11" s="1"/>
  <c r="DS2" i="11"/>
  <c r="FB8" i="2" a="1"/>
  <c r="FB8" i="2" s="1"/>
  <c r="FB6" i="2" a="1"/>
  <c r="FB6" i="2" s="1"/>
  <c r="FB9" i="2" a="1"/>
  <c r="FB9" i="2" s="1"/>
  <c r="FB10" i="2" a="1"/>
  <c r="FB10" i="2" s="1"/>
  <c r="FB7" i="2" a="1"/>
  <c r="FB7" i="2" s="1"/>
  <c r="FC2" i="2"/>
  <c r="FB12" i="2" a="1"/>
  <c r="FB12" i="2" s="1"/>
  <c r="FB11" i="2" a="1"/>
  <c r="FB11" i="2" s="1"/>
  <c r="HA8" i="2" a="1"/>
  <c r="HA8" i="2" s="1"/>
  <c r="HA7" i="2" a="1"/>
  <c r="HA7" i="2" s="1"/>
  <c r="HA6" i="2" a="1"/>
  <c r="HA6" i="2" s="1"/>
  <c r="HB2" i="2"/>
  <c r="HA9" i="2" a="1"/>
  <c r="HA9" i="2" s="1"/>
  <c r="HA10" i="2" a="1"/>
  <c r="HA10" i="2" s="1"/>
  <c r="HA11" i="2" a="1"/>
  <c r="HA11" i="2" s="1"/>
  <c r="HA12" i="2" a="1"/>
  <c r="HA12" i="2" s="1"/>
  <c r="GK2" i="2"/>
  <c r="GJ12" i="2" a="1"/>
  <c r="GJ12" i="2" s="1"/>
  <c r="GJ11" i="2" a="1"/>
  <c r="GJ11" i="2" s="1"/>
  <c r="GJ10" i="2" a="1"/>
  <c r="GJ10" i="2" s="1"/>
  <c r="GJ6" i="2" a="1"/>
  <c r="GJ6" i="2" s="1"/>
  <c r="GJ9" i="2" a="1"/>
  <c r="GJ9" i="2" s="1"/>
  <c r="GJ8" i="2" a="1"/>
  <c r="GJ8" i="2" s="1"/>
  <c r="GJ7" i="2" a="1"/>
  <c r="GJ7" i="2" s="1"/>
  <c r="GZ13" i="2"/>
  <c r="FA13" i="2"/>
  <c r="GI13" i="2"/>
  <c r="CL12" i="2" a="1"/>
  <c r="CL12" i="2" s="1"/>
  <c r="CL7" i="2" a="1"/>
  <c r="CL7" i="2" s="1"/>
  <c r="CL10" i="2" a="1"/>
  <c r="CL10" i="2" s="1"/>
  <c r="CL6" i="2" a="1"/>
  <c r="CL6" i="2" s="1"/>
  <c r="CL9" i="2" a="1"/>
  <c r="CL9" i="2" s="1"/>
  <c r="CM2" i="2"/>
  <c r="CL8" i="2" a="1"/>
  <c r="CL8" i="2" s="1"/>
  <c r="CL11" i="2" a="1"/>
  <c r="CL11" i="2" s="1"/>
  <c r="BT10" i="2" a="1"/>
  <c r="BT10" i="2" s="1"/>
  <c r="BT8" i="2" a="1"/>
  <c r="BT8" i="2" s="1"/>
  <c r="BT12" i="2" a="1"/>
  <c r="BT12" i="2" s="1"/>
  <c r="BT9" i="2" a="1"/>
  <c r="BT9" i="2" s="1"/>
  <c r="BT7" i="2" a="1"/>
  <c r="BT7" i="2" s="1"/>
  <c r="BT11" i="2" a="1"/>
  <c r="BT11" i="2" s="1"/>
  <c r="BU2" i="2"/>
  <c r="BT6" i="2" a="1"/>
  <c r="BT6" i="2" s="1"/>
  <c r="HQ13" i="2"/>
  <c r="BS13" i="2"/>
  <c r="DS13" i="2"/>
  <c r="EK8" i="2" a="1"/>
  <c r="EK8" i="2" s="1"/>
  <c r="EK7" i="2" a="1"/>
  <c r="EK7" i="2" s="1"/>
  <c r="EK6" i="2" a="1"/>
  <c r="EK6" i="2" s="1"/>
  <c r="EK12" i="2" a="1"/>
  <c r="EK12" i="2" s="1"/>
  <c r="EK9" i="2" a="1"/>
  <c r="EK9" i="2" s="1"/>
  <c r="EK10" i="2" a="1"/>
  <c r="EK10" i="2" s="1"/>
  <c r="EL2" i="2"/>
  <c r="EK11" i="2" a="1"/>
  <c r="EK11" i="2" s="1"/>
  <c r="DT11" i="2" a="1"/>
  <c r="DT11" i="2" s="1"/>
  <c r="DT10" i="2" a="1"/>
  <c r="DT10" i="2" s="1"/>
  <c r="DU2" i="2"/>
  <c r="DT9" i="2" a="1"/>
  <c r="DT9" i="2" s="1"/>
  <c r="DT12" i="2" a="1"/>
  <c r="DT12" i="2" s="1"/>
  <c r="DT8" i="2" a="1"/>
  <c r="DT8" i="2" s="1"/>
  <c r="DT6" i="2" a="1"/>
  <c r="DT6" i="2" s="1"/>
  <c r="DT7" i="2" a="1"/>
  <c r="DT7" i="2" s="1"/>
  <c r="EJ13" i="2"/>
  <c r="FS12" i="2" a="1"/>
  <c r="FS12" i="2" s="1"/>
  <c r="FT2" i="2"/>
  <c r="FS11" i="2" a="1"/>
  <c r="FS11" i="2" s="1"/>
  <c r="FS8" i="2" a="1"/>
  <c r="FS8" i="2" s="1"/>
  <c r="FS6" i="2" a="1"/>
  <c r="FS6" i="2" s="1"/>
  <c r="FS9" i="2" a="1"/>
  <c r="FS9" i="2" s="1"/>
  <c r="FS7" i="2" a="1"/>
  <c r="FS7" i="2" s="1"/>
  <c r="FS10" i="2" a="1"/>
  <c r="FS10" i="2" s="1"/>
  <c r="HS2" i="2"/>
  <c r="HR12" i="2" a="1"/>
  <c r="HR12" i="2" s="1"/>
  <c r="HR11" i="2" a="1"/>
  <c r="HR11" i="2" s="1"/>
  <c r="HR8" i="2" a="1"/>
  <c r="HR8" i="2" s="1"/>
  <c r="HR7" i="2" a="1"/>
  <c r="HR7" i="2" s="1"/>
  <c r="HR6" i="2" a="1"/>
  <c r="HR6" i="2" s="1"/>
  <c r="HR10" i="2" a="1"/>
  <c r="HR10" i="2" s="1"/>
  <c r="HR9" i="2" a="1"/>
  <c r="HR9" i="2" s="1"/>
  <c r="FR13" i="2"/>
  <c r="CK13" i="2"/>
  <c r="DB13" i="2"/>
  <c r="DC10" i="2" a="1"/>
  <c r="DC10" i="2" s="1"/>
  <c r="DD2" i="2"/>
  <c r="DC12" i="2" a="1"/>
  <c r="DC12" i="2" s="1"/>
  <c r="DC7" i="2" a="1"/>
  <c r="DC7" i="2" s="1"/>
  <c r="DC6" i="2" a="1"/>
  <c r="DC6" i="2" s="1"/>
  <c r="DC8" i="2" a="1"/>
  <c r="DC8" i="2" s="1"/>
  <c r="DC9" i="2" a="1"/>
  <c r="DC9" i="2" s="1"/>
  <c r="DC11" i="2" a="1"/>
  <c r="DC11" i="2" s="1"/>
  <c r="BA13" i="2"/>
  <c r="BC2" i="2"/>
  <c r="BB7" i="2" a="1"/>
  <c r="BB7" i="2" s="1"/>
  <c r="BB6" i="2" a="1"/>
  <c r="BB6" i="2" s="1"/>
  <c r="BB12" i="2" a="1"/>
  <c r="BB12" i="2" s="1"/>
  <c r="BB10" i="2" a="1"/>
  <c r="BB10" i="2" s="1"/>
  <c r="BB8" i="2" a="1"/>
  <c r="BB8" i="2" s="1"/>
  <c r="BB11" i="2" a="1"/>
  <c r="BB11" i="2" s="1"/>
  <c r="BB9" i="2" a="1"/>
  <c r="BB9" i="2" s="1"/>
  <c r="HP7" i="12" l="1"/>
  <c r="GW34" i="12"/>
  <c r="FO34" i="12"/>
  <c r="HO13" i="12"/>
  <c r="HO27" i="12"/>
  <c r="EH13" i="12"/>
  <c r="EH27" i="12"/>
  <c r="HP12" i="12"/>
  <c r="HP33" i="11"/>
  <c r="BB9" i="12"/>
  <c r="BA30" i="11"/>
  <c r="GX31" i="11"/>
  <c r="GG29" i="12"/>
  <c r="GW29" i="12"/>
  <c r="BS6" i="12"/>
  <c r="EI8" i="12"/>
  <c r="HP11" i="12"/>
  <c r="BB8" i="12"/>
  <c r="BB29" i="11"/>
  <c r="CJ7" i="12"/>
  <c r="GH8" i="12"/>
  <c r="CZ33" i="12"/>
  <c r="CI33" i="11"/>
  <c r="BA30" i="12"/>
  <c r="EG31" i="12"/>
  <c r="FP27" i="11"/>
  <c r="CH33" i="12"/>
  <c r="CZ13" i="12"/>
  <c r="CZ27" i="12"/>
  <c r="BR33" i="12"/>
  <c r="CH30" i="12"/>
  <c r="FO28" i="12"/>
  <c r="DR11" i="12"/>
  <c r="BS9" i="12"/>
  <c r="EH34" i="11"/>
  <c r="EZ8" i="12"/>
  <c r="EY34" i="11"/>
  <c r="HP9" i="12"/>
  <c r="BB12" i="12"/>
  <c r="CJ6" i="12"/>
  <c r="GH11" i="12"/>
  <c r="BR28" i="12"/>
  <c r="BQ31" i="12"/>
  <c r="FO29" i="12"/>
  <c r="FP13" i="12"/>
  <c r="FP28" i="12" s="1"/>
  <c r="FP27" i="12"/>
  <c r="CI30" i="11"/>
  <c r="AZ28" i="12"/>
  <c r="CY31" i="12"/>
  <c r="DQ32" i="11"/>
  <c r="EX29" i="12"/>
  <c r="GX30" i="12"/>
  <c r="DR12" i="12"/>
  <c r="EZ6" i="12"/>
  <c r="FQ10" i="12"/>
  <c r="GX34" i="11"/>
  <c r="EI11" i="12"/>
  <c r="EZ9" i="12"/>
  <c r="HO34" i="11"/>
  <c r="BB10" i="12"/>
  <c r="CJ11" i="12"/>
  <c r="GH7" i="12"/>
  <c r="GH28" i="11"/>
  <c r="HO32" i="11"/>
  <c r="EY32" i="11"/>
  <c r="BQ28" i="12"/>
  <c r="BQ32" i="12"/>
  <c r="EY31" i="11"/>
  <c r="GW32" i="12"/>
  <c r="EH31" i="11"/>
  <c r="EH29" i="11"/>
  <c r="DP29" i="12"/>
  <c r="DQ32" i="12"/>
  <c r="GX28" i="11"/>
  <c r="AZ31" i="12"/>
  <c r="DQ29" i="11"/>
  <c r="GW31" i="12"/>
  <c r="EI10" i="12"/>
  <c r="EZ7" i="12"/>
  <c r="EZ11" i="12"/>
  <c r="EZ32" i="11"/>
  <c r="BA34" i="11"/>
  <c r="BB11" i="12"/>
  <c r="CJ8" i="12"/>
  <c r="GH12" i="12"/>
  <c r="HO32" i="12"/>
  <c r="CZ30" i="11"/>
  <c r="GG28" i="11"/>
  <c r="CY27" i="12"/>
  <c r="EH31" i="12"/>
  <c r="EH29" i="12"/>
  <c r="FP30" i="12"/>
  <c r="FO32" i="12"/>
  <c r="HO29" i="11"/>
  <c r="EI9" i="12"/>
  <c r="BS12" i="12"/>
  <c r="FP34" i="11"/>
  <c r="GY7" i="12"/>
  <c r="EZ10" i="12"/>
  <c r="CJ9" i="12"/>
  <c r="GH9" i="12"/>
  <c r="GH30" i="11"/>
  <c r="CZ30" i="12"/>
  <c r="BR13" i="12"/>
  <c r="BR27" i="12"/>
  <c r="GG28" i="12"/>
  <c r="CY34" i="12"/>
  <c r="GW33" i="12"/>
  <c r="GX29" i="11"/>
  <c r="FO33" i="12"/>
  <c r="EG34" i="12"/>
  <c r="HO29" i="12"/>
  <c r="CH31" i="12"/>
  <c r="FQ11" i="12"/>
  <c r="GG34" i="11"/>
  <c r="DR7" i="12"/>
  <c r="DR28" i="11"/>
  <c r="EZ12" i="12"/>
  <c r="EZ33" i="11"/>
  <c r="DA6" i="12"/>
  <c r="CJ10" i="12"/>
  <c r="GH10" i="12"/>
  <c r="GW30" i="12"/>
  <c r="BR29" i="11"/>
  <c r="GG33" i="12"/>
  <c r="GG32" i="11"/>
  <c r="CZ31" i="12"/>
  <c r="BR32" i="11"/>
  <c r="EY30" i="11"/>
  <c r="CH28" i="12"/>
  <c r="BR30" i="11"/>
  <c r="HO31" i="11"/>
  <c r="GX32" i="11"/>
  <c r="GX27" i="11"/>
  <c r="FQ12" i="12"/>
  <c r="BS10" i="12"/>
  <c r="GY6" i="12"/>
  <c r="DR6" i="12"/>
  <c r="CI34" i="11"/>
  <c r="DA8" i="12"/>
  <c r="CJ12" i="12"/>
  <c r="CJ33" i="11"/>
  <c r="DQ34" i="11"/>
  <c r="BR29" i="12"/>
  <c r="AZ27" i="12"/>
  <c r="CI32" i="11"/>
  <c r="DP34" i="12"/>
  <c r="GG32" i="12"/>
  <c r="EG30" i="12"/>
  <c r="CI31" i="11"/>
  <c r="GG27" i="11"/>
  <c r="CI29" i="12"/>
  <c r="BR32" i="12"/>
  <c r="BR30" i="12"/>
  <c r="DP32" i="12"/>
  <c r="HO33" i="11"/>
  <c r="HO31" i="12"/>
  <c r="CY29" i="12"/>
  <c r="GX32" i="12"/>
  <c r="HN34" i="12"/>
  <c r="GX13" i="12"/>
  <c r="GX27" i="12"/>
  <c r="GH6" i="12"/>
  <c r="GH27" i="11"/>
  <c r="BA13" i="12"/>
  <c r="BA29" i="12" s="1"/>
  <c r="BA27" i="12"/>
  <c r="BQ34" i="12"/>
  <c r="EH33" i="12"/>
  <c r="EI12" i="12"/>
  <c r="DR8" i="12"/>
  <c r="DR29" i="11"/>
  <c r="GY9" i="12"/>
  <c r="FQ7" i="12"/>
  <c r="CZ34" i="11"/>
  <c r="DA9" i="12"/>
  <c r="BR34" i="11"/>
  <c r="FP31" i="11"/>
  <c r="AZ34" i="12"/>
  <c r="CI32" i="12"/>
  <c r="GG31" i="11"/>
  <c r="CI31" i="12"/>
  <c r="EY28" i="11"/>
  <c r="GG13" i="12"/>
  <c r="GG30" i="12" s="1"/>
  <c r="GG27" i="12"/>
  <c r="CI27" i="11"/>
  <c r="DQ31" i="11"/>
  <c r="CH32" i="12"/>
  <c r="BQ29" i="12"/>
  <c r="CY28" i="12"/>
  <c r="BR31" i="12"/>
  <c r="BS7" i="12"/>
  <c r="BS11" i="12"/>
  <c r="DR9" i="12"/>
  <c r="DR30" i="11"/>
  <c r="GY11" i="12"/>
  <c r="FQ6" i="12"/>
  <c r="DA10" i="12"/>
  <c r="GG31" i="12"/>
  <c r="EG29" i="12"/>
  <c r="FP32" i="11"/>
  <c r="EY27" i="11"/>
  <c r="EY28" i="12"/>
  <c r="EX34" i="12"/>
  <c r="CZ28" i="11"/>
  <c r="BA32" i="11"/>
  <c r="CI13" i="12"/>
  <c r="CI30" i="12" s="1"/>
  <c r="HO28" i="11"/>
  <c r="CH29" i="12"/>
  <c r="EG33" i="12"/>
  <c r="HO33" i="12"/>
  <c r="EH32" i="11"/>
  <c r="HO30" i="11"/>
  <c r="EX32" i="12"/>
  <c r="EH28" i="11"/>
  <c r="DR10" i="12"/>
  <c r="GY8" i="12"/>
  <c r="EI7" i="12"/>
  <c r="FQ9" i="12"/>
  <c r="HP6" i="12"/>
  <c r="DA7" i="12"/>
  <c r="FP31" i="12"/>
  <c r="CZ32" i="11"/>
  <c r="FP32" i="12"/>
  <c r="EY13" i="12"/>
  <c r="EY27" i="12" s="1"/>
  <c r="CZ29" i="11"/>
  <c r="EY33" i="11"/>
  <c r="CZ28" i="12"/>
  <c r="BA32" i="12"/>
  <c r="HO28" i="12"/>
  <c r="EH32" i="12"/>
  <c r="CH34" i="12"/>
  <c r="HO30" i="12"/>
  <c r="BQ33" i="12"/>
  <c r="FP33" i="11"/>
  <c r="EH28" i="12"/>
  <c r="GY10" i="12"/>
  <c r="HP8" i="12"/>
  <c r="HP29" i="11"/>
  <c r="BB6" i="12"/>
  <c r="DA11" i="12"/>
  <c r="FO30" i="12"/>
  <c r="CZ32" i="12"/>
  <c r="BA31" i="11"/>
  <c r="CZ29" i="12"/>
  <c r="EY33" i="12"/>
  <c r="GX33" i="11"/>
  <c r="CI28" i="11"/>
  <c r="FO31" i="12"/>
  <c r="EH30" i="11"/>
  <c r="FP33" i="12"/>
  <c r="CY32" i="12"/>
  <c r="GY12" i="12"/>
  <c r="BS8" i="12"/>
  <c r="EI6" i="12"/>
  <c r="FQ8" i="12"/>
  <c r="HP10" i="12"/>
  <c r="BB7" i="12"/>
  <c r="BB28" i="11"/>
  <c r="DA12" i="12"/>
  <c r="BA27" i="11"/>
  <c r="BA31" i="12"/>
  <c r="BQ27" i="12"/>
  <c r="FP28" i="11"/>
  <c r="GW27" i="12"/>
  <c r="FO27" i="12"/>
  <c r="GF34" i="12"/>
  <c r="EH33" i="11"/>
  <c r="BA29" i="11"/>
  <c r="GX33" i="12"/>
  <c r="CI28" i="12"/>
  <c r="DQ13" i="12"/>
  <c r="DQ28" i="12" s="1"/>
  <c r="GW28" i="12"/>
  <c r="EH30" i="12"/>
  <c r="HO27" i="11"/>
  <c r="EH27" i="11"/>
  <c r="DQ30" i="11"/>
  <c r="FR10" i="10" a="1"/>
  <c r="FR10" i="10" s="1"/>
  <c r="FR11" i="10" a="1"/>
  <c r="FR11" i="10" s="1"/>
  <c r="FR12" i="10" a="1"/>
  <c r="FR12" i="10" s="1"/>
  <c r="FR6" i="10" a="1"/>
  <c r="FR6" i="10" s="1"/>
  <c r="FR9" i="10" a="1"/>
  <c r="FR9" i="10" s="1"/>
  <c r="FR8" i="10" a="1"/>
  <c r="FR8" i="10" s="1"/>
  <c r="FR7" i="10" a="1"/>
  <c r="FR7" i="10" s="1"/>
  <c r="FS2" i="10"/>
  <c r="CJ13" i="11"/>
  <c r="HQ12" i="10" a="1"/>
  <c r="HQ12" i="10" s="1"/>
  <c r="HQ11" i="10" a="1"/>
  <c r="HQ11" i="10" s="1"/>
  <c r="HQ9" i="10" a="1"/>
  <c r="HQ9" i="10" s="1"/>
  <c r="HQ8" i="10" a="1"/>
  <c r="HQ8" i="10" s="1"/>
  <c r="HQ7" i="10" a="1"/>
  <c r="HQ7" i="10" s="1"/>
  <c r="HQ10" i="10" a="1"/>
  <c r="HQ10" i="10" s="1"/>
  <c r="HQ6" i="10" a="1"/>
  <c r="HQ6" i="10" s="1"/>
  <c r="HR2" i="10"/>
  <c r="GY13" i="11"/>
  <c r="GY27" i="11" s="1"/>
  <c r="GZ12" i="11" a="1"/>
  <c r="GZ12" i="11" s="1"/>
  <c r="GZ10" i="11" a="1"/>
  <c r="GZ10" i="11" s="1"/>
  <c r="GZ9" i="11" a="1"/>
  <c r="GZ9" i="11" s="1"/>
  <c r="GZ11" i="11" a="1"/>
  <c r="GZ11" i="11" s="1"/>
  <c r="GZ8" i="11" a="1"/>
  <c r="GZ8" i="11" s="1"/>
  <c r="HA2" i="11"/>
  <c r="GZ6" i="11" a="1"/>
  <c r="GZ6" i="11" s="1"/>
  <c r="GZ7" i="11" a="1"/>
  <c r="GZ7" i="11" s="1"/>
  <c r="BT12" i="10" a="1"/>
  <c r="BT12" i="10" s="1"/>
  <c r="BT11" i="10" a="1"/>
  <c r="BT11" i="10" s="1"/>
  <c r="BT8" i="10" a="1"/>
  <c r="BT8" i="10" s="1"/>
  <c r="BT10" i="10" a="1"/>
  <c r="BT10" i="10" s="1"/>
  <c r="BT6" i="10" a="1"/>
  <c r="BT6" i="10" s="1"/>
  <c r="BU2" i="10"/>
  <c r="BT7" i="10" a="1"/>
  <c r="BT7" i="10" s="1"/>
  <c r="BT9" i="10" a="1"/>
  <c r="BT9" i="10" s="1"/>
  <c r="CJ13" i="10"/>
  <c r="CK12" i="10" a="1"/>
  <c r="CK12" i="10" s="1"/>
  <c r="CK10" i="10" a="1"/>
  <c r="CK10" i="10" s="1"/>
  <c r="CK9" i="10" a="1"/>
  <c r="CK9" i="10" s="1"/>
  <c r="CK11" i="10" a="1"/>
  <c r="CK11" i="10" s="1"/>
  <c r="CK7" i="10" a="1"/>
  <c r="CK7" i="10" s="1"/>
  <c r="CK8" i="10" a="1"/>
  <c r="CK8" i="10" s="1"/>
  <c r="CL2" i="10"/>
  <c r="CK6" i="10" a="1"/>
  <c r="CK6" i="10" s="1"/>
  <c r="BB13" i="10"/>
  <c r="FQ13" i="11"/>
  <c r="FQ32" i="11" s="1"/>
  <c r="BS13" i="10"/>
  <c r="DS12" i="10" a="1"/>
  <c r="DS12" i="10" s="1"/>
  <c r="DS11" i="10" a="1"/>
  <c r="DS11" i="10" s="1"/>
  <c r="DS9" i="10" a="1"/>
  <c r="DS9" i="10" s="1"/>
  <c r="DS7" i="10" a="1"/>
  <c r="DS7" i="10" s="1"/>
  <c r="DS8" i="10" a="1"/>
  <c r="DS8" i="10" s="1"/>
  <c r="DT2" i="10"/>
  <c r="DS10" i="10" a="1"/>
  <c r="DS10" i="10" s="1"/>
  <c r="DS6" i="10" a="1"/>
  <c r="DS6" i="10" s="1"/>
  <c r="FQ13" i="10"/>
  <c r="DS12" i="11" a="1"/>
  <c r="DS12" i="11" s="1"/>
  <c r="DS11" i="11" a="1"/>
  <c r="DS11" i="11" s="1"/>
  <c r="DS8" i="11" a="1"/>
  <c r="DS8" i="11" s="1"/>
  <c r="DS9" i="11" a="1"/>
  <c r="DS9" i="11" s="1"/>
  <c r="DS6" i="11" a="1"/>
  <c r="DS6" i="11" s="1"/>
  <c r="DS10" i="11" a="1"/>
  <c r="DS10" i="11" s="1"/>
  <c r="DT2" i="11"/>
  <c r="DS7" i="11" a="1"/>
  <c r="DS7" i="11" s="1"/>
  <c r="BC12" i="10" a="1"/>
  <c r="BC12" i="10" s="1"/>
  <c r="BC9" i="10" a="1"/>
  <c r="BC9" i="10" s="1"/>
  <c r="BC10" i="10" a="1"/>
  <c r="BC10" i="10" s="1"/>
  <c r="BC8" i="10" a="1"/>
  <c r="BC8" i="10" s="1"/>
  <c r="BC11" i="10" a="1"/>
  <c r="BC11" i="10" s="1"/>
  <c r="BC7" i="10" a="1"/>
  <c r="BC7" i="10" s="1"/>
  <c r="BC6" i="10" a="1"/>
  <c r="BC6" i="10" s="1"/>
  <c r="DR13" i="10"/>
  <c r="GY13" i="10"/>
  <c r="DA13" i="10"/>
  <c r="FR12" i="11" a="1"/>
  <c r="FR12" i="11" s="1"/>
  <c r="FR11" i="11" a="1"/>
  <c r="FR11" i="11" s="1"/>
  <c r="FR8" i="11" a="1"/>
  <c r="FR8" i="11" s="1"/>
  <c r="FR10" i="11" a="1"/>
  <c r="FR10" i="11" s="1"/>
  <c r="FR9" i="11" a="1"/>
  <c r="FR9" i="11" s="1"/>
  <c r="FR7" i="11" a="1"/>
  <c r="FR7" i="11" s="1"/>
  <c r="FR6" i="11" a="1"/>
  <c r="FR6" i="11" s="1"/>
  <c r="FS2" i="11"/>
  <c r="HQ12" i="11" a="1"/>
  <c r="HQ12" i="11" s="1"/>
  <c r="HQ11" i="11" a="1"/>
  <c r="HQ11" i="11" s="1"/>
  <c r="HQ10" i="11" a="1"/>
  <c r="HQ10" i="11" s="1"/>
  <c r="HQ7" i="11" a="1"/>
  <c r="HQ7" i="11" s="1"/>
  <c r="HQ9" i="11" a="1"/>
  <c r="HQ9" i="11" s="1"/>
  <c r="HQ8" i="11" a="1"/>
  <c r="HQ8" i="11" s="1"/>
  <c r="HR2" i="11"/>
  <c r="HQ6" i="11" a="1"/>
  <c r="HQ6" i="11" s="1"/>
  <c r="DR13" i="11"/>
  <c r="DR31" i="11" s="1"/>
  <c r="GZ12" i="10" a="1"/>
  <c r="GZ12" i="10" s="1"/>
  <c r="GZ11" i="10" a="1"/>
  <c r="GZ11" i="10" s="1"/>
  <c r="GZ9" i="10" a="1"/>
  <c r="GZ9" i="10" s="1"/>
  <c r="GZ10" i="10" a="1"/>
  <c r="GZ10" i="10" s="1"/>
  <c r="GZ8" i="10" a="1"/>
  <c r="GZ8" i="10" s="1"/>
  <c r="GZ7" i="10" a="1"/>
  <c r="GZ7" i="10" s="1"/>
  <c r="HA2" i="10"/>
  <c r="GZ6" i="10" a="1"/>
  <c r="GZ6" i="10" s="1"/>
  <c r="GI11" i="10" a="1"/>
  <c r="GI11" i="10" s="1"/>
  <c r="GI12" i="10" a="1"/>
  <c r="GI12" i="10" s="1"/>
  <c r="GI10" i="10" a="1"/>
  <c r="GI10" i="10" s="1"/>
  <c r="GI9" i="10" a="1"/>
  <c r="GI9" i="10" s="1"/>
  <c r="GI8" i="10" a="1"/>
  <c r="GI8" i="10" s="1"/>
  <c r="GI6" i="10" a="1"/>
  <c r="GI6" i="10" s="1"/>
  <c r="GI7" i="10" a="1"/>
  <c r="GI7" i="10" s="1"/>
  <c r="GJ2" i="10"/>
  <c r="DB12" i="10" a="1"/>
  <c r="DB12" i="10" s="1"/>
  <c r="DB10" i="10" a="1"/>
  <c r="DB10" i="10" s="1"/>
  <c r="DB9" i="10" a="1"/>
  <c r="DB9" i="10" s="1"/>
  <c r="DB11" i="10" a="1"/>
  <c r="DB11" i="10" s="1"/>
  <c r="DB8" i="10" a="1"/>
  <c r="DB8" i="10" s="1"/>
  <c r="DB7" i="10" a="1"/>
  <c r="DB7" i="10" s="1"/>
  <c r="DB6" i="10" a="1"/>
  <c r="DB6" i="10" s="1"/>
  <c r="DC2" i="10"/>
  <c r="HP13" i="11"/>
  <c r="HP27" i="11" s="1"/>
  <c r="GH13" i="10"/>
  <c r="EJ11" i="11" a="1"/>
  <c r="EJ11" i="11" s="1"/>
  <c r="EJ7" i="11" a="1"/>
  <c r="EJ7" i="11" s="1"/>
  <c r="EJ10" i="11" a="1"/>
  <c r="EJ10" i="11" s="1"/>
  <c r="EJ9" i="11" a="1"/>
  <c r="EJ9" i="11" s="1"/>
  <c r="EJ12" i="11" a="1"/>
  <c r="EJ12" i="11" s="1"/>
  <c r="EJ8" i="11" a="1"/>
  <c r="EJ8" i="11" s="1"/>
  <c r="EK2" i="11"/>
  <c r="EJ6" i="11" a="1"/>
  <c r="EJ6" i="11" s="1"/>
  <c r="EI13" i="11"/>
  <c r="EI29" i="11" s="1"/>
  <c r="EJ12" i="10" a="1"/>
  <c r="EJ12" i="10" s="1"/>
  <c r="EJ10" i="10" a="1"/>
  <c r="EJ10" i="10" s="1"/>
  <c r="EJ11" i="10" a="1"/>
  <c r="EJ11" i="10" s="1"/>
  <c r="EJ9" i="10" a="1"/>
  <c r="EJ9" i="10" s="1"/>
  <c r="EJ7" i="10" a="1"/>
  <c r="EJ7" i="10" s="1"/>
  <c r="EJ8" i="10" a="1"/>
  <c r="EJ8" i="10" s="1"/>
  <c r="EJ6" i="10" a="1"/>
  <c r="EJ6" i="10" s="1"/>
  <c r="EK2" i="10"/>
  <c r="BB13" i="11"/>
  <c r="DB12" i="11" a="1"/>
  <c r="DB12" i="11" s="1"/>
  <c r="DB11" i="11" a="1"/>
  <c r="DB11" i="11" s="1"/>
  <c r="DB10" i="11" a="1"/>
  <c r="DB10" i="11" s="1"/>
  <c r="DB9" i="11" a="1"/>
  <c r="DB9" i="11" s="1"/>
  <c r="DB8" i="11" a="1"/>
  <c r="DB8" i="11" s="1"/>
  <c r="DB7" i="11" a="1"/>
  <c r="DB7" i="11" s="1"/>
  <c r="DB6" i="11" a="1"/>
  <c r="DB6" i="11" s="1"/>
  <c r="DC2" i="11"/>
  <c r="DA13" i="11"/>
  <c r="DA32" i="11" s="1"/>
  <c r="HP13" i="10"/>
  <c r="BC12" i="11" a="1"/>
  <c r="BC12" i="11" s="1"/>
  <c r="BC11" i="11" a="1"/>
  <c r="BC11" i="11" s="1"/>
  <c r="BC10" i="11" a="1"/>
  <c r="BC10" i="11" s="1"/>
  <c r="BC9" i="11" a="1"/>
  <c r="BC9" i="11" s="1"/>
  <c r="BC8" i="11" a="1"/>
  <c r="BC8" i="11" s="1"/>
  <c r="BC6" i="11" a="1"/>
  <c r="BC6" i="11" s="1"/>
  <c r="BC7" i="11" a="1"/>
  <c r="BC7" i="11" s="1"/>
  <c r="FA10" i="10" a="1"/>
  <c r="FA10" i="10" s="1"/>
  <c r="FA11" i="10" a="1"/>
  <c r="FA11" i="10" s="1"/>
  <c r="FA12" i="10" a="1"/>
  <c r="FA12" i="10" s="1"/>
  <c r="FA7" i="10" a="1"/>
  <c r="FA7" i="10" s="1"/>
  <c r="FA9" i="10" a="1"/>
  <c r="FA9" i="10" s="1"/>
  <c r="FA8" i="10" a="1"/>
  <c r="FA8" i="10" s="1"/>
  <c r="FA6" i="10" a="1"/>
  <c r="FA6" i="10" s="1"/>
  <c r="FB2" i="10"/>
  <c r="GH13" i="11"/>
  <c r="GH31" i="11" s="1"/>
  <c r="GI12" i="11" a="1"/>
  <c r="GI12" i="11" s="1"/>
  <c r="GI10" i="11" a="1"/>
  <c r="GI10" i="11" s="1"/>
  <c r="GI9" i="11" a="1"/>
  <c r="GI9" i="11" s="1"/>
  <c r="GI8" i="11" a="1"/>
  <c r="GI8" i="11" s="1"/>
  <c r="GI11" i="11" a="1"/>
  <c r="GI11" i="11" s="1"/>
  <c r="GI7" i="11" a="1"/>
  <c r="GI7" i="11" s="1"/>
  <c r="GJ2" i="11"/>
  <c r="GI6" i="11" a="1"/>
  <c r="GI6" i="11" s="1"/>
  <c r="BT12" i="11" a="1"/>
  <c r="BT12" i="11" s="1"/>
  <c r="BT11" i="11" a="1"/>
  <c r="BT11" i="11" s="1"/>
  <c r="BT9" i="11" a="1"/>
  <c r="BT9" i="11" s="1"/>
  <c r="BT10" i="11" a="1"/>
  <c r="BT10" i="11" s="1"/>
  <c r="BT8" i="11" a="1"/>
  <c r="BT8" i="11" s="1"/>
  <c r="BU2" i="11"/>
  <c r="BT6" i="11" a="1"/>
  <c r="BT6" i="11" s="1"/>
  <c r="BT7" i="11" a="1"/>
  <c r="BT7" i="11" s="1"/>
  <c r="EI13" i="10"/>
  <c r="FA11" i="11" a="1"/>
  <c r="FA11" i="11" s="1"/>
  <c r="FA10" i="11" a="1"/>
  <c r="FA10" i="11" s="1"/>
  <c r="FA8" i="11" a="1"/>
  <c r="FA8" i="11" s="1"/>
  <c r="FA6" i="11" a="1"/>
  <c r="FA6" i="11" s="1"/>
  <c r="FA12" i="11" a="1"/>
  <c r="FA12" i="11" s="1"/>
  <c r="FA9" i="11" a="1"/>
  <c r="FA9" i="11" s="1"/>
  <c r="FB2" i="11"/>
  <c r="FA7" i="11" a="1"/>
  <c r="FA7" i="11" s="1"/>
  <c r="CK12" i="11" a="1"/>
  <c r="CK12" i="11" s="1"/>
  <c r="CK10" i="11" a="1"/>
  <c r="CK10" i="11" s="1"/>
  <c r="CK11" i="11" a="1"/>
  <c r="CK11" i="11" s="1"/>
  <c r="CK7" i="11" a="1"/>
  <c r="CK7" i="11" s="1"/>
  <c r="CK9" i="11" a="1"/>
  <c r="CK9" i="11" s="1"/>
  <c r="CK8" i="11" a="1"/>
  <c r="CK8" i="11" s="1"/>
  <c r="CK6" i="11" a="1"/>
  <c r="CK6" i="11" s="1"/>
  <c r="CL2" i="11"/>
  <c r="EZ13" i="10"/>
  <c r="BS13" i="11"/>
  <c r="BS30" i="11" s="1"/>
  <c r="EZ13" i="11"/>
  <c r="EZ30" i="11" s="1"/>
  <c r="DC13" i="2"/>
  <c r="HR13" i="2"/>
  <c r="CM12" i="2" a="1"/>
  <c r="CM12" i="2" s="1"/>
  <c r="CM11" i="2" a="1"/>
  <c r="CM11" i="2" s="1"/>
  <c r="CM10" i="2" a="1"/>
  <c r="CM10" i="2" s="1"/>
  <c r="CM6" i="2" a="1"/>
  <c r="CM6" i="2" s="1"/>
  <c r="CM9" i="2" a="1"/>
  <c r="CM9" i="2" s="1"/>
  <c r="CM8" i="2" a="1"/>
  <c r="CM8" i="2" s="1"/>
  <c r="CM7" i="2" a="1"/>
  <c r="CM7" i="2" s="1"/>
  <c r="GJ13" i="2"/>
  <c r="DT13" i="2"/>
  <c r="CL13" i="2"/>
  <c r="EL6" i="2" a="1"/>
  <c r="EL6" i="2" s="1"/>
  <c r="EL12" i="2" a="1"/>
  <c r="EL12" i="2" s="1"/>
  <c r="EL9" i="2" a="1"/>
  <c r="EL9" i="2" s="1"/>
  <c r="EL7" i="2" a="1"/>
  <c r="EL7" i="2" s="1"/>
  <c r="EM2" i="2"/>
  <c r="EL11" i="2" a="1"/>
  <c r="EL11" i="2" s="1"/>
  <c r="EL10" i="2" a="1"/>
  <c r="EL10" i="2" s="1"/>
  <c r="EL8" i="2" a="1"/>
  <c r="EL8" i="2" s="1"/>
  <c r="GL2" i="2"/>
  <c r="GK12" i="2" a="1"/>
  <c r="GK12" i="2" s="1"/>
  <c r="GK11" i="2" a="1"/>
  <c r="GK11" i="2" s="1"/>
  <c r="GK10" i="2" a="1"/>
  <c r="GK10" i="2" s="1"/>
  <c r="GK9" i="2" a="1"/>
  <c r="GK9" i="2" s="1"/>
  <c r="GK8" i="2" a="1"/>
  <c r="GK8" i="2" s="1"/>
  <c r="GK7" i="2" a="1"/>
  <c r="GK7" i="2" s="1"/>
  <c r="GK6" i="2" a="1"/>
  <c r="GK6" i="2" s="1"/>
  <c r="HT2" i="2"/>
  <c r="HS12" i="2" a="1"/>
  <c r="HS12" i="2" s="1"/>
  <c r="HS11" i="2" a="1"/>
  <c r="HS11" i="2" s="1"/>
  <c r="HS10" i="2" a="1"/>
  <c r="HS10" i="2" s="1"/>
  <c r="HS9" i="2" a="1"/>
  <c r="HS9" i="2" s="1"/>
  <c r="HS6" i="2" a="1"/>
  <c r="HS6" i="2" s="1"/>
  <c r="HS7" i="2" a="1"/>
  <c r="HS7" i="2" s="1"/>
  <c r="HS8" i="2" a="1"/>
  <c r="HS8" i="2" s="1"/>
  <c r="BT13" i="2"/>
  <c r="DU12" i="2" a="1"/>
  <c r="DU12" i="2" s="1"/>
  <c r="DU11" i="2" a="1"/>
  <c r="DU11" i="2" s="1"/>
  <c r="DU10" i="2" a="1"/>
  <c r="DU10" i="2" s="1"/>
  <c r="DU9" i="2" a="1"/>
  <c r="DU9" i="2" s="1"/>
  <c r="DU8" i="2" a="1"/>
  <c r="DU8" i="2" s="1"/>
  <c r="DU7" i="2" a="1"/>
  <c r="DU7" i="2" s="1"/>
  <c r="DU6" i="2" a="1"/>
  <c r="DU6" i="2" s="1"/>
  <c r="DV2" i="2"/>
  <c r="BU8" i="2" a="1"/>
  <c r="BU8" i="2" s="1"/>
  <c r="BU10" i="2" a="1"/>
  <c r="BU10" i="2" s="1"/>
  <c r="BU12" i="2" a="1"/>
  <c r="BU12" i="2" s="1"/>
  <c r="BU9" i="2" a="1"/>
  <c r="BU9" i="2" s="1"/>
  <c r="BU11" i="2" a="1"/>
  <c r="BU11" i="2" s="1"/>
  <c r="BU7" i="2" a="1"/>
  <c r="BU7" i="2" s="1"/>
  <c r="BU6" i="2" a="1"/>
  <c r="BU6" i="2" s="1"/>
  <c r="EK13" i="2"/>
  <c r="FC6" i="2" a="1"/>
  <c r="FC6" i="2" s="1"/>
  <c r="FC9" i="2" a="1"/>
  <c r="FC9" i="2" s="1"/>
  <c r="FC8" i="2" a="1"/>
  <c r="FC8" i="2" s="1"/>
  <c r="FC12" i="2" a="1"/>
  <c r="FC12" i="2" s="1"/>
  <c r="FD2" i="2"/>
  <c r="FC11" i="2" a="1"/>
  <c r="FC11" i="2" s="1"/>
  <c r="FC10" i="2" a="1"/>
  <c r="FC10" i="2" s="1"/>
  <c r="FC7" i="2" a="1"/>
  <c r="FC7" i="2" s="1"/>
  <c r="FT11" i="2" a="1"/>
  <c r="FT11" i="2" s="1"/>
  <c r="FU2" i="2"/>
  <c r="FT8" i="2" a="1"/>
  <c r="FT8" i="2" s="1"/>
  <c r="FT10" i="2" a="1"/>
  <c r="FT10" i="2" s="1"/>
  <c r="FT6" i="2" a="1"/>
  <c r="FT6" i="2" s="1"/>
  <c r="FT12" i="2" a="1"/>
  <c r="FT12" i="2" s="1"/>
  <c r="FT7" i="2" a="1"/>
  <c r="FT7" i="2" s="1"/>
  <c r="FT9" i="2" a="1"/>
  <c r="FT9" i="2" s="1"/>
  <c r="DD8" i="2" a="1"/>
  <c r="DD8" i="2" s="1"/>
  <c r="DD12" i="2" a="1"/>
  <c r="DD12" i="2" s="1"/>
  <c r="DE2" i="2"/>
  <c r="DD7" i="2" a="1"/>
  <c r="DD7" i="2" s="1"/>
  <c r="DD6" i="2" a="1"/>
  <c r="DD6" i="2" s="1"/>
  <c r="DD9" i="2" a="1"/>
  <c r="DD9" i="2" s="1"/>
  <c r="DD10" i="2" a="1"/>
  <c r="DD10" i="2" s="1"/>
  <c r="DD11" i="2" a="1"/>
  <c r="DD11" i="2" s="1"/>
  <c r="HB6" i="2" a="1"/>
  <c r="HB6" i="2" s="1"/>
  <c r="HB12" i="2" a="1"/>
  <c r="HB12" i="2" s="1"/>
  <c r="HB11" i="2" a="1"/>
  <c r="HB11" i="2" s="1"/>
  <c r="HC2" i="2"/>
  <c r="HB10" i="2" a="1"/>
  <c r="HB10" i="2" s="1"/>
  <c r="HB8" i="2" a="1"/>
  <c r="HB8" i="2" s="1"/>
  <c r="HB9" i="2" a="1"/>
  <c r="HB9" i="2" s="1"/>
  <c r="HB7" i="2" a="1"/>
  <c r="HB7" i="2" s="1"/>
  <c r="FB13" i="2"/>
  <c r="HA13" i="2"/>
  <c r="FS13" i="2"/>
  <c r="BB13" i="2"/>
  <c r="BC11" i="2" a="1"/>
  <c r="BC11" i="2" s="1"/>
  <c r="BC10" i="2" a="1"/>
  <c r="BC10" i="2" s="1"/>
  <c r="BC6" i="2" a="1"/>
  <c r="BC6" i="2" s="1"/>
  <c r="BC12" i="2" a="1"/>
  <c r="BC12" i="2" s="1"/>
  <c r="BC9" i="2" a="1"/>
  <c r="BC9" i="2" s="1"/>
  <c r="BC8" i="2" a="1"/>
  <c r="BC8" i="2" s="1"/>
  <c r="BC7" i="2" a="1"/>
  <c r="BC7" i="2" s="1"/>
  <c r="EJ6" i="12" l="1"/>
  <c r="DB10" i="12"/>
  <c r="GZ6" i="12"/>
  <c r="GH13" i="12"/>
  <c r="GH27" i="12"/>
  <c r="BS33" i="12"/>
  <c r="EZ32" i="12"/>
  <c r="DB9" i="12"/>
  <c r="CK6" i="12"/>
  <c r="GI8" i="12"/>
  <c r="BC6" i="12"/>
  <c r="BC27" i="11"/>
  <c r="BC17" i="11"/>
  <c r="DB11" i="12"/>
  <c r="EJ8" i="12"/>
  <c r="FR6" i="12"/>
  <c r="GY33" i="11"/>
  <c r="GY31" i="11"/>
  <c r="GY29" i="11"/>
  <c r="DR30" i="12"/>
  <c r="DR29" i="12"/>
  <c r="GH32" i="11"/>
  <c r="EZ29" i="11"/>
  <c r="GZ7" i="12"/>
  <c r="EZ33" i="12"/>
  <c r="FA11" i="12"/>
  <c r="CK8" i="12"/>
  <c r="GI9" i="12"/>
  <c r="BC8" i="12"/>
  <c r="DB12" i="12"/>
  <c r="DB33" i="11"/>
  <c r="EJ12" i="12"/>
  <c r="FR7" i="12"/>
  <c r="GZ8" i="12"/>
  <c r="CJ34" i="11"/>
  <c r="DQ31" i="12"/>
  <c r="DR27" i="11"/>
  <c r="CJ30" i="11"/>
  <c r="EI30" i="11"/>
  <c r="GH33" i="11"/>
  <c r="EZ28" i="11"/>
  <c r="CJ32" i="11"/>
  <c r="EY29" i="12"/>
  <c r="HP32" i="11"/>
  <c r="DQ30" i="12"/>
  <c r="GI7" i="12"/>
  <c r="BT7" i="12"/>
  <c r="GI10" i="12"/>
  <c r="BC9" i="12"/>
  <c r="BB34" i="11"/>
  <c r="EJ9" i="12"/>
  <c r="FR9" i="12"/>
  <c r="GZ11" i="12"/>
  <c r="HP31" i="11"/>
  <c r="DA28" i="11"/>
  <c r="BS32" i="11"/>
  <c r="DA30" i="11"/>
  <c r="EI33" i="11"/>
  <c r="GX34" i="12"/>
  <c r="EY30" i="12"/>
  <c r="DR13" i="12"/>
  <c r="DR27" i="12"/>
  <c r="GX29" i="12"/>
  <c r="CJ30" i="12"/>
  <c r="HP32" i="12"/>
  <c r="BC7" i="12"/>
  <c r="BC28" i="11"/>
  <c r="BC10" i="12"/>
  <c r="EJ10" i="12"/>
  <c r="FR10" i="12"/>
  <c r="DS7" i="12"/>
  <c r="DS28" i="11"/>
  <c r="GZ9" i="12"/>
  <c r="GG34" i="12"/>
  <c r="EI33" i="12"/>
  <c r="FQ31" i="11"/>
  <c r="CJ27" i="11"/>
  <c r="DQ33" i="12"/>
  <c r="BA33" i="12"/>
  <c r="HQ11" i="12"/>
  <c r="BS29" i="11"/>
  <c r="EI28" i="11"/>
  <c r="FQ33" i="12"/>
  <c r="BT6" i="12"/>
  <c r="CK11" i="12"/>
  <c r="GH34" i="11"/>
  <c r="BC11" i="12"/>
  <c r="BC32" i="11"/>
  <c r="BC22" i="11"/>
  <c r="EJ7" i="12"/>
  <c r="DR34" i="11"/>
  <c r="FR8" i="12"/>
  <c r="GZ10" i="12"/>
  <c r="DQ27" i="12"/>
  <c r="DR31" i="12"/>
  <c r="CI27" i="12"/>
  <c r="DA31" i="11"/>
  <c r="EZ31" i="11"/>
  <c r="CJ29" i="11"/>
  <c r="EI31" i="11"/>
  <c r="BB31" i="11"/>
  <c r="CJ13" i="12"/>
  <c r="CJ27" i="12" s="1"/>
  <c r="EH34" i="12"/>
  <c r="HP28" i="11"/>
  <c r="FA10" i="12"/>
  <c r="BT8" i="12"/>
  <c r="HQ6" i="12"/>
  <c r="FR11" i="12"/>
  <c r="DS10" i="12"/>
  <c r="DS31" i="11"/>
  <c r="GZ12" i="12"/>
  <c r="DQ34" i="12"/>
  <c r="FQ29" i="11"/>
  <c r="CI34" i="12"/>
  <c r="BS28" i="11"/>
  <c r="GY13" i="12"/>
  <c r="GY27" i="12"/>
  <c r="CJ31" i="11"/>
  <c r="EZ31" i="12"/>
  <c r="EY31" i="12"/>
  <c r="EI29" i="12"/>
  <c r="BS34" i="11"/>
  <c r="GI11" i="12"/>
  <c r="CK10" i="12"/>
  <c r="CK12" i="12"/>
  <c r="CK33" i="11"/>
  <c r="BT10" i="12"/>
  <c r="FR12" i="12"/>
  <c r="DS6" i="12"/>
  <c r="GY34" i="11"/>
  <c r="FQ29" i="12"/>
  <c r="DA32" i="12"/>
  <c r="HP13" i="12"/>
  <c r="HP31" i="12" s="1"/>
  <c r="CJ31" i="12"/>
  <c r="EZ27" i="11"/>
  <c r="FP34" i="12"/>
  <c r="BB33" i="11"/>
  <c r="BS30" i="12"/>
  <c r="GH29" i="11"/>
  <c r="FA6" i="12"/>
  <c r="CK7" i="12"/>
  <c r="EJ11" i="12"/>
  <c r="BT9" i="12"/>
  <c r="BT30" i="11"/>
  <c r="DA34" i="11"/>
  <c r="HP34" i="11"/>
  <c r="HQ8" i="12"/>
  <c r="DS9" i="12"/>
  <c r="FQ34" i="11"/>
  <c r="FQ27" i="11"/>
  <c r="FQ28" i="11"/>
  <c r="BS31" i="11"/>
  <c r="GY28" i="11"/>
  <c r="BB32" i="11"/>
  <c r="EZ13" i="12"/>
  <c r="EZ28" i="12" s="1"/>
  <c r="EZ27" i="12"/>
  <c r="GX31" i="12"/>
  <c r="BS27" i="11"/>
  <c r="FP29" i="12"/>
  <c r="HO34" i="12"/>
  <c r="DB8" i="12"/>
  <c r="EI34" i="11"/>
  <c r="CK9" i="12"/>
  <c r="BC12" i="12"/>
  <c r="FA7" i="12"/>
  <c r="BT11" i="12"/>
  <c r="HQ9" i="12"/>
  <c r="HQ30" i="11"/>
  <c r="DS8" i="12"/>
  <c r="EI27" i="11"/>
  <c r="BB27" i="11"/>
  <c r="FQ30" i="11"/>
  <c r="FQ13" i="12"/>
  <c r="FQ27" i="12" s="1"/>
  <c r="FQ28" i="12"/>
  <c r="CJ33" i="12"/>
  <c r="DA27" i="11"/>
  <c r="BR34" i="12"/>
  <c r="DQ29" i="12"/>
  <c r="CI33" i="12"/>
  <c r="DR32" i="11"/>
  <c r="BS13" i="12"/>
  <c r="BS31" i="12" s="1"/>
  <c r="HQ12" i="12"/>
  <c r="BS33" i="11"/>
  <c r="EI32" i="11"/>
  <c r="FA9" i="12"/>
  <c r="BT12" i="12"/>
  <c r="DB6" i="12"/>
  <c r="HQ7" i="12"/>
  <c r="DS11" i="12"/>
  <c r="DS32" i="11"/>
  <c r="EI13" i="12"/>
  <c r="EI27" i="12" s="1"/>
  <c r="BB13" i="12"/>
  <c r="BB27" i="12" s="1"/>
  <c r="EY34" i="12"/>
  <c r="FQ30" i="12"/>
  <c r="DA13" i="12"/>
  <c r="DA27" i="12"/>
  <c r="EY32" i="12"/>
  <c r="BA28" i="12"/>
  <c r="DR33" i="11"/>
  <c r="HP30" i="11"/>
  <c r="CJ28" i="11"/>
  <c r="BB30" i="11"/>
  <c r="FA8" i="12"/>
  <c r="GI12" i="12"/>
  <c r="EZ34" i="11"/>
  <c r="FA12" i="12"/>
  <c r="GI6" i="12"/>
  <c r="DB7" i="12"/>
  <c r="HQ10" i="12"/>
  <c r="HQ31" i="11"/>
  <c r="DS12" i="12"/>
  <c r="DA33" i="11"/>
  <c r="GY32" i="11"/>
  <c r="GY30" i="11"/>
  <c r="BA34" i="12"/>
  <c r="DA29" i="11"/>
  <c r="FQ33" i="11"/>
  <c r="GX28" i="12"/>
  <c r="EZ30" i="12"/>
  <c r="HP30" i="12"/>
  <c r="CZ34" i="12"/>
  <c r="CJ28" i="12"/>
  <c r="DS13" i="10"/>
  <c r="GI13" i="11"/>
  <c r="DC12" i="10" a="1"/>
  <c r="DC12" i="10" s="1"/>
  <c r="DC9" i="10" a="1"/>
  <c r="DC9" i="10" s="1"/>
  <c r="DC8" i="10" a="1"/>
  <c r="DC8" i="10" s="1"/>
  <c r="DC11" i="10" a="1"/>
  <c r="DC11" i="10" s="1"/>
  <c r="DC10" i="10" a="1"/>
  <c r="DC10" i="10" s="1"/>
  <c r="DD2" i="10"/>
  <c r="DC7" i="10" a="1"/>
  <c r="DC7" i="10" s="1"/>
  <c r="DC6" i="10" a="1"/>
  <c r="DC6" i="10" s="1"/>
  <c r="CL12" i="10" a="1"/>
  <c r="CL12" i="10" s="1"/>
  <c r="CL11" i="10" a="1"/>
  <c r="CL11" i="10" s="1"/>
  <c r="CL10" i="10" a="1"/>
  <c r="CL10" i="10" s="1"/>
  <c r="CL9" i="10" a="1"/>
  <c r="CL9" i="10" s="1"/>
  <c r="CL8" i="10" a="1"/>
  <c r="CL8" i="10" s="1"/>
  <c r="CL6" i="10" a="1"/>
  <c r="CL6" i="10" s="1"/>
  <c r="CL7" i="10" a="1"/>
  <c r="CL7" i="10" s="1"/>
  <c r="CM2" i="10"/>
  <c r="BU12" i="10" a="1"/>
  <c r="BU12" i="10" s="1"/>
  <c r="BU11" i="10" a="1"/>
  <c r="BU11" i="10" s="1"/>
  <c r="BU10" i="10" a="1"/>
  <c r="BU10" i="10" s="1"/>
  <c r="BU8" i="10" a="1"/>
  <c r="BU8" i="10" s="1"/>
  <c r="BU9" i="10" a="1"/>
  <c r="BU9" i="10" s="1"/>
  <c r="BU6" i="10" a="1"/>
  <c r="BU6" i="10" s="1"/>
  <c r="BU7" i="10" a="1"/>
  <c r="BU7" i="10" s="1"/>
  <c r="GJ11" i="11" a="1"/>
  <c r="GJ11" i="11" s="1"/>
  <c r="GJ12" i="11" a="1"/>
  <c r="GJ12" i="11" s="1"/>
  <c r="GJ10" i="11" a="1"/>
  <c r="GJ10" i="11" s="1"/>
  <c r="GJ7" i="11" a="1"/>
  <c r="GJ7" i="11" s="1"/>
  <c r="GJ6" i="11" a="1"/>
  <c r="GJ6" i="11" s="1"/>
  <c r="GJ9" i="11" a="1"/>
  <c r="GJ9" i="11" s="1"/>
  <c r="GJ8" i="11" a="1"/>
  <c r="GJ8" i="11" s="1"/>
  <c r="GK2" i="11"/>
  <c r="DB13" i="10"/>
  <c r="DT12" i="10" a="1"/>
  <c r="DT12" i="10" s="1"/>
  <c r="DT9" i="10" a="1"/>
  <c r="DT9" i="10" s="1"/>
  <c r="DT10" i="10" a="1"/>
  <c r="DT10" i="10" s="1"/>
  <c r="DT11" i="10" a="1"/>
  <c r="DT11" i="10" s="1"/>
  <c r="DT7" i="10" a="1"/>
  <c r="DT7" i="10" s="1"/>
  <c r="DT8" i="10" a="1"/>
  <c r="DT8" i="10" s="1"/>
  <c r="DU2" i="10"/>
  <c r="DT6" i="10" a="1"/>
  <c r="DT6" i="10" s="1"/>
  <c r="BT13" i="10"/>
  <c r="CK13" i="10"/>
  <c r="FA13" i="11"/>
  <c r="FA32" i="11" s="1"/>
  <c r="GZ13" i="10"/>
  <c r="BD12" i="10"/>
  <c r="CL12" i="11" a="1"/>
  <c r="CL12" i="11" s="1"/>
  <c r="CL11" i="11" a="1"/>
  <c r="CL11" i="11" s="1"/>
  <c r="CL9" i="11" a="1"/>
  <c r="CL9" i="11" s="1"/>
  <c r="CL7" i="11" a="1"/>
  <c r="CL7" i="11" s="1"/>
  <c r="CL8" i="11" a="1"/>
  <c r="CL8" i="11" s="1"/>
  <c r="CL10" i="11" a="1"/>
  <c r="CL10" i="11" s="1"/>
  <c r="CL6" i="11" a="1"/>
  <c r="CL6" i="11" s="1"/>
  <c r="CM2" i="11"/>
  <c r="HA10" i="10" a="1"/>
  <c r="HA10" i="10" s="1"/>
  <c r="HA12" i="10" a="1"/>
  <c r="HA12" i="10" s="1"/>
  <c r="HA11" i="10" a="1"/>
  <c r="HA11" i="10" s="1"/>
  <c r="HA9" i="10" a="1"/>
  <c r="HA9" i="10" s="1"/>
  <c r="HA8" i="10" a="1"/>
  <c r="HA8" i="10" s="1"/>
  <c r="HA6" i="10" a="1"/>
  <c r="HA6" i="10" s="1"/>
  <c r="HB2" i="10"/>
  <c r="HA7" i="10" a="1"/>
  <c r="HA7" i="10" s="1"/>
  <c r="HQ13" i="11"/>
  <c r="HQ29" i="11" s="1"/>
  <c r="EK12" i="10" a="1"/>
  <c r="EK12" i="10" s="1"/>
  <c r="EK10" i="10" a="1"/>
  <c r="EK10" i="10" s="1"/>
  <c r="EK11" i="10" a="1"/>
  <c r="EK11" i="10" s="1"/>
  <c r="EK8" i="10" a="1"/>
  <c r="EK8" i="10" s="1"/>
  <c r="EK9" i="10" a="1"/>
  <c r="EK9" i="10" s="1"/>
  <c r="EK6" i="10" a="1"/>
  <c r="EK6" i="10" s="1"/>
  <c r="EL2" i="10"/>
  <c r="EK7" i="10" a="1"/>
  <c r="EK7" i="10" s="1"/>
  <c r="HR12" i="11" a="1"/>
  <c r="HR12" i="11" s="1"/>
  <c r="HR10" i="11" a="1"/>
  <c r="HR10" i="11" s="1"/>
  <c r="HR8" i="11" a="1"/>
  <c r="HR8" i="11" s="1"/>
  <c r="HR9" i="11" a="1"/>
  <c r="HR9" i="11" s="1"/>
  <c r="HR11" i="11" a="1"/>
  <c r="HR11" i="11" s="1"/>
  <c r="HS2" i="11"/>
  <c r="HR6" i="11" a="1"/>
  <c r="HR6" i="11" s="1"/>
  <c r="HR7" i="11" a="1"/>
  <c r="HR7" i="11" s="1"/>
  <c r="DT12" i="11" a="1"/>
  <c r="DT12" i="11" s="1"/>
  <c r="DT9" i="11" a="1"/>
  <c r="DT9" i="11" s="1"/>
  <c r="DT10" i="11" a="1"/>
  <c r="DT10" i="11" s="1"/>
  <c r="DT8" i="11" a="1"/>
  <c r="DT8" i="11" s="1"/>
  <c r="DT11" i="11" a="1"/>
  <c r="DT11" i="11" s="1"/>
  <c r="DT6" i="11" a="1"/>
  <c r="DT6" i="11" s="1"/>
  <c r="DT7" i="11" a="1"/>
  <c r="DT7" i="11" s="1"/>
  <c r="DU2" i="11"/>
  <c r="FA13" i="10"/>
  <c r="BT13" i="11"/>
  <c r="BT33" i="11" s="1"/>
  <c r="EJ13" i="10"/>
  <c r="CK13" i="11"/>
  <c r="CK27" i="11" s="1"/>
  <c r="BU12" i="11" a="1"/>
  <c r="BU12" i="11" s="1"/>
  <c r="BU11" i="11" a="1"/>
  <c r="BU11" i="11" s="1"/>
  <c r="BU8" i="11" a="1"/>
  <c r="BU8" i="11" s="1"/>
  <c r="BU10" i="11" a="1"/>
  <c r="BU10" i="11" s="1"/>
  <c r="BU9" i="11" a="1"/>
  <c r="BU9" i="11" s="1"/>
  <c r="BU6" i="11" a="1"/>
  <c r="BU6" i="11" s="1"/>
  <c r="BU7" i="11" a="1"/>
  <c r="BU7" i="11" s="1"/>
  <c r="BD7" i="11"/>
  <c r="DC12" i="11" a="1"/>
  <c r="DC12" i="11" s="1"/>
  <c r="DC9" i="11" a="1"/>
  <c r="DC9" i="11" s="1"/>
  <c r="DC8" i="11" a="1"/>
  <c r="DC8" i="11" s="1"/>
  <c r="DC11" i="11" a="1"/>
  <c r="DC11" i="11" s="1"/>
  <c r="DC10" i="11" a="1"/>
  <c r="DC10" i="11" s="1"/>
  <c r="DC7" i="11" a="1"/>
  <c r="DC7" i="11" s="1"/>
  <c r="DC6" i="11" a="1"/>
  <c r="DC6" i="11" s="1"/>
  <c r="DD2" i="11"/>
  <c r="DS13" i="11"/>
  <c r="DS30" i="11" s="1"/>
  <c r="FB11" i="11" a="1"/>
  <c r="FB11" i="11" s="1"/>
  <c r="FB12" i="11" a="1"/>
  <c r="FB12" i="11" s="1"/>
  <c r="FB8" i="11" a="1"/>
  <c r="FB8" i="11" s="1"/>
  <c r="FB10" i="11" a="1"/>
  <c r="FB10" i="11" s="1"/>
  <c r="FB6" i="11" a="1"/>
  <c r="FB6" i="11" s="1"/>
  <c r="FB9" i="11" a="1"/>
  <c r="FB9" i="11" s="1"/>
  <c r="FB7" i="11" a="1"/>
  <c r="FB7" i="11" s="1"/>
  <c r="FC2" i="11"/>
  <c r="BC13" i="11"/>
  <c r="BC33" i="11" s="1"/>
  <c r="BD6" i="11"/>
  <c r="DB13" i="11"/>
  <c r="DB27" i="11" s="1"/>
  <c r="BD8" i="11"/>
  <c r="BC19" i="11" s="1"/>
  <c r="BC13" i="10"/>
  <c r="BD6" i="10"/>
  <c r="GZ13" i="11"/>
  <c r="GZ28" i="11" s="1"/>
  <c r="HR12" i="10" a="1"/>
  <c r="HR12" i="10" s="1"/>
  <c r="HR10" i="10" a="1"/>
  <c r="HR10" i="10" s="1"/>
  <c r="HR8" i="10" a="1"/>
  <c r="HR8" i="10" s="1"/>
  <c r="HR11" i="10" a="1"/>
  <c r="HR11" i="10" s="1"/>
  <c r="HR9" i="10" a="1"/>
  <c r="HR9" i="10" s="1"/>
  <c r="HR6" i="10" a="1"/>
  <c r="HR6" i="10" s="1"/>
  <c r="HR7" i="10" a="1"/>
  <c r="HR7" i="10" s="1"/>
  <c r="HS2" i="10"/>
  <c r="BD9" i="11"/>
  <c r="BC20" i="11" s="1"/>
  <c r="BD7" i="10"/>
  <c r="HA12" i="11" a="1"/>
  <c r="HA12" i="11" s="1"/>
  <c r="HA11" i="11" a="1"/>
  <c r="HA11" i="11" s="1"/>
  <c r="HA9" i="11" a="1"/>
  <c r="HA9" i="11" s="1"/>
  <c r="HA8" i="11" a="1"/>
  <c r="HA8" i="11" s="1"/>
  <c r="HA10" i="11" a="1"/>
  <c r="HA10" i="11" s="1"/>
  <c r="HB2" i="11"/>
  <c r="HA7" i="11" a="1"/>
  <c r="HA7" i="11" s="1"/>
  <c r="HA6" i="11" a="1"/>
  <c r="HA6" i="11" s="1"/>
  <c r="HQ13" i="10"/>
  <c r="FS12" i="10" a="1"/>
  <c r="FS12" i="10" s="1"/>
  <c r="FS9" i="10" a="1"/>
  <c r="FS9" i="10" s="1"/>
  <c r="FS10" i="10" a="1"/>
  <c r="FS10" i="10" s="1"/>
  <c r="FS11" i="10" a="1"/>
  <c r="FS11" i="10" s="1"/>
  <c r="FS7" i="10" a="1"/>
  <c r="FS7" i="10" s="1"/>
  <c r="FS8" i="10" a="1"/>
  <c r="FS8" i="10" s="1"/>
  <c r="FS6" i="10" a="1"/>
  <c r="FS6" i="10" s="1"/>
  <c r="FT2" i="10"/>
  <c r="GJ12" i="10" a="1"/>
  <c r="GJ12" i="10" s="1"/>
  <c r="GJ10" i="10" a="1"/>
  <c r="GJ10" i="10" s="1"/>
  <c r="GJ8" i="10" a="1"/>
  <c r="GJ8" i="10" s="1"/>
  <c r="GJ7" i="10" a="1"/>
  <c r="GJ7" i="10" s="1"/>
  <c r="GJ11" i="10" a="1"/>
  <c r="GJ11" i="10" s="1"/>
  <c r="GJ6" i="10" a="1"/>
  <c r="GJ6" i="10" s="1"/>
  <c r="GK2" i="10"/>
  <c r="GJ9" i="10" a="1"/>
  <c r="GJ9" i="10" s="1"/>
  <c r="BD11" i="10"/>
  <c r="BD10" i="11"/>
  <c r="BC21" i="11" s="1"/>
  <c r="EJ13" i="11"/>
  <c r="EJ30" i="11" s="1"/>
  <c r="FS12" i="11" a="1"/>
  <c r="FS12" i="11" s="1"/>
  <c r="FS11" i="11" a="1"/>
  <c r="FS11" i="11" s="1"/>
  <c r="FS10" i="11" a="1"/>
  <c r="FS10" i="11" s="1"/>
  <c r="FS7" i="11" a="1"/>
  <c r="FS7" i="11" s="1"/>
  <c r="FS9" i="11" a="1"/>
  <c r="FS9" i="11" s="1"/>
  <c r="FS6" i="11" a="1"/>
  <c r="FS6" i="11" s="1"/>
  <c r="FT2" i="11"/>
  <c r="FS8" i="11" a="1"/>
  <c r="FS8" i="11" s="1"/>
  <c r="BD8" i="10"/>
  <c r="BD11" i="11"/>
  <c r="BD12" i="11"/>
  <c r="BC23" i="11" s="1"/>
  <c r="EK12" i="11" a="1"/>
  <c r="EK12" i="11" s="1"/>
  <c r="EK10" i="11" a="1"/>
  <c r="EK10" i="11" s="1"/>
  <c r="EK7" i="11" a="1"/>
  <c r="EK7" i="11" s="1"/>
  <c r="EK11" i="11" a="1"/>
  <c r="EK11" i="11" s="1"/>
  <c r="EK9" i="11" a="1"/>
  <c r="EK9" i="11" s="1"/>
  <c r="EK8" i="11" a="1"/>
  <c r="EK8" i="11" s="1"/>
  <c r="EK6" i="11" a="1"/>
  <c r="EK6" i="11" s="1"/>
  <c r="EL2" i="11"/>
  <c r="GI13" i="10"/>
  <c r="FR13" i="11"/>
  <c r="BD10" i="10"/>
  <c r="FB11" i="10" a="1"/>
  <c r="FB11" i="10" s="1"/>
  <c r="FB10" i="10" a="1"/>
  <c r="FB10" i="10" s="1"/>
  <c r="FB12" i="10" a="1"/>
  <c r="FB12" i="10" s="1"/>
  <c r="FB9" i="10" a="1"/>
  <c r="FB9" i="10" s="1"/>
  <c r="FB7" i="10" a="1"/>
  <c r="FB7" i="10" s="1"/>
  <c r="FB8" i="10" a="1"/>
  <c r="FB8" i="10" s="1"/>
  <c r="FC2" i="10"/>
  <c r="FB6" i="10" a="1"/>
  <c r="FB6" i="10" s="1"/>
  <c r="BD9" i="10"/>
  <c r="FR13" i="10"/>
  <c r="FC13" i="2"/>
  <c r="DV11" i="2" a="1"/>
  <c r="DV11" i="2" s="1"/>
  <c r="DV10" i="2" a="1"/>
  <c r="DV10" i="2" s="1"/>
  <c r="DV8" i="2" a="1"/>
  <c r="DV8" i="2" s="1"/>
  <c r="DW2" i="2"/>
  <c r="DV12" i="2" a="1"/>
  <c r="DV12" i="2" s="1"/>
  <c r="DV6" i="2" a="1"/>
  <c r="DV6" i="2" s="1"/>
  <c r="DV9" i="2" a="1"/>
  <c r="DV9" i="2" s="1"/>
  <c r="DV7" i="2" a="1"/>
  <c r="DV7" i="2" s="1"/>
  <c r="GL11" i="2" a="1"/>
  <c r="GL11" i="2" s="1"/>
  <c r="GL10" i="2" a="1"/>
  <c r="GL10" i="2" s="1"/>
  <c r="GL9" i="2" a="1"/>
  <c r="GL9" i="2" s="1"/>
  <c r="GL8" i="2" a="1"/>
  <c r="GL8" i="2" s="1"/>
  <c r="GL7" i="2" a="1"/>
  <c r="GL7" i="2" s="1"/>
  <c r="GL6" i="2" a="1"/>
  <c r="GL6" i="2" s="1"/>
  <c r="GL12" i="2" a="1"/>
  <c r="GL12" i="2" s="1"/>
  <c r="GM2" i="2"/>
  <c r="EL13" i="2"/>
  <c r="CN8" i="2"/>
  <c r="FU11" i="2" a="1"/>
  <c r="FU11" i="2" s="1"/>
  <c r="FV2" i="2"/>
  <c r="FU9" i="2" a="1"/>
  <c r="FU9" i="2" s="1"/>
  <c r="FU10" i="2" a="1"/>
  <c r="FU10" i="2" s="1"/>
  <c r="FU6" i="2" a="1"/>
  <c r="FU6" i="2" s="1"/>
  <c r="FU12" i="2" a="1"/>
  <c r="FU12" i="2" s="1"/>
  <c r="FU8" i="2" a="1"/>
  <c r="FU8" i="2" s="1"/>
  <c r="FU7" i="2" a="1"/>
  <c r="FU7" i="2" s="1"/>
  <c r="DU13" i="2"/>
  <c r="HS13" i="2"/>
  <c r="CN9" i="2"/>
  <c r="CM13" i="2"/>
  <c r="CN6" i="2"/>
  <c r="CM17" i="2" s="1"/>
  <c r="CN10" i="2"/>
  <c r="CM21" i="2" s="1"/>
  <c r="CN11" i="2"/>
  <c r="HC11" i="2" a="1"/>
  <c r="HC11" i="2" s="1"/>
  <c r="HC10" i="2" a="1"/>
  <c r="HC10" i="2" s="1"/>
  <c r="HC12" i="2" a="1"/>
  <c r="HC12" i="2" s="1"/>
  <c r="HD2" i="2"/>
  <c r="HC8" i="2" a="1"/>
  <c r="HC8" i="2" s="1"/>
  <c r="HC6" i="2" a="1"/>
  <c r="HC6" i="2" s="1"/>
  <c r="HC7" i="2" a="1"/>
  <c r="HC7" i="2" s="1"/>
  <c r="HC9" i="2" a="1"/>
  <c r="HC9" i="2" s="1"/>
  <c r="CN12" i="2"/>
  <c r="DD13" i="2"/>
  <c r="HT12" i="2" a="1"/>
  <c r="HT12" i="2" s="1"/>
  <c r="HT11" i="2" a="1"/>
  <c r="HT11" i="2" s="1"/>
  <c r="HT10" i="2" a="1"/>
  <c r="HT10" i="2" s="1"/>
  <c r="HT9" i="2" a="1"/>
  <c r="HT9" i="2" s="1"/>
  <c r="HT8" i="2" a="1"/>
  <c r="HT8" i="2" s="1"/>
  <c r="HT7" i="2" a="1"/>
  <c r="HT7" i="2" s="1"/>
  <c r="HU2" i="2"/>
  <c r="HT6" i="2" a="1"/>
  <c r="HT6" i="2" s="1"/>
  <c r="CN7" i="2"/>
  <c r="HB13" i="2"/>
  <c r="DE6" i="2" a="1"/>
  <c r="DE6" i="2" s="1"/>
  <c r="DE7" i="2" a="1"/>
  <c r="DE7" i="2" s="1"/>
  <c r="DE8" i="2" a="1"/>
  <c r="DE8" i="2" s="1"/>
  <c r="DE9" i="2" a="1"/>
  <c r="DE9" i="2" s="1"/>
  <c r="DE10" i="2" a="1"/>
  <c r="DE10" i="2" s="1"/>
  <c r="DE11" i="2" a="1"/>
  <c r="DE11" i="2" s="1"/>
  <c r="DE12" i="2" a="1"/>
  <c r="DE12" i="2" s="1"/>
  <c r="BU17" i="2"/>
  <c r="BU13" i="2"/>
  <c r="BV6" i="2"/>
  <c r="BV7" i="2"/>
  <c r="BU18" i="2" s="1"/>
  <c r="GK13" i="2"/>
  <c r="BU22" i="2"/>
  <c r="BV11" i="2"/>
  <c r="BV9" i="2"/>
  <c r="BU20" i="2" s="1"/>
  <c r="FD10" i="2" a="1"/>
  <c r="FD10" i="2" s="1"/>
  <c r="FD7" i="2" a="1"/>
  <c r="FD7" i="2" s="1"/>
  <c r="FD9" i="2" a="1"/>
  <c r="FD9" i="2" s="1"/>
  <c r="FD8" i="2" a="1"/>
  <c r="FD8" i="2" s="1"/>
  <c r="FD12" i="2" a="1"/>
  <c r="FD12" i="2" s="1"/>
  <c r="FD11" i="2" a="1"/>
  <c r="FD11" i="2" s="1"/>
  <c r="FE2" i="2"/>
  <c r="FD6" i="2" a="1"/>
  <c r="FD6" i="2" s="1"/>
  <c r="BU23" i="2"/>
  <c r="BV12" i="2"/>
  <c r="EM12" i="2" a="1"/>
  <c r="EM12" i="2" s="1"/>
  <c r="EM6" i="2" a="1"/>
  <c r="EM6" i="2" s="1"/>
  <c r="EM10" i="2" a="1"/>
  <c r="EM10" i="2" s="1"/>
  <c r="EM7" i="2" a="1"/>
  <c r="EM7" i="2" s="1"/>
  <c r="EN2" i="2"/>
  <c r="EM11" i="2" a="1"/>
  <c r="EM11" i="2" s="1"/>
  <c r="EM8" i="2" a="1"/>
  <c r="EM8" i="2" s="1"/>
  <c r="EM9" i="2" a="1"/>
  <c r="EM9" i="2" s="1"/>
  <c r="BV10" i="2"/>
  <c r="BU21" i="2" s="1"/>
  <c r="FT13" i="2"/>
  <c r="BV8" i="2"/>
  <c r="BU19" i="2" s="1"/>
  <c r="BD8" i="2"/>
  <c r="BD7" i="2"/>
  <c r="BD12" i="2"/>
  <c r="BC13" i="2"/>
  <c r="BD6" i="2"/>
  <c r="BC17" i="2" s="1"/>
  <c r="BD9" i="2"/>
  <c r="BD11" i="2"/>
  <c r="BD10" i="2"/>
  <c r="GJ6" i="12" l="1"/>
  <c r="GI34" i="11"/>
  <c r="GI33" i="11"/>
  <c r="DT11" i="12"/>
  <c r="GJ7" i="12"/>
  <c r="HQ31" i="12"/>
  <c r="DA34" i="12"/>
  <c r="DA29" i="12"/>
  <c r="GY34" i="12"/>
  <c r="DS31" i="12"/>
  <c r="BD7" i="12"/>
  <c r="GY33" i="12"/>
  <c r="GH34" i="12"/>
  <c r="FB6" i="12"/>
  <c r="BD28" i="11"/>
  <c r="BD18" i="1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A18" i="11"/>
  <c r="BB18" i="11"/>
  <c r="FR34" i="11"/>
  <c r="FS6" i="12"/>
  <c r="FS27" i="11"/>
  <c r="FB8" i="12"/>
  <c r="BU6" i="12"/>
  <c r="DT8" i="12"/>
  <c r="GJ10" i="12"/>
  <c r="DS32" i="12"/>
  <c r="BB32" i="12"/>
  <c r="BB31" i="12"/>
  <c r="BC22" i="12"/>
  <c r="BD11" i="12"/>
  <c r="GY30" i="12"/>
  <c r="FR30" i="11"/>
  <c r="BT28" i="11"/>
  <c r="BC13" i="12"/>
  <c r="BC27" i="12"/>
  <c r="BD6" i="12"/>
  <c r="BB29" i="12"/>
  <c r="HA10" i="12"/>
  <c r="FB12" i="12"/>
  <c r="BU9" i="12"/>
  <c r="DT10" i="12"/>
  <c r="DT31" i="11"/>
  <c r="GJ12" i="12"/>
  <c r="BB30" i="12"/>
  <c r="DB28" i="11"/>
  <c r="FA29" i="11"/>
  <c r="BT32" i="11"/>
  <c r="GH29" i="12"/>
  <c r="EJ32" i="11"/>
  <c r="FR32" i="11"/>
  <c r="DA30" i="12"/>
  <c r="DS28" i="12"/>
  <c r="DR34" i="12"/>
  <c r="BC29" i="11"/>
  <c r="BS29" i="12"/>
  <c r="GZ27" i="11"/>
  <c r="EK6" i="12"/>
  <c r="BU10" i="12"/>
  <c r="BU31" i="11"/>
  <c r="DT9" i="12"/>
  <c r="CL6" i="12"/>
  <c r="GJ11" i="12"/>
  <c r="FA29" i="12"/>
  <c r="HQ28" i="11"/>
  <c r="EI28" i="12"/>
  <c r="GY32" i="12"/>
  <c r="CK31" i="11"/>
  <c r="EI31" i="12"/>
  <c r="DA31" i="12"/>
  <c r="GZ31" i="11"/>
  <c r="BC19" i="12"/>
  <c r="BD8" i="12"/>
  <c r="BB28" i="12"/>
  <c r="GI29" i="11"/>
  <c r="EI32" i="12"/>
  <c r="GZ13" i="12"/>
  <c r="GZ27" i="12"/>
  <c r="BU7" i="12"/>
  <c r="FS10" i="12"/>
  <c r="FS31" i="11"/>
  <c r="HA9" i="12"/>
  <c r="DS34" i="11"/>
  <c r="BU8" i="12"/>
  <c r="DT12" i="12"/>
  <c r="CL10" i="12"/>
  <c r="FQ34" i="12"/>
  <c r="FQ32" i="12"/>
  <c r="CJ34" i="12"/>
  <c r="GZ31" i="12"/>
  <c r="FR31" i="11"/>
  <c r="CJ32" i="12"/>
  <c r="GI28" i="11"/>
  <c r="GZ29" i="11"/>
  <c r="HA7" i="12"/>
  <c r="FB11" i="12"/>
  <c r="FS11" i="12"/>
  <c r="FS32" i="11"/>
  <c r="HA11" i="12"/>
  <c r="BU11" i="12"/>
  <c r="HR7" i="12"/>
  <c r="CL8" i="12"/>
  <c r="GI27" i="11"/>
  <c r="HP29" i="12"/>
  <c r="GY28" i="12"/>
  <c r="FA28" i="11"/>
  <c r="DA33" i="12"/>
  <c r="BB33" i="12"/>
  <c r="CK28" i="11"/>
  <c r="DS27" i="11"/>
  <c r="CJ29" i="12"/>
  <c r="HQ27" i="11"/>
  <c r="CK32" i="11"/>
  <c r="HQ32" i="11"/>
  <c r="EJ30" i="12"/>
  <c r="DR28" i="12"/>
  <c r="GZ29" i="12"/>
  <c r="GI30" i="11"/>
  <c r="GZ28" i="12"/>
  <c r="FR27" i="11"/>
  <c r="GH28" i="12"/>
  <c r="DB31" i="11"/>
  <c r="FB10" i="12"/>
  <c r="EK9" i="12"/>
  <c r="BU12" i="12"/>
  <c r="HR6" i="12"/>
  <c r="CL7" i="12"/>
  <c r="GI13" i="12"/>
  <c r="GI32" i="12" s="1"/>
  <c r="HQ33" i="11"/>
  <c r="DS13" i="12"/>
  <c r="DS27" i="12" s="1"/>
  <c r="GI32" i="11"/>
  <c r="HQ13" i="12"/>
  <c r="HQ27" i="12"/>
  <c r="FQ31" i="12"/>
  <c r="FR29" i="11"/>
  <c r="BS32" i="12"/>
  <c r="FR13" i="12"/>
  <c r="FR27" i="12"/>
  <c r="DB31" i="12"/>
  <c r="HA6" i="12"/>
  <c r="HA8" i="12"/>
  <c r="GZ34" i="11"/>
  <c r="HA12" i="12"/>
  <c r="BD29" i="11"/>
  <c r="BD19" i="11"/>
  <c r="AN19" i="11"/>
  <c r="AO19" i="11"/>
  <c r="AP19" i="11"/>
  <c r="AQ19" i="11"/>
  <c r="AR19" i="11"/>
  <c r="AS19" i="11"/>
  <c r="AT19" i="11"/>
  <c r="AU19" i="11"/>
  <c r="AV19" i="11"/>
  <c r="AW19" i="11"/>
  <c r="AX19" i="11"/>
  <c r="AY19" i="11"/>
  <c r="AZ19" i="11"/>
  <c r="BA19" i="11"/>
  <c r="BB19" i="11"/>
  <c r="EK7" i="12"/>
  <c r="EJ34" i="11"/>
  <c r="DB34" i="11"/>
  <c r="DC7" i="12"/>
  <c r="DC28" i="11"/>
  <c r="CK34" i="11"/>
  <c r="HQ34" i="11"/>
  <c r="CL9" i="12"/>
  <c r="DR32" i="12"/>
  <c r="DB13" i="12"/>
  <c r="DB30" i="12" s="1"/>
  <c r="DB27" i="12"/>
  <c r="HQ29" i="12"/>
  <c r="FR29" i="12"/>
  <c r="EJ31" i="11"/>
  <c r="FR28" i="11"/>
  <c r="CK13" i="12"/>
  <c r="CK28" i="12" s="1"/>
  <c r="CK27" i="12"/>
  <c r="FS9" i="12"/>
  <c r="EK11" i="12"/>
  <c r="DC6" i="12"/>
  <c r="DC27" i="11"/>
  <c r="DC10" i="12"/>
  <c r="HR11" i="12"/>
  <c r="HR32" i="11"/>
  <c r="CL11" i="12"/>
  <c r="FA33" i="11"/>
  <c r="HQ33" i="12"/>
  <c r="EZ34" i="12"/>
  <c r="FA27" i="11"/>
  <c r="BS28" i="12"/>
  <c r="FR33" i="11"/>
  <c r="BT29" i="11"/>
  <c r="BT27" i="11"/>
  <c r="DA28" i="12"/>
  <c r="EJ31" i="12"/>
  <c r="GH33" i="12"/>
  <c r="FR28" i="12"/>
  <c r="CK29" i="11"/>
  <c r="EJ29" i="11"/>
  <c r="EJ27" i="11"/>
  <c r="FS8" i="12"/>
  <c r="FS7" i="12"/>
  <c r="FS12" i="12"/>
  <c r="EK12" i="12"/>
  <c r="EK33" i="11"/>
  <c r="BC34" i="11"/>
  <c r="HR9" i="12"/>
  <c r="HR30" i="11"/>
  <c r="CL12" i="12"/>
  <c r="BB34" i="12"/>
  <c r="BC23" i="12"/>
  <c r="BC33" i="12"/>
  <c r="BD12" i="12"/>
  <c r="DB29" i="11"/>
  <c r="FA13" i="12"/>
  <c r="FA28" i="12" s="1"/>
  <c r="FA27" i="12"/>
  <c r="BT13" i="12"/>
  <c r="BT27" i="12" s="1"/>
  <c r="BC30" i="11"/>
  <c r="CK29" i="12"/>
  <c r="DB30" i="11"/>
  <c r="EJ13" i="12"/>
  <c r="EJ32" i="12" s="1"/>
  <c r="EK10" i="12"/>
  <c r="BD21" i="11"/>
  <c r="AN21" i="11"/>
  <c r="AO21" i="11"/>
  <c r="AP21" i="11"/>
  <c r="AQ21" i="11"/>
  <c r="AR21" i="11"/>
  <c r="AS21" i="11"/>
  <c r="AT21" i="11"/>
  <c r="AU21" i="11"/>
  <c r="AV21" i="11"/>
  <c r="AW21" i="11"/>
  <c r="AX21" i="11"/>
  <c r="AY21" i="11"/>
  <c r="AZ21" i="11"/>
  <c r="BA21" i="11"/>
  <c r="BB21" i="11"/>
  <c r="BD30" i="11"/>
  <c r="BD20" i="11"/>
  <c r="AN20" i="11"/>
  <c r="AO20" i="11"/>
  <c r="AP20" i="11"/>
  <c r="AQ20" i="11"/>
  <c r="AR20" i="11"/>
  <c r="AS20" i="11"/>
  <c r="AT20" i="11"/>
  <c r="AU20" i="11"/>
  <c r="AV20" i="11"/>
  <c r="AW20" i="11"/>
  <c r="AX20" i="11"/>
  <c r="AY20" i="11"/>
  <c r="AZ20" i="11"/>
  <c r="BA20" i="11"/>
  <c r="BB20" i="11"/>
  <c r="BD17" i="11"/>
  <c r="AN17" i="1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BA17" i="11"/>
  <c r="BB17" i="11"/>
  <c r="DC11" i="12"/>
  <c r="DC32" i="11"/>
  <c r="BT34" i="11"/>
  <c r="BD23" i="11"/>
  <c r="AN23" i="11"/>
  <c r="AO23" i="11"/>
  <c r="AP23" i="11"/>
  <c r="AQ23" i="11"/>
  <c r="AR23" i="11"/>
  <c r="AS23" i="11"/>
  <c r="AT23" i="11"/>
  <c r="AU23" i="11"/>
  <c r="AV23" i="11"/>
  <c r="AW23" i="11"/>
  <c r="AX23" i="11"/>
  <c r="AY23" i="11"/>
  <c r="AZ23" i="11"/>
  <c r="BA23" i="11"/>
  <c r="BB23" i="11"/>
  <c r="DC8" i="12"/>
  <c r="DC29" i="11"/>
  <c r="HR8" i="12"/>
  <c r="HR29" i="11"/>
  <c r="DS33" i="11"/>
  <c r="BS27" i="12"/>
  <c r="DS29" i="11"/>
  <c r="DB29" i="12"/>
  <c r="HP27" i="12"/>
  <c r="GZ33" i="11"/>
  <c r="BC31" i="11"/>
  <c r="EI30" i="12"/>
  <c r="BD9" i="12"/>
  <c r="EZ29" i="12"/>
  <c r="GY29" i="12"/>
  <c r="EJ33" i="11"/>
  <c r="DT6" i="12"/>
  <c r="EK8" i="12"/>
  <c r="BD22" i="11"/>
  <c r="AN22" i="11"/>
  <c r="AO22" i="11"/>
  <c r="AP22" i="11"/>
  <c r="AQ22" i="11"/>
  <c r="AR22" i="11"/>
  <c r="AS22" i="11"/>
  <c r="AT22" i="11"/>
  <c r="AU22" i="11"/>
  <c r="AV22" i="11"/>
  <c r="AW22" i="11"/>
  <c r="AX22" i="11"/>
  <c r="AY22" i="11"/>
  <c r="AZ22" i="11"/>
  <c r="BA22" i="11"/>
  <c r="BB22" i="11"/>
  <c r="FB7" i="12"/>
  <c r="DC9" i="12"/>
  <c r="DC30" i="11"/>
  <c r="HR10" i="12"/>
  <c r="HR31" i="11"/>
  <c r="GJ8" i="12"/>
  <c r="DR33" i="12"/>
  <c r="BS34" i="12"/>
  <c r="CK30" i="11"/>
  <c r="HP34" i="12"/>
  <c r="BT31" i="11"/>
  <c r="HP28" i="12"/>
  <c r="GZ33" i="12"/>
  <c r="FA31" i="11"/>
  <c r="EJ28" i="11"/>
  <c r="BD10" i="12"/>
  <c r="DB32" i="11"/>
  <c r="GH30" i="12"/>
  <c r="FB9" i="12"/>
  <c r="DC12" i="12"/>
  <c r="DT7" i="12"/>
  <c r="HR12" i="12"/>
  <c r="HR33" i="11"/>
  <c r="FA34" i="11"/>
  <c r="GJ9" i="12"/>
  <c r="GJ30" i="11"/>
  <c r="EI34" i="12"/>
  <c r="FA30" i="11"/>
  <c r="CK30" i="12"/>
  <c r="FA31" i="12"/>
  <c r="EJ28" i="12"/>
  <c r="GH31" i="12"/>
  <c r="GZ30" i="11"/>
  <c r="BC18" i="11"/>
  <c r="GZ32" i="11"/>
  <c r="GI31" i="11"/>
  <c r="GH32" i="12"/>
  <c r="GY31" i="12"/>
  <c r="FA32" i="12"/>
  <c r="DB32" i="12"/>
  <c r="HP33" i="12"/>
  <c r="HB12" i="10" a="1"/>
  <c r="HB12" i="10" s="1"/>
  <c r="HB10" i="10" a="1"/>
  <c r="HB10" i="10" s="1"/>
  <c r="HB9" i="10" a="1"/>
  <c r="HB9" i="10" s="1"/>
  <c r="HB11" i="10" a="1"/>
  <c r="HB11" i="10" s="1"/>
  <c r="HB8" i="10" a="1"/>
  <c r="HB8" i="10" s="1"/>
  <c r="HB7" i="10" a="1"/>
  <c r="HB7" i="10" s="1"/>
  <c r="HB6" i="10" a="1"/>
  <c r="HB6" i="10" s="1"/>
  <c r="HC2" i="10"/>
  <c r="BV12" i="11"/>
  <c r="HA13" i="10"/>
  <c r="FC12" i="11" a="1"/>
  <c r="FC12" i="11" s="1"/>
  <c r="FC11" i="11" a="1"/>
  <c r="FC11" i="11" s="1"/>
  <c r="FC10" i="11" a="1"/>
  <c r="FC10" i="11" s="1"/>
  <c r="FC7" i="11" a="1"/>
  <c r="FC7" i="11" s="1"/>
  <c r="FC9" i="11" a="1"/>
  <c r="FC9" i="11" s="1"/>
  <c r="FC6" i="11" a="1"/>
  <c r="FC6" i="11" s="1"/>
  <c r="FC8" i="11" a="1"/>
  <c r="FC8" i="11" s="1"/>
  <c r="FD2" i="11"/>
  <c r="HR13" i="11"/>
  <c r="HR28" i="11" s="1"/>
  <c r="DC13" i="11"/>
  <c r="HS12" i="11" a="1"/>
  <c r="HS12" i="11" s="1"/>
  <c r="HS9" i="11" a="1"/>
  <c r="HS9" i="11" s="1"/>
  <c r="HS11" i="11" a="1"/>
  <c r="HS11" i="11" s="1"/>
  <c r="HS10" i="11" a="1"/>
  <c r="HS10" i="11" s="1"/>
  <c r="HT2" i="11"/>
  <c r="HS6" i="11" a="1"/>
  <c r="HS6" i="11" s="1"/>
  <c r="HS8" i="11" a="1"/>
  <c r="HS8" i="11" s="1"/>
  <c r="HS7" i="11" a="1"/>
  <c r="HS7" i="11" s="1"/>
  <c r="EL12" i="11" a="1"/>
  <c r="EL12" i="11" s="1"/>
  <c r="EL11" i="11" a="1"/>
  <c r="EL11" i="11" s="1"/>
  <c r="EL10" i="11" a="1"/>
  <c r="EL10" i="11" s="1"/>
  <c r="EL7" i="11" a="1"/>
  <c r="EL7" i="11" s="1"/>
  <c r="EL8" i="11" a="1"/>
  <c r="EL8" i="11" s="1"/>
  <c r="EL9" i="11" a="1"/>
  <c r="EL9" i="11" s="1"/>
  <c r="EL6" i="11" a="1"/>
  <c r="EL6" i="11" s="1"/>
  <c r="EM2" i="11"/>
  <c r="GK12" i="10" a="1"/>
  <c r="GK12" i="10" s="1"/>
  <c r="GK11" i="10" a="1"/>
  <c r="GK11" i="10" s="1"/>
  <c r="GK9" i="10" a="1"/>
  <c r="GK9" i="10" s="1"/>
  <c r="GK7" i="10" a="1"/>
  <c r="GK7" i="10" s="1"/>
  <c r="GK10" i="10" a="1"/>
  <c r="GK10" i="10" s="1"/>
  <c r="GK8" i="10" a="1"/>
  <c r="GK8" i="10" s="1"/>
  <c r="GL2" i="10"/>
  <c r="GK6" i="10" a="1"/>
  <c r="GK6" i="10" s="1"/>
  <c r="FB13" i="11"/>
  <c r="FC12" i="10" a="1"/>
  <c r="FC12" i="10" s="1"/>
  <c r="FC11" i="10" a="1"/>
  <c r="FC11" i="10" s="1"/>
  <c r="FC10" i="10" a="1"/>
  <c r="FC10" i="10" s="1"/>
  <c r="FC9" i="10" a="1"/>
  <c r="FC9" i="10" s="1"/>
  <c r="FC7" i="10" a="1"/>
  <c r="FC7" i="10" s="1"/>
  <c r="FC8" i="10" a="1"/>
  <c r="FC8" i="10" s="1"/>
  <c r="FD2" i="10"/>
  <c r="FC6" i="10" a="1"/>
  <c r="FC6" i="10" s="1"/>
  <c r="EK13" i="11"/>
  <c r="EK27" i="11" s="1"/>
  <c r="GJ13" i="10"/>
  <c r="BV7" i="10"/>
  <c r="FB13" i="10"/>
  <c r="GK11" i="11" a="1"/>
  <c r="GK11" i="11" s="1"/>
  <c r="GK8" i="11" a="1"/>
  <c r="GK8" i="11" s="1"/>
  <c r="GK10" i="11" a="1"/>
  <c r="GK10" i="11" s="1"/>
  <c r="GK6" i="11" a="1"/>
  <c r="GK6" i="11" s="1"/>
  <c r="GK12" i="11" a="1"/>
  <c r="GK12" i="11" s="1"/>
  <c r="GK9" i="11" a="1"/>
  <c r="GK9" i="11" s="1"/>
  <c r="GL2" i="11"/>
  <c r="GK7" i="11" a="1"/>
  <c r="GK7" i="11" s="1"/>
  <c r="BU13" i="10"/>
  <c r="BV6" i="10"/>
  <c r="BV11" i="11"/>
  <c r="DT13" i="10"/>
  <c r="BV9" i="10"/>
  <c r="DC13" i="10"/>
  <c r="BD13" i="10"/>
  <c r="DU12" i="11" a="1"/>
  <c r="DU12" i="11" s="1"/>
  <c r="DU11" i="11" a="1"/>
  <c r="DU11" i="11" s="1"/>
  <c r="DU9" i="11" a="1"/>
  <c r="DU9" i="11" s="1"/>
  <c r="DU10" i="11" a="1"/>
  <c r="DU10" i="11" s="1"/>
  <c r="DU8" i="11" a="1"/>
  <c r="DU8" i="11" s="1"/>
  <c r="DV2" i="11"/>
  <c r="DU7" i="11" a="1"/>
  <c r="DU7" i="11" s="1"/>
  <c r="DU6" i="11" a="1"/>
  <c r="DU6" i="11" s="1"/>
  <c r="DU12" i="10" a="1"/>
  <c r="DU12" i="10" s="1"/>
  <c r="DU11" i="10" a="1"/>
  <c r="DU11" i="10" s="1"/>
  <c r="DU9" i="10" a="1"/>
  <c r="DU9" i="10" s="1"/>
  <c r="DU8" i="10" a="1"/>
  <c r="DU8" i="10" s="1"/>
  <c r="DU10" i="10" a="1"/>
  <c r="DU10" i="10" s="1"/>
  <c r="DU7" i="10" a="1"/>
  <c r="DU7" i="10" s="1"/>
  <c r="DV2" i="10"/>
  <c r="DU6" i="10" a="1"/>
  <c r="DU6" i="10" s="1"/>
  <c r="BV8" i="10"/>
  <c r="FS13" i="10"/>
  <c r="HA13" i="11"/>
  <c r="HA31" i="11" s="1"/>
  <c r="GJ13" i="11"/>
  <c r="GJ32" i="11" s="1"/>
  <c r="BV10" i="10"/>
  <c r="DD12" i="10" a="1"/>
  <c r="DD12" i="10" s="1"/>
  <c r="DD11" i="10" a="1"/>
  <c r="DD11" i="10" s="1"/>
  <c r="DD8" i="10" a="1"/>
  <c r="DD8" i="10" s="1"/>
  <c r="DD9" i="10" a="1"/>
  <c r="DD9" i="10" s="1"/>
  <c r="DD10" i="10" a="1"/>
  <c r="DD10" i="10" s="1"/>
  <c r="DD6" i="10" a="1"/>
  <c r="DD6" i="10" s="1"/>
  <c r="DE2" i="10"/>
  <c r="DD7" i="10" a="1"/>
  <c r="DD7" i="10" s="1"/>
  <c r="FT12" i="11" a="1"/>
  <c r="FT12" i="11" s="1"/>
  <c r="FT11" i="11" a="1"/>
  <c r="FT11" i="11" s="1"/>
  <c r="FT10" i="11" a="1"/>
  <c r="FT10" i="11" s="1"/>
  <c r="FT9" i="11" a="1"/>
  <c r="FT9" i="11" s="1"/>
  <c r="FT8" i="11" a="1"/>
  <c r="FT8" i="11" s="1"/>
  <c r="FT7" i="11" a="1"/>
  <c r="FT7" i="11" s="1"/>
  <c r="FT6" i="11" a="1"/>
  <c r="FT6" i="11" s="1"/>
  <c r="FU2" i="11"/>
  <c r="DT13" i="11"/>
  <c r="DT33" i="11" s="1"/>
  <c r="BV11" i="10"/>
  <c r="FS13" i="11"/>
  <c r="HB12" i="11" a="1"/>
  <c r="HB12" i="11" s="1"/>
  <c r="HB11" i="11" a="1"/>
  <c r="HB11" i="11" s="1"/>
  <c r="HB10" i="11" a="1"/>
  <c r="HB10" i="11" s="1"/>
  <c r="HB9" i="11" a="1"/>
  <c r="HB9" i="11" s="1"/>
  <c r="HB7" i="11" a="1"/>
  <c r="HB7" i="11" s="1"/>
  <c r="HB8" i="11" a="1"/>
  <c r="HB8" i="11" s="1"/>
  <c r="HB6" i="11" a="1"/>
  <c r="HB6" i="11" s="1"/>
  <c r="HC2" i="11"/>
  <c r="BV7" i="11"/>
  <c r="BU18" i="11" s="1"/>
  <c r="BV12" i="10"/>
  <c r="BD13" i="11"/>
  <c r="BD31" i="11" s="1"/>
  <c r="BU13" i="11"/>
  <c r="BU28" i="11" s="1"/>
  <c r="BV6" i="11"/>
  <c r="EL11" i="10" a="1"/>
  <c r="EL11" i="10" s="1"/>
  <c r="EL12" i="10" a="1"/>
  <c r="EL12" i="10" s="1"/>
  <c r="EL8" i="10" a="1"/>
  <c r="EL8" i="10" s="1"/>
  <c r="EL10" i="10" a="1"/>
  <c r="EL10" i="10" s="1"/>
  <c r="EL9" i="10" a="1"/>
  <c r="EL9" i="10" s="1"/>
  <c r="EL7" i="10" a="1"/>
  <c r="EL7" i="10" s="1"/>
  <c r="EM2" i="10"/>
  <c r="EL6" i="10" a="1"/>
  <c r="EL6" i="10" s="1"/>
  <c r="CM12" i="11" a="1"/>
  <c r="CM12" i="11" s="1"/>
  <c r="CM11" i="11" a="1"/>
  <c r="CM11" i="11" s="1"/>
  <c r="CM9" i="11" a="1"/>
  <c r="CM9" i="11" s="1"/>
  <c r="CM10" i="11" a="1"/>
  <c r="CM10" i="11" s="1"/>
  <c r="CM8" i="11" a="1"/>
  <c r="CM8" i="11" s="1"/>
  <c r="CM7" i="11" a="1"/>
  <c r="CM7" i="11" s="1"/>
  <c r="CM6" i="11" a="1"/>
  <c r="CM6" i="11" s="1"/>
  <c r="CM11" i="10" a="1"/>
  <c r="CM11" i="10" s="1"/>
  <c r="CM12" i="10" a="1"/>
  <c r="CM12" i="10" s="1"/>
  <c r="CM10" i="10" a="1"/>
  <c r="CM10" i="10" s="1"/>
  <c r="CM9" i="10" a="1"/>
  <c r="CM9" i="10" s="1"/>
  <c r="CM8" i="10" a="1"/>
  <c r="CM8" i="10" s="1"/>
  <c r="CM7" i="10" a="1"/>
  <c r="CM7" i="10" s="1"/>
  <c r="CM6" i="10" a="1"/>
  <c r="CM6" i="10" s="1"/>
  <c r="BV9" i="11"/>
  <c r="BU20" i="11" s="1"/>
  <c r="EK13" i="10"/>
  <c r="CL13" i="11"/>
  <c r="CL31" i="11" s="1"/>
  <c r="HS12" i="10" a="1"/>
  <c r="HS12" i="10" s="1"/>
  <c r="HS10" i="10" a="1"/>
  <c r="HS10" i="10" s="1"/>
  <c r="HS11" i="10" a="1"/>
  <c r="HS11" i="10" s="1"/>
  <c r="HS9" i="10" a="1"/>
  <c r="HS9" i="10" s="1"/>
  <c r="HS7" i="10" a="1"/>
  <c r="HS7" i="10" s="1"/>
  <c r="HS8" i="10" a="1"/>
  <c r="HS8" i="10" s="1"/>
  <c r="HS6" i="10" a="1"/>
  <c r="HS6" i="10" s="1"/>
  <c r="HT2" i="10"/>
  <c r="BV10" i="11"/>
  <c r="CL13" i="10"/>
  <c r="FT12" i="10" a="1"/>
  <c r="FT12" i="10" s="1"/>
  <c r="FT10" i="10" a="1"/>
  <c r="FT10" i="10" s="1"/>
  <c r="FT11" i="10" a="1"/>
  <c r="FT11" i="10" s="1"/>
  <c r="FT8" i="10" a="1"/>
  <c r="FT8" i="10" s="1"/>
  <c r="FT9" i="10" a="1"/>
  <c r="FT9" i="10" s="1"/>
  <c r="FT6" i="10" a="1"/>
  <c r="FT6" i="10" s="1"/>
  <c r="FT7" i="10" a="1"/>
  <c r="FT7" i="10" s="1"/>
  <c r="FU2" i="10"/>
  <c r="HR13" i="10"/>
  <c r="DD12" i="11" a="1"/>
  <c r="DD12" i="11" s="1"/>
  <c r="DD10" i="11" a="1"/>
  <c r="DD10" i="11" s="1"/>
  <c r="DD11" i="11" a="1"/>
  <c r="DD11" i="11" s="1"/>
  <c r="DD8" i="11" a="1"/>
  <c r="DD8" i="11" s="1"/>
  <c r="DD9" i="11" a="1"/>
  <c r="DD9" i="11" s="1"/>
  <c r="DD6" i="11" a="1"/>
  <c r="DD6" i="11" s="1"/>
  <c r="DD7" i="11" a="1"/>
  <c r="DD7" i="11" s="1"/>
  <c r="DE2" i="11"/>
  <c r="BV8" i="11"/>
  <c r="BU19" i="11" s="1"/>
  <c r="FU13" i="2"/>
  <c r="DF7" i="2"/>
  <c r="BV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V17" i="2"/>
  <c r="BV13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FV11" i="2" a="1"/>
  <c r="FV11" i="2" s="1"/>
  <c r="FV9" i="2" a="1"/>
  <c r="FV9" i="2" s="1"/>
  <c r="FV8" i="2" a="1"/>
  <c r="FV8" i="2" s="1"/>
  <c r="FV7" i="2" a="1"/>
  <c r="FV7" i="2" s="1"/>
  <c r="FV12" i="2" a="1"/>
  <c r="FV12" i="2" s="1"/>
  <c r="FW2" i="2"/>
  <c r="FV10" i="2" a="1"/>
  <c r="FV10" i="2" s="1"/>
  <c r="FV6" i="2" a="1"/>
  <c r="FV6" i="2" s="1"/>
  <c r="EN7" i="2" a="1"/>
  <c r="EN7" i="2" s="1"/>
  <c r="EN11" i="2" a="1"/>
  <c r="EN11" i="2" s="1"/>
  <c r="EN8" i="2" a="1"/>
  <c r="EN8" i="2" s="1"/>
  <c r="EN6" i="2" a="1"/>
  <c r="EN6" i="2" s="1"/>
  <c r="EN10" i="2" a="1"/>
  <c r="EN10" i="2" s="1"/>
  <c r="EO2" i="2"/>
  <c r="EN9" i="2" a="1"/>
  <c r="EN9" i="2" s="1"/>
  <c r="EN12" i="2" a="1"/>
  <c r="EN12" i="2" s="1"/>
  <c r="BV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EM13" i="2"/>
  <c r="BV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DF12" i="2"/>
  <c r="CN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N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DV13" i="2"/>
  <c r="DE13" i="2"/>
  <c r="DF6" i="2"/>
  <c r="DE17" i="2" s="1"/>
  <c r="FD13" i="2"/>
  <c r="CN17" i="2"/>
  <c r="CN13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BV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DE22" i="2"/>
  <c r="DF11" i="2"/>
  <c r="CM18" i="2"/>
  <c r="CN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2" i="2"/>
  <c r="CN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N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FE7" i="2" a="1"/>
  <c r="FE7" i="2" s="1"/>
  <c r="FF2" i="2"/>
  <c r="FE11" i="2" a="1"/>
  <c r="FE11" i="2" s="1"/>
  <c r="FE8" i="2" a="1"/>
  <c r="FE8" i="2" s="1"/>
  <c r="FE12" i="2" a="1"/>
  <c r="FE12" i="2" s="1"/>
  <c r="FE6" i="2" a="1"/>
  <c r="FE6" i="2" s="1"/>
  <c r="FE10" i="2" a="1"/>
  <c r="FE10" i="2" s="1"/>
  <c r="FE9" i="2" a="1"/>
  <c r="FE9" i="2" s="1"/>
  <c r="BV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DE21" i="2"/>
  <c r="DF10" i="2"/>
  <c r="CM23" i="2"/>
  <c r="CM20" i="2"/>
  <c r="CM19" i="2"/>
  <c r="DW10" i="2" a="1"/>
  <c r="DW10" i="2" s="1"/>
  <c r="DW11" i="2" a="1"/>
  <c r="DW11" i="2" s="1"/>
  <c r="DW9" i="2" a="1"/>
  <c r="DW9" i="2" s="1"/>
  <c r="DW8" i="2" a="1"/>
  <c r="DW8" i="2" s="1"/>
  <c r="DW12" i="2" a="1"/>
  <c r="DW12" i="2" s="1"/>
  <c r="DW6" i="2" a="1"/>
  <c r="DW6" i="2" s="1"/>
  <c r="DW7" i="2" a="1"/>
  <c r="DW7" i="2" s="1"/>
  <c r="DE20" i="2"/>
  <c r="DF9" i="2"/>
  <c r="HT13" i="2"/>
  <c r="DF8" i="2"/>
  <c r="DE19" i="2" s="1"/>
  <c r="HU11" i="2" a="1"/>
  <c r="HU11" i="2" s="1"/>
  <c r="HU10" i="2" a="1"/>
  <c r="HU10" i="2" s="1"/>
  <c r="HU9" i="2" a="1"/>
  <c r="HU9" i="2" s="1"/>
  <c r="HU8" i="2" a="1"/>
  <c r="HU8" i="2" s="1"/>
  <c r="HU7" i="2" a="1"/>
  <c r="HU7" i="2" s="1"/>
  <c r="HU6" i="2" a="1"/>
  <c r="HU6" i="2" s="1"/>
  <c r="HV2" i="2"/>
  <c r="HU12" i="2" a="1"/>
  <c r="HU12" i="2" s="1"/>
  <c r="GM9" i="2" a="1"/>
  <c r="GM9" i="2" s="1"/>
  <c r="GM8" i="2" a="1"/>
  <c r="GM8" i="2" s="1"/>
  <c r="GM7" i="2" a="1"/>
  <c r="GM7" i="2" s="1"/>
  <c r="GM6" i="2" a="1"/>
  <c r="GM6" i="2" s="1"/>
  <c r="GM10" i="2" a="1"/>
  <c r="GM10" i="2" s="1"/>
  <c r="GN2" i="2"/>
  <c r="GM11" i="2" a="1"/>
  <c r="GM11" i="2" s="1"/>
  <c r="GM12" i="2" a="1"/>
  <c r="GM12" i="2" s="1"/>
  <c r="CN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HC13" i="2"/>
  <c r="GL13" i="2"/>
  <c r="BV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HD12" i="2" a="1"/>
  <c r="HD12" i="2" s="1"/>
  <c r="HE2" i="2"/>
  <c r="HD9" i="2" a="1"/>
  <c r="HD9" i="2" s="1"/>
  <c r="HD8" i="2" a="1"/>
  <c r="HD8" i="2" s="1"/>
  <c r="HD6" i="2" a="1"/>
  <c r="HD6" i="2" s="1"/>
  <c r="HD11" i="2" a="1"/>
  <c r="HD11" i="2" s="1"/>
  <c r="HD7" i="2" a="1"/>
  <c r="HD7" i="2" s="1"/>
  <c r="HD10" i="2" a="1"/>
  <c r="HD10" i="2" s="1"/>
  <c r="BD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17" i="2"/>
  <c r="BD13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D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DU12" i="12" l="1"/>
  <c r="HB11" i="12"/>
  <c r="HB12" i="12"/>
  <c r="EL12" i="12"/>
  <c r="FC9" i="12"/>
  <c r="FC30" i="11"/>
  <c r="DT27" i="11"/>
  <c r="HA33" i="11"/>
  <c r="FR34" i="12"/>
  <c r="HQ34" i="12"/>
  <c r="CL28" i="11"/>
  <c r="FR31" i="12"/>
  <c r="CL29" i="11"/>
  <c r="FS31" i="12"/>
  <c r="FS13" i="12"/>
  <c r="FS27" i="12"/>
  <c r="GJ28" i="11"/>
  <c r="HB6" i="12"/>
  <c r="GK8" i="12"/>
  <c r="GK29" i="11"/>
  <c r="FB34" i="11"/>
  <c r="GK11" i="12"/>
  <c r="CM6" i="12"/>
  <c r="FS34" i="11"/>
  <c r="HS7" i="12"/>
  <c r="FC7" i="12"/>
  <c r="DT13" i="12"/>
  <c r="DT27" i="12"/>
  <c r="BD33" i="11"/>
  <c r="EK32" i="11"/>
  <c r="FB32" i="11"/>
  <c r="FR32" i="12"/>
  <c r="DB28" i="12"/>
  <c r="BU30" i="11"/>
  <c r="GJ31" i="11"/>
  <c r="FB27" i="11"/>
  <c r="DD11" i="12"/>
  <c r="FC8" i="12"/>
  <c r="FC29" i="11"/>
  <c r="FB30" i="11"/>
  <c r="GI34" i="12"/>
  <c r="FB31" i="11"/>
  <c r="EL11" i="12"/>
  <c r="CM7" i="12"/>
  <c r="CM18" i="11"/>
  <c r="BV17" i="11"/>
  <c r="BF17" i="11"/>
  <c r="BG17" i="11"/>
  <c r="BH17" i="11"/>
  <c r="BI17" i="11"/>
  <c r="BJ17" i="11"/>
  <c r="BK17" i="11"/>
  <c r="BL17" i="11"/>
  <c r="BM17" i="11"/>
  <c r="BN17" i="11"/>
  <c r="BO17" i="11"/>
  <c r="BP17" i="11"/>
  <c r="BQ17" i="11"/>
  <c r="BR17" i="11"/>
  <c r="BS17" i="11"/>
  <c r="BT17" i="11"/>
  <c r="HS8" i="12"/>
  <c r="FC10" i="12"/>
  <c r="BT34" i="12"/>
  <c r="FS33" i="11"/>
  <c r="EK32" i="12"/>
  <c r="GI30" i="12"/>
  <c r="FB32" i="12"/>
  <c r="EK13" i="12"/>
  <c r="EK27" i="12"/>
  <c r="BV9" i="12"/>
  <c r="FB13" i="12"/>
  <c r="FB31" i="12" s="1"/>
  <c r="BT30" i="12"/>
  <c r="DD10" i="12"/>
  <c r="DD12" i="12"/>
  <c r="CM8" i="12"/>
  <c r="BU34" i="11"/>
  <c r="BU24" i="11"/>
  <c r="DT34" i="11"/>
  <c r="BV22" i="11"/>
  <c r="BF22" i="11"/>
  <c r="BG22" i="11"/>
  <c r="BH22" i="11"/>
  <c r="BI22" i="11"/>
  <c r="BJ22" i="11"/>
  <c r="BK22" i="11"/>
  <c r="BL22" i="11"/>
  <c r="BM22" i="11"/>
  <c r="BN22" i="11"/>
  <c r="BO22" i="11"/>
  <c r="BP22" i="11"/>
  <c r="BQ22" i="11"/>
  <c r="BR22" i="11"/>
  <c r="BS22" i="11"/>
  <c r="BT22" i="11"/>
  <c r="EK34" i="11"/>
  <c r="HS6" i="12"/>
  <c r="FC11" i="12"/>
  <c r="EJ33" i="12"/>
  <c r="DS29" i="12"/>
  <c r="EK31" i="11"/>
  <c r="FA33" i="12"/>
  <c r="FS33" i="12"/>
  <c r="CL32" i="11"/>
  <c r="HR27" i="11"/>
  <c r="CK31" i="12"/>
  <c r="DT33" i="12"/>
  <c r="BU18" i="12"/>
  <c r="BU28" i="12"/>
  <c r="BV7" i="12"/>
  <c r="BD22" i="12"/>
  <c r="AN22" i="12"/>
  <c r="AO22" i="12"/>
  <c r="AP22" i="12"/>
  <c r="AQ22" i="12"/>
  <c r="AR22" i="12"/>
  <c r="AS22" i="12"/>
  <c r="AT22" i="12"/>
  <c r="AU22" i="12"/>
  <c r="AV22" i="12"/>
  <c r="AW22" i="12"/>
  <c r="AX22" i="12"/>
  <c r="AY22" i="12"/>
  <c r="AZ22" i="12"/>
  <c r="BA22" i="12"/>
  <c r="BB22" i="12"/>
  <c r="DT32" i="11"/>
  <c r="DD8" i="12"/>
  <c r="BV21" i="11"/>
  <c r="BF21" i="11"/>
  <c r="BG21" i="11"/>
  <c r="BH21" i="11"/>
  <c r="BI21" i="11"/>
  <c r="BJ21" i="11"/>
  <c r="BK21" i="11"/>
  <c r="BL21" i="11"/>
  <c r="BM21" i="11"/>
  <c r="BN21" i="11"/>
  <c r="BO21" i="11"/>
  <c r="BP21" i="11"/>
  <c r="BQ21" i="11"/>
  <c r="BR21" i="11"/>
  <c r="BS21" i="11"/>
  <c r="BT21" i="11"/>
  <c r="EL10" i="12"/>
  <c r="FC6" i="12"/>
  <c r="GJ30" i="12"/>
  <c r="DC13" i="12"/>
  <c r="DC27" i="12" s="1"/>
  <c r="FS32" i="12"/>
  <c r="BV10" i="12"/>
  <c r="DT31" i="12"/>
  <c r="BC34" i="12"/>
  <c r="CM10" i="12"/>
  <c r="BD34" i="11"/>
  <c r="BD24" i="11"/>
  <c r="AN24" i="11"/>
  <c r="BD14" i="11"/>
  <c r="BD15" i="11" s="1"/>
  <c r="AO24" i="11"/>
  <c r="AP24" i="11"/>
  <c r="AQ24" i="11"/>
  <c r="AR24" i="11"/>
  <c r="AS24" i="11"/>
  <c r="AT24" i="11"/>
  <c r="AU24" i="11"/>
  <c r="AV24" i="11"/>
  <c r="AW24" i="11"/>
  <c r="AX24" i="11"/>
  <c r="AY24" i="11"/>
  <c r="AZ24" i="11"/>
  <c r="BA24" i="11"/>
  <c r="BB24" i="11"/>
  <c r="FC12" i="12"/>
  <c r="BD21" i="12"/>
  <c r="AN21" i="12"/>
  <c r="AO21" i="12"/>
  <c r="AP21" i="12"/>
  <c r="AQ21" i="12"/>
  <c r="AR21" i="12"/>
  <c r="AS21" i="12"/>
  <c r="AT21" i="12"/>
  <c r="AU21" i="12"/>
  <c r="AV21" i="12"/>
  <c r="AW21" i="12"/>
  <c r="AX21" i="12"/>
  <c r="AY21" i="12"/>
  <c r="AZ21" i="12"/>
  <c r="BA21" i="12"/>
  <c r="BB21" i="12"/>
  <c r="EK31" i="12"/>
  <c r="BT29" i="12"/>
  <c r="FS30" i="11"/>
  <c r="DS34" i="12"/>
  <c r="HR13" i="12"/>
  <c r="HR27" i="12" s="1"/>
  <c r="HR28" i="12"/>
  <c r="HA28" i="11"/>
  <c r="FB33" i="11"/>
  <c r="BC32" i="12"/>
  <c r="DT29" i="11"/>
  <c r="GI31" i="12"/>
  <c r="DT32" i="12"/>
  <c r="HB10" i="12"/>
  <c r="BV19" i="11"/>
  <c r="BF19" i="11"/>
  <c r="BG19" i="11"/>
  <c r="BH19" i="11"/>
  <c r="BI19" i="11"/>
  <c r="BJ19" i="11"/>
  <c r="BK19" i="11"/>
  <c r="BL19" i="11"/>
  <c r="BM19" i="11"/>
  <c r="BN19" i="11"/>
  <c r="BO19" i="11"/>
  <c r="BP19" i="11"/>
  <c r="BQ19" i="11"/>
  <c r="BR19" i="11"/>
  <c r="BS19" i="11"/>
  <c r="BT19" i="11"/>
  <c r="CL34" i="11"/>
  <c r="CM9" i="12"/>
  <c r="CM30" i="11"/>
  <c r="FT6" i="12"/>
  <c r="DU6" i="12"/>
  <c r="HS10" i="12"/>
  <c r="BT31" i="12"/>
  <c r="BC31" i="12"/>
  <c r="FB28" i="11"/>
  <c r="BT33" i="12"/>
  <c r="CL33" i="11"/>
  <c r="FS28" i="11"/>
  <c r="FS30" i="12"/>
  <c r="DB34" i="12"/>
  <c r="HA29" i="11"/>
  <c r="BU33" i="11"/>
  <c r="BU22" i="11"/>
  <c r="BU29" i="11"/>
  <c r="DT29" i="12"/>
  <c r="FT7" i="12"/>
  <c r="DU7" i="12"/>
  <c r="GK7" i="12"/>
  <c r="HS11" i="12"/>
  <c r="BV23" i="11"/>
  <c r="BF23" i="11"/>
  <c r="BG23" i="11"/>
  <c r="BH23" i="11"/>
  <c r="BI23" i="11"/>
  <c r="BJ23" i="11"/>
  <c r="BK23" i="11"/>
  <c r="BL23" i="11"/>
  <c r="BM23" i="11"/>
  <c r="BN23" i="11"/>
  <c r="BO23" i="11"/>
  <c r="BP23" i="11"/>
  <c r="BQ23" i="11"/>
  <c r="BR23" i="11"/>
  <c r="BS23" i="11"/>
  <c r="BT23" i="11"/>
  <c r="DT28" i="11"/>
  <c r="BC21" i="12"/>
  <c r="DC32" i="12"/>
  <c r="EJ27" i="12"/>
  <c r="FR33" i="12"/>
  <c r="FS28" i="12"/>
  <c r="HA29" i="12"/>
  <c r="HQ32" i="12"/>
  <c r="BU23" i="11"/>
  <c r="BU32" i="11"/>
  <c r="DS30" i="12"/>
  <c r="BV8" i="12"/>
  <c r="GZ34" i="12"/>
  <c r="CL27" i="11"/>
  <c r="BU17" i="11"/>
  <c r="GZ32" i="12"/>
  <c r="DB33" i="12"/>
  <c r="HQ30" i="12"/>
  <c r="CM11" i="12"/>
  <c r="BV18" i="11"/>
  <c r="BF18" i="11"/>
  <c r="BG18" i="11"/>
  <c r="BH18" i="11"/>
  <c r="BI18" i="11"/>
  <c r="BJ18" i="11"/>
  <c r="BK18" i="11"/>
  <c r="BL18" i="11"/>
  <c r="BM18" i="11"/>
  <c r="BN18" i="11"/>
  <c r="BO18" i="11"/>
  <c r="BP18" i="11"/>
  <c r="BQ18" i="11"/>
  <c r="BR18" i="11"/>
  <c r="BS18" i="11"/>
  <c r="BT18" i="11"/>
  <c r="DD7" i="12"/>
  <c r="DD28" i="11"/>
  <c r="BV20" i="11"/>
  <c r="BF20" i="11"/>
  <c r="BG20" i="11"/>
  <c r="BH20" i="11"/>
  <c r="BI20" i="11"/>
  <c r="BJ20" i="11"/>
  <c r="BK20" i="11"/>
  <c r="BL20" i="11"/>
  <c r="BM20" i="11"/>
  <c r="BN20" i="11"/>
  <c r="BO20" i="11"/>
  <c r="BP20" i="11"/>
  <c r="BQ20" i="11"/>
  <c r="BR20" i="11"/>
  <c r="BS20" i="11"/>
  <c r="BT20" i="11"/>
  <c r="CM12" i="12"/>
  <c r="FT8" i="12"/>
  <c r="GJ34" i="11"/>
  <c r="HS9" i="12"/>
  <c r="DT28" i="12"/>
  <c r="DS33" i="12"/>
  <c r="BD20" i="12"/>
  <c r="AN20" i="12"/>
  <c r="AO20" i="12"/>
  <c r="AP20" i="12"/>
  <c r="AQ20" i="12"/>
  <c r="AR20" i="12"/>
  <c r="AS20" i="12"/>
  <c r="AT20" i="12"/>
  <c r="AU20" i="12"/>
  <c r="AV20" i="12"/>
  <c r="AW20" i="12"/>
  <c r="AX20" i="12"/>
  <c r="AY20" i="12"/>
  <c r="AZ20" i="12"/>
  <c r="BA20" i="12"/>
  <c r="BB20" i="12"/>
  <c r="EJ34" i="12"/>
  <c r="FS29" i="11"/>
  <c r="HR32" i="12"/>
  <c r="BU33" i="12"/>
  <c r="BU23" i="12"/>
  <c r="BV12" i="12"/>
  <c r="BU22" i="12"/>
  <c r="BU32" i="12"/>
  <c r="BV11" i="12"/>
  <c r="GI29" i="12"/>
  <c r="CL13" i="12"/>
  <c r="CL30" i="12" s="1"/>
  <c r="BT28" i="12"/>
  <c r="BU27" i="11"/>
  <c r="FT9" i="12"/>
  <c r="HA34" i="11"/>
  <c r="DU8" i="12"/>
  <c r="GK9" i="12"/>
  <c r="GK30" i="11"/>
  <c r="EL6" i="12"/>
  <c r="HS12" i="12"/>
  <c r="BC30" i="12"/>
  <c r="CK34" i="12"/>
  <c r="CL30" i="11"/>
  <c r="EK28" i="11"/>
  <c r="HA27" i="11"/>
  <c r="CK32" i="12"/>
  <c r="CK33" i="12"/>
  <c r="BU13" i="12"/>
  <c r="BU30" i="12" s="1"/>
  <c r="BV6" i="12"/>
  <c r="GZ30" i="12"/>
  <c r="BD18" i="12"/>
  <c r="BD28" i="12"/>
  <c r="AN18" i="12"/>
  <c r="AO18" i="12"/>
  <c r="AP18" i="12"/>
  <c r="AQ18" i="12"/>
  <c r="AR18" i="12"/>
  <c r="AS18" i="12"/>
  <c r="AT18" i="12"/>
  <c r="AU18" i="12"/>
  <c r="AV18" i="12"/>
  <c r="AW18" i="12"/>
  <c r="AX18" i="12"/>
  <c r="AY18" i="12"/>
  <c r="AZ18" i="12"/>
  <c r="BA18" i="12"/>
  <c r="BB18" i="12"/>
  <c r="DD9" i="12"/>
  <c r="DD30" i="11"/>
  <c r="HB8" i="12"/>
  <c r="FT10" i="12"/>
  <c r="DU10" i="12"/>
  <c r="GK12" i="12"/>
  <c r="EL9" i="12"/>
  <c r="DC34" i="11"/>
  <c r="DC33" i="11"/>
  <c r="BD32" i="11"/>
  <c r="BC20" i="12"/>
  <c r="HR29" i="12"/>
  <c r="BD27" i="11"/>
  <c r="FA34" i="12"/>
  <c r="HR30" i="12"/>
  <c r="FS29" i="12"/>
  <c r="DC31" i="11"/>
  <c r="EK28" i="12"/>
  <c r="HA13" i="12"/>
  <c r="HA27" i="12" s="1"/>
  <c r="EK30" i="11"/>
  <c r="HA32" i="11"/>
  <c r="BT32" i="12"/>
  <c r="DT30" i="11"/>
  <c r="FR30" i="12"/>
  <c r="GJ33" i="11"/>
  <c r="BC18" i="12"/>
  <c r="GJ27" i="11"/>
  <c r="HB7" i="12"/>
  <c r="FT11" i="12"/>
  <c r="DU9" i="12"/>
  <c r="DU30" i="11"/>
  <c r="GK6" i="12"/>
  <c r="EL8" i="12"/>
  <c r="HR34" i="11"/>
  <c r="DC33" i="12"/>
  <c r="GJ29" i="11"/>
  <c r="EJ29" i="12"/>
  <c r="BC24" i="11"/>
  <c r="DC31" i="12"/>
  <c r="EK30" i="12"/>
  <c r="GI28" i="12"/>
  <c r="HA30" i="11"/>
  <c r="BD19" i="12"/>
  <c r="BD29" i="12"/>
  <c r="AN19" i="12"/>
  <c r="AO19" i="12"/>
  <c r="AP19" i="12"/>
  <c r="AQ19" i="12"/>
  <c r="AR19" i="12"/>
  <c r="AS19" i="12"/>
  <c r="AT19" i="12"/>
  <c r="AU19" i="12"/>
  <c r="AV19" i="12"/>
  <c r="AW19" i="12"/>
  <c r="AX19" i="12"/>
  <c r="AY19" i="12"/>
  <c r="AZ19" i="12"/>
  <c r="BA19" i="12"/>
  <c r="BB19" i="12"/>
  <c r="DT30" i="12"/>
  <c r="GJ33" i="12"/>
  <c r="BD13" i="12"/>
  <c r="BC24" i="12" s="1"/>
  <c r="BD17" i="12"/>
  <c r="AN17" i="12"/>
  <c r="AO17" i="12"/>
  <c r="AP17" i="12"/>
  <c r="AQ17" i="12"/>
  <c r="AR17" i="12"/>
  <c r="AS17" i="12"/>
  <c r="AT17" i="12"/>
  <c r="AU17" i="12"/>
  <c r="AV17" i="12"/>
  <c r="AW17" i="12"/>
  <c r="AX17" i="12"/>
  <c r="AY17" i="12"/>
  <c r="AZ17" i="12"/>
  <c r="BA17" i="12"/>
  <c r="BB17" i="12"/>
  <c r="FB29" i="11"/>
  <c r="FA30" i="12"/>
  <c r="BC28" i="12"/>
  <c r="GI33" i="12"/>
  <c r="GJ13" i="12"/>
  <c r="GJ31" i="12" s="1"/>
  <c r="DD6" i="12"/>
  <c r="DD27" i="11"/>
  <c r="HB9" i="12"/>
  <c r="FT12" i="12"/>
  <c r="DU11" i="12"/>
  <c r="GK10" i="12"/>
  <c r="EL7" i="12"/>
  <c r="EK29" i="11"/>
  <c r="BD23" i="12"/>
  <c r="AN23" i="12"/>
  <c r="AO23" i="12"/>
  <c r="AP23" i="12"/>
  <c r="AQ23" i="12"/>
  <c r="AR23" i="12"/>
  <c r="AS23" i="12"/>
  <c r="AT23" i="12"/>
  <c r="AU23" i="12"/>
  <c r="AV23" i="12"/>
  <c r="AW23" i="12"/>
  <c r="AX23" i="12"/>
  <c r="AY23" i="12"/>
  <c r="AZ23" i="12"/>
  <c r="BA23" i="12"/>
  <c r="BB23" i="12"/>
  <c r="GI27" i="12"/>
  <c r="HQ28" i="12"/>
  <c r="HA30" i="12"/>
  <c r="BC29" i="12"/>
  <c r="BU21" i="11"/>
  <c r="BC17" i="12"/>
  <c r="FU12" i="11" a="1"/>
  <c r="FU12" i="11" s="1"/>
  <c r="FU10" i="11" a="1"/>
  <c r="FU10" i="11" s="1"/>
  <c r="FU11" i="11" a="1"/>
  <c r="FU11" i="11" s="1"/>
  <c r="FU9" i="11" a="1"/>
  <c r="FU9" i="11" s="1"/>
  <c r="FU8" i="11" a="1"/>
  <c r="FU8" i="11" s="1"/>
  <c r="FU7" i="11" a="1"/>
  <c r="FU7" i="11" s="1"/>
  <c r="FU6" i="11" a="1"/>
  <c r="FU6" i="11" s="1"/>
  <c r="FV2" i="11"/>
  <c r="BV13" i="10"/>
  <c r="CN8" i="11"/>
  <c r="CM19" i="11" s="1"/>
  <c r="CN9" i="10"/>
  <c r="CN8" i="10"/>
  <c r="EM11" i="10" a="1"/>
  <c r="EM11" i="10" s="1"/>
  <c r="EM12" i="10" a="1"/>
  <c r="EM12" i="10" s="1"/>
  <c r="EM10" i="10" a="1"/>
  <c r="EM10" i="10" s="1"/>
  <c r="EM8" i="10" a="1"/>
  <c r="EM8" i="10" s="1"/>
  <c r="EM9" i="10" a="1"/>
  <c r="EM9" i="10" s="1"/>
  <c r="EM7" i="10" a="1"/>
  <c r="EM7" i="10" s="1"/>
  <c r="EM6" i="10" a="1"/>
  <c r="EM6" i="10" s="1"/>
  <c r="EN2" i="10"/>
  <c r="CN10" i="10"/>
  <c r="FU12" i="10" a="1"/>
  <c r="FU12" i="10" s="1"/>
  <c r="FU11" i="10" a="1"/>
  <c r="FU11" i="10" s="1"/>
  <c r="FU10" i="10" a="1"/>
  <c r="FU10" i="10" s="1"/>
  <c r="FU8" i="10" a="1"/>
  <c r="FU8" i="10" s="1"/>
  <c r="FU9" i="10" a="1"/>
  <c r="FU9" i="10" s="1"/>
  <c r="FU7" i="10" a="1"/>
  <c r="FU7" i="10" s="1"/>
  <c r="FU6" i="10" a="1"/>
  <c r="FU6" i="10" s="1"/>
  <c r="FV2" i="10"/>
  <c r="CN12" i="10"/>
  <c r="HS13" i="10"/>
  <c r="CN11" i="10"/>
  <c r="FC13" i="10"/>
  <c r="FD12" i="11" a="1"/>
  <c r="FD12" i="11" s="1"/>
  <c r="FD11" i="11" a="1"/>
  <c r="FD11" i="11" s="1"/>
  <c r="FD10" i="11" a="1"/>
  <c r="FD10" i="11" s="1"/>
  <c r="FD8" i="11" a="1"/>
  <c r="FD8" i="11" s="1"/>
  <c r="FD7" i="11" a="1"/>
  <c r="FD7" i="11" s="1"/>
  <c r="FD9" i="11" a="1"/>
  <c r="FD9" i="11" s="1"/>
  <c r="FE2" i="11"/>
  <c r="FD6" i="11" a="1"/>
  <c r="FD6" i="11" s="1"/>
  <c r="FT13" i="10"/>
  <c r="DE11" i="10" a="1"/>
  <c r="DE11" i="10" s="1"/>
  <c r="DE12" i="10" a="1"/>
  <c r="DE12" i="10" s="1"/>
  <c r="DE9" i="10" a="1"/>
  <c r="DE9" i="10" s="1"/>
  <c r="DE10" i="10" a="1"/>
  <c r="DE10" i="10" s="1"/>
  <c r="DE8" i="10" a="1"/>
  <c r="DE8" i="10" s="1"/>
  <c r="DE6" i="10" a="1"/>
  <c r="DE6" i="10" s="1"/>
  <c r="DE7" i="10" a="1"/>
  <c r="DE7" i="10" s="1"/>
  <c r="GL12" i="11" a="1"/>
  <c r="GL12" i="11" s="1"/>
  <c r="GL11" i="11" a="1"/>
  <c r="GL11" i="11" s="1"/>
  <c r="GL10" i="11" a="1"/>
  <c r="GL10" i="11" s="1"/>
  <c r="GL9" i="11" a="1"/>
  <c r="GL9" i="11" s="1"/>
  <c r="GL8" i="11" a="1"/>
  <c r="GL8" i="11" s="1"/>
  <c r="GL7" i="11" a="1"/>
  <c r="GL7" i="11" s="1"/>
  <c r="GL6" i="11" a="1"/>
  <c r="GL6" i="11" s="1"/>
  <c r="GM2" i="11"/>
  <c r="FD12" i="10" a="1"/>
  <c r="FD12" i="10" s="1"/>
  <c r="FD10" i="10" a="1"/>
  <c r="FD10" i="10" s="1"/>
  <c r="FD9" i="10" a="1"/>
  <c r="FD9" i="10" s="1"/>
  <c r="FD8" i="10" a="1"/>
  <c r="FD8" i="10" s="1"/>
  <c r="FD11" i="10" a="1"/>
  <c r="FD11" i="10" s="1"/>
  <c r="FE2" i="10"/>
  <c r="FD6" i="10" a="1"/>
  <c r="FD6" i="10" s="1"/>
  <c r="FD7" i="10" a="1"/>
  <c r="FD7" i="10" s="1"/>
  <c r="GK13" i="10"/>
  <c r="DD13" i="10"/>
  <c r="GL12" i="10" a="1"/>
  <c r="GL12" i="10" s="1"/>
  <c r="GL9" i="10" a="1"/>
  <c r="GL9" i="10" s="1"/>
  <c r="GL11" i="10" a="1"/>
  <c r="GL11" i="10" s="1"/>
  <c r="GL10" i="10" a="1"/>
  <c r="GL10" i="10" s="1"/>
  <c r="GL7" i="10" a="1"/>
  <c r="GL7" i="10" s="1"/>
  <c r="GL8" i="10" a="1"/>
  <c r="GL8" i="10" s="1"/>
  <c r="GM2" i="10"/>
  <c r="GL6" i="10" a="1"/>
  <c r="GL6" i="10" s="1"/>
  <c r="FC13" i="11"/>
  <c r="FC28" i="11" s="1"/>
  <c r="HC12" i="10" a="1"/>
  <c r="HC12" i="10" s="1"/>
  <c r="HC10" i="10" a="1"/>
  <c r="HC10" i="10" s="1"/>
  <c r="HC11" i="10" a="1"/>
  <c r="HC11" i="10" s="1"/>
  <c r="HC9" i="10" a="1"/>
  <c r="HC9" i="10" s="1"/>
  <c r="HC6" i="10" a="1"/>
  <c r="HC6" i="10" s="1"/>
  <c r="HC8" i="10" a="1"/>
  <c r="HC8" i="10" s="1"/>
  <c r="HC7" i="10" a="1"/>
  <c r="HC7" i="10" s="1"/>
  <c r="HD2" i="10"/>
  <c r="CM13" i="11"/>
  <c r="CM29" i="11" s="1"/>
  <c r="CN6" i="11"/>
  <c r="HC12" i="11" a="1"/>
  <c r="HC12" i="11" s="1"/>
  <c r="HC11" i="11" a="1"/>
  <c r="HC11" i="11" s="1"/>
  <c r="HC9" i="11" a="1"/>
  <c r="HC9" i="11" s="1"/>
  <c r="HC10" i="11" a="1"/>
  <c r="HC10" i="11" s="1"/>
  <c r="HC8" i="11" a="1"/>
  <c r="HC8" i="11" s="1"/>
  <c r="HC7" i="11" a="1"/>
  <c r="HC7" i="11" s="1"/>
  <c r="HC6" i="11" a="1"/>
  <c r="HC6" i="11" s="1"/>
  <c r="HD2" i="11"/>
  <c r="DU13" i="11"/>
  <c r="DU28" i="11" s="1"/>
  <c r="HB13" i="10"/>
  <c r="HB13" i="11"/>
  <c r="HB27" i="11" s="1"/>
  <c r="GK13" i="11"/>
  <c r="GK28" i="11" s="1"/>
  <c r="DE12" i="11" a="1"/>
  <c r="DE12" i="11" s="1"/>
  <c r="DE10" i="11" a="1"/>
  <c r="DE10" i="11" s="1"/>
  <c r="DE11" i="11" a="1"/>
  <c r="DE11" i="11" s="1"/>
  <c r="DE8" i="11" a="1"/>
  <c r="DE8" i="11" s="1"/>
  <c r="DE7" i="11" a="1"/>
  <c r="DE7" i="11" s="1"/>
  <c r="DE9" i="11" a="1"/>
  <c r="DE9" i="11" s="1"/>
  <c r="DE6" i="11" a="1"/>
  <c r="DE6" i="11" s="1"/>
  <c r="DV12" i="11" a="1"/>
  <c r="DV12" i="11" s="1"/>
  <c r="DV10" i="11" a="1"/>
  <c r="DV10" i="11" s="1"/>
  <c r="DV11" i="11" a="1"/>
  <c r="DV11" i="11" s="1"/>
  <c r="DV8" i="11" a="1"/>
  <c r="DV8" i="11" s="1"/>
  <c r="DV9" i="11" a="1"/>
  <c r="DV9" i="11" s="1"/>
  <c r="DV7" i="11" a="1"/>
  <c r="DV7" i="11" s="1"/>
  <c r="DW2" i="11"/>
  <c r="DV6" i="11" a="1"/>
  <c r="DV6" i="11" s="1"/>
  <c r="CN7" i="11"/>
  <c r="HT11" i="10" a="1"/>
  <c r="HT11" i="10" s="1"/>
  <c r="HT12" i="10" a="1"/>
  <c r="HT12" i="10" s="1"/>
  <c r="HT10" i="10" a="1"/>
  <c r="HT10" i="10" s="1"/>
  <c r="HT9" i="10" a="1"/>
  <c r="HT9" i="10" s="1"/>
  <c r="HT7" i="10" a="1"/>
  <c r="HT7" i="10" s="1"/>
  <c r="HT8" i="10" a="1"/>
  <c r="HT8" i="10" s="1"/>
  <c r="HU2" i="10"/>
  <c r="HT6" i="10" a="1"/>
  <c r="HT6" i="10" s="1"/>
  <c r="BV13" i="11"/>
  <c r="BV29" i="11" s="1"/>
  <c r="CN9" i="11"/>
  <c r="FT13" i="11"/>
  <c r="FT29" i="11" s="1"/>
  <c r="DD13" i="11"/>
  <c r="DD32" i="11" s="1"/>
  <c r="CN12" i="11"/>
  <c r="EM12" i="11" a="1"/>
  <c r="EM12" i="11" s="1"/>
  <c r="EM10" i="11" a="1"/>
  <c r="EM10" i="11" s="1"/>
  <c r="EM11" i="11" a="1"/>
  <c r="EM11" i="11" s="1"/>
  <c r="EM9" i="11" a="1"/>
  <c r="EM9" i="11" s="1"/>
  <c r="EM8" i="11" a="1"/>
  <c r="EM8" i="11" s="1"/>
  <c r="EM7" i="11" a="1"/>
  <c r="EM7" i="11" s="1"/>
  <c r="EM6" i="11" a="1"/>
  <c r="EM6" i="11" s="1"/>
  <c r="EN2" i="11"/>
  <c r="CN10" i="11"/>
  <c r="CM21" i="11" s="1"/>
  <c r="CM13" i="10"/>
  <c r="CN6" i="10"/>
  <c r="DU13" i="10"/>
  <c r="EL13" i="11"/>
  <c r="EL32" i="11" s="1"/>
  <c r="HS13" i="11"/>
  <c r="HS33" i="11" s="1"/>
  <c r="CN11" i="11"/>
  <c r="CM22" i="11" s="1"/>
  <c r="CN7" i="10"/>
  <c r="EL13" i="10"/>
  <c r="DV11" i="10" a="1"/>
  <c r="DV11" i="10" s="1"/>
  <c r="DV9" i="10" a="1"/>
  <c r="DV9" i="10" s="1"/>
  <c r="DV12" i="10" a="1"/>
  <c r="DV12" i="10" s="1"/>
  <c r="DV10" i="10" a="1"/>
  <c r="DV10" i="10" s="1"/>
  <c r="DV8" i="10" a="1"/>
  <c r="DV8" i="10" s="1"/>
  <c r="DV7" i="10" a="1"/>
  <c r="DV7" i="10" s="1"/>
  <c r="DW2" i="10"/>
  <c r="DV6" i="10" a="1"/>
  <c r="DV6" i="10" s="1"/>
  <c r="HT12" i="11" a="1"/>
  <c r="HT12" i="11" s="1"/>
  <c r="HT11" i="11" a="1"/>
  <c r="HT11" i="11" s="1"/>
  <c r="HT9" i="11" a="1"/>
  <c r="HT9" i="11" s="1"/>
  <c r="HT8" i="11" a="1"/>
  <c r="HT8" i="11" s="1"/>
  <c r="HT10" i="11" a="1"/>
  <c r="HT10" i="11" s="1"/>
  <c r="HT6" i="11" a="1"/>
  <c r="HT6" i="11" s="1"/>
  <c r="HU2" i="11"/>
  <c r="HT7" i="11" a="1"/>
  <c r="HT7" i="11" s="1"/>
  <c r="DX9" i="2"/>
  <c r="DX11" i="2"/>
  <c r="HU13" i="2"/>
  <c r="DX10" i="2"/>
  <c r="GN7" i="2" a="1"/>
  <c r="GN7" i="2" s="1"/>
  <c r="GN6" i="2" a="1"/>
  <c r="GN6" i="2" s="1"/>
  <c r="GN8" i="2" a="1"/>
  <c r="GN8" i="2" s="1"/>
  <c r="GO2" i="2"/>
  <c r="GN11" i="2" a="1"/>
  <c r="GN11" i="2" s="1"/>
  <c r="GN10" i="2" a="1"/>
  <c r="GN10" i="2" s="1"/>
  <c r="GN12" i="2" a="1"/>
  <c r="GN12" i="2" s="1"/>
  <c r="GN9" i="2" a="1"/>
  <c r="GN9" i="2" s="1"/>
  <c r="HE12" i="2" a="1"/>
  <c r="HE12" i="2" s="1"/>
  <c r="HE11" i="2" a="1"/>
  <c r="HE11" i="2" s="1"/>
  <c r="HF2" i="2"/>
  <c r="HE10" i="2" a="1"/>
  <c r="HE10" i="2" s="1"/>
  <c r="HE7" i="2" a="1"/>
  <c r="HE7" i="2" s="1"/>
  <c r="HE6" i="2" a="1"/>
  <c r="HE6" i="2" s="1"/>
  <c r="HE9" i="2" a="1"/>
  <c r="HE9" i="2" s="1"/>
  <c r="HE8" i="2" a="1"/>
  <c r="HE8" i="2" s="1"/>
  <c r="DF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EO10" i="2" a="1"/>
  <c r="EO10" i="2" s="1"/>
  <c r="EO7" i="2" a="1"/>
  <c r="EO7" i="2" s="1"/>
  <c r="EO11" i="2" a="1"/>
  <c r="EO11" i="2" s="1"/>
  <c r="EO9" i="2" a="1"/>
  <c r="EO9" i="2" s="1"/>
  <c r="EO8" i="2" a="1"/>
  <c r="EO8" i="2" s="1"/>
  <c r="EO12" i="2" a="1"/>
  <c r="EO12" i="2" s="1"/>
  <c r="EO6" i="2" a="1"/>
  <c r="EO6" i="2" s="1"/>
  <c r="GM13" i="2"/>
  <c r="DF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F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F17" i="2"/>
  <c r="DF13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EN13" i="2"/>
  <c r="DE18" i="2"/>
  <c r="HD13" i="2"/>
  <c r="FE13" i="2"/>
  <c r="DF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F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3" i="2"/>
  <c r="FV13" i="2"/>
  <c r="DX7" i="2"/>
  <c r="HV9" i="2" a="1"/>
  <c r="HV9" i="2" s="1"/>
  <c r="HV8" i="2" a="1"/>
  <c r="HV8" i="2" s="1"/>
  <c r="HV7" i="2" a="1"/>
  <c r="HV7" i="2" s="1"/>
  <c r="HV6" i="2" a="1"/>
  <c r="HV6" i="2" s="1"/>
  <c r="HV12" i="2" a="1"/>
  <c r="HV12" i="2" s="1"/>
  <c r="HV10" i="2" a="1"/>
  <c r="HV10" i="2" s="1"/>
  <c r="HW2" i="2"/>
  <c r="HV11" i="2" a="1"/>
  <c r="HV11" i="2" s="1"/>
  <c r="DW13" i="2"/>
  <c r="DX6" i="2"/>
  <c r="DW17" i="2" s="1"/>
  <c r="FG2" i="2"/>
  <c r="FF11" i="2" a="1"/>
  <c r="FF11" i="2" s="1"/>
  <c r="FF7" i="2" a="1"/>
  <c r="FF7" i="2" s="1"/>
  <c r="FF12" i="2" a="1"/>
  <c r="FF12" i="2" s="1"/>
  <c r="FF10" i="2" a="1"/>
  <c r="FF10" i="2" s="1"/>
  <c r="FF9" i="2" a="1"/>
  <c r="FF9" i="2" s="1"/>
  <c r="FF8" i="2" a="1"/>
  <c r="FF8" i="2" s="1"/>
  <c r="FF6" i="2" a="1"/>
  <c r="FF6" i="2" s="1"/>
  <c r="FW12" i="2" a="1"/>
  <c r="FW12" i="2" s="1"/>
  <c r="FW11" i="2" a="1"/>
  <c r="FW11" i="2" s="1"/>
  <c r="FW9" i="2" a="1"/>
  <c r="FW9" i="2" s="1"/>
  <c r="FX2" i="2"/>
  <c r="FW7" i="2" a="1"/>
  <c r="FW7" i="2" s="1"/>
  <c r="FW6" i="2" a="1"/>
  <c r="FW6" i="2" s="1"/>
  <c r="FW10" i="2" a="1"/>
  <c r="FW10" i="2" s="1"/>
  <c r="FW8" i="2" a="1"/>
  <c r="FW8" i="2" s="1"/>
  <c r="DX12" i="2"/>
  <c r="DF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X8" i="2"/>
  <c r="GL11" i="12" l="1"/>
  <c r="CM23" i="12"/>
  <c r="CN12" i="12"/>
  <c r="HT6" i="12"/>
  <c r="DE8" i="12"/>
  <c r="HC11" i="12"/>
  <c r="FU9" i="12"/>
  <c r="DU32" i="11"/>
  <c r="DU31" i="11"/>
  <c r="BV23" i="12"/>
  <c r="BV33" i="12"/>
  <c r="BF23" i="12"/>
  <c r="BG23" i="12"/>
  <c r="BH23" i="12"/>
  <c r="BI23" i="12"/>
  <c r="BJ23" i="12"/>
  <c r="BK23" i="12"/>
  <c r="BL23" i="12"/>
  <c r="BM23" i="12"/>
  <c r="BN23" i="12"/>
  <c r="BO23" i="12"/>
  <c r="BP23" i="12"/>
  <c r="BQ23" i="12"/>
  <c r="BR23" i="12"/>
  <c r="BS23" i="12"/>
  <c r="BT23" i="12"/>
  <c r="HS30" i="11"/>
  <c r="CN9" i="12"/>
  <c r="EL31" i="11"/>
  <c r="CM28" i="11"/>
  <c r="CL29" i="12"/>
  <c r="HS28" i="11"/>
  <c r="HT7" i="12"/>
  <c r="EM10" i="12"/>
  <c r="DE11" i="12"/>
  <c r="HC12" i="12"/>
  <c r="FU11" i="12"/>
  <c r="HB28" i="11"/>
  <c r="HA34" i="12"/>
  <c r="DU31" i="12"/>
  <c r="BV17" i="12"/>
  <c r="BV13" i="12"/>
  <c r="BV27" i="12" s="1"/>
  <c r="BF17" i="12"/>
  <c r="BG17" i="12"/>
  <c r="BH17" i="12"/>
  <c r="BI17" i="12"/>
  <c r="BJ17" i="12"/>
  <c r="BK17" i="12"/>
  <c r="BL17" i="12"/>
  <c r="BM17" i="12"/>
  <c r="BN17" i="12"/>
  <c r="BO17" i="12"/>
  <c r="BP17" i="12"/>
  <c r="BQ17" i="12"/>
  <c r="BR17" i="12"/>
  <c r="BS17" i="12"/>
  <c r="BT17" i="12"/>
  <c r="BV29" i="12"/>
  <c r="BV19" i="12"/>
  <c r="BF19" i="12"/>
  <c r="BG19" i="12"/>
  <c r="BH19" i="12"/>
  <c r="BI19" i="12"/>
  <c r="BJ19" i="12"/>
  <c r="BK19" i="12"/>
  <c r="BL19" i="12"/>
  <c r="BM19" i="12"/>
  <c r="BN19" i="12"/>
  <c r="BO19" i="12"/>
  <c r="BP19" i="12"/>
  <c r="BQ19" i="12"/>
  <c r="BR19" i="12"/>
  <c r="BS19" i="12"/>
  <c r="BT19" i="12"/>
  <c r="EL31" i="12"/>
  <c r="FC32" i="11"/>
  <c r="CN7" i="12"/>
  <c r="HS28" i="12"/>
  <c r="FU8" i="12"/>
  <c r="GJ34" i="12"/>
  <c r="CL33" i="12"/>
  <c r="CL32" i="12"/>
  <c r="FB34" i="12"/>
  <c r="EM12" i="12"/>
  <c r="EM33" i="11"/>
  <c r="CN18" i="11"/>
  <c r="BX18" i="11"/>
  <c r="BY18" i="11"/>
  <c r="BZ18" i="11"/>
  <c r="CA18" i="11"/>
  <c r="CB18" i="11"/>
  <c r="CC18" i="11"/>
  <c r="CD18" i="11"/>
  <c r="CE18" i="11"/>
  <c r="CF18" i="11"/>
  <c r="CG18" i="11"/>
  <c r="CH18" i="11"/>
  <c r="CI18" i="11"/>
  <c r="CJ18" i="11"/>
  <c r="CK18" i="11"/>
  <c r="CL18" i="11"/>
  <c r="DE10" i="12"/>
  <c r="CN17" i="11"/>
  <c r="BX17" i="11"/>
  <c r="BY17" i="11"/>
  <c r="BZ17" i="11"/>
  <c r="CA17" i="11"/>
  <c r="CB17" i="11"/>
  <c r="CC17" i="11"/>
  <c r="CD17" i="11"/>
  <c r="CE17" i="11"/>
  <c r="CF17" i="11"/>
  <c r="CG17" i="11"/>
  <c r="CH17" i="11"/>
  <c r="CI17" i="11"/>
  <c r="CJ17" i="11"/>
  <c r="CK17" i="11"/>
  <c r="CL17" i="11"/>
  <c r="FU10" i="12"/>
  <c r="EL29" i="11"/>
  <c r="HB28" i="12"/>
  <c r="BU17" i="12"/>
  <c r="BU29" i="12"/>
  <c r="HA28" i="12"/>
  <c r="GJ32" i="12"/>
  <c r="BV20" i="12"/>
  <c r="BV30" i="12"/>
  <c r="BF20" i="12"/>
  <c r="BG20" i="12"/>
  <c r="BH20" i="12"/>
  <c r="BI20" i="12"/>
  <c r="BJ20" i="12"/>
  <c r="BK20" i="12"/>
  <c r="BL20" i="12"/>
  <c r="BM20" i="12"/>
  <c r="BN20" i="12"/>
  <c r="BO20" i="12"/>
  <c r="BP20" i="12"/>
  <c r="BQ20" i="12"/>
  <c r="BR20" i="12"/>
  <c r="BS20" i="12"/>
  <c r="BT20" i="12"/>
  <c r="CL28" i="12"/>
  <c r="EL33" i="11"/>
  <c r="EM8" i="12"/>
  <c r="DV6" i="12"/>
  <c r="DE12" i="12"/>
  <c r="CM34" i="11"/>
  <c r="FU12" i="12"/>
  <c r="FU33" i="11"/>
  <c r="BD33" i="12"/>
  <c r="FT33" i="11"/>
  <c r="HA32" i="12"/>
  <c r="FT31" i="11"/>
  <c r="BU27" i="12"/>
  <c r="FT30" i="11"/>
  <c r="BU19" i="12"/>
  <c r="CM31" i="11"/>
  <c r="CN8" i="12"/>
  <c r="HB13" i="12"/>
  <c r="HB27" i="12"/>
  <c r="DV10" i="12"/>
  <c r="HC9" i="12"/>
  <c r="HT9" i="12"/>
  <c r="HS34" i="11"/>
  <c r="CN33" i="11"/>
  <c r="CN23" i="11"/>
  <c r="BX23" i="11"/>
  <c r="BY23" i="11"/>
  <c r="BZ23" i="11"/>
  <c r="CA23" i="11"/>
  <c r="CB23" i="11"/>
  <c r="CC23" i="11"/>
  <c r="CD23" i="11"/>
  <c r="CE23" i="11"/>
  <c r="CF23" i="11"/>
  <c r="CG23" i="11"/>
  <c r="CH23" i="11"/>
  <c r="CI23" i="11"/>
  <c r="CJ23" i="11"/>
  <c r="CK23" i="11"/>
  <c r="CL23" i="11"/>
  <c r="HT11" i="12"/>
  <c r="EL34" i="11"/>
  <c r="DD34" i="11"/>
  <c r="GK34" i="11"/>
  <c r="GL6" i="12"/>
  <c r="FT31" i="12"/>
  <c r="BU34" i="12"/>
  <c r="BU24" i="12"/>
  <c r="BV28" i="11"/>
  <c r="HS31" i="11"/>
  <c r="BD31" i="12"/>
  <c r="CM21" i="12"/>
  <c r="CN10" i="12"/>
  <c r="DC34" i="12"/>
  <c r="BV31" i="11"/>
  <c r="HS27" i="11"/>
  <c r="BU20" i="12"/>
  <c r="HA33" i="12"/>
  <c r="CM17" i="11"/>
  <c r="EM11" i="12"/>
  <c r="EM32" i="11"/>
  <c r="DV7" i="12"/>
  <c r="HB34" i="11"/>
  <c r="GL7" i="12"/>
  <c r="FD6" i="12"/>
  <c r="FB29" i="12"/>
  <c r="FB28" i="12"/>
  <c r="DU28" i="12"/>
  <c r="HS13" i="12"/>
  <c r="HS27" i="12"/>
  <c r="DD33" i="11"/>
  <c r="FC31" i="11"/>
  <c r="CM27" i="11"/>
  <c r="HB33" i="11"/>
  <c r="EM9" i="12"/>
  <c r="HT8" i="12"/>
  <c r="CN22" i="11"/>
  <c r="BX22" i="11"/>
  <c r="BY22" i="11"/>
  <c r="BZ22" i="11"/>
  <c r="CA22" i="11"/>
  <c r="CB22" i="11"/>
  <c r="CC22" i="11"/>
  <c r="CD22" i="11"/>
  <c r="CE22" i="11"/>
  <c r="CF22" i="11"/>
  <c r="CG22" i="11"/>
  <c r="CH22" i="11"/>
  <c r="CI22" i="11"/>
  <c r="CJ22" i="11"/>
  <c r="CK22" i="11"/>
  <c r="CL22" i="11"/>
  <c r="DV9" i="12"/>
  <c r="GL8" i="12"/>
  <c r="GJ29" i="12"/>
  <c r="HB30" i="11"/>
  <c r="BD30" i="12"/>
  <c r="BD34" i="12"/>
  <c r="BD24" i="12"/>
  <c r="BD14" i="12"/>
  <c r="BD15" i="12" s="1"/>
  <c r="AN24" i="12"/>
  <c r="AO24" i="12"/>
  <c r="AP24" i="12"/>
  <c r="AQ24" i="12"/>
  <c r="AR24" i="12"/>
  <c r="AS24" i="12"/>
  <c r="AT24" i="12"/>
  <c r="AU24" i="12"/>
  <c r="AV24" i="12"/>
  <c r="AW24" i="12"/>
  <c r="AX24" i="12"/>
  <c r="AY24" i="12"/>
  <c r="AZ24" i="12"/>
  <c r="BA24" i="12"/>
  <c r="BB24" i="12"/>
  <c r="GK27" i="11"/>
  <c r="HB29" i="11"/>
  <c r="EL27" i="11"/>
  <c r="FT29" i="12"/>
  <c r="CM32" i="11"/>
  <c r="FB30" i="12"/>
  <c r="DD29" i="11"/>
  <c r="GJ28" i="12"/>
  <c r="CM13" i="12"/>
  <c r="CM17" i="12"/>
  <c r="CN6" i="12"/>
  <c r="FD8" i="12"/>
  <c r="CL34" i="12"/>
  <c r="BV21" i="12"/>
  <c r="BV31" i="12"/>
  <c r="BF21" i="12"/>
  <c r="BG21" i="12"/>
  <c r="BH21" i="12"/>
  <c r="BI21" i="12"/>
  <c r="BJ21" i="12"/>
  <c r="BK21" i="12"/>
  <c r="BL21" i="12"/>
  <c r="BM21" i="12"/>
  <c r="BN21" i="12"/>
  <c r="BO21" i="12"/>
  <c r="BP21" i="12"/>
  <c r="BQ21" i="12"/>
  <c r="BR21" i="12"/>
  <c r="BS21" i="12"/>
  <c r="BT21" i="12"/>
  <c r="DE7" i="12"/>
  <c r="HT12" i="12"/>
  <c r="FT34" i="11"/>
  <c r="CN20" i="11"/>
  <c r="BX20" i="11"/>
  <c r="BY20" i="11"/>
  <c r="BZ20" i="11"/>
  <c r="CA20" i="11"/>
  <c r="CB20" i="11"/>
  <c r="CC20" i="11"/>
  <c r="CD20" i="11"/>
  <c r="CE20" i="11"/>
  <c r="CF20" i="11"/>
  <c r="CG20" i="11"/>
  <c r="CH20" i="11"/>
  <c r="CI20" i="11"/>
  <c r="CJ20" i="11"/>
  <c r="CK20" i="11"/>
  <c r="CL20" i="11"/>
  <c r="BV34" i="11"/>
  <c r="BV24" i="11"/>
  <c r="BF24" i="11"/>
  <c r="BV14" i="11"/>
  <c r="BV15" i="11" s="1"/>
  <c r="BG24" i="11"/>
  <c r="BH24" i="11"/>
  <c r="BI24" i="11"/>
  <c r="BJ24" i="11"/>
  <c r="BK24" i="11"/>
  <c r="BL24" i="11"/>
  <c r="BM24" i="11"/>
  <c r="BN24" i="11"/>
  <c r="BO24" i="11"/>
  <c r="BP24" i="11"/>
  <c r="BQ24" i="11"/>
  <c r="BR24" i="11"/>
  <c r="BS24" i="11"/>
  <c r="BT24" i="11"/>
  <c r="DV8" i="12"/>
  <c r="DU34" i="11"/>
  <c r="GL9" i="12"/>
  <c r="FD9" i="12"/>
  <c r="BD27" i="12"/>
  <c r="GK13" i="12"/>
  <c r="GK30" i="12" s="1"/>
  <c r="EL13" i="12"/>
  <c r="EL27" i="12" s="1"/>
  <c r="CM23" i="11"/>
  <c r="CN11" i="12"/>
  <c r="FT28" i="11"/>
  <c r="DU27" i="11"/>
  <c r="HB31" i="11"/>
  <c r="EK34" i="12"/>
  <c r="FS34" i="12"/>
  <c r="EK33" i="12"/>
  <c r="HC6" i="12"/>
  <c r="DD31" i="12"/>
  <c r="HT10" i="12"/>
  <c r="CN21" i="11"/>
  <c r="BX21" i="11"/>
  <c r="BY21" i="11"/>
  <c r="BZ21" i="11"/>
  <c r="CA21" i="11"/>
  <c r="CB21" i="11"/>
  <c r="CC21" i="11"/>
  <c r="CD21" i="11"/>
  <c r="CE21" i="11"/>
  <c r="CF21" i="11"/>
  <c r="CG21" i="11"/>
  <c r="CH21" i="11"/>
  <c r="CI21" i="11"/>
  <c r="CJ21" i="11"/>
  <c r="CK21" i="11"/>
  <c r="CL21" i="11"/>
  <c r="DV11" i="12"/>
  <c r="GL10" i="12"/>
  <c r="FD7" i="12"/>
  <c r="FD28" i="11"/>
  <c r="CN19" i="11"/>
  <c r="BX19" i="11"/>
  <c r="BY19" i="11"/>
  <c r="BZ19" i="11"/>
  <c r="CA19" i="11"/>
  <c r="CB19" i="11"/>
  <c r="CC19" i="11"/>
  <c r="CD19" i="11"/>
  <c r="CE19" i="11"/>
  <c r="CF19" i="11"/>
  <c r="CG19" i="11"/>
  <c r="CH19" i="11"/>
  <c r="CI19" i="11"/>
  <c r="CJ19" i="11"/>
  <c r="CK19" i="11"/>
  <c r="CL19" i="11"/>
  <c r="EL28" i="11"/>
  <c r="EL30" i="11"/>
  <c r="HA31" i="12"/>
  <c r="CL27" i="12"/>
  <c r="CM33" i="11"/>
  <c r="DU13" i="12"/>
  <c r="DU27" i="12"/>
  <c r="HR34" i="12"/>
  <c r="HR33" i="12"/>
  <c r="DD31" i="11"/>
  <c r="HS29" i="11"/>
  <c r="GK32" i="11"/>
  <c r="HB32" i="11"/>
  <c r="DC29" i="12"/>
  <c r="DT34" i="12"/>
  <c r="HB32" i="12"/>
  <c r="EM6" i="12"/>
  <c r="EM27" i="11"/>
  <c r="DV12" i="12"/>
  <c r="HC7" i="12"/>
  <c r="GL12" i="12"/>
  <c r="GL33" i="11"/>
  <c r="FD10" i="12"/>
  <c r="DD13" i="12"/>
  <c r="DD27" i="12" s="1"/>
  <c r="DU30" i="12"/>
  <c r="BV33" i="11"/>
  <c r="FT27" i="11"/>
  <c r="FC33" i="11"/>
  <c r="BU31" i="12"/>
  <c r="BV32" i="11"/>
  <c r="EM7" i="12"/>
  <c r="DE6" i="12"/>
  <c r="HC8" i="12"/>
  <c r="FD11" i="12"/>
  <c r="FU6" i="12"/>
  <c r="GK31" i="11"/>
  <c r="GK33" i="11"/>
  <c r="BV32" i="12"/>
  <c r="BV22" i="12"/>
  <c r="BF22" i="12"/>
  <c r="BG22" i="12"/>
  <c r="BH22" i="12"/>
  <c r="BI22" i="12"/>
  <c r="BJ22" i="12"/>
  <c r="BK22" i="12"/>
  <c r="BL22" i="12"/>
  <c r="BM22" i="12"/>
  <c r="BN22" i="12"/>
  <c r="BO22" i="12"/>
  <c r="BP22" i="12"/>
  <c r="BQ22" i="12"/>
  <c r="BR22" i="12"/>
  <c r="BS22" i="12"/>
  <c r="BT22" i="12"/>
  <c r="FT13" i="12"/>
  <c r="FT27" i="12"/>
  <c r="FC33" i="12"/>
  <c r="BU21" i="12"/>
  <c r="FC27" i="11"/>
  <c r="BD32" i="12"/>
  <c r="DC30" i="12"/>
  <c r="EK29" i="12"/>
  <c r="CL31" i="12"/>
  <c r="HR31" i="12"/>
  <c r="DU33" i="11"/>
  <c r="DE9" i="12"/>
  <c r="HC10" i="12"/>
  <c r="FC34" i="11"/>
  <c r="FD12" i="12"/>
  <c r="FD33" i="11"/>
  <c r="FU7" i="12"/>
  <c r="FU28" i="11"/>
  <c r="GJ27" i="12"/>
  <c r="FT32" i="11"/>
  <c r="GK33" i="12"/>
  <c r="DU29" i="11"/>
  <c r="BV30" i="11"/>
  <c r="HS32" i="11"/>
  <c r="FB33" i="12"/>
  <c r="CM20" i="11"/>
  <c r="FC13" i="12"/>
  <c r="FC32" i="12" s="1"/>
  <c r="BV18" i="12"/>
  <c r="BV28" i="12"/>
  <c r="BF18" i="12"/>
  <c r="BG18" i="12"/>
  <c r="BH18" i="12"/>
  <c r="BI18" i="12"/>
  <c r="BJ18" i="12"/>
  <c r="BK18" i="12"/>
  <c r="BL18" i="12"/>
  <c r="BM18" i="12"/>
  <c r="BN18" i="12"/>
  <c r="BO18" i="12"/>
  <c r="BP18" i="12"/>
  <c r="BQ18" i="12"/>
  <c r="BR18" i="12"/>
  <c r="BS18" i="12"/>
  <c r="BT18" i="12"/>
  <c r="FB27" i="12"/>
  <c r="DC28" i="12"/>
  <c r="BV27" i="11"/>
  <c r="EN12" i="11" a="1"/>
  <c r="EN12" i="11" s="1"/>
  <c r="EN11" i="11" a="1"/>
  <c r="EN11" i="11" s="1"/>
  <c r="EN10" i="11" a="1"/>
  <c r="EN10" i="11" s="1"/>
  <c r="EN9" i="11" a="1"/>
  <c r="EN9" i="11" s="1"/>
  <c r="EN8" i="11" a="1"/>
  <c r="EN8" i="11" s="1"/>
  <c r="EN7" i="11" a="1"/>
  <c r="EN7" i="11" s="1"/>
  <c r="EO2" i="11"/>
  <c r="EN6" i="11" a="1"/>
  <c r="EN6" i="11" s="1"/>
  <c r="HC13" i="11"/>
  <c r="HC28" i="11" s="1"/>
  <c r="DF8" i="11"/>
  <c r="DE19" i="11" s="1"/>
  <c r="DV13" i="10"/>
  <c r="EM13" i="11"/>
  <c r="EM30" i="11" s="1"/>
  <c r="FD13" i="11"/>
  <c r="FD29" i="11" s="1"/>
  <c r="DF11" i="11"/>
  <c r="HD12" i="10" a="1"/>
  <c r="HD12" i="10" s="1"/>
  <c r="HD11" i="10" a="1"/>
  <c r="HD11" i="10" s="1"/>
  <c r="HD10" i="10" a="1"/>
  <c r="HD10" i="10" s="1"/>
  <c r="HD8" i="10" a="1"/>
  <c r="HD8" i="10" s="1"/>
  <c r="HE2" i="10"/>
  <c r="HD9" i="10" a="1"/>
  <c r="HD9" i="10" s="1"/>
  <c r="HD6" i="10" a="1"/>
  <c r="HD6" i="10" s="1"/>
  <c r="HD7" i="10" a="1"/>
  <c r="HD7" i="10" s="1"/>
  <c r="HT13" i="10"/>
  <c r="GL13" i="10"/>
  <c r="FE12" i="11" a="1"/>
  <c r="FE12" i="11" s="1"/>
  <c r="FE10" i="11" a="1"/>
  <c r="FE10" i="11" s="1"/>
  <c r="FE11" i="11" a="1"/>
  <c r="FE11" i="11" s="1"/>
  <c r="FE9" i="11" a="1"/>
  <c r="FE9" i="11" s="1"/>
  <c r="FE7" i="11" a="1"/>
  <c r="FE7" i="11" s="1"/>
  <c r="FE8" i="11" a="1"/>
  <c r="FE8" i="11" s="1"/>
  <c r="FE6" i="11" a="1"/>
  <c r="FE6" i="11" s="1"/>
  <c r="FF2" i="11"/>
  <c r="DW11" i="10" a="1"/>
  <c r="DW11" i="10" s="1"/>
  <c r="DW12" i="10" a="1"/>
  <c r="DW12" i="10" s="1"/>
  <c r="DW9" i="10" a="1"/>
  <c r="DW9" i="10" s="1"/>
  <c r="DW10" i="10" a="1"/>
  <c r="DW10" i="10" s="1"/>
  <c r="DW8" i="10" a="1"/>
  <c r="DW8" i="10" s="1"/>
  <c r="DW6" i="10" a="1"/>
  <c r="DW6" i="10" s="1"/>
  <c r="DW7" i="10" a="1"/>
  <c r="DW7" i="10" s="1"/>
  <c r="HU11" i="11" a="1"/>
  <c r="HU11" i="11" s="1"/>
  <c r="HU12" i="11" a="1"/>
  <c r="HU12" i="11" s="1"/>
  <c r="HU10" i="11" a="1"/>
  <c r="HU10" i="11" s="1"/>
  <c r="HU9" i="11" a="1"/>
  <c r="HU9" i="11" s="1"/>
  <c r="HU7" i="11" a="1"/>
  <c r="HU7" i="11" s="1"/>
  <c r="HU6" i="11" a="1"/>
  <c r="HU6" i="11" s="1"/>
  <c r="HU8" i="11" a="1"/>
  <c r="HU8" i="11" s="1"/>
  <c r="HV2" i="11"/>
  <c r="HT13" i="11"/>
  <c r="HU12" i="10" a="1"/>
  <c r="HU12" i="10" s="1"/>
  <c r="HU10" i="10" a="1"/>
  <c r="HU10" i="10" s="1"/>
  <c r="HU9" i="10" a="1"/>
  <c r="HU9" i="10" s="1"/>
  <c r="HU7" i="10" a="1"/>
  <c r="HU7" i="10" s="1"/>
  <c r="HU8" i="10" a="1"/>
  <c r="HU8" i="10" s="1"/>
  <c r="HU11" i="10" a="1"/>
  <c r="HU11" i="10" s="1"/>
  <c r="HV2" i="10"/>
  <c r="HU6" i="10" a="1"/>
  <c r="HU6" i="10" s="1"/>
  <c r="GM12" i="10" a="1"/>
  <c r="GM12" i="10" s="1"/>
  <c r="GM9" i="10" a="1"/>
  <c r="GM9" i="10" s="1"/>
  <c r="GM11" i="10" a="1"/>
  <c r="GM11" i="10" s="1"/>
  <c r="GM8" i="10" a="1"/>
  <c r="GM8" i="10" s="1"/>
  <c r="GM10" i="10" a="1"/>
  <c r="GM10" i="10" s="1"/>
  <c r="GM7" i="10" a="1"/>
  <c r="GM7" i="10" s="1"/>
  <c r="GM6" i="10" a="1"/>
  <c r="GM6" i="10" s="1"/>
  <c r="GN2" i="10"/>
  <c r="FV12" i="11" a="1"/>
  <c r="FV12" i="11" s="1"/>
  <c r="FV11" i="11" a="1"/>
  <c r="FV11" i="11" s="1"/>
  <c r="FV9" i="11" a="1"/>
  <c r="FV9" i="11" s="1"/>
  <c r="FV10" i="11" a="1"/>
  <c r="FV10" i="11" s="1"/>
  <c r="FV6" i="11" a="1"/>
  <c r="FV6" i="11" s="1"/>
  <c r="FW2" i="11"/>
  <c r="FV8" i="11" a="1"/>
  <c r="FV8" i="11" s="1"/>
  <c r="FV7" i="11" a="1"/>
  <c r="FV7" i="11" s="1"/>
  <c r="DE13" i="11"/>
  <c r="DE27" i="11" s="1"/>
  <c r="DF6" i="11"/>
  <c r="DE17" i="11" s="1"/>
  <c r="FD13" i="10"/>
  <c r="DF7" i="10"/>
  <c r="FU13" i="11"/>
  <c r="CN13" i="10"/>
  <c r="DF9" i="11"/>
  <c r="CN13" i="11"/>
  <c r="CN29" i="11" s="1"/>
  <c r="FE11" i="10" a="1"/>
  <c r="FE11" i="10" s="1"/>
  <c r="FE12" i="10" a="1"/>
  <c r="FE12" i="10" s="1"/>
  <c r="FE10" i="10" a="1"/>
  <c r="FE10" i="10" s="1"/>
  <c r="FE9" i="10" a="1"/>
  <c r="FE9" i="10" s="1"/>
  <c r="FE8" i="10" a="1"/>
  <c r="FE8" i="10" s="1"/>
  <c r="FE7" i="10" a="1"/>
  <c r="FE7" i="10" s="1"/>
  <c r="FE6" i="10" a="1"/>
  <c r="FE6" i="10" s="1"/>
  <c r="FF2" i="10"/>
  <c r="DE13" i="10"/>
  <c r="DF6" i="10"/>
  <c r="EN12" i="10" a="1"/>
  <c r="EN12" i="10" s="1"/>
  <c r="EN11" i="10" a="1"/>
  <c r="EN11" i="10" s="1"/>
  <c r="EN9" i="10" a="1"/>
  <c r="EN9" i="10" s="1"/>
  <c r="EN10" i="10" a="1"/>
  <c r="EN10" i="10" s="1"/>
  <c r="EN8" i="10" a="1"/>
  <c r="EN8" i="10" s="1"/>
  <c r="EN7" i="10" a="1"/>
  <c r="EN7" i="10" s="1"/>
  <c r="EO2" i="10"/>
  <c r="EN6" i="10" a="1"/>
  <c r="EN6" i="10" s="1"/>
  <c r="DF8" i="10"/>
  <c r="EM13" i="10"/>
  <c r="DF10" i="10"/>
  <c r="DF9" i="10"/>
  <c r="DF12" i="10"/>
  <c r="FV12" i="10" a="1"/>
  <c r="FV12" i="10" s="1"/>
  <c r="FV11" i="10" a="1"/>
  <c r="FV11" i="10" s="1"/>
  <c r="FV10" i="10" a="1"/>
  <c r="FV10" i="10" s="1"/>
  <c r="FV8" i="10" a="1"/>
  <c r="FV8" i="10" s="1"/>
  <c r="FV9" i="10" a="1"/>
  <c r="FV9" i="10" s="1"/>
  <c r="FV6" i="10" a="1"/>
  <c r="FV6" i="10" s="1"/>
  <c r="FV7" i="10" a="1"/>
  <c r="FV7" i="10" s="1"/>
  <c r="FW2" i="10"/>
  <c r="DF11" i="10"/>
  <c r="FU13" i="10"/>
  <c r="DF10" i="11"/>
  <c r="DF12" i="11"/>
  <c r="DE23" i="11" s="1"/>
  <c r="DW9" i="11" a="1"/>
  <c r="DW9" i="11" s="1"/>
  <c r="DW11" i="11" a="1"/>
  <c r="DW11" i="11" s="1"/>
  <c r="DW10" i="11" a="1"/>
  <c r="DW10" i="11" s="1"/>
  <c r="DW12" i="11" a="1"/>
  <c r="DW12" i="11" s="1"/>
  <c r="DW7" i="11" a="1"/>
  <c r="DW7" i="11" s="1"/>
  <c r="DW8" i="11" a="1"/>
  <c r="DW8" i="11" s="1"/>
  <c r="DW6" i="11" a="1"/>
  <c r="DW6" i="11" s="1"/>
  <c r="HC13" i="10"/>
  <c r="GM12" i="11" a="1"/>
  <c r="GM12" i="11" s="1"/>
  <c r="GM11" i="11" a="1"/>
  <c r="GM11" i="11" s="1"/>
  <c r="GM10" i="11" a="1"/>
  <c r="GM10" i="11" s="1"/>
  <c r="GM8" i="11" a="1"/>
  <c r="GM8" i="11" s="1"/>
  <c r="GM9" i="11" a="1"/>
  <c r="GM9" i="11" s="1"/>
  <c r="GM7" i="11" a="1"/>
  <c r="GM7" i="11" s="1"/>
  <c r="GN2" i="11"/>
  <c r="GM6" i="11" a="1"/>
  <c r="GM6" i="11" s="1"/>
  <c r="GL13" i="11"/>
  <c r="GL27" i="11" s="1"/>
  <c r="DF7" i="11"/>
  <c r="DV13" i="11"/>
  <c r="HD12" i="11" a="1"/>
  <c r="HD12" i="11" s="1"/>
  <c r="HD11" i="11" a="1"/>
  <c r="HD11" i="11" s="1"/>
  <c r="HD10" i="11" a="1"/>
  <c r="HD10" i="11" s="1"/>
  <c r="HD8" i="11" a="1"/>
  <c r="HD8" i="11" s="1"/>
  <c r="HE2" i="11"/>
  <c r="HD9" i="11" a="1"/>
  <c r="HD9" i="11" s="1"/>
  <c r="HD7" i="11" a="1"/>
  <c r="HD7" i="11" s="1"/>
  <c r="HD6" i="11" a="1"/>
  <c r="HD6" i="11" s="1"/>
  <c r="HE13" i="2"/>
  <c r="DX21" i="2"/>
  <c r="DI21" i="2"/>
  <c r="DJ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FX12" i="2" a="1"/>
  <c r="FX12" i="2" s="1"/>
  <c r="FX11" i="2" a="1"/>
  <c r="FX11" i="2" s="1"/>
  <c r="FX10" i="2" a="1"/>
  <c r="FX10" i="2" s="1"/>
  <c r="FX7" i="2" a="1"/>
  <c r="FX7" i="2" s="1"/>
  <c r="FY2" i="2"/>
  <c r="FX6" i="2" a="1"/>
  <c r="FX6" i="2" s="1"/>
  <c r="FX9" i="2" a="1"/>
  <c r="FX9" i="2" s="1"/>
  <c r="FX8" i="2" a="1"/>
  <c r="FX8" i="2" s="1"/>
  <c r="HW7" i="2" a="1"/>
  <c r="HW7" i="2" s="1"/>
  <c r="HW6" i="2" a="1"/>
  <c r="HW6" i="2" s="1"/>
  <c r="HW11" i="2" a="1"/>
  <c r="HW11" i="2" s="1"/>
  <c r="HW9" i="2" a="1"/>
  <c r="HW9" i="2" s="1"/>
  <c r="HX2" i="2"/>
  <c r="HW10" i="2" a="1"/>
  <c r="HW10" i="2" s="1"/>
  <c r="HW8" i="2" a="1"/>
  <c r="HW8" i="2" s="1"/>
  <c r="HW12" i="2" a="1"/>
  <c r="HW12" i="2" s="1"/>
  <c r="DW21" i="2"/>
  <c r="HF12" i="2" a="1"/>
  <c r="HF12" i="2" s="1"/>
  <c r="HF11" i="2" a="1"/>
  <c r="HF11" i="2" s="1"/>
  <c r="HF10" i="2" a="1"/>
  <c r="HF10" i="2" s="1"/>
  <c r="HG2" i="2"/>
  <c r="HF9" i="2" a="1"/>
  <c r="HF9" i="2" s="1"/>
  <c r="HF8" i="2" a="1"/>
  <c r="HF8" i="2" s="1"/>
  <c r="HF6" i="2" a="1"/>
  <c r="HF6" i="2" s="1"/>
  <c r="HF7" i="2" a="1"/>
  <c r="HF7" i="2" s="1"/>
  <c r="HV13" i="2"/>
  <c r="FF13" i="2"/>
  <c r="EO13" i="2"/>
  <c r="EP6" i="2"/>
  <c r="EO17" i="2" s="1"/>
  <c r="EO23" i="2"/>
  <c r="EP12" i="2"/>
  <c r="EP8" i="2"/>
  <c r="EO19" i="2" s="1"/>
  <c r="DX22" i="2"/>
  <c r="DI22" i="2"/>
  <c r="DJ22" i="2"/>
  <c r="DK22" i="2"/>
  <c r="DL22" i="2"/>
  <c r="DM22" i="2"/>
  <c r="DN22" i="2"/>
  <c r="DO22" i="2"/>
  <c r="DP22" i="2"/>
  <c r="DQ22" i="2"/>
  <c r="DR22" i="2"/>
  <c r="DS22" i="2"/>
  <c r="DT22" i="2"/>
  <c r="DU22" i="2"/>
  <c r="DV22" i="2"/>
  <c r="DX18" i="2"/>
  <c r="DI18" i="2"/>
  <c r="DJ18" i="2"/>
  <c r="DK18" i="2"/>
  <c r="DL18" i="2"/>
  <c r="DM18" i="2"/>
  <c r="DN18" i="2"/>
  <c r="DO18" i="2"/>
  <c r="DP18" i="2"/>
  <c r="DQ18" i="2"/>
  <c r="DR18" i="2"/>
  <c r="DS18" i="2"/>
  <c r="DT18" i="2"/>
  <c r="DU18" i="2"/>
  <c r="DV18" i="2"/>
  <c r="EP9" i="2"/>
  <c r="EO20" i="2" s="1"/>
  <c r="DW22" i="2"/>
  <c r="FW13" i="2"/>
  <c r="DX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EP11" i="2"/>
  <c r="DX23" i="2"/>
  <c r="DI23" i="2"/>
  <c r="DJ23" i="2"/>
  <c r="DK23" i="2"/>
  <c r="DL23" i="2"/>
  <c r="DM23" i="2"/>
  <c r="DN23" i="2"/>
  <c r="DO23" i="2"/>
  <c r="DP23" i="2"/>
  <c r="DQ23" i="2"/>
  <c r="DR23" i="2"/>
  <c r="DS23" i="2"/>
  <c r="DT23" i="2"/>
  <c r="DU23" i="2"/>
  <c r="DV23" i="2"/>
  <c r="EP7" i="2"/>
  <c r="EO18" i="2" s="1"/>
  <c r="FG12" i="2" a="1"/>
  <c r="FG12" i="2" s="1"/>
  <c r="FG11" i="2" a="1"/>
  <c r="FG11" i="2" s="1"/>
  <c r="FG8" i="2" a="1"/>
  <c r="FG8" i="2" s="1"/>
  <c r="FG7" i="2" a="1"/>
  <c r="FG7" i="2" s="1"/>
  <c r="FG6" i="2" a="1"/>
  <c r="FG6" i="2" s="1"/>
  <c r="FG10" i="2" a="1"/>
  <c r="FG10" i="2" s="1"/>
  <c r="FG9" i="2" a="1"/>
  <c r="FG9" i="2" s="1"/>
  <c r="EP10" i="2"/>
  <c r="GO12" i="2" a="1"/>
  <c r="GO12" i="2" s="1"/>
  <c r="GO11" i="2" a="1"/>
  <c r="GO11" i="2" s="1"/>
  <c r="GP2" i="2"/>
  <c r="GO6" i="2" a="1"/>
  <c r="GO6" i="2" s="1"/>
  <c r="GO8" i="2" a="1"/>
  <c r="GO8" i="2" s="1"/>
  <c r="GO10" i="2" a="1"/>
  <c r="GO10" i="2" s="1"/>
  <c r="GO9" i="2" a="1"/>
  <c r="GO9" i="2" s="1"/>
  <c r="GO7" i="2" a="1"/>
  <c r="GO7" i="2" s="1"/>
  <c r="DX20" i="2"/>
  <c r="DI20" i="2"/>
  <c r="DJ20" i="2"/>
  <c r="DK20" i="2"/>
  <c r="DL20" i="2"/>
  <c r="DM20" i="2"/>
  <c r="DN20" i="2"/>
  <c r="DO20" i="2"/>
  <c r="DP20" i="2"/>
  <c r="DQ20" i="2"/>
  <c r="DR20" i="2"/>
  <c r="DS20" i="2"/>
  <c r="DT20" i="2"/>
  <c r="DU20" i="2"/>
  <c r="DV20" i="2"/>
  <c r="DW18" i="2"/>
  <c r="DW23" i="2"/>
  <c r="DX17" i="2"/>
  <c r="DX13" i="2"/>
  <c r="DI17" i="2"/>
  <c r="DJ17" i="2"/>
  <c r="DK17" i="2"/>
  <c r="DL17" i="2"/>
  <c r="DM17" i="2"/>
  <c r="DN17" i="2"/>
  <c r="DO17" i="2"/>
  <c r="DP17" i="2"/>
  <c r="DQ17" i="2"/>
  <c r="DR17" i="2"/>
  <c r="DS17" i="2"/>
  <c r="DT17" i="2"/>
  <c r="DU17" i="2"/>
  <c r="DV17" i="2"/>
  <c r="DW20" i="2"/>
  <c r="GN13" i="2"/>
  <c r="GM8" i="12" l="1"/>
  <c r="DW8" i="12"/>
  <c r="DF20" i="11"/>
  <c r="CP20" i="11"/>
  <c r="CQ20" i="11"/>
  <c r="CR20" i="11"/>
  <c r="CS20" i="11"/>
  <c r="CT20" i="11"/>
  <c r="CU20" i="11"/>
  <c r="CV20" i="11"/>
  <c r="CW20" i="11"/>
  <c r="CX20" i="11"/>
  <c r="CY20" i="11"/>
  <c r="CZ20" i="11"/>
  <c r="DA20" i="11"/>
  <c r="DB20" i="11"/>
  <c r="DC20" i="11"/>
  <c r="DD20" i="11"/>
  <c r="EN6" i="12"/>
  <c r="HC31" i="12"/>
  <c r="GK32" i="12"/>
  <c r="DF7" i="12"/>
  <c r="CM34" i="12"/>
  <c r="CN30" i="12"/>
  <c r="CN20" i="12"/>
  <c r="BX20" i="12"/>
  <c r="BY20" i="12"/>
  <c r="BZ20" i="12"/>
  <c r="CA20" i="12"/>
  <c r="CB20" i="12"/>
  <c r="CC20" i="12"/>
  <c r="CD20" i="12"/>
  <c r="CE20" i="12"/>
  <c r="CF20" i="12"/>
  <c r="CG20" i="12"/>
  <c r="CH20" i="12"/>
  <c r="CI20" i="12"/>
  <c r="CJ20" i="12"/>
  <c r="CK20" i="12"/>
  <c r="CL20" i="12"/>
  <c r="HC32" i="12"/>
  <c r="DF18" i="11"/>
  <c r="CP18" i="11"/>
  <c r="CQ18" i="11"/>
  <c r="CR18" i="11"/>
  <c r="CS18" i="11"/>
  <c r="CT18" i="11"/>
  <c r="CU18" i="11"/>
  <c r="CV18" i="11"/>
  <c r="CW18" i="11"/>
  <c r="CX18" i="11"/>
  <c r="CY18" i="11"/>
  <c r="CZ18" i="11"/>
  <c r="DA18" i="11"/>
  <c r="DB18" i="11"/>
  <c r="DC18" i="11"/>
  <c r="DD18" i="11"/>
  <c r="DW12" i="12"/>
  <c r="FU34" i="11"/>
  <c r="DE20" i="11"/>
  <c r="HC29" i="11"/>
  <c r="DU34" i="12"/>
  <c r="HS34" i="12"/>
  <c r="DD32" i="12"/>
  <c r="GL13" i="12"/>
  <c r="GL27" i="12" s="1"/>
  <c r="HB34" i="12"/>
  <c r="EM31" i="11"/>
  <c r="CM30" i="12"/>
  <c r="HD12" i="12"/>
  <c r="DW7" i="12"/>
  <c r="GL34" i="11"/>
  <c r="DW10" i="12"/>
  <c r="HT34" i="11"/>
  <c r="EN7" i="12"/>
  <c r="EN28" i="11"/>
  <c r="DE30" i="11"/>
  <c r="FT34" i="12"/>
  <c r="GL31" i="11"/>
  <c r="EL28" i="12"/>
  <c r="CN22" i="12"/>
  <c r="BX22" i="12"/>
  <c r="BY22" i="12"/>
  <c r="BZ22" i="12"/>
  <c r="CA22" i="12"/>
  <c r="CB22" i="12"/>
  <c r="CC22" i="12"/>
  <c r="CD22" i="12"/>
  <c r="CE22" i="12"/>
  <c r="CF22" i="12"/>
  <c r="CG22" i="12"/>
  <c r="CH22" i="12"/>
  <c r="CI22" i="12"/>
  <c r="CJ22" i="12"/>
  <c r="CK22" i="12"/>
  <c r="CL22" i="12"/>
  <c r="HB30" i="12"/>
  <c r="CN32" i="11"/>
  <c r="FT30" i="12"/>
  <c r="CN29" i="12"/>
  <c r="CN19" i="12"/>
  <c r="BX19" i="12"/>
  <c r="BY19" i="12"/>
  <c r="BZ19" i="12"/>
  <c r="CA19" i="12"/>
  <c r="CB19" i="12"/>
  <c r="CC19" i="12"/>
  <c r="CD19" i="12"/>
  <c r="CE19" i="12"/>
  <c r="CF19" i="12"/>
  <c r="CG19" i="12"/>
  <c r="CH19" i="12"/>
  <c r="CI19" i="12"/>
  <c r="CJ19" i="12"/>
  <c r="CK19" i="12"/>
  <c r="CL19" i="12"/>
  <c r="FU31" i="11"/>
  <c r="FU29" i="11"/>
  <c r="EM31" i="12"/>
  <c r="CM20" i="12"/>
  <c r="DE29" i="11"/>
  <c r="HD6" i="12"/>
  <c r="FV12" i="12"/>
  <c r="FV33" i="11"/>
  <c r="HC34" i="11"/>
  <c r="HC31" i="11"/>
  <c r="GK34" i="12"/>
  <c r="DV29" i="12"/>
  <c r="DE28" i="11"/>
  <c r="DV30" i="12"/>
  <c r="GL28" i="12"/>
  <c r="DF11" i="12"/>
  <c r="HC32" i="11"/>
  <c r="DV34" i="11"/>
  <c r="GM6" i="12"/>
  <c r="DW11" i="12"/>
  <c r="DW22" i="11"/>
  <c r="EN8" i="12"/>
  <c r="EN29" i="11"/>
  <c r="GK31" i="12"/>
  <c r="DE30" i="12"/>
  <c r="DF9" i="12"/>
  <c r="DD30" i="12"/>
  <c r="FT28" i="12"/>
  <c r="CM22" i="12"/>
  <c r="FC31" i="12"/>
  <c r="HS31" i="12"/>
  <c r="DV28" i="11"/>
  <c r="EL32" i="12"/>
  <c r="HT30" i="11"/>
  <c r="CM29" i="12"/>
  <c r="CM24" i="11"/>
  <c r="DF8" i="12"/>
  <c r="GM9" i="12"/>
  <c r="GM30" i="11"/>
  <c r="DF21" i="11"/>
  <c r="CP21" i="11"/>
  <c r="CQ21" i="11"/>
  <c r="CR21" i="11"/>
  <c r="CS21" i="11"/>
  <c r="CT21" i="11"/>
  <c r="CU21" i="11"/>
  <c r="CV21" i="11"/>
  <c r="CW21" i="11"/>
  <c r="CX21" i="11"/>
  <c r="CY21" i="11"/>
  <c r="CZ21" i="11"/>
  <c r="DA21" i="11"/>
  <c r="DB21" i="11"/>
  <c r="DC21" i="11"/>
  <c r="DD21" i="11"/>
  <c r="DW9" i="12"/>
  <c r="DF17" i="11"/>
  <c r="CP17" i="11"/>
  <c r="CQ17" i="11"/>
  <c r="CR17" i="11"/>
  <c r="CS17" i="11"/>
  <c r="CT17" i="11"/>
  <c r="CU17" i="11"/>
  <c r="CV17" i="11"/>
  <c r="CW17" i="11"/>
  <c r="CX17" i="11"/>
  <c r="CY17" i="11"/>
  <c r="CZ17" i="11"/>
  <c r="DA17" i="11"/>
  <c r="DB17" i="11"/>
  <c r="DC17" i="11"/>
  <c r="DD17" i="11"/>
  <c r="HU8" i="12"/>
  <c r="EN9" i="12"/>
  <c r="HC27" i="11"/>
  <c r="CM32" i="12"/>
  <c r="FD30" i="11"/>
  <c r="HT29" i="11"/>
  <c r="HS33" i="12"/>
  <c r="CM19" i="12"/>
  <c r="DD28" i="12"/>
  <c r="DU32" i="12"/>
  <c r="HT28" i="11"/>
  <c r="GM7" i="12"/>
  <c r="GM28" i="11"/>
  <c r="DF23" i="11"/>
  <c r="CP23" i="11"/>
  <c r="CQ23" i="11"/>
  <c r="CR23" i="11"/>
  <c r="CS23" i="11"/>
  <c r="CT23" i="11"/>
  <c r="CU23" i="11"/>
  <c r="CV23" i="11"/>
  <c r="CW23" i="11"/>
  <c r="CX23" i="11"/>
  <c r="CY23" i="11"/>
  <c r="CZ23" i="11"/>
  <c r="DA23" i="11"/>
  <c r="DB23" i="11"/>
  <c r="DC23" i="11"/>
  <c r="DD23" i="11"/>
  <c r="DE34" i="11"/>
  <c r="HU6" i="12"/>
  <c r="FE6" i="12"/>
  <c r="FE27" i="11"/>
  <c r="EN10" i="12"/>
  <c r="FC27" i="12"/>
  <c r="DE13" i="12"/>
  <c r="DE27" i="12" s="1"/>
  <c r="DE17" i="12"/>
  <c r="DF6" i="12"/>
  <c r="DV33" i="11"/>
  <c r="DV32" i="11"/>
  <c r="HC13" i="12"/>
  <c r="HC27" i="12"/>
  <c r="DD33" i="12"/>
  <c r="HT29" i="12"/>
  <c r="DE33" i="11"/>
  <c r="HT28" i="12"/>
  <c r="HT27" i="11"/>
  <c r="FV7" i="12"/>
  <c r="HU7" i="12"/>
  <c r="FE8" i="12"/>
  <c r="EN11" i="12"/>
  <c r="FC34" i="12"/>
  <c r="FU28" i="12"/>
  <c r="DV33" i="12"/>
  <c r="DV32" i="12"/>
  <c r="CN30" i="11"/>
  <c r="HC30" i="11"/>
  <c r="DE23" i="12"/>
  <c r="DE33" i="12"/>
  <c r="DF12" i="12"/>
  <c r="CN27" i="11"/>
  <c r="FU32" i="11"/>
  <c r="HT13" i="12"/>
  <c r="HT27" i="12"/>
  <c r="FV8" i="12"/>
  <c r="FV29" i="11"/>
  <c r="HU9" i="12"/>
  <c r="FE7" i="12"/>
  <c r="EN12" i="12"/>
  <c r="EM28" i="11"/>
  <c r="GL30" i="11"/>
  <c r="EM32" i="12"/>
  <c r="DE21" i="11"/>
  <c r="HS32" i="12"/>
  <c r="FC29" i="12"/>
  <c r="HS30" i="12"/>
  <c r="FC30" i="12"/>
  <c r="CN23" i="12"/>
  <c r="CN33" i="12"/>
  <c r="BX23" i="12"/>
  <c r="BY23" i="12"/>
  <c r="BZ23" i="12"/>
  <c r="CA23" i="12"/>
  <c r="CB23" i="12"/>
  <c r="CC23" i="12"/>
  <c r="CD23" i="12"/>
  <c r="CE23" i="12"/>
  <c r="CF23" i="12"/>
  <c r="CG23" i="12"/>
  <c r="CH23" i="12"/>
  <c r="CI23" i="12"/>
  <c r="CJ23" i="12"/>
  <c r="CK23" i="12"/>
  <c r="CL23" i="12"/>
  <c r="HD7" i="12"/>
  <c r="GM10" i="12"/>
  <c r="HU10" i="12"/>
  <c r="FE9" i="12"/>
  <c r="DF32" i="11"/>
  <c r="DF22" i="11"/>
  <c r="CP22" i="11"/>
  <c r="CQ22" i="11"/>
  <c r="CR22" i="11"/>
  <c r="CS22" i="11"/>
  <c r="CT22" i="11"/>
  <c r="CU22" i="11"/>
  <c r="CV22" i="11"/>
  <c r="CW22" i="11"/>
  <c r="CX22" i="11"/>
  <c r="CY22" i="11"/>
  <c r="CZ22" i="11"/>
  <c r="DA22" i="11"/>
  <c r="DB22" i="11"/>
  <c r="DC22" i="11"/>
  <c r="DD22" i="11"/>
  <c r="EM28" i="12"/>
  <c r="DD34" i="12"/>
  <c r="EL34" i="12"/>
  <c r="EM30" i="12"/>
  <c r="DV31" i="11"/>
  <c r="DV27" i="11"/>
  <c r="DE31" i="11"/>
  <c r="CN18" i="12"/>
  <c r="BX18" i="12"/>
  <c r="BY18" i="12"/>
  <c r="BZ18" i="12"/>
  <c r="CA18" i="12"/>
  <c r="CB18" i="12"/>
  <c r="CC18" i="12"/>
  <c r="CD18" i="12"/>
  <c r="CE18" i="12"/>
  <c r="CF18" i="12"/>
  <c r="CG18" i="12"/>
  <c r="CH18" i="12"/>
  <c r="CI18" i="12"/>
  <c r="CJ18" i="12"/>
  <c r="CK18" i="12"/>
  <c r="CL18" i="12"/>
  <c r="CM33" i="12"/>
  <c r="HD9" i="12"/>
  <c r="FV6" i="12"/>
  <c r="HU12" i="12"/>
  <c r="FE11" i="12"/>
  <c r="FD34" i="11"/>
  <c r="DU33" i="12"/>
  <c r="FU27" i="11"/>
  <c r="EM13" i="12"/>
  <c r="EM27" i="12"/>
  <c r="CN31" i="11"/>
  <c r="GL29" i="11"/>
  <c r="FD27" i="11"/>
  <c r="HS29" i="12"/>
  <c r="CN21" i="12"/>
  <c r="BX21" i="12"/>
  <c r="BY21" i="12"/>
  <c r="BZ21" i="12"/>
  <c r="CA21" i="12"/>
  <c r="CB21" i="12"/>
  <c r="CC21" i="12"/>
  <c r="CD21" i="12"/>
  <c r="CE21" i="12"/>
  <c r="CF21" i="12"/>
  <c r="CG21" i="12"/>
  <c r="CH21" i="12"/>
  <c r="CI21" i="12"/>
  <c r="CJ21" i="12"/>
  <c r="CK21" i="12"/>
  <c r="CL21" i="12"/>
  <c r="HT32" i="11"/>
  <c r="DV13" i="12"/>
  <c r="DV27" i="12"/>
  <c r="GK28" i="12"/>
  <c r="DE31" i="12"/>
  <c r="DF10" i="12"/>
  <c r="DE21" i="12" s="1"/>
  <c r="CM28" i="12"/>
  <c r="HC33" i="11"/>
  <c r="GK29" i="12"/>
  <c r="HD8" i="12"/>
  <c r="FV10" i="12"/>
  <c r="HU11" i="12"/>
  <c r="FE10" i="12"/>
  <c r="FE31" i="11"/>
  <c r="EM34" i="11"/>
  <c r="FU13" i="12"/>
  <c r="FU27" i="12" s="1"/>
  <c r="FD31" i="11"/>
  <c r="HB29" i="12"/>
  <c r="HT33" i="11"/>
  <c r="HB33" i="12"/>
  <c r="FD13" i="12"/>
  <c r="FD27" i="12"/>
  <c r="CM31" i="12"/>
  <c r="EL29" i="12"/>
  <c r="HT32" i="12"/>
  <c r="DV31" i="12"/>
  <c r="DU29" i="12"/>
  <c r="CM18" i="12"/>
  <c r="BV34" i="12"/>
  <c r="BV24" i="12"/>
  <c r="BF24" i="12"/>
  <c r="BV14" i="12"/>
  <c r="BV15" i="12" s="1"/>
  <c r="BG24" i="12"/>
  <c r="BH24" i="12"/>
  <c r="BI24" i="12"/>
  <c r="BJ24" i="12"/>
  <c r="BK24" i="12"/>
  <c r="BL24" i="12"/>
  <c r="BM24" i="12"/>
  <c r="BN24" i="12"/>
  <c r="BO24" i="12"/>
  <c r="BP24" i="12"/>
  <c r="BQ24" i="12"/>
  <c r="BR24" i="12"/>
  <c r="BS24" i="12"/>
  <c r="BT24" i="12"/>
  <c r="HC33" i="12"/>
  <c r="FU30" i="11"/>
  <c r="GM11" i="12"/>
  <c r="GM32" i="11"/>
  <c r="HD10" i="12"/>
  <c r="FV9" i="12"/>
  <c r="FE12" i="12"/>
  <c r="FC28" i="12"/>
  <c r="HT31" i="11"/>
  <c r="HT33" i="12"/>
  <c r="CN17" i="12"/>
  <c r="CN13" i="12"/>
  <c r="CM24" i="12" s="1"/>
  <c r="BX17" i="12"/>
  <c r="BY17" i="12"/>
  <c r="BZ17" i="12"/>
  <c r="CA17" i="12"/>
  <c r="CB17" i="12"/>
  <c r="CC17" i="12"/>
  <c r="CD17" i="12"/>
  <c r="CE17" i="12"/>
  <c r="CF17" i="12"/>
  <c r="CG17" i="12"/>
  <c r="CH17" i="12"/>
  <c r="CI17" i="12"/>
  <c r="CJ17" i="12"/>
  <c r="CK17" i="12"/>
  <c r="CL17" i="12"/>
  <c r="EL30" i="12"/>
  <c r="EM29" i="11"/>
  <c r="DE22" i="11"/>
  <c r="FU30" i="12"/>
  <c r="GL32" i="11"/>
  <c r="GM12" i="12"/>
  <c r="GM33" i="11"/>
  <c r="HD11" i="12"/>
  <c r="DW6" i="12"/>
  <c r="CN24" i="11"/>
  <c r="CN34" i="11"/>
  <c r="BX24" i="11"/>
  <c r="CN14" i="11"/>
  <c r="CN15" i="11" s="1"/>
  <c r="BY24" i="11"/>
  <c r="BZ24" i="11"/>
  <c r="CA24" i="11"/>
  <c r="CB24" i="11"/>
  <c r="CC24" i="11"/>
  <c r="CD24" i="11"/>
  <c r="CE24" i="11"/>
  <c r="CF24" i="11"/>
  <c r="CG24" i="11"/>
  <c r="CH24" i="11"/>
  <c r="CI24" i="11"/>
  <c r="CJ24" i="11"/>
  <c r="CK24" i="11"/>
  <c r="CL24" i="11"/>
  <c r="FV11" i="12"/>
  <c r="DF19" i="11"/>
  <c r="CP19" i="11"/>
  <c r="CQ19" i="11"/>
  <c r="CR19" i="11"/>
  <c r="CS19" i="11"/>
  <c r="CT19" i="11"/>
  <c r="CU19" i="11"/>
  <c r="CV19" i="11"/>
  <c r="CW19" i="11"/>
  <c r="CX19" i="11"/>
  <c r="CY19" i="11"/>
  <c r="CZ19" i="11"/>
  <c r="DA19" i="11"/>
  <c r="DB19" i="11"/>
  <c r="DC19" i="11"/>
  <c r="DD19" i="11"/>
  <c r="FD32" i="11"/>
  <c r="HB31" i="12"/>
  <c r="HT31" i="12"/>
  <c r="DD29" i="12"/>
  <c r="GK27" i="12"/>
  <c r="DV29" i="11"/>
  <c r="DE18" i="11"/>
  <c r="CM27" i="12"/>
  <c r="DV30" i="11"/>
  <c r="GL28" i="11"/>
  <c r="FT33" i="12"/>
  <c r="EL33" i="12"/>
  <c r="EM29" i="12"/>
  <c r="CN28" i="11"/>
  <c r="FT32" i="12"/>
  <c r="DE32" i="11"/>
  <c r="GL32" i="12"/>
  <c r="FV13" i="11"/>
  <c r="FV32" i="11" s="1"/>
  <c r="HV10" i="10" a="1"/>
  <c r="HV10" i="10" s="1"/>
  <c r="HV9" i="10" a="1"/>
  <c r="HV9" i="10" s="1"/>
  <c r="HV12" i="10" a="1"/>
  <c r="HV12" i="10" s="1"/>
  <c r="HV8" i="10" a="1"/>
  <c r="HV8" i="10" s="1"/>
  <c r="HV11" i="10" a="1"/>
  <c r="HV11" i="10" s="1"/>
  <c r="HW2" i="10"/>
  <c r="HV6" i="10" a="1"/>
  <c r="HV6" i="10" s="1"/>
  <c r="HV7" i="10" a="1"/>
  <c r="HV7" i="10" s="1"/>
  <c r="GM13" i="11"/>
  <c r="GM27" i="11" s="1"/>
  <c r="DX11" i="11"/>
  <c r="HE12" i="10" a="1"/>
  <c r="HE12" i="10" s="1"/>
  <c r="HE11" i="10" a="1"/>
  <c r="HE11" i="10" s="1"/>
  <c r="HE10" i="10" a="1"/>
  <c r="HE10" i="10" s="1"/>
  <c r="HE8" i="10" a="1"/>
  <c r="HE8" i="10" s="1"/>
  <c r="HE9" i="10" a="1"/>
  <c r="HE9" i="10" s="1"/>
  <c r="HF2" i="10"/>
  <c r="HE6" i="10" a="1"/>
  <c r="HE6" i="10" s="1"/>
  <c r="HE7" i="10" a="1"/>
  <c r="HE7" i="10" s="1"/>
  <c r="DX9" i="11"/>
  <c r="DW20" i="11" s="1"/>
  <c r="GN12" i="11" a="1"/>
  <c r="GN12" i="11" s="1"/>
  <c r="GN10" i="11" a="1"/>
  <c r="GN10" i="11" s="1"/>
  <c r="GN11" i="11" a="1"/>
  <c r="GN11" i="11" s="1"/>
  <c r="GN9" i="11" a="1"/>
  <c r="GN9" i="11" s="1"/>
  <c r="GN8" i="11" a="1"/>
  <c r="GN8" i="11" s="1"/>
  <c r="GN7" i="11" a="1"/>
  <c r="GN7" i="11" s="1"/>
  <c r="GO2" i="11"/>
  <c r="GN6" i="11" a="1"/>
  <c r="GN6" i="11" s="1"/>
  <c r="DF13" i="10"/>
  <c r="FW12" i="10" a="1"/>
  <c r="FW12" i="10" s="1"/>
  <c r="FW11" i="10" a="1"/>
  <c r="FW11" i="10" s="1"/>
  <c r="FW9" i="10" a="1"/>
  <c r="FW9" i="10" s="1"/>
  <c r="FW10" i="10" a="1"/>
  <c r="FW10" i="10" s="1"/>
  <c r="FW8" i="10" a="1"/>
  <c r="FW8" i="10" s="1"/>
  <c r="FX2" i="10"/>
  <c r="FW6" i="10" a="1"/>
  <c r="FW6" i="10" s="1"/>
  <c r="FW7" i="10" a="1"/>
  <c r="FW7" i="10" s="1"/>
  <c r="DX7" i="10"/>
  <c r="HD13" i="11"/>
  <c r="HD27" i="11" s="1"/>
  <c r="DW13" i="10"/>
  <c r="DX6" i="10"/>
  <c r="EN13" i="11"/>
  <c r="EN27" i="11" s="1"/>
  <c r="FV13" i="10"/>
  <c r="FF11" i="10" a="1"/>
  <c r="FF11" i="10" s="1"/>
  <c r="FF12" i="10" a="1"/>
  <c r="FF12" i="10" s="1"/>
  <c r="FF9" i="10" a="1"/>
  <c r="FF9" i="10" s="1"/>
  <c r="FF8" i="10" a="1"/>
  <c r="FF8" i="10" s="1"/>
  <c r="FF6" i="10" a="1"/>
  <c r="FF6" i="10" s="1"/>
  <c r="FF10" i="10" a="1"/>
  <c r="FF10" i="10" s="1"/>
  <c r="FF7" i="10" a="1"/>
  <c r="FF7" i="10" s="1"/>
  <c r="FG2" i="10"/>
  <c r="DX8" i="10"/>
  <c r="EO12" i="11" a="1"/>
  <c r="EO12" i="11" s="1"/>
  <c r="EO11" i="11" a="1"/>
  <c r="EO11" i="11" s="1"/>
  <c r="EO10" i="11" a="1"/>
  <c r="EO10" i="11" s="1"/>
  <c r="EO9" i="11" a="1"/>
  <c r="EO9" i="11" s="1"/>
  <c r="EO7" i="11" a="1"/>
  <c r="EO7" i="11" s="1"/>
  <c r="EO8" i="11" a="1"/>
  <c r="EO8" i="11" s="1"/>
  <c r="EO6" i="11" a="1"/>
  <c r="EO6" i="11" s="1"/>
  <c r="FE13" i="10"/>
  <c r="DX10" i="10"/>
  <c r="HE12" i="11" a="1"/>
  <c r="HE12" i="11" s="1"/>
  <c r="HE11" i="11" a="1"/>
  <c r="HE11" i="11" s="1"/>
  <c r="HE10" i="11" a="1"/>
  <c r="HE10" i="11" s="1"/>
  <c r="HE9" i="11" a="1"/>
  <c r="HE9" i="11" s="1"/>
  <c r="HE8" i="11" a="1"/>
  <c r="HE8" i="11" s="1"/>
  <c r="HE7" i="11" a="1"/>
  <c r="HE7" i="11" s="1"/>
  <c r="HE6" i="11" a="1"/>
  <c r="HE6" i="11" s="1"/>
  <c r="HF2" i="11"/>
  <c r="GN11" i="10" a="1"/>
  <c r="GN11" i="10" s="1"/>
  <c r="GN12" i="10" a="1"/>
  <c r="GN12" i="10" s="1"/>
  <c r="GN9" i="10" a="1"/>
  <c r="GN9" i="10" s="1"/>
  <c r="GN10" i="10" a="1"/>
  <c r="GN10" i="10" s="1"/>
  <c r="GN8" i="10" a="1"/>
  <c r="GN8" i="10" s="1"/>
  <c r="GN7" i="10" a="1"/>
  <c r="GN7" i="10" s="1"/>
  <c r="GN6" i="10" a="1"/>
  <c r="GN6" i="10" s="1"/>
  <c r="GO2" i="10"/>
  <c r="DX9" i="10"/>
  <c r="GM13" i="10"/>
  <c r="DX12" i="10"/>
  <c r="EN13" i="10"/>
  <c r="DX11" i="10"/>
  <c r="EO12" i="10" a="1"/>
  <c r="EO12" i="10" s="1"/>
  <c r="EO11" i="10" a="1"/>
  <c r="EO11" i="10" s="1"/>
  <c r="EO10" i="10" a="1"/>
  <c r="EO10" i="10" s="1"/>
  <c r="EO8" i="10" a="1"/>
  <c r="EO8" i="10" s="1"/>
  <c r="EO9" i="10" a="1"/>
  <c r="EO9" i="10" s="1"/>
  <c r="EO6" i="10" a="1"/>
  <c r="EO6" i="10" s="1"/>
  <c r="EO7" i="10" a="1"/>
  <c r="EO7" i="10" s="1"/>
  <c r="DF13" i="11"/>
  <c r="DF33" i="11" s="1"/>
  <c r="HV12" i="11" a="1"/>
  <c r="HV12" i="11" s="1"/>
  <c r="HV11" i="11" a="1"/>
  <c r="HV11" i="11" s="1"/>
  <c r="HV10" i="11" a="1"/>
  <c r="HV10" i="11" s="1"/>
  <c r="HV9" i="11" a="1"/>
  <c r="HV9" i="11" s="1"/>
  <c r="HV8" i="11" a="1"/>
  <c r="HV8" i="11" s="1"/>
  <c r="HV7" i="11" a="1"/>
  <c r="HV7" i="11" s="1"/>
  <c r="HV6" i="11" a="1"/>
  <c r="HV6" i="11" s="1"/>
  <c r="HW2" i="11"/>
  <c r="DX8" i="11"/>
  <c r="DW19" i="11" s="1"/>
  <c r="HU13" i="11"/>
  <c r="DX7" i="11"/>
  <c r="DW18" i="11" s="1"/>
  <c r="FF9" i="11" a="1"/>
  <c r="FF9" i="11" s="1"/>
  <c r="FF11" i="11" a="1"/>
  <c r="FF11" i="11" s="1"/>
  <c r="FF12" i="11" a="1"/>
  <c r="FF12" i="11" s="1"/>
  <c r="FF10" i="11" a="1"/>
  <c r="FF10" i="11" s="1"/>
  <c r="FF7" i="11" a="1"/>
  <c r="FF7" i="11" s="1"/>
  <c r="FF8" i="11" a="1"/>
  <c r="FF8" i="11" s="1"/>
  <c r="FF6" i="11" a="1"/>
  <c r="FF6" i="11" s="1"/>
  <c r="FG2" i="11"/>
  <c r="DW13" i="11"/>
  <c r="DW32" i="11" s="1"/>
  <c r="DX6" i="11"/>
  <c r="FE13" i="11"/>
  <c r="FE28" i="11" s="1"/>
  <c r="HD13" i="10"/>
  <c r="DX12" i="11"/>
  <c r="DW23" i="11" s="1"/>
  <c r="DX10" i="11"/>
  <c r="DW21" i="11" s="1"/>
  <c r="FW11" i="11" a="1"/>
  <c r="FW11" i="11" s="1"/>
  <c r="FW12" i="11" a="1"/>
  <c r="FW12" i="11" s="1"/>
  <c r="FW10" i="11" a="1"/>
  <c r="FW10" i="11" s="1"/>
  <c r="FW8" i="11" a="1"/>
  <c r="FW8" i="11" s="1"/>
  <c r="FW9" i="11" a="1"/>
  <c r="FW9" i="11" s="1"/>
  <c r="FW6" i="11" a="1"/>
  <c r="FW6" i="11" s="1"/>
  <c r="FW7" i="11" a="1"/>
  <c r="FW7" i="11" s="1"/>
  <c r="FX2" i="11"/>
  <c r="HU13" i="10"/>
  <c r="HW13" i="2"/>
  <c r="EP22" i="2"/>
  <c r="EA22" i="2"/>
  <c r="EB22" i="2"/>
  <c r="EC22" i="2"/>
  <c r="ED22" i="2"/>
  <c r="EE22" i="2"/>
  <c r="EF22" i="2"/>
  <c r="EG22" i="2"/>
  <c r="EH22" i="2"/>
  <c r="EI22" i="2"/>
  <c r="EJ22" i="2"/>
  <c r="EK22" i="2"/>
  <c r="EL22" i="2"/>
  <c r="EM22" i="2"/>
  <c r="EN22" i="2"/>
  <c r="EO22" i="2"/>
  <c r="EP21" i="2"/>
  <c r="EA21" i="2"/>
  <c r="EB21" i="2"/>
  <c r="EC21" i="2"/>
  <c r="ED21" i="2"/>
  <c r="EE21" i="2"/>
  <c r="EF21" i="2"/>
  <c r="EG21" i="2"/>
  <c r="EH21" i="2"/>
  <c r="EI21" i="2"/>
  <c r="EJ21" i="2"/>
  <c r="EK21" i="2"/>
  <c r="EL21" i="2"/>
  <c r="EM21" i="2"/>
  <c r="EN21" i="2"/>
  <c r="EO21" i="2"/>
  <c r="FH9" i="2"/>
  <c r="FG20" i="2" s="1"/>
  <c r="FX13" i="2"/>
  <c r="GP10" i="2" a="1"/>
  <c r="GP10" i="2" s="1"/>
  <c r="GP9" i="2" a="1"/>
  <c r="GP9" i="2" s="1"/>
  <c r="GP11" i="2" a="1"/>
  <c r="GP11" i="2" s="1"/>
  <c r="GP12" i="2" a="1"/>
  <c r="GP12" i="2" s="1"/>
  <c r="GP6" i="2" a="1"/>
  <c r="GP6" i="2" s="1"/>
  <c r="GP8" i="2" a="1"/>
  <c r="GP8" i="2" s="1"/>
  <c r="GQ2" i="2"/>
  <c r="GP7" i="2" a="1"/>
  <c r="GP7" i="2" s="1"/>
  <c r="HG12" i="2" a="1"/>
  <c r="HG12" i="2" s="1"/>
  <c r="HG11" i="2" a="1"/>
  <c r="HG11" i="2" s="1"/>
  <c r="HG10" i="2" a="1"/>
  <c r="HG10" i="2" s="1"/>
  <c r="HG9" i="2" a="1"/>
  <c r="HG9" i="2" s="1"/>
  <c r="HH2" i="2"/>
  <c r="HG8" i="2" a="1"/>
  <c r="HG8" i="2" s="1"/>
  <c r="HG7" i="2" a="1"/>
  <c r="HG7" i="2" s="1"/>
  <c r="HG6" i="2" a="1"/>
  <c r="HG6" i="2" s="1"/>
  <c r="FH10" i="2"/>
  <c r="FG13" i="2"/>
  <c r="FH6" i="2"/>
  <c r="FG17" i="2" s="1"/>
  <c r="EP20" i="2"/>
  <c r="EA20" i="2"/>
  <c r="EB20" i="2"/>
  <c r="EC20" i="2"/>
  <c r="ED20" i="2"/>
  <c r="EE20" i="2"/>
  <c r="EF20" i="2"/>
  <c r="EG20" i="2"/>
  <c r="EH20" i="2"/>
  <c r="EI20" i="2"/>
  <c r="EJ20" i="2"/>
  <c r="EK20" i="2"/>
  <c r="EL20" i="2"/>
  <c r="EM20" i="2"/>
  <c r="EN20" i="2"/>
  <c r="FY10" i="2" a="1"/>
  <c r="FY10" i="2" s="1"/>
  <c r="FY12" i="2" a="1"/>
  <c r="FY12" i="2" s="1"/>
  <c r="FY11" i="2" a="1"/>
  <c r="FY11" i="2" s="1"/>
  <c r="FY9" i="2" a="1"/>
  <c r="FY9" i="2" s="1"/>
  <c r="FY8" i="2" a="1"/>
  <c r="FY8" i="2" s="1"/>
  <c r="FY7" i="2" a="1"/>
  <c r="FY7" i="2" s="1"/>
  <c r="FY6" i="2" a="1"/>
  <c r="FY6" i="2" s="1"/>
  <c r="FH7" i="2"/>
  <c r="EP18" i="2"/>
  <c r="EA18" i="2"/>
  <c r="EB18" i="2"/>
  <c r="EC18" i="2"/>
  <c r="ED18" i="2"/>
  <c r="EE18" i="2"/>
  <c r="EF18" i="2"/>
  <c r="EG18" i="2"/>
  <c r="EH18" i="2"/>
  <c r="EI18" i="2"/>
  <c r="EJ18" i="2"/>
  <c r="EK18" i="2"/>
  <c r="EL18" i="2"/>
  <c r="EM18" i="2"/>
  <c r="EN18" i="2"/>
  <c r="FH8" i="2"/>
  <c r="EP19" i="2"/>
  <c r="EA19" i="2"/>
  <c r="EB19" i="2"/>
  <c r="EC19" i="2"/>
  <c r="ED19" i="2"/>
  <c r="EE19" i="2"/>
  <c r="EF19" i="2"/>
  <c r="EG19" i="2"/>
  <c r="EH19" i="2"/>
  <c r="EI19" i="2"/>
  <c r="EJ19" i="2"/>
  <c r="EK19" i="2"/>
  <c r="EL19" i="2"/>
  <c r="EM19" i="2"/>
  <c r="EN19" i="2"/>
  <c r="FH11" i="2"/>
  <c r="FH12" i="2"/>
  <c r="FG23" i="2" s="1"/>
  <c r="EP23" i="2"/>
  <c r="EA23" i="2"/>
  <c r="EB23" i="2"/>
  <c r="EC23" i="2"/>
  <c r="ED23" i="2"/>
  <c r="EE23" i="2"/>
  <c r="EF23" i="2"/>
  <c r="EG23" i="2"/>
  <c r="EH23" i="2"/>
  <c r="EI23" i="2"/>
  <c r="EJ23" i="2"/>
  <c r="EK23" i="2"/>
  <c r="EL23" i="2"/>
  <c r="EM23" i="2"/>
  <c r="EN23" i="2"/>
  <c r="HF13" i="2"/>
  <c r="GO13" i="2"/>
  <c r="EP17" i="2"/>
  <c r="EP13" i="2"/>
  <c r="EA17" i="2"/>
  <c r="EB17" i="2"/>
  <c r="EC17" i="2"/>
  <c r="ED17" i="2"/>
  <c r="EE17" i="2"/>
  <c r="EF17" i="2"/>
  <c r="EG17" i="2"/>
  <c r="EH17" i="2"/>
  <c r="EI17" i="2"/>
  <c r="EJ17" i="2"/>
  <c r="EK17" i="2"/>
  <c r="EL17" i="2"/>
  <c r="EM17" i="2"/>
  <c r="EN17" i="2"/>
  <c r="HX12" i="2" a="1"/>
  <c r="HX12" i="2" s="1"/>
  <c r="HX11" i="2" a="1"/>
  <c r="HX11" i="2" s="1"/>
  <c r="HX6" i="2" a="1"/>
  <c r="HX6" i="2" s="1"/>
  <c r="HX7" i="2" a="1"/>
  <c r="HX7" i="2" s="1"/>
  <c r="HX8" i="2" a="1"/>
  <c r="HX8" i="2" s="1"/>
  <c r="HX9" i="2" a="1"/>
  <c r="HX9" i="2" s="1"/>
  <c r="HY2" i="2"/>
  <c r="HX10" i="2" a="1"/>
  <c r="HX10" i="2" s="1"/>
  <c r="HU34" i="11" l="1"/>
  <c r="GN6" i="12"/>
  <c r="FE33" i="11"/>
  <c r="FD34" i="12"/>
  <c r="HU33" i="12"/>
  <c r="FV28" i="11"/>
  <c r="HC34" i="12"/>
  <c r="HU29" i="11"/>
  <c r="DF19" i="12"/>
  <c r="CP19" i="12"/>
  <c r="CQ19" i="12"/>
  <c r="CR19" i="12"/>
  <c r="CS19" i="12"/>
  <c r="CT19" i="12"/>
  <c r="CU19" i="12"/>
  <c r="CV19" i="12"/>
  <c r="CW19" i="12"/>
  <c r="CX19" i="12"/>
  <c r="CY19" i="12"/>
  <c r="CZ19" i="12"/>
  <c r="DA19" i="12"/>
  <c r="DB19" i="12"/>
  <c r="DC19" i="12"/>
  <c r="DD19" i="12"/>
  <c r="DX27" i="11"/>
  <c r="DX17" i="11"/>
  <c r="DH17" i="11"/>
  <c r="DI17" i="11"/>
  <c r="DJ17" i="11"/>
  <c r="DK17" i="11"/>
  <c r="DL17" i="11"/>
  <c r="DM17" i="11"/>
  <c r="DN17" i="11"/>
  <c r="DO17" i="11"/>
  <c r="DP17" i="11"/>
  <c r="DQ17" i="11"/>
  <c r="DR17" i="11"/>
  <c r="DS17" i="11"/>
  <c r="DT17" i="11"/>
  <c r="DU17" i="11"/>
  <c r="DV17" i="11"/>
  <c r="HV6" i="12"/>
  <c r="EO10" i="12"/>
  <c r="HU27" i="11"/>
  <c r="HU29" i="12"/>
  <c r="DE19" i="12"/>
  <c r="HV7" i="12"/>
  <c r="HE6" i="12"/>
  <c r="EO11" i="12"/>
  <c r="GN7" i="12"/>
  <c r="DW17" i="11"/>
  <c r="GL29" i="12"/>
  <c r="HU32" i="11"/>
  <c r="EM34" i="12"/>
  <c r="FV27" i="11"/>
  <c r="FE30" i="11"/>
  <c r="HT34" i="12"/>
  <c r="HU13" i="12"/>
  <c r="HU27" i="12"/>
  <c r="HT30" i="12"/>
  <c r="DE29" i="12"/>
  <c r="GL31" i="12"/>
  <c r="DX11" i="12"/>
  <c r="EM33" i="12"/>
  <c r="EN13" i="12"/>
  <c r="EN31" i="12" s="1"/>
  <c r="EO9" i="12"/>
  <c r="EN34" i="11"/>
  <c r="DW34" i="11"/>
  <c r="HV8" i="12"/>
  <c r="HE7" i="12"/>
  <c r="EO12" i="12"/>
  <c r="HD34" i="11"/>
  <c r="GN8" i="12"/>
  <c r="DX22" i="11"/>
  <c r="DH22" i="11"/>
  <c r="DI22" i="11"/>
  <c r="DJ22" i="11"/>
  <c r="DK22" i="11"/>
  <c r="DL22" i="11"/>
  <c r="DM22" i="11"/>
  <c r="DN22" i="11"/>
  <c r="DO22" i="11"/>
  <c r="DP22" i="11"/>
  <c r="DQ22" i="11"/>
  <c r="DR22" i="11"/>
  <c r="DS22" i="11"/>
  <c r="DT22" i="11"/>
  <c r="DU22" i="11"/>
  <c r="DV22" i="11"/>
  <c r="DW27" i="11"/>
  <c r="FV30" i="11"/>
  <c r="FV13" i="12"/>
  <c r="FV28" i="12" s="1"/>
  <c r="FV27" i="12"/>
  <c r="FD29" i="12"/>
  <c r="FE30" i="12"/>
  <c r="EN33" i="11"/>
  <c r="DF13" i="12"/>
  <c r="DF17" i="12"/>
  <c r="DF27" i="12"/>
  <c r="CP17" i="12"/>
  <c r="CQ17" i="12"/>
  <c r="CR17" i="12"/>
  <c r="CS17" i="12"/>
  <c r="CT17" i="12"/>
  <c r="CU17" i="12"/>
  <c r="CV17" i="12"/>
  <c r="CW17" i="12"/>
  <c r="CX17" i="12"/>
  <c r="CY17" i="12"/>
  <c r="CZ17" i="12"/>
  <c r="DA17" i="12"/>
  <c r="DB17" i="12"/>
  <c r="DC17" i="12"/>
  <c r="DD17" i="12"/>
  <c r="HD13" i="12"/>
  <c r="HD27" i="12" s="1"/>
  <c r="DW31" i="11"/>
  <c r="FF6" i="12"/>
  <c r="HV9" i="12"/>
  <c r="HE8" i="12"/>
  <c r="GN9" i="12"/>
  <c r="GM34" i="11"/>
  <c r="DW13" i="12"/>
  <c r="DW27" i="12" s="1"/>
  <c r="DX6" i="12"/>
  <c r="CN32" i="12"/>
  <c r="CN24" i="12"/>
  <c r="CN34" i="12"/>
  <c r="CN14" i="12"/>
  <c r="CN15" i="12" s="1"/>
  <c r="BX24" i="12"/>
  <c r="BY24" i="12"/>
  <c r="BZ24" i="12"/>
  <c r="CA24" i="12"/>
  <c r="CB24" i="12"/>
  <c r="CC24" i="12"/>
  <c r="CD24" i="12"/>
  <c r="CE24" i="12"/>
  <c r="CF24" i="12"/>
  <c r="CG24" i="12"/>
  <c r="CH24" i="12"/>
  <c r="CI24" i="12"/>
  <c r="CJ24" i="12"/>
  <c r="CK24" i="12"/>
  <c r="CL24" i="12"/>
  <c r="FV30" i="12"/>
  <c r="FU32" i="12"/>
  <c r="EN32" i="11"/>
  <c r="DE24" i="11"/>
  <c r="DF27" i="11"/>
  <c r="FU29" i="12"/>
  <c r="DW31" i="12"/>
  <c r="DX10" i="12"/>
  <c r="FU33" i="12"/>
  <c r="DF18" i="12"/>
  <c r="DF28" i="12"/>
  <c r="CP18" i="12"/>
  <c r="CQ18" i="12"/>
  <c r="CR18" i="12"/>
  <c r="CS18" i="12"/>
  <c r="CT18" i="12"/>
  <c r="CU18" i="12"/>
  <c r="CV18" i="12"/>
  <c r="CW18" i="12"/>
  <c r="CX18" i="12"/>
  <c r="CY18" i="12"/>
  <c r="CZ18" i="12"/>
  <c r="DA18" i="12"/>
  <c r="DB18" i="12"/>
  <c r="DC18" i="12"/>
  <c r="DD18" i="12"/>
  <c r="HV10" i="12"/>
  <c r="HE9" i="12"/>
  <c r="GN11" i="12"/>
  <c r="CN27" i="12"/>
  <c r="FV31" i="11"/>
  <c r="DV34" i="12"/>
  <c r="FD33" i="12"/>
  <c r="HD30" i="11"/>
  <c r="GL30" i="12"/>
  <c r="HU31" i="11"/>
  <c r="DF23" i="12"/>
  <c r="CP23" i="12"/>
  <c r="CQ23" i="12"/>
  <c r="CR23" i="12"/>
  <c r="CS23" i="12"/>
  <c r="CT23" i="12"/>
  <c r="CU23" i="12"/>
  <c r="CV23" i="12"/>
  <c r="CW23" i="12"/>
  <c r="CX23" i="12"/>
  <c r="CY23" i="12"/>
  <c r="CZ23" i="12"/>
  <c r="DA23" i="12"/>
  <c r="DB23" i="12"/>
  <c r="DC23" i="12"/>
  <c r="DD23" i="12"/>
  <c r="DV28" i="12"/>
  <c r="HC28" i="12"/>
  <c r="GM13" i="12"/>
  <c r="GM27" i="12"/>
  <c r="DE18" i="12"/>
  <c r="DF30" i="11"/>
  <c r="FW6" i="12"/>
  <c r="HV11" i="12"/>
  <c r="HE10" i="12"/>
  <c r="GN10" i="12"/>
  <c r="HD32" i="11"/>
  <c r="HD31" i="11"/>
  <c r="FV31" i="12"/>
  <c r="HD30" i="12"/>
  <c r="HU31" i="12"/>
  <c r="DE34" i="12"/>
  <c r="DW30" i="11"/>
  <c r="FU31" i="12"/>
  <c r="DW33" i="11"/>
  <c r="DE28" i="12"/>
  <c r="EO8" i="12"/>
  <c r="HD33" i="12"/>
  <c r="DX19" i="11"/>
  <c r="DH19" i="11"/>
  <c r="DI19" i="11"/>
  <c r="DJ19" i="11"/>
  <c r="DK19" i="11"/>
  <c r="DL19" i="11"/>
  <c r="DM19" i="11"/>
  <c r="DN19" i="11"/>
  <c r="DO19" i="11"/>
  <c r="DP19" i="11"/>
  <c r="DQ19" i="11"/>
  <c r="DR19" i="11"/>
  <c r="DS19" i="11"/>
  <c r="DT19" i="11"/>
  <c r="DU19" i="11"/>
  <c r="DV19" i="11"/>
  <c r="DF21" i="12"/>
  <c r="CP21" i="12"/>
  <c r="CQ21" i="12"/>
  <c r="CR21" i="12"/>
  <c r="CS21" i="12"/>
  <c r="CT21" i="12"/>
  <c r="CU21" i="12"/>
  <c r="CV21" i="12"/>
  <c r="CW21" i="12"/>
  <c r="CX21" i="12"/>
  <c r="CY21" i="12"/>
  <c r="CZ21" i="12"/>
  <c r="DA21" i="12"/>
  <c r="DB21" i="12"/>
  <c r="DC21" i="12"/>
  <c r="DD21" i="12"/>
  <c r="GM30" i="12"/>
  <c r="FE34" i="11"/>
  <c r="FF10" i="12"/>
  <c r="HE11" i="12"/>
  <c r="GN12" i="12"/>
  <c r="HD32" i="12"/>
  <c r="HD31" i="12"/>
  <c r="FE28" i="12"/>
  <c r="DX9" i="12"/>
  <c r="DF20" i="12"/>
  <c r="CP20" i="12"/>
  <c r="CQ20" i="12"/>
  <c r="CR20" i="12"/>
  <c r="CS20" i="12"/>
  <c r="CT20" i="12"/>
  <c r="CU20" i="12"/>
  <c r="CV20" i="12"/>
  <c r="CW20" i="12"/>
  <c r="CX20" i="12"/>
  <c r="CY20" i="12"/>
  <c r="CZ20" i="12"/>
  <c r="DA20" i="12"/>
  <c r="DB20" i="12"/>
  <c r="DC20" i="12"/>
  <c r="DD20" i="12"/>
  <c r="HC29" i="12"/>
  <c r="DW33" i="12"/>
  <c r="DX12" i="12"/>
  <c r="DW29" i="11"/>
  <c r="FF8" i="12"/>
  <c r="FF29" i="11"/>
  <c r="HV12" i="12"/>
  <c r="FF12" i="12"/>
  <c r="DF34" i="11"/>
  <c r="DF24" i="11"/>
  <c r="CP24" i="11"/>
  <c r="CQ24" i="11"/>
  <c r="CR24" i="11"/>
  <c r="CS24" i="11"/>
  <c r="CT24" i="11"/>
  <c r="CU24" i="11"/>
  <c r="CV24" i="11"/>
  <c r="CW24" i="11"/>
  <c r="CX24" i="11"/>
  <c r="CY24" i="11"/>
  <c r="CZ24" i="11"/>
  <c r="DA24" i="11"/>
  <c r="DB24" i="11"/>
  <c r="DC24" i="11"/>
  <c r="DD24" i="11"/>
  <c r="HE12" i="12"/>
  <c r="DX30" i="11"/>
  <c r="DX20" i="11"/>
  <c r="DH20" i="11"/>
  <c r="DI20" i="11"/>
  <c r="DJ20" i="11"/>
  <c r="DK20" i="11"/>
  <c r="DL20" i="11"/>
  <c r="DM20" i="11"/>
  <c r="DN20" i="11"/>
  <c r="DO20" i="11"/>
  <c r="DP20" i="11"/>
  <c r="DQ20" i="11"/>
  <c r="DR20" i="11"/>
  <c r="DS20" i="11"/>
  <c r="DT20" i="11"/>
  <c r="DU20" i="11"/>
  <c r="DV20" i="11"/>
  <c r="DF29" i="11"/>
  <c r="HD29" i="11"/>
  <c r="CN31" i="12"/>
  <c r="GM31" i="11"/>
  <c r="FE29" i="11"/>
  <c r="DE20" i="12"/>
  <c r="FD32" i="12"/>
  <c r="DW28" i="11"/>
  <c r="FD28" i="12"/>
  <c r="DW29" i="12"/>
  <c r="DX8" i="12"/>
  <c r="DW19" i="12" s="1"/>
  <c r="DX23" i="11"/>
  <c r="DH23" i="11"/>
  <c r="DI23" i="11"/>
  <c r="DJ23" i="11"/>
  <c r="DK23" i="11"/>
  <c r="DL23" i="11"/>
  <c r="DM23" i="11"/>
  <c r="DN23" i="11"/>
  <c r="DO23" i="11"/>
  <c r="DP23" i="11"/>
  <c r="DQ23" i="11"/>
  <c r="DR23" i="11"/>
  <c r="DS23" i="11"/>
  <c r="DT23" i="11"/>
  <c r="DU23" i="11"/>
  <c r="DV23" i="11"/>
  <c r="HD28" i="12"/>
  <c r="HU28" i="12"/>
  <c r="HU33" i="11"/>
  <c r="FE13" i="12"/>
  <c r="FE27" i="12"/>
  <c r="EN28" i="12"/>
  <c r="FW9" i="12"/>
  <c r="FW10" i="12"/>
  <c r="FF11" i="12"/>
  <c r="FU34" i="12"/>
  <c r="HD29" i="12"/>
  <c r="HU30" i="11"/>
  <c r="FE29" i="12"/>
  <c r="EN31" i="11"/>
  <c r="DF22" i="12"/>
  <c r="DF32" i="12"/>
  <c r="CP22" i="12"/>
  <c r="CQ22" i="12"/>
  <c r="CR22" i="12"/>
  <c r="CS22" i="12"/>
  <c r="CT22" i="12"/>
  <c r="CU22" i="12"/>
  <c r="CV22" i="12"/>
  <c r="CW22" i="12"/>
  <c r="CX22" i="12"/>
  <c r="CY22" i="12"/>
  <c r="CZ22" i="12"/>
  <c r="DA22" i="12"/>
  <c r="DB22" i="12"/>
  <c r="DC22" i="12"/>
  <c r="DD22" i="12"/>
  <c r="DW28" i="12"/>
  <c r="DX7" i="12"/>
  <c r="GL34" i="12"/>
  <c r="FW7" i="12"/>
  <c r="FW8" i="12"/>
  <c r="FW11" i="12"/>
  <c r="FF9" i="12"/>
  <c r="GM33" i="12"/>
  <c r="GM32" i="12"/>
  <c r="FE32" i="11"/>
  <c r="CN28" i="12"/>
  <c r="HU30" i="12"/>
  <c r="FD30" i="12"/>
  <c r="GM28" i="12"/>
  <c r="DF31" i="11"/>
  <c r="DE32" i="12"/>
  <c r="DF28" i="11"/>
  <c r="GM29" i="11"/>
  <c r="EO7" i="12"/>
  <c r="FV34" i="11"/>
  <c r="FV29" i="12"/>
  <c r="FF7" i="12"/>
  <c r="FF28" i="11"/>
  <c r="FW12" i="12"/>
  <c r="DX31" i="11"/>
  <c r="DX21" i="11"/>
  <c r="DH21" i="11"/>
  <c r="DI21" i="11"/>
  <c r="DJ21" i="11"/>
  <c r="DK21" i="11"/>
  <c r="DL21" i="11"/>
  <c r="DM21" i="11"/>
  <c r="DN21" i="11"/>
  <c r="DO21" i="11"/>
  <c r="DP21" i="11"/>
  <c r="DQ21" i="11"/>
  <c r="DR21" i="11"/>
  <c r="DS21" i="11"/>
  <c r="DT21" i="11"/>
  <c r="DU21" i="11"/>
  <c r="DV21" i="11"/>
  <c r="DX28" i="11"/>
  <c r="DX18" i="11"/>
  <c r="DH18" i="11"/>
  <c r="DI18" i="11"/>
  <c r="DJ18" i="11"/>
  <c r="DK18" i="11"/>
  <c r="DL18" i="11"/>
  <c r="DM18" i="11"/>
  <c r="DN18" i="11"/>
  <c r="DO18" i="11"/>
  <c r="DP18" i="11"/>
  <c r="DQ18" i="11"/>
  <c r="DR18" i="11"/>
  <c r="DS18" i="11"/>
  <c r="DT18" i="11"/>
  <c r="DU18" i="11"/>
  <c r="DV18" i="11"/>
  <c r="EO6" i="12"/>
  <c r="FV32" i="12"/>
  <c r="FD31" i="12"/>
  <c r="HD28" i="11"/>
  <c r="HC30" i="12"/>
  <c r="HU28" i="11"/>
  <c r="EN30" i="11"/>
  <c r="DE22" i="12"/>
  <c r="HD33" i="11"/>
  <c r="GL33" i="12"/>
  <c r="GM29" i="12"/>
  <c r="EP9" i="10"/>
  <c r="FG11" i="10" a="1"/>
  <c r="FG11" i="10" s="1"/>
  <c r="FG12" i="10" a="1"/>
  <c r="FG12" i="10" s="1"/>
  <c r="FG10" i="10" a="1"/>
  <c r="FG10" i="10" s="1"/>
  <c r="FG8" i="10" a="1"/>
  <c r="FG8" i="10" s="1"/>
  <c r="FG9" i="10" a="1"/>
  <c r="FG9" i="10" s="1"/>
  <c r="FG7" i="10" a="1"/>
  <c r="FG7" i="10" s="1"/>
  <c r="FG6" i="10" a="1"/>
  <c r="FG6" i="10" s="1"/>
  <c r="GO11" i="10" a="1"/>
  <c r="GO11" i="10" s="1"/>
  <c r="GO12" i="10" a="1"/>
  <c r="GO12" i="10" s="1"/>
  <c r="GO9" i="10" a="1"/>
  <c r="GO9" i="10" s="1"/>
  <c r="GO10" i="10" a="1"/>
  <c r="GO10" i="10" s="1"/>
  <c r="GO8" i="10" a="1"/>
  <c r="GO8" i="10" s="1"/>
  <c r="GO6" i="10" a="1"/>
  <c r="GO6" i="10" s="1"/>
  <c r="GO7" i="10" a="1"/>
  <c r="GO7" i="10" s="1"/>
  <c r="GP2" i="10"/>
  <c r="EP8" i="10"/>
  <c r="FX12" i="11" a="1"/>
  <c r="FX12" i="11" s="1"/>
  <c r="FX11" i="11" a="1"/>
  <c r="FX11" i="11" s="1"/>
  <c r="FX9" i="11" a="1"/>
  <c r="FX9" i="11" s="1"/>
  <c r="FX10" i="11" a="1"/>
  <c r="FX10" i="11" s="1"/>
  <c r="FX8" i="11" a="1"/>
  <c r="FX8" i="11" s="1"/>
  <c r="FX7" i="11" a="1"/>
  <c r="FX7" i="11" s="1"/>
  <c r="FX6" i="11" a="1"/>
  <c r="FX6" i="11" s="1"/>
  <c r="FY2" i="11"/>
  <c r="EP10" i="10"/>
  <c r="FG12" i="11" a="1"/>
  <c r="FG12" i="11" s="1"/>
  <c r="FG10" i="11" a="1"/>
  <c r="FG10" i="11" s="1"/>
  <c r="FG11" i="11" a="1"/>
  <c r="FG11" i="11" s="1"/>
  <c r="FG7" i="11" a="1"/>
  <c r="FG7" i="11" s="1"/>
  <c r="FG9" i="11" a="1"/>
  <c r="FG9" i="11" s="1"/>
  <c r="FG8" i="11" a="1"/>
  <c r="FG8" i="11" s="1"/>
  <c r="FG6" i="11" a="1"/>
  <c r="FG6" i="11" s="1"/>
  <c r="EO13" i="10"/>
  <c r="EP6" i="10"/>
  <c r="FW13" i="11"/>
  <c r="FW32" i="11" s="1"/>
  <c r="EP11" i="10"/>
  <c r="FF13" i="10"/>
  <c r="DX13" i="10"/>
  <c r="DX13" i="11"/>
  <c r="HW12" i="11" a="1"/>
  <c r="HW12" i="11" s="1"/>
  <c r="HW11" i="11" a="1"/>
  <c r="HW11" i="11" s="1"/>
  <c r="HW10" i="11" a="1"/>
  <c r="HW10" i="11" s="1"/>
  <c r="HW7" i="11" a="1"/>
  <c r="HW7" i="11" s="1"/>
  <c r="HW8" i="11" a="1"/>
  <c r="HW8" i="11" s="1"/>
  <c r="HW9" i="11" a="1"/>
  <c r="HW9" i="11" s="1"/>
  <c r="HW6" i="11" a="1"/>
  <c r="HW6" i="11" s="1"/>
  <c r="HX2" i="11"/>
  <c r="EP12" i="10"/>
  <c r="HV13" i="11"/>
  <c r="HV30" i="11" s="1"/>
  <c r="HF12" i="11" a="1"/>
  <c r="HF12" i="11" s="1"/>
  <c r="HF11" i="11" a="1"/>
  <c r="HF11" i="11" s="1"/>
  <c r="HF10" i="11" a="1"/>
  <c r="HF10" i="11" s="1"/>
  <c r="HF9" i="11" a="1"/>
  <c r="HF9" i="11" s="1"/>
  <c r="HF8" i="11" a="1"/>
  <c r="HF8" i="11" s="1"/>
  <c r="HF7" i="11" a="1"/>
  <c r="HF7" i="11" s="1"/>
  <c r="HG2" i="11"/>
  <c r="HF6" i="11" a="1"/>
  <c r="HF6" i="11" s="1"/>
  <c r="HE13" i="10"/>
  <c r="HE13" i="11"/>
  <c r="HE29" i="11" s="1"/>
  <c r="EO13" i="11"/>
  <c r="EO33" i="11" s="1"/>
  <c r="EP6" i="11"/>
  <c r="EO17" i="11" s="1"/>
  <c r="HF12" i="10" a="1"/>
  <c r="HF12" i="10" s="1"/>
  <c r="HF9" i="10" a="1"/>
  <c r="HF9" i="10" s="1"/>
  <c r="HF10" i="10" a="1"/>
  <c r="HF10" i="10" s="1"/>
  <c r="HF11" i="10" a="1"/>
  <c r="HF11" i="10" s="1"/>
  <c r="HF8" i="10" a="1"/>
  <c r="HF8" i="10" s="1"/>
  <c r="HF7" i="10" a="1"/>
  <c r="HF7" i="10" s="1"/>
  <c r="HF6" i="10" a="1"/>
  <c r="HF6" i="10" s="1"/>
  <c r="HG2" i="10"/>
  <c r="HV13" i="10"/>
  <c r="EP8" i="11"/>
  <c r="HW11" i="10" a="1"/>
  <c r="HW11" i="10" s="1"/>
  <c r="HW12" i="10" a="1"/>
  <c r="HW12" i="10" s="1"/>
  <c r="HW10" i="10" a="1"/>
  <c r="HW10" i="10" s="1"/>
  <c r="HW9" i="10" a="1"/>
  <c r="HW9" i="10" s="1"/>
  <c r="HW7" i="10" a="1"/>
  <c r="HW7" i="10" s="1"/>
  <c r="HW8" i="10" a="1"/>
  <c r="HW8" i="10" s="1"/>
  <c r="HW6" i="10" a="1"/>
  <c r="HW6" i="10" s="1"/>
  <c r="HX2" i="10"/>
  <c r="EP7" i="11"/>
  <c r="EP9" i="11"/>
  <c r="GN13" i="11"/>
  <c r="EP10" i="11"/>
  <c r="GO9" i="11" a="1"/>
  <c r="GO9" i="11" s="1"/>
  <c r="GO12" i="11" a="1"/>
  <c r="GO12" i="11" s="1"/>
  <c r="GO11" i="11" a="1"/>
  <c r="GO11" i="11" s="1"/>
  <c r="GO7" i="11" a="1"/>
  <c r="GO7" i="11" s="1"/>
  <c r="GO10" i="11" a="1"/>
  <c r="GO10" i="11" s="1"/>
  <c r="GO8" i="11" a="1"/>
  <c r="GO8" i="11" s="1"/>
  <c r="GP2" i="11"/>
  <c r="GO6" i="11" a="1"/>
  <c r="GO6" i="11" s="1"/>
  <c r="EP11" i="11"/>
  <c r="GN13" i="10"/>
  <c r="EP12" i="11"/>
  <c r="FW13" i="10"/>
  <c r="FF13" i="11"/>
  <c r="FX12" i="10" a="1"/>
  <c r="FX12" i="10" s="1"/>
  <c r="FX10" i="10" a="1"/>
  <c r="FX10" i="10" s="1"/>
  <c r="FX11" i="10" a="1"/>
  <c r="FX11" i="10" s="1"/>
  <c r="FX8" i="10" a="1"/>
  <c r="FX8" i="10" s="1"/>
  <c r="FX6" i="10" a="1"/>
  <c r="FX6" i="10" s="1"/>
  <c r="FX9" i="10" a="1"/>
  <c r="FX9" i="10" s="1"/>
  <c r="FX7" i="10" a="1"/>
  <c r="FX7" i="10" s="1"/>
  <c r="FY2" i="10"/>
  <c r="EP7" i="10"/>
  <c r="HX13" i="2"/>
  <c r="FH22" i="2"/>
  <c r="ES22" i="2"/>
  <c r="ET22" i="2"/>
  <c r="EU22" i="2"/>
  <c r="EV22" i="2"/>
  <c r="EW22" i="2"/>
  <c r="EX22" i="2"/>
  <c r="EY22" i="2"/>
  <c r="EZ22" i="2"/>
  <c r="FA22" i="2"/>
  <c r="FB22" i="2"/>
  <c r="FC22" i="2"/>
  <c r="FD22" i="2"/>
  <c r="FE22" i="2"/>
  <c r="FF22" i="2"/>
  <c r="FH18" i="2"/>
  <c r="ES18" i="2"/>
  <c r="ET18" i="2"/>
  <c r="EU18" i="2"/>
  <c r="EV18" i="2"/>
  <c r="EW18" i="2"/>
  <c r="EX18" i="2"/>
  <c r="EY18" i="2"/>
  <c r="EZ18" i="2"/>
  <c r="FA18" i="2"/>
  <c r="FB18" i="2"/>
  <c r="FC18" i="2"/>
  <c r="FD18" i="2"/>
  <c r="FE18" i="2"/>
  <c r="FF18" i="2"/>
  <c r="FG22" i="2"/>
  <c r="FG18" i="2"/>
  <c r="HH10" i="2" a="1"/>
  <c r="HH10" i="2" s="1"/>
  <c r="HH9" i="2" a="1"/>
  <c r="HH9" i="2" s="1"/>
  <c r="HH8" i="2" a="1"/>
  <c r="HH8" i="2" s="1"/>
  <c r="HI2" i="2"/>
  <c r="HH7" i="2" a="1"/>
  <c r="HH7" i="2" s="1"/>
  <c r="HH6" i="2" a="1"/>
  <c r="HH6" i="2" s="1"/>
  <c r="HH11" i="2" a="1"/>
  <c r="HH11" i="2" s="1"/>
  <c r="HH12" i="2" a="1"/>
  <c r="HH12" i="2" s="1"/>
  <c r="FH20" i="2"/>
  <c r="ES20" i="2"/>
  <c r="ET20" i="2"/>
  <c r="EU20" i="2"/>
  <c r="EV20" i="2"/>
  <c r="EW20" i="2"/>
  <c r="EX20" i="2"/>
  <c r="EY20" i="2"/>
  <c r="EZ20" i="2"/>
  <c r="FA20" i="2"/>
  <c r="FB20" i="2"/>
  <c r="FC20" i="2"/>
  <c r="FD20" i="2"/>
  <c r="FE20" i="2"/>
  <c r="FF20" i="2"/>
  <c r="FY17" i="2"/>
  <c r="FY13" i="2"/>
  <c r="FZ6" i="2"/>
  <c r="FZ7" i="2"/>
  <c r="FZ8" i="2"/>
  <c r="FY19" i="2" s="1"/>
  <c r="FZ9" i="2"/>
  <c r="FH23" i="2"/>
  <c r="ES23" i="2"/>
  <c r="ET23" i="2"/>
  <c r="EU23" i="2"/>
  <c r="EV23" i="2"/>
  <c r="EW23" i="2"/>
  <c r="EX23" i="2"/>
  <c r="EY23" i="2"/>
  <c r="EZ23" i="2"/>
  <c r="FA23" i="2"/>
  <c r="FB23" i="2"/>
  <c r="FC23" i="2"/>
  <c r="FD23" i="2"/>
  <c r="FE23" i="2"/>
  <c r="FF23" i="2"/>
  <c r="FZ11" i="2"/>
  <c r="GQ12" i="2" a="1"/>
  <c r="GQ12" i="2" s="1"/>
  <c r="GQ8" i="2" a="1"/>
  <c r="GQ8" i="2" s="1"/>
  <c r="GQ7" i="2" a="1"/>
  <c r="GQ7" i="2" s="1"/>
  <c r="GQ9" i="2" a="1"/>
  <c r="GQ9" i="2" s="1"/>
  <c r="GQ10" i="2" a="1"/>
  <c r="GQ10" i="2" s="1"/>
  <c r="GQ6" i="2" a="1"/>
  <c r="GQ6" i="2" s="1"/>
  <c r="GQ11" i="2" a="1"/>
  <c r="GQ11" i="2" s="1"/>
  <c r="GP13" i="2"/>
  <c r="FZ10" i="2"/>
  <c r="FH17" i="2"/>
  <c r="FH13" i="2"/>
  <c r="ES17" i="2"/>
  <c r="ET17" i="2"/>
  <c r="EU17" i="2"/>
  <c r="EV17" i="2"/>
  <c r="EW17" i="2"/>
  <c r="EX17" i="2"/>
  <c r="EY17" i="2"/>
  <c r="EZ17" i="2"/>
  <c r="FA17" i="2"/>
  <c r="FB17" i="2"/>
  <c r="FC17" i="2"/>
  <c r="FD17" i="2"/>
  <c r="FE17" i="2"/>
  <c r="FF17" i="2"/>
  <c r="FZ12" i="2"/>
  <c r="HY10" i="2" a="1"/>
  <c r="HY10" i="2" s="1"/>
  <c r="HY9" i="2" a="1"/>
  <c r="HY9" i="2" s="1"/>
  <c r="HZ2" i="2"/>
  <c r="HY6" i="2" a="1"/>
  <c r="HY6" i="2" s="1"/>
  <c r="HY7" i="2" a="1"/>
  <c r="HY7" i="2" s="1"/>
  <c r="HY8" i="2" a="1"/>
  <c r="HY8" i="2" s="1"/>
  <c r="HY11" i="2" a="1"/>
  <c r="HY11" i="2" s="1"/>
  <c r="HY12" i="2" a="1"/>
  <c r="HY12" i="2" s="1"/>
  <c r="FH21" i="2"/>
  <c r="ES21" i="2"/>
  <c r="ET21" i="2"/>
  <c r="EU21" i="2"/>
  <c r="EV21" i="2"/>
  <c r="EW21" i="2"/>
  <c r="EX21" i="2"/>
  <c r="EY21" i="2"/>
  <c r="EZ21" i="2"/>
  <c r="FA21" i="2"/>
  <c r="FB21" i="2"/>
  <c r="FC21" i="2"/>
  <c r="FD21" i="2"/>
  <c r="FE21" i="2"/>
  <c r="FF21" i="2"/>
  <c r="FH19" i="2"/>
  <c r="ES19" i="2"/>
  <c r="ET19" i="2"/>
  <c r="EU19" i="2"/>
  <c r="EV19" i="2"/>
  <c r="EW19" i="2"/>
  <c r="EX19" i="2"/>
  <c r="EY19" i="2"/>
  <c r="EZ19" i="2"/>
  <c r="FA19" i="2"/>
  <c r="FB19" i="2"/>
  <c r="FC19" i="2"/>
  <c r="FD19" i="2"/>
  <c r="FE19" i="2"/>
  <c r="FF19" i="2"/>
  <c r="FG21" i="2"/>
  <c r="FG19" i="2"/>
  <c r="HG13" i="2"/>
  <c r="FG11" i="12" l="1"/>
  <c r="EP21" i="11"/>
  <c r="DZ21" i="11"/>
  <c r="EA21" i="11"/>
  <c r="EB21" i="11"/>
  <c r="EC21" i="11"/>
  <c r="ED21" i="11"/>
  <c r="EE21" i="11"/>
  <c r="EF21" i="11"/>
  <c r="EG21" i="11"/>
  <c r="EH21" i="11"/>
  <c r="EI21" i="11"/>
  <c r="EJ21" i="11"/>
  <c r="EK21" i="11"/>
  <c r="EL21" i="11"/>
  <c r="EM21" i="11"/>
  <c r="EN21" i="11"/>
  <c r="FG10" i="12"/>
  <c r="DX18" i="12"/>
  <c r="DH18" i="12"/>
  <c r="DI18" i="12"/>
  <c r="DJ18" i="12"/>
  <c r="DK18" i="12"/>
  <c r="DL18" i="12"/>
  <c r="DM18" i="12"/>
  <c r="DN18" i="12"/>
  <c r="DO18" i="12"/>
  <c r="DP18" i="12"/>
  <c r="DQ18" i="12"/>
  <c r="DR18" i="12"/>
  <c r="DS18" i="12"/>
  <c r="DT18" i="12"/>
  <c r="DU18" i="12"/>
  <c r="DV18" i="12"/>
  <c r="HE33" i="11"/>
  <c r="DX22" i="12"/>
  <c r="DH22" i="12"/>
  <c r="DI22" i="12"/>
  <c r="DJ22" i="12"/>
  <c r="DK22" i="12"/>
  <c r="DL22" i="12"/>
  <c r="DM22" i="12"/>
  <c r="DN22" i="12"/>
  <c r="DO22" i="12"/>
  <c r="DP22" i="12"/>
  <c r="DQ22" i="12"/>
  <c r="DR22" i="12"/>
  <c r="DS22" i="12"/>
  <c r="DT22" i="12"/>
  <c r="DU22" i="12"/>
  <c r="DV22" i="12"/>
  <c r="HV28" i="11"/>
  <c r="HV27" i="11"/>
  <c r="GO7" i="12"/>
  <c r="HE34" i="11"/>
  <c r="HW11" i="12"/>
  <c r="FF34" i="11"/>
  <c r="GN34" i="11"/>
  <c r="FG12" i="12"/>
  <c r="EO27" i="11"/>
  <c r="FF30" i="11"/>
  <c r="FE34" i="12"/>
  <c r="HE33" i="12"/>
  <c r="DX23" i="12"/>
  <c r="DH23" i="12"/>
  <c r="DI23" i="12"/>
  <c r="DJ23" i="12"/>
  <c r="DK23" i="12"/>
  <c r="DL23" i="12"/>
  <c r="DM23" i="12"/>
  <c r="DN23" i="12"/>
  <c r="DO23" i="12"/>
  <c r="DP23" i="12"/>
  <c r="DQ23" i="12"/>
  <c r="DR23" i="12"/>
  <c r="DS23" i="12"/>
  <c r="DT23" i="12"/>
  <c r="DU23" i="12"/>
  <c r="DV23" i="12"/>
  <c r="GN31" i="11"/>
  <c r="DX21" i="12"/>
  <c r="DH21" i="12"/>
  <c r="DI21" i="12"/>
  <c r="DJ21" i="12"/>
  <c r="DK21" i="12"/>
  <c r="DL21" i="12"/>
  <c r="DM21" i="12"/>
  <c r="DN21" i="12"/>
  <c r="DO21" i="12"/>
  <c r="DP21" i="12"/>
  <c r="DQ21" i="12"/>
  <c r="DR21" i="12"/>
  <c r="DS21" i="12"/>
  <c r="DT21" i="12"/>
  <c r="DU21" i="12"/>
  <c r="DV21" i="12"/>
  <c r="HE29" i="12"/>
  <c r="DF31" i="12"/>
  <c r="DF24" i="12"/>
  <c r="DF34" i="12"/>
  <c r="CP24" i="12"/>
  <c r="CQ24" i="12"/>
  <c r="CR24" i="12"/>
  <c r="CS24" i="12"/>
  <c r="CT24" i="12"/>
  <c r="CU24" i="12"/>
  <c r="CV24" i="12"/>
  <c r="CW24" i="12"/>
  <c r="CX24" i="12"/>
  <c r="CY24" i="12"/>
  <c r="CZ24" i="12"/>
  <c r="DA24" i="12"/>
  <c r="DB24" i="12"/>
  <c r="DC24" i="12"/>
  <c r="DD24" i="12"/>
  <c r="HV29" i="11"/>
  <c r="DW32" i="12"/>
  <c r="HV13" i="12"/>
  <c r="HV27" i="12" s="1"/>
  <c r="HW7" i="12"/>
  <c r="HW12" i="12"/>
  <c r="EP20" i="11"/>
  <c r="DZ20" i="11"/>
  <c r="EA20" i="11"/>
  <c r="EB20" i="11"/>
  <c r="EC20" i="11"/>
  <c r="ED20" i="11"/>
  <c r="EE20" i="11"/>
  <c r="EF20" i="11"/>
  <c r="EG20" i="11"/>
  <c r="EH20" i="11"/>
  <c r="EI20" i="11"/>
  <c r="EJ20" i="11"/>
  <c r="EK20" i="11"/>
  <c r="EL20" i="11"/>
  <c r="EM20" i="11"/>
  <c r="EN20" i="11"/>
  <c r="HF9" i="12"/>
  <c r="DX34" i="11"/>
  <c r="DX24" i="11"/>
  <c r="DH24" i="11"/>
  <c r="DI24" i="11"/>
  <c r="DJ24" i="11"/>
  <c r="DK24" i="11"/>
  <c r="DL24" i="11"/>
  <c r="DM24" i="11"/>
  <c r="DN24" i="11"/>
  <c r="DO24" i="11"/>
  <c r="DP24" i="11"/>
  <c r="DQ24" i="11"/>
  <c r="DR24" i="11"/>
  <c r="DS24" i="11"/>
  <c r="DT24" i="11"/>
  <c r="DU24" i="11"/>
  <c r="DV24" i="11"/>
  <c r="EO13" i="12"/>
  <c r="EO30" i="12" s="1"/>
  <c r="EP6" i="12"/>
  <c r="EN29" i="12"/>
  <c r="DW18" i="12"/>
  <c r="DW23" i="12"/>
  <c r="GM34" i="12"/>
  <c r="DW21" i="12"/>
  <c r="DX32" i="11"/>
  <c r="DW22" i="12"/>
  <c r="GO9" i="12"/>
  <c r="HF8" i="12"/>
  <c r="EP23" i="11"/>
  <c r="DZ23" i="11"/>
  <c r="EA23" i="11"/>
  <c r="EB23" i="11"/>
  <c r="EC23" i="11"/>
  <c r="ED23" i="11"/>
  <c r="EE23" i="11"/>
  <c r="EF23" i="11"/>
  <c r="EG23" i="11"/>
  <c r="EH23" i="11"/>
  <c r="EI23" i="11"/>
  <c r="EJ23" i="11"/>
  <c r="EK23" i="11"/>
  <c r="EL23" i="11"/>
  <c r="EM23" i="11"/>
  <c r="EN23" i="11"/>
  <c r="EP18" i="11"/>
  <c r="DZ18" i="11"/>
  <c r="EA18" i="11"/>
  <c r="EB18" i="11"/>
  <c r="EC18" i="11"/>
  <c r="ED18" i="11"/>
  <c r="EE18" i="11"/>
  <c r="EF18" i="11"/>
  <c r="EG18" i="11"/>
  <c r="EH18" i="11"/>
  <c r="EI18" i="11"/>
  <c r="EJ18" i="11"/>
  <c r="EK18" i="11"/>
  <c r="EL18" i="11"/>
  <c r="EM18" i="11"/>
  <c r="EN18" i="11"/>
  <c r="HF10" i="12"/>
  <c r="FF32" i="11"/>
  <c r="DE24" i="12"/>
  <c r="GN32" i="11"/>
  <c r="DW24" i="11"/>
  <c r="FE31" i="12"/>
  <c r="FG7" i="12"/>
  <c r="FG18" i="11"/>
  <c r="DX19" i="12"/>
  <c r="DH19" i="12"/>
  <c r="DI19" i="12"/>
  <c r="DJ19" i="12"/>
  <c r="DK19" i="12"/>
  <c r="DL19" i="12"/>
  <c r="DM19" i="12"/>
  <c r="DN19" i="12"/>
  <c r="DO19" i="12"/>
  <c r="DP19" i="12"/>
  <c r="DQ19" i="12"/>
  <c r="DR19" i="12"/>
  <c r="DS19" i="12"/>
  <c r="DT19" i="12"/>
  <c r="DU19" i="12"/>
  <c r="DV19" i="12"/>
  <c r="HE28" i="11"/>
  <c r="EN34" i="12"/>
  <c r="HE13" i="12"/>
  <c r="HE32" i="12" s="1"/>
  <c r="HE27" i="12"/>
  <c r="EP10" i="12"/>
  <c r="HF11" i="12"/>
  <c r="FX6" i="12"/>
  <c r="FF32" i="12"/>
  <c r="EN30" i="12"/>
  <c r="GN33" i="11"/>
  <c r="HE31" i="11"/>
  <c r="DX17" i="12"/>
  <c r="DX13" i="12"/>
  <c r="DH17" i="12"/>
  <c r="DI17" i="12"/>
  <c r="DJ17" i="12"/>
  <c r="DK17" i="12"/>
  <c r="DL17" i="12"/>
  <c r="DM17" i="12"/>
  <c r="DN17" i="12"/>
  <c r="DO17" i="12"/>
  <c r="DP17" i="12"/>
  <c r="DQ17" i="12"/>
  <c r="DR17" i="12"/>
  <c r="DS17" i="12"/>
  <c r="DT17" i="12"/>
  <c r="DU17" i="12"/>
  <c r="DV17" i="12"/>
  <c r="GN29" i="11"/>
  <c r="HF7" i="12"/>
  <c r="EP32" i="11"/>
  <c r="EP22" i="11"/>
  <c r="DZ22" i="11"/>
  <c r="EA22" i="11"/>
  <c r="EB22" i="11"/>
  <c r="EC22" i="11"/>
  <c r="ED22" i="11"/>
  <c r="EE22" i="11"/>
  <c r="EF22" i="11"/>
  <c r="EG22" i="11"/>
  <c r="EH22" i="11"/>
  <c r="EI22" i="11"/>
  <c r="EJ22" i="11"/>
  <c r="EK22" i="11"/>
  <c r="EL22" i="11"/>
  <c r="EM22" i="11"/>
  <c r="EN22" i="11"/>
  <c r="FX7" i="12"/>
  <c r="EN32" i="12"/>
  <c r="HE31" i="12"/>
  <c r="DW17" i="12"/>
  <c r="GN28" i="11"/>
  <c r="HW10" i="12"/>
  <c r="GO6" i="12"/>
  <c r="HV34" i="11"/>
  <c r="FW34" i="11"/>
  <c r="FX8" i="12"/>
  <c r="FW31" i="11"/>
  <c r="FF33" i="11"/>
  <c r="DX29" i="11"/>
  <c r="HE30" i="11"/>
  <c r="FF27" i="11"/>
  <c r="FV33" i="12"/>
  <c r="HF6" i="12"/>
  <c r="HF12" i="12"/>
  <c r="FX10" i="12"/>
  <c r="EO18" i="11"/>
  <c r="FW29" i="11"/>
  <c r="FF33" i="12"/>
  <c r="DF30" i="12"/>
  <c r="HE32" i="11"/>
  <c r="HV32" i="11"/>
  <c r="DF33" i="12"/>
  <c r="HE30" i="12"/>
  <c r="DW34" i="12"/>
  <c r="DW24" i="12"/>
  <c r="FF13" i="12"/>
  <c r="FF28" i="12" s="1"/>
  <c r="FF27" i="12"/>
  <c r="EO20" i="11"/>
  <c r="EO32" i="11"/>
  <c r="GO12" i="12"/>
  <c r="EP29" i="11"/>
  <c r="EP19" i="11"/>
  <c r="DZ19" i="11"/>
  <c r="EA19" i="11"/>
  <c r="EB19" i="11"/>
  <c r="EC19" i="11"/>
  <c r="ED19" i="11"/>
  <c r="EE19" i="11"/>
  <c r="EF19" i="11"/>
  <c r="EG19" i="11"/>
  <c r="EH19" i="11"/>
  <c r="EI19" i="11"/>
  <c r="EJ19" i="11"/>
  <c r="EK19" i="11"/>
  <c r="EL19" i="11"/>
  <c r="EM19" i="11"/>
  <c r="EN19" i="11"/>
  <c r="GO8" i="12"/>
  <c r="EP17" i="11"/>
  <c r="DZ17" i="11"/>
  <c r="EA17" i="11"/>
  <c r="EB17" i="11"/>
  <c r="EC17" i="11"/>
  <c r="ED17" i="11"/>
  <c r="EE17" i="11"/>
  <c r="EF17" i="11"/>
  <c r="EG17" i="11"/>
  <c r="EH17" i="11"/>
  <c r="EI17" i="11"/>
  <c r="EJ17" i="11"/>
  <c r="EK17" i="11"/>
  <c r="EL17" i="11"/>
  <c r="EM17" i="11"/>
  <c r="EN17" i="11"/>
  <c r="FX9" i="12"/>
  <c r="EO28" i="11"/>
  <c r="DX20" i="12"/>
  <c r="DH20" i="12"/>
  <c r="DI20" i="12"/>
  <c r="DJ20" i="12"/>
  <c r="DK20" i="12"/>
  <c r="DL20" i="12"/>
  <c r="DM20" i="12"/>
  <c r="DN20" i="12"/>
  <c r="DO20" i="12"/>
  <c r="DP20" i="12"/>
  <c r="DQ20" i="12"/>
  <c r="DR20" i="12"/>
  <c r="DS20" i="12"/>
  <c r="DT20" i="12"/>
  <c r="DU20" i="12"/>
  <c r="DV20" i="12"/>
  <c r="HV31" i="11"/>
  <c r="FV34" i="12"/>
  <c r="EO23" i="11"/>
  <c r="EO30" i="11"/>
  <c r="HU34" i="12"/>
  <c r="EO22" i="11"/>
  <c r="DF29" i="12"/>
  <c r="GN27" i="11"/>
  <c r="HW6" i="12"/>
  <c r="FG6" i="12"/>
  <c r="FX11" i="12"/>
  <c r="EP7" i="12"/>
  <c r="FW30" i="11"/>
  <c r="HV33" i="11"/>
  <c r="DW20" i="12"/>
  <c r="EO19" i="11"/>
  <c r="EN33" i="12"/>
  <c r="EO20" i="12"/>
  <c r="EP9" i="12"/>
  <c r="EO32" i="12"/>
  <c r="EP11" i="12"/>
  <c r="FE33" i="12"/>
  <c r="GN13" i="12"/>
  <c r="GN29" i="12" s="1"/>
  <c r="GN27" i="12"/>
  <c r="GO10" i="12"/>
  <c r="EO34" i="11"/>
  <c r="EO24" i="11"/>
  <c r="HW9" i="12"/>
  <c r="FG8" i="12"/>
  <c r="FX12" i="12"/>
  <c r="FE32" i="12"/>
  <c r="FW33" i="11"/>
  <c r="FW28" i="11"/>
  <c r="HV33" i="12"/>
  <c r="DW30" i="12"/>
  <c r="FF31" i="11"/>
  <c r="EO29" i="11"/>
  <c r="FW27" i="11"/>
  <c r="HV31" i="12"/>
  <c r="EO23" i="12"/>
  <c r="EP12" i="12"/>
  <c r="EO21" i="11"/>
  <c r="GO11" i="12"/>
  <c r="HW8" i="12"/>
  <c r="FG9" i="12"/>
  <c r="FG20" i="11"/>
  <c r="GM31" i="12"/>
  <c r="DX33" i="11"/>
  <c r="FF31" i="12"/>
  <c r="EO19" i="12"/>
  <c r="EP8" i="12"/>
  <c r="FW13" i="12"/>
  <c r="FW29" i="12" s="1"/>
  <c r="GN30" i="11"/>
  <c r="HD34" i="12"/>
  <c r="HU32" i="12"/>
  <c r="EN27" i="12"/>
  <c r="HE27" i="11"/>
  <c r="EO31" i="11"/>
  <c r="FH9" i="11"/>
  <c r="FH7" i="11"/>
  <c r="FH11" i="11"/>
  <c r="FH10" i="11"/>
  <c r="FG21" i="11" s="1"/>
  <c r="GP12" i="11" a="1"/>
  <c r="GP12" i="11" s="1"/>
  <c r="GP11" i="11" a="1"/>
  <c r="GP11" i="11" s="1"/>
  <c r="GP10" i="11" a="1"/>
  <c r="GP10" i="11" s="1"/>
  <c r="GP7" i="11" a="1"/>
  <c r="GP7" i="11" s="1"/>
  <c r="GP9" i="11" a="1"/>
  <c r="GP9" i="11" s="1"/>
  <c r="GP8" i="11" a="1"/>
  <c r="GP8" i="11" s="1"/>
  <c r="GP6" i="11" a="1"/>
  <c r="GP6" i="11" s="1"/>
  <c r="GQ2" i="11"/>
  <c r="EP13" i="11"/>
  <c r="FH12" i="11"/>
  <c r="FG13" i="10"/>
  <c r="FH6" i="10"/>
  <c r="GO13" i="11"/>
  <c r="FH7" i="10"/>
  <c r="FH9" i="10"/>
  <c r="FH8" i="10"/>
  <c r="FX13" i="10"/>
  <c r="FH10" i="10"/>
  <c r="GP11" i="10" a="1"/>
  <c r="GP11" i="10" s="1"/>
  <c r="GP12" i="10" a="1"/>
  <c r="GP12" i="10" s="1"/>
  <c r="GP10" i="10" a="1"/>
  <c r="GP10" i="10" s="1"/>
  <c r="GP8" i="10" a="1"/>
  <c r="GP8" i="10" s="1"/>
  <c r="GP7" i="10" a="1"/>
  <c r="GP7" i="10" s="1"/>
  <c r="GP9" i="10" a="1"/>
  <c r="GP9" i="10" s="1"/>
  <c r="GP6" i="10" a="1"/>
  <c r="GP6" i="10" s="1"/>
  <c r="GQ2" i="10"/>
  <c r="FH12" i="10"/>
  <c r="FY12" i="10" a="1"/>
  <c r="FY12" i="10" s="1"/>
  <c r="FY11" i="10" a="1"/>
  <c r="FY11" i="10" s="1"/>
  <c r="FY9" i="10" a="1"/>
  <c r="FY9" i="10" s="1"/>
  <c r="FY10" i="10" a="1"/>
  <c r="FY10" i="10" s="1"/>
  <c r="FY8" i="10" a="1"/>
  <c r="FY8" i="10" s="1"/>
  <c r="FY7" i="10" a="1"/>
  <c r="FY7" i="10" s="1"/>
  <c r="FY6" i="10" a="1"/>
  <c r="FY6" i="10" s="1"/>
  <c r="HX11" i="10" a="1"/>
  <c r="HX11" i="10" s="1"/>
  <c r="HX12" i="10" a="1"/>
  <c r="HX12" i="10" s="1"/>
  <c r="HX9" i="10" a="1"/>
  <c r="HX9" i="10" s="1"/>
  <c r="HX8" i="10" a="1"/>
  <c r="HX8" i="10" s="1"/>
  <c r="HX10" i="10" a="1"/>
  <c r="HX10" i="10" s="1"/>
  <c r="HX6" i="10" a="1"/>
  <c r="HX6" i="10" s="1"/>
  <c r="HX7" i="10" a="1"/>
  <c r="HX7" i="10" s="1"/>
  <c r="HY2" i="10"/>
  <c r="HG11" i="10" a="1"/>
  <c r="HG11" i="10" s="1"/>
  <c r="HG10" i="10" a="1"/>
  <c r="HG10" i="10" s="1"/>
  <c r="HG12" i="10" a="1"/>
  <c r="HG12" i="10" s="1"/>
  <c r="HG6" i="10" a="1"/>
  <c r="HG6" i="10" s="1"/>
  <c r="HG8" i="10" a="1"/>
  <c r="HG8" i="10" s="1"/>
  <c r="HG9" i="10" a="1"/>
  <c r="HG9" i="10" s="1"/>
  <c r="HG7" i="10" a="1"/>
  <c r="HG7" i="10" s="1"/>
  <c r="HH2" i="10"/>
  <c r="FH11" i="10"/>
  <c r="HW13" i="10"/>
  <c r="HF13" i="10"/>
  <c r="EP13" i="10"/>
  <c r="FY12" i="11" a="1"/>
  <c r="FY12" i="11" s="1"/>
  <c r="FY10" i="11" a="1"/>
  <c r="FY10" i="11" s="1"/>
  <c r="FY9" i="11" a="1"/>
  <c r="FY9" i="11" s="1"/>
  <c r="FY11" i="11" a="1"/>
  <c r="FY11" i="11" s="1"/>
  <c r="FY8" i="11" a="1"/>
  <c r="FY8" i="11" s="1"/>
  <c r="FY6" i="11" a="1"/>
  <c r="FY6" i="11" s="1"/>
  <c r="FY7" i="11" a="1"/>
  <c r="FY7" i="11" s="1"/>
  <c r="GO13" i="10"/>
  <c r="HX12" i="11" a="1"/>
  <c r="HX12" i="11" s="1"/>
  <c r="HX9" i="11" a="1"/>
  <c r="HX9" i="11" s="1"/>
  <c r="HX11" i="11" a="1"/>
  <c r="HX11" i="11" s="1"/>
  <c r="HX7" i="11" a="1"/>
  <c r="HX7" i="11" s="1"/>
  <c r="HX8" i="11" a="1"/>
  <c r="HX8" i="11" s="1"/>
  <c r="HX10" i="11" a="1"/>
  <c r="HX10" i="11" s="1"/>
  <c r="HX6" i="11" a="1"/>
  <c r="HX6" i="11" s="1"/>
  <c r="HY2" i="11"/>
  <c r="FX13" i="11"/>
  <c r="FX29" i="11" s="1"/>
  <c r="HF13" i="11"/>
  <c r="HF29" i="11" s="1"/>
  <c r="HW13" i="11"/>
  <c r="HW28" i="11" s="1"/>
  <c r="HG12" i="11" a="1"/>
  <c r="HG12" i="11" s="1"/>
  <c r="HG11" i="11" a="1"/>
  <c r="HG11" i="11" s="1"/>
  <c r="HG9" i="11" a="1"/>
  <c r="HG9" i="11" s="1"/>
  <c r="HG10" i="11" a="1"/>
  <c r="HG10" i="11" s="1"/>
  <c r="HG6" i="11" a="1"/>
  <c r="HG6" i="11" s="1"/>
  <c r="HG8" i="11" a="1"/>
  <c r="HG8" i="11" s="1"/>
  <c r="HG7" i="11" a="1"/>
  <c r="HG7" i="11" s="1"/>
  <c r="HH2" i="11"/>
  <c r="FG13" i="11"/>
  <c r="FH6" i="11"/>
  <c r="FH8" i="11"/>
  <c r="FG19" i="11" s="1"/>
  <c r="HY13" i="2"/>
  <c r="HZ12" i="2" a="1"/>
  <c r="HZ12" i="2" s="1"/>
  <c r="HZ11" i="2" a="1"/>
  <c r="HZ11" i="2" s="1"/>
  <c r="HZ8" i="2" a="1"/>
  <c r="HZ8" i="2" s="1"/>
  <c r="IA2" i="2"/>
  <c r="HZ7" i="2" a="1"/>
  <c r="HZ7" i="2" s="1"/>
  <c r="HZ9" i="2" a="1"/>
  <c r="HZ9" i="2" s="1"/>
  <c r="HZ10" i="2" a="1"/>
  <c r="HZ10" i="2" s="1"/>
  <c r="HZ6" i="2" a="1"/>
  <c r="HZ6" i="2" s="1"/>
  <c r="GR8" i="2"/>
  <c r="GQ19" i="2" s="1"/>
  <c r="GR7" i="2"/>
  <c r="GR12" i="2"/>
  <c r="FZ23" i="2"/>
  <c r="FK23" i="2"/>
  <c r="FL23" i="2"/>
  <c r="FM23" i="2"/>
  <c r="FN23" i="2"/>
  <c r="FO23" i="2"/>
  <c r="FP23" i="2"/>
  <c r="FQ23" i="2"/>
  <c r="FR23" i="2"/>
  <c r="FS23" i="2"/>
  <c r="FT23" i="2"/>
  <c r="FU23" i="2"/>
  <c r="FV23" i="2"/>
  <c r="FW23" i="2"/>
  <c r="FX23" i="2"/>
  <c r="FZ22" i="2"/>
  <c r="FK22" i="2"/>
  <c r="FL22" i="2"/>
  <c r="FM22" i="2"/>
  <c r="FN22" i="2"/>
  <c r="FO22" i="2"/>
  <c r="FP22" i="2"/>
  <c r="FQ22" i="2"/>
  <c r="FR22" i="2"/>
  <c r="FS22" i="2"/>
  <c r="FT22" i="2"/>
  <c r="FU22" i="2"/>
  <c r="FV22" i="2"/>
  <c r="FW22" i="2"/>
  <c r="FX22" i="2"/>
  <c r="HH13" i="2"/>
  <c r="FZ19" i="2"/>
  <c r="FK19" i="2"/>
  <c r="FL19" i="2"/>
  <c r="FM19" i="2"/>
  <c r="FN19" i="2"/>
  <c r="FO19" i="2"/>
  <c r="FP19" i="2"/>
  <c r="FQ19" i="2"/>
  <c r="FR19" i="2"/>
  <c r="FS19" i="2"/>
  <c r="FT19" i="2"/>
  <c r="FU19" i="2"/>
  <c r="FV19" i="2"/>
  <c r="FW19" i="2"/>
  <c r="FX19" i="2"/>
  <c r="FY23" i="2"/>
  <c r="FY22" i="2"/>
  <c r="FZ21" i="2"/>
  <c r="FK21" i="2"/>
  <c r="FL21" i="2"/>
  <c r="FM21" i="2"/>
  <c r="FN21" i="2"/>
  <c r="FO21" i="2"/>
  <c r="FP21" i="2"/>
  <c r="FQ21" i="2"/>
  <c r="FR21" i="2"/>
  <c r="FS21" i="2"/>
  <c r="FT21" i="2"/>
  <c r="FU21" i="2"/>
  <c r="FV21" i="2"/>
  <c r="FW21" i="2"/>
  <c r="FX21" i="2"/>
  <c r="FZ20" i="2"/>
  <c r="FK20" i="2"/>
  <c r="FL20" i="2"/>
  <c r="FM20" i="2"/>
  <c r="FN20" i="2"/>
  <c r="FO20" i="2"/>
  <c r="FP20" i="2"/>
  <c r="FQ20" i="2"/>
  <c r="FR20" i="2"/>
  <c r="FS20" i="2"/>
  <c r="FT20" i="2"/>
  <c r="FU20" i="2"/>
  <c r="FV20" i="2"/>
  <c r="FW20" i="2"/>
  <c r="FX20" i="2"/>
  <c r="FY21" i="2"/>
  <c r="FY20" i="2"/>
  <c r="HI8" i="2" a="1"/>
  <c r="HI8" i="2" s="1"/>
  <c r="HI7" i="2" a="1"/>
  <c r="HI7" i="2" s="1"/>
  <c r="HI6" i="2" a="1"/>
  <c r="HI6" i="2" s="1"/>
  <c r="HI11" i="2" a="1"/>
  <c r="HI11" i="2" s="1"/>
  <c r="HI9" i="2" a="1"/>
  <c r="HI9" i="2" s="1"/>
  <c r="HI12" i="2" a="1"/>
  <c r="HI12" i="2" s="1"/>
  <c r="HI10" i="2" a="1"/>
  <c r="HI10" i="2" s="1"/>
  <c r="GR11" i="2"/>
  <c r="FZ18" i="2"/>
  <c r="FK18" i="2"/>
  <c r="FL18" i="2"/>
  <c r="FM18" i="2"/>
  <c r="FN18" i="2"/>
  <c r="FO18" i="2"/>
  <c r="FP18" i="2"/>
  <c r="FQ18" i="2"/>
  <c r="FR18" i="2"/>
  <c r="FS18" i="2"/>
  <c r="FT18" i="2"/>
  <c r="FU18" i="2"/>
  <c r="FV18" i="2"/>
  <c r="FW18" i="2"/>
  <c r="FX18" i="2"/>
  <c r="GQ13" i="2"/>
  <c r="GR6" i="2"/>
  <c r="GQ17" i="2" s="1"/>
  <c r="FY18" i="2"/>
  <c r="GR10" i="2"/>
  <c r="GQ21" i="2" s="1"/>
  <c r="GR9" i="2"/>
  <c r="FZ17" i="2"/>
  <c r="FZ13" i="2"/>
  <c r="FK17" i="2"/>
  <c r="FL17" i="2"/>
  <c r="FM17" i="2"/>
  <c r="FN17" i="2"/>
  <c r="FO17" i="2"/>
  <c r="FP17" i="2"/>
  <c r="FQ17" i="2"/>
  <c r="FR17" i="2"/>
  <c r="FS17" i="2"/>
  <c r="FT17" i="2"/>
  <c r="FU17" i="2"/>
  <c r="FV17" i="2"/>
  <c r="FW17" i="2"/>
  <c r="FX17" i="2"/>
  <c r="FY9" i="12" l="1"/>
  <c r="FH17" i="11"/>
  <c r="ER17" i="11"/>
  <c r="ES17" i="11"/>
  <c r="ET17" i="11"/>
  <c r="EU17" i="11"/>
  <c r="EV17" i="11"/>
  <c r="EW17" i="11"/>
  <c r="EX17" i="11"/>
  <c r="EY17" i="11"/>
  <c r="EZ17" i="11"/>
  <c r="FA17" i="11"/>
  <c r="FB17" i="11"/>
  <c r="FC17" i="11"/>
  <c r="FD17" i="11"/>
  <c r="FE17" i="11"/>
  <c r="FF17" i="11"/>
  <c r="FY12" i="12"/>
  <c r="GO34" i="11"/>
  <c r="FH22" i="11"/>
  <c r="ER22" i="11"/>
  <c r="ES22" i="11"/>
  <c r="ET22" i="11"/>
  <c r="EU22" i="11"/>
  <c r="EV22" i="11"/>
  <c r="EW22" i="11"/>
  <c r="EX22" i="11"/>
  <c r="EY22" i="11"/>
  <c r="EZ22" i="11"/>
  <c r="FA22" i="11"/>
  <c r="FB22" i="11"/>
  <c r="FC22" i="11"/>
  <c r="FD22" i="11"/>
  <c r="FE22" i="11"/>
  <c r="FF22" i="11"/>
  <c r="HW29" i="11"/>
  <c r="FX30" i="11"/>
  <c r="FX27" i="11"/>
  <c r="HF31" i="11"/>
  <c r="EP13" i="12"/>
  <c r="EP27" i="12" s="1"/>
  <c r="EP17" i="12"/>
  <c r="DZ17" i="12"/>
  <c r="EA17" i="12"/>
  <c r="EB17" i="12"/>
  <c r="EC17" i="12"/>
  <c r="ED17" i="12"/>
  <c r="EE17" i="12"/>
  <c r="EF17" i="12"/>
  <c r="EG17" i="12"/>
  <c r="EH17" i="12"/>
  <c r="EI17" i="12"/>
  <c r="EJ17" i="12"/>
  <c r="EK17" i="12"/>
  <c r="EL17" i="12"/>
  <c r="EM17" i="12"/>
  <c r="EN17" i="12"/>
  <c r="HW33" i="11"/>
  <c r="FG34" i="11"/>
  <c r="HX10" i="12"/>
  <c r="FH18" i="11"/>
  <c r="ER18" i="11"/>
  <c r="ES18" i="11"/>
  <c r="ET18" i="11"/>
  <c r="EU18" i="11"/>
  <c r="EV18" i="11"/>
  <c r="EW18" i="11"/>
  <c r="EX18" i="11"/>
  <c r="EY18" i="11"/>
  <c r="EZ18" i="11"/>
  <c r="FA18" i="11"/>
  <c r="FB18" i="11"/>
  <c r="FC18" i="11"/>
  <c r="FD18" i="11"/>
  <c r="FE18" i="11"/>
  <c r="FF18" i="11"/>
  <c r="EO29" i="12"/>
  <c r="HW30" i="11"/>
  <c r="EP20" i="12"/>
  <c r="EP30" i="12"/>
  <c r="DZ20" i="12"/>
  <c r="EA20" i="12"/>
  <c r="EB20" i="12"/>
  <c r="EC20" i="12"/>
  <c r="ED20" i="12"/>
  <c r="EE20" i="12"/>
  <c r="EF20" i="12"/>
  <c r="EG20" i="12"/>
  <c r="EH20" i="12"/>
  <c r="EI20" i="12"/>
  <c r="EJ20" i="12"/>
  <c r="EK20" i="12"/>
  <c r="EL20" i="12"/>
  <c r="EM20" i="12"/>
  <c r="EN20" i="12"/>
  <c r="FG17" i="11"/>
  <c r="GN33" i="12"/>
  <c r="HV30" i="12"/>
  <c r="FX13" i="12"/>
  <c r="FX27" i="12"/>
  <c r="GN30" i="12"/>
  <c r="EO27" i="12"/>
  <c r="HW33" i="12"/>
  <c r="HX6" i="12"/>
  <c r="HX8" i="12"/>
  <c r="FH30" i="11"/>
  <c r="FH20" i="11"/>
  <c r="ER20" i="11"/>
  <c r="ES20" i="11"/>
  <c r="ET20" i="11"/>
  <c r="EU20" i="11"/>
  <c r="EV20" i="11"/>
  <c r="EW20" i="11"/>
  <c r="EX20" i="11"/>
  <c r="EY20" i="11"/>
  <c r="EZ20" i="11"/>
  <c r="FA20" i="11"/>
  <c r="FB20" i="11"/>
  <c r="FC20" i="11"/>
  <c r="FD20" i="11"/>
  <c r="FE20" i="11"/>
  <c r="FF20" i="11"/>
  <c r="FG27" i="11"/>
  <c r="FW31" i="12"/>
  <c r="GN28" i="12"/>
  <c r="GO27" i="11"/>
  <c r="HV29" i="12"/>
  <c r="EO17" i="12"/>
  <c r="HG7" i="12"/>
  <c r="HX7" i="12"/>
  <c r="FH23" i="11"/>
  <c r="ER23" i="11"/>
  <c r="ES23" i="11"/>
  <c r="ET23" i="11"/>
  <c r="EU23" i="11"/>
  <c r="EV23" i="11"/>
  <c r="EW23" i="11"/>
  <c r="EX23" i="11"/>
  <c r="EY23" i="11"/>
  <c r="EZ23" i="11"/>
  <c r="FA23" i="11"/>
  <c r="FB23" i="11"/>
  <c r="FC23" i="11"/>
  <c r="FD23" i="11"/>
  <c r="FE23" i="11"/>
  <c r="FF23" i="11"/>
  <c r="GO32" i="11"/>
  <c r="FG13" i="12"/>
  <c r="FG17" i="12"/>
  <c r="FH6" i="12"/>
  <c r="GO13" i="12"/>
  <c r="GO28" i="12" s="1"/>
  <c r="GO27" i="12"/>
  <c r="FW32" i="12"/>
  <c r="DX34" i="12"/>
  <c r="DX24" i="12"/>
  <c r="DH24" i="12"/>
  <c r="DI24" i="12"/>
  <c r="DJ24" i="12"/>
  <c r="DK24" i="12"/>
  <c r="DL24" i="12"/>
  <c r="DM24" i="12"/>
  <c r="DN24" i="12"/>
  <c r="DO24" i="12"/>
  <c r="DP24" i="12"/>
  <c r="DQ24" i="12"/>
  <c r="DR24" i="12"/>
  <c r="DS24" i="12"/>
  <c r="DT24" i="12"/>
  <c r="DU24" i="12"/>
  <c r="DV24" i="12"/>
  <c r="HF32" i="11"/>
  <c r="DX29" i="12"/>
  <c r="EO34" i="12"/>
  <c r="EO24" i="12"/>
  <c r="HE28" i="12"/>
  <c r="HG8" i="12"/>
  <c r="HX11" i="12"/>
  <c r="EP34" i="11"/>
  <c r="EP24" i="11"/>
  <c r="DZ24" i="11"/>
  <c r="EA24" i="11"/>
  <c r="EB24" i="11"/>
  <c r="EC24" i="11"/>
  <c r="ED24" i="11"/>
  <c r="EE24" i="11"/>
  <c r="EF24" i="11"/>
  <c r="EG24" i="11"/>
  <c r="EH24" i="11"/>
  <c r="EI24" i="11"/>
  <c r="EJ24" i="11"/>
  <c r="EK24" i="11"/>
  <c r="EL24" i="11"/>
  <c r="EM24" i="11"/>
  <c r="EN24" i="11"/>
  <c r="GO32" i="12"/>
  <c r="FW30" i="12"/>
  <c r="HV32" i="12"/>
  <c r="EP27" i="11"/>
  <c r="FF34" i="12"/>
  <c r="DX27" i="12"/>
  <c r="EP28" i="11"/>
  <c r="GO28" i="11"/>
  <c r="FG31" i="11"/>
  <c r="HG6" i="12"/>
  <c r="HX9" i="12"/>
  <c r="HW27" i="11"/>
  <c r="HW31" i="11"/>
  <c r="FX28" i="11"/>
  <c r="EP21" i="12"/>
  <c r="DZ21" i="12"/>
  <c r="EA21" i="12"/>
  <c r="EB21" i="12"/>
  <c r="EC21" i="12"/>
  <c r="ED21" i="12"/>
  <c r="EE21" i="12"/>
  <c r="EF21" i="12"/>
  <c r="EG21" i="12"/>
  <c r="EH21" i="12"/>
  <c r="EI21" i="12"/>
  <c r="EJ21" i="12"/>
  <c r="EK21" i="12"/>
  <c r="EL21" i="12"/>
  <c r="EM21" i="12"/>
  <c r="EN21" i="12"/>
  <c r="FG23" i="11"/>
  <c r="FH10" i="12"/>
  <c r="FG21" i="12" s="1"/>
  <c r="HX12" i="12"/>
  <c r="GP6" i="12"/>
  <c r="EP23" i="12"/>
  <c r="EP33" i="12"/>
  <c r="DZ23" i="12"/>
  <c r="EA23" i="12"/>
  <c r="EB23" i="12"/>
  <c r="EC23" i="12"/>
  <c r="ED23" i="12"/>
  <c r="EE23" i="12"/>
  <c r="EF23" i="12"/>
  <c r="EG23" i="12"/>
  <c r="EH23" i="12"/>
  <c r="EI23" i="12"/>
  <c r="EJ23" i="12"/>
  <c r="EK23" i="12"/>
  <c r="EL23" i="12"/>
  <c r="EM23" i="12"/>
  <c r="EN23" i="12"/>
  <c r="GO31" i="11"/>
  <c r="HW13" i="12"/>
  <c r="HW32" i="12" s="1"/>
  <c r="HW27" i="12"/>
  <c r="GO29" i="11"/>
  <c r="FX31" i="11"/>
  <c r="HW31" i="12"/>
  <c r="EO21" i="12"/>
  <c r="FG28" i="11"/>
  <c r="HW28" i="12"/>
  <c r="FG33" i="11"/>
  <c r="HG9" i="12"/>
  <c r="GP8" i="12"/>
  <c r="GP29" i="11"/>
  <c r="FW28" i="12"/>
  <c r="EO33" i="12"/>
  <c r="GO31" i="12"/>
  <c r="GO29" i="12"/>
  <c r="FX31" i="12"/>
  <c r="GN32" i="12"/>
  <c r="EO31" i="12"/>
  <c r="FH7" i="12"/>
  <c r="FG18" i="12" s="1"/>
  <c r="EP33" i="11"/>
  <c r="DX31" i="12"/>
  <c r="FH12" i="12"/>
  <c r="FY7" i="12"/>
  <c r="GP9" i="12"/>
  <c r="GN31" i="12"/>
  <c r="HF30" i="11"/>
  <c r="EP31" i="11"/>
  <c r="FY6" i="12"/>
  <c r="GP7" i="12"/>
  <c r="FW33" i="12"/>
  <c r="FX33" i="11"/>
  <c r="EP18" i="12"/>
  <c r="DZ18" i="12"/>
  <c r="EA18" i="12"/>
  <c r="EB18" i="12"/>
  <c r="EC18" i="12"/>
  <c r="ED18" i="12"/>
  <c r="EE18" i="12"/>
  <c r="EF18" i="12"/>
  <c r="EG18" i="12"/>
  <c r="EH18" i="12"/>
  <c r="EI18" i="12"/>
  <c r="EJ18" i="12"/>
  <c r="EK18" i="12"/>
  <c r="EL18" i="12"/>
  <c r="EM18" i="12"/>
  <c r="EN18" i="12"/>
  <c r="DX30" i="12"/>
  <c r="HF33" i="11"/>
  <c r="HF30" i="12"/>
  <c r="HV34" i="12"/>
  <c r="HG11" i="12"/>
  <c r="FY8" i="12"/>
  <c r="GP10" i="12"/>
  <c r="FX33" i="12"/>
  <c r="GN34" i="12"/>
  <c r="EO28" i="12"/>
  <c r="FX29" i="12"/>
  <c r="HE34" i="12"/>
  <c r="DX32" i="12"/>
  <c r="FF29" i="12"/>
  <c r="HG12" i="12"/>
  <c r="HW34" i="11"/>
  <c r="HF34" i="11"/>
  <c r="FY11" i="12"/>
  <c r="GP11" i="12"/>
  <c r="FW27" i="12"/>
  <c r="FG30" i="11"/>
  <c r="EO18" i="12"/>
  <c r="HF28" i="11"/>
  <c r="GO30" i="11"/>
  <c r="HV28" i="12"/>
  <c r="DX33" i="12"/>
  <c r="FG22" i="11"/>
  <c r="FF30" i="12"/>
  <c r="EP30" i="11"/>
  <c r="FG32" i="11"/>
  <c r="HG10" i="12"/>
  <c r="FX34" i="11"/>
  <c r="GP12" i="12"/>
  <c r="FW34" i="12"/>
  <c r="FH9" i="12"/>
  <c r="FG29" i="11"/>
  <c r="EP22" i="12"/>
  <c r="EP32" i="12"/>
  <c r="DZ22" i="12"/>
  <c r="EA22" i="12"/>
  <c r="EB22" i="12"/>
  <c r="EC22" i="12"/>
  <c r="ED22" i="12"/>
  <c r="EE22" i="12"/>
  <c r="EF22" i="12"/>
  <c r="EG22" i="12"/>
  <c r="EH22" i="12"/>
  <c r="EI22" i="12"/>
  <c r="EJ22" i="12"/>
  <c r="EK22" i="12"/>
  <c r="EL22" i="12"/>
  <c r="EM22" i="12"/>
  <c r="EN22" i="12"/>
  <c r="GO33" i="11"/>
  <c r="HF27" i="11"/>
  <c r="FH19" i="11"/>
  <c r="ER19" i="11"/>
  <c r="ES19" i="11"/>
  <c r="ET19" i="11"/>
  <c r="EU19" i="11"/>
  <c r="EV19" i="11"/>
  <c r="EW19" i="11"/>
  <c r="EX19" i="11"/>
  <c r="EY19" i="11"/>
  <c r="EZ19" i="11"/>
  <c r="FA19" i="11"/>
  <c r="FB19" i="11"/>
  <c r="FC19" i="11"/>
  <c r="FD19" i="11"/>
  <c r="FE19" i="11"/>
  <c r="FF19" i="11"/>
  <c r="FY10" i="12"/>
  <c r="FH21" i="11"/>
  <c r="ER21" i="11"/>
  <c r="ES21" i="11"/>
  <c r="ET21" i="11"/>
  <c r="EU21" i="11"/>
  <c r="EV21" i="11"/>
  <c r="EW21" i="11"/>
  <c r="EX21" i="11"/>
  <c r="EY21" i="11"/>
  <c r="EZ21" i="11"/>
  <c r="FA21" i="11"/>
  <c r="FB21" i="11"/>
  <c r="FC21" i="11"/>
  <c r="FD21" i="11"/>
  <c r="FE21" i="11"/>
  <c r="FF21" i="11"/>
  <c r="EP19" i="12"/>
  <c r="EP29" i="12"/>
  <c r="DZ19" i="12"/>
  <c r="EA19" i="12"/>
  <c r="EB19" i="12"/>
  <c r="EC19" i="12"/>
  <c r="ED19" i="12"/>
  <c r="EE19" i="12"/>
  <c r="EF19" i="12"/>
  <c r="EG19" i="12"/>
  <c r="EH19" i="12"/>
  <c r="EI19" i="12"/>
  <c r="EJ19" i="12"/>
  <c r="EK19" i="12"/>
  <c r="EL19" i="12"/>
  <c r="EM19" i="12"/>
  <c r="EN19" i="12"/>
  <c r="FG19" i="12"/>
  <c r="FH8" i="12"/>
  <c r="EO22" i="12"/>
  <c r="FX32" i="11"/>
  <c r="GO33" i="12"/>
  <c r="HF13" i="12"/>
  <c r="HF27" i="12" s="1"/>
  <c r="GO30" i="12"/>
  <c r="HW32" i="11"/>
  <c r="DX28" i="12"/>
  <c r="FG22" i="12"/>
  <c r="FH11" i="12"/>
  <c r="FZ9" i="11"/>
  <c r="FZ8" i="11"/>
  <c r="FY19" i="11" s="1"/>
  <c r="FH13" i="11"/>
  <c r="FH31" i="11" s="1"/>
  <c r="GQ12" i="11" a="1"/>
  <c r="GQ12" i="11" s="1"/>
  <c r="GQ10" i="11" a="1"/>
  <c r="GQ10" i="11" s="1"/>
  <c r="GQ11" i="11" a="1"/>
  <c r="GQ11" i="11" s="1"/>
  <c r="GQ8" i="11" a="1"/>
  <c r="GQ8" i="11" s="1"/>
  <c r="GQ7" i="11" a="1"/>
  <c r="GQ7" i="11" s="1"/>
  <c r="GQ9" i="11" a="1"/>
  <c r="GQ9" i="11" s="1"/>
  <c r="GQ6" i="11" a="1"/>
  <c r="GQ6" i="11" s="1"/>
  <c r="HH12" i="11" a="1"/>
  <c r="HH12" i="11" s="1"/>
  <c r="HH10" i="11" a="1"/>
  <c r="HH10" i="11" s="1"/>
  <c r="HH11" i="11" a="1"/>
  <c r="HH11" i="11" s="1"/>
  <c r="HH8" i="11" a="1"/>
  <c r="HH8" i="11" s="1"/>
  <c r="HH9" i="11" a="1"/>
  <c r="HH9" i="11" s="1"/>
  <c r="HH7" i="11" a="1"/>
  <c r="HH7" i="11" s="1"/>
  <c r="HH6" i="11" a="1"/>
  <c r="HH6" i="11" s="1"/>
  <c r="HI2" i="11"/>
  <c r="GP13" i="11"/>
  <c r="GP30" i="11" s="1"/>
  <c r="FY13" i="11"/>
  <c r="FZ6" i="11"/>
  <c r="HH12" i="10" a="1"/>
  <c r="HH12" i="10" s="1"/>
  <c r="HH11" i="10" a="1"/>
  <c r="HH11" i="10" s="1"/>
  <c r="HH9" i="10" a="1"/>
  <c r="HH9" i="10" s="1"/>
  <c r="HH10" i="10" a="1"/>
  <c r="HH10" i="10" s="1"/>
  <c r="HH8" i="10" a="1"/>
  <c r="HH8" i="10" s="1"/>
  <c r="HH7" i="10" a="1"/>
  <c r="HH7" i="10" s="1"/>
  <c r="HH6" i="10" a="1"/>
  <c r="HH6" i="10" s="1"/>
  <c r="HI2" i="10"/>
  <c r="FY13" i="10"/>
  <c r="FZ6" i="10"/>
  <c r="FZ7" i="11"/>
  <c r="FZ7" i="10"/>
  <c r="FZ8" i="10"/>
  <c r="FZ10" i="10"/>
  <c r="HG13" i="10"/>
  <c r="FZ9" i="10"/>
  <c r="FZ11" i="10"/>
  <c r="FZ10" i="11"/>
  <c r="FZ12" i="10"/>
  <c r="HX13" i="11"/>
  <c r="HX31" i="11" s="1"/>
  <c r="FZ12" i="11"/>
  <c r="FY23" i="11" s="1"/>
  <c r="FH13" i="10"/>
  <c r="HY11" i="10" a="1"/>
  <c r="HY11" i="10" s="1"/>
  <c r="HY12" i="10" a="1"/>
  <c r="HY12" i="10" s="1"/>
  <c r="HY10" i="10" a="1"/>
  <c r="HY10" i="10" s="1"/>
  <c r="HY7" i="10" a="1"/>
  <c r="HY7" i="10" s="1"/>
  <c r="HY8" i="10" a="1"/>
  <c r="HY8" i="10" s="1"/>
  <c r="HY9" i="10" a="1"/>
  <c r="HY9" i="10" s="1"/>
  <c r="HZ2" i="10"/>
  <c r="HY6" i="10" a="1"/>
  <c r="HY6" i="10" s="1"/>
  <c r="HG13" i="11"/>
  <c r="HY11" i="11" a="1"/>
  <c r="HY11" i="11" s="1"/>
  <c r="HY10" i="11" a="1"/>
  <c r="HY10" i="11" s="1"/>
  <c r="HY12" i="11" a="1"/>
  <c r="HY12" i="11" s="1"/>
  <c r="HY7" i="11" a="1"/>
  <c r="HY7" i="11" s="1"/>
  <c r="HZ2" i="11"/>
  <c r="HY9" i="11" a="1"/>
  <c r="HY9" i="11" s="1"/>
  <c r="HY8" i="11" a="1"/>
  <c r="HY8" i="11" s="1"/>
  <c r="HY6" i="11" a="1"/>
  <c r="HY6" i="11" s="1"/>
  <c r="FZ11" i="11"/>
  <c r="FY22" i="11" s="1"/>
  <c r="HX13" i="10"/>
  <c r="GQ12" i="10" a="1"/>
  <c r="GQ12" i="10" s="1"/>
  <c r="GQ10" i="10" a="1"/>
  <c r="GQ10" i="10" s="1"/>
  <c r="GQ9" i="10" a="1"/>
  <c r="GQ9" i="10" s="1"/>
  <c r="GQ8" i="10" a="1"/>
  <c r="GQ8" i="10" s="1"/>
  <c r="GQ6" i="10" a="1"/>
  <c r="GQ6" i="10" s="1"/>
  <c r="GQ7" i="10" a="1"/>
  <c r="GQ7" i="10" s="1"/>
  <c r="GQ11" i="10" a="1"/>
  <c r="GQ11" i="10" s="1"/>
  <c r="GP13" i="10"/>
  <c r="GR22" i="2"/>
  <c r="GC22" i="2"/>
  <c r="GD22" i="2"/>
  <c r="GE22" i="2"/>
  <c r="GF22" i="2"/>
  <c r="GG22" i="2"/>
  <c r="GH22" i="2"/>
  <c r="GI22" i="2"/>
  <c r="GJ22" i="2"/>
  <c r="GK22" i="2"/>
  <c r="GL22" i="2"/>
  <c r="GM22" i="2"/>
  <c r="GN22" i="2"/>
  <c r="GO22" i="2"/>
  <c r="GP22" i="2"/>
  <c r="GR23" i="2"/>
  <c r="GC23" i="2"/>
  <c r="GD23" i="2"/>
  <c r="GE23" i="2"/>
  <c r="GF23" i="2"/>
  <c r="GG23" i="2"/>
  <c r="GH23" i="2"/>
  <c r="GI23" i="2"/>
  <c r="GJ23" i="2"/>
  <c r="GK23" i="2"/>
  <c r="GL23" i="2"/>
  <c r="GM23" i="2"/>
  <c r="GN23" i="2"/>
  <c r="GO23" i="2"/>
  <c r="GP23" i="2"/>
  <c r="GQ23" i="2"/>
  <c r="HJ10" i="2"/>
  <c r="GR18" i="2"/>
  <c r="GC18" i="2"/>
  <c r="GD18" i="2"/>
  <c r="GE18" i="2"/>
  <c r="GF18" i="2"/>
  <c r="GG18" i="2"/>
  <c r="GH18" i="2"/>
  <c r="GI18" i="2"/>
  <c r="GJ18" i="2"/>
  <c r="GK18" i="2"/>
  <c r="GL18" i="2"/>
  <c r="GM18" i="2"/>
  <c r="GN18" i="2"/>
  <c r="GO18" i="2"/>
  <c r="GP18" i="2"/>
  <c r="HJ12" i="2"/>
  <c r="GQ18" i="2"/>
  <c r="HJ9" i="2"/>
  <c r="HI20" i="2" s="1"/>
  <c r="GR19" i="2"/>
  <c r="GC19" i="2"/>
  <c r="GD19" i="2"/>
  <c r="GE19" i="2"/>
  <c r="GF19" i="2"/>
  <c r="GG19" i="2"/>
  <c r="GH19" i="2"/>
  <c r="GI19" i="2"/>
  <c r="GJ19" i="2"/>
  <c r="GK19" i="2"/>
  <c r="GL19" i="2"/>
  <c r="GM19" i="2"/>
  <c r="GN19" i="2"/>
  <c r="GO19" i="2"/>
  <c r="GP19" i="2"/>
  <c r="HJ11" i="2"/>
  <c r="HZ13" i="2"/>
  <c r="HI13" i="2"/>
  <c r="HJ6" i="2"/>
  <c r="HI17" i="2" s="1"/>
  <c r="GR17" i="2"/>
  <c r="GR13" i="2"/>
  <c r="GC17" i="2"/>
  <c r="GD17" i="2"/>
  <c r="GE17" i="2"/>
  <c r="GF17" i="2"/>
  <c r="GG17" i="2"/>
  <c r="GH17" i="2"/>
  <c r="GI17" i="2"/>
  <c r="GJ17" i="2"/>
  <c r="GK17" i="2"/>
  <c r="GL17" i="2"/>
  <c r="GM17" i="2"/>
  <c r="GN17" i="2"/>
  <c r="GO17" i="2"/>
  <c r="GP17" i="2"/>
  <c r="IA12" i="2" a="1"/>
  <c r="IA12" i="2" s="1"/>
  <c r="IA11" i="2" a="1"/>
  <c r="IA11" i="2" s="1"/>
  <c r="IA10" i="2" a="1"/>
  <c r="IA10" i="2" s="1"/>
  <c r="IA9" i="2" a="1"/>
  <c r="IA9" i="2" s="1"/>
  <c r="IA6" i="2" a="1"/>
  <c r="IA6" i="2" s="1"/>
  <c r="IA8" i="2" a="1"/>
  <c r="IA8" i="2" s="1"/>
  <c r="IA7" i="2" a="1"/>
  <c r="IA7" i="2" s="1"/>
  <c r="GR20" i="2"/>
  <c r="GC20" i="2"/>
  <c r="GD20" i="2"/>
  <c r="GE20" i="2"/>
  <c r="GF20" i="2"/>
  <c r="GG20" i="2"/>
  <c r="GH20" i="2"/>
  <c r="GI20" i="2"/>
  <c r="GJ20" i="2"/>
  <c r="GK20" i="2"/>
  <c r="GL20" i="2"/>
  <c r="GM20" i="2"/>
  <c r="GN20" i="2"/>
  <c r="GO20" i="2"/>
  <c r="GP20" i="2"/>
  <c r="GQ20" i="2"/>
  <c r="GR21" i="2"/>
  <c r="GC21" i="2"/>
  <c r="GD21" i="2"/>
  <c r="GE21" i="2"/>
  <c r="GF21" i="2"/>
  <c r="GG21" i="2"/>
  <c r="GH21" i="2"/>
  <c r="GI21" i="2"/>
  <c r="GJ21" i="2"/>
  <c r="GK21" i="2"/>
  <c r="GL21" i="2"/>
  <c r="GM21" i="2"/>
  <c r="GN21" i="2"/>
  <c r="GO21" i="2"/>
  <c r="GP21" i="2"/>
  <c r="HJ8" i="2"/>
  <c r="HI18" i="2"/>
  <c r="HJ7" i="2"/>
  <c r="GQ22" i="2"/>
  <c r="HH12" i="12" l="1"/>
  <c r="FG34" i="12"/>
  <c r="HG34" i="11"/>
  <c r="GQ9" i="12"/>
  <c r="FG31" i="12"/>
  <c r="FH32" i="11"/>
  <c r="GQ7" i="12"/>
  <c r="HG31" i="11"/>
  <c r="GP32" i="11"/>
  <c r="GP31" i="11"/>
  <c r="HG30" i="11"/>
  <c r="HG27" i="11"/>
  <c r="HY11" i="12"/>
  <c r="FZ21" i="11"/>
  <c r="FJ21" i="11"/>
  <c r="FK21" i="11"/>
  <c r="FL21" i="11"/>
  <c r="FM21" i="11"/>
  <c r="FN21" i="11"/>
  <c r="FO21" i="11"/>
  <c r="FP21" i="11"/>
  <c r="FQ21" i="11"/>
  <c r="FR21" i="11"/>
  <c r="FS21" i="11"/>
  <c r="FT21" i="11"/>
  <c r="FU21" i="11"/>
  <c r="FV21" i="11"/>
  <c r="FW21" i="11"/>
  <c r="FX21" i="11"/>
  <c r="FH18" i="12"/>
  <c r="ER18" i="12"/>
  <c r="ES18" i="12"/>
  <c r="ET18" i="12"/>
  <c r="EU18" i="12"/>
  <c r="EV18" i="12"/>
  <c r="EW18" i="12"/>
  <c r="EX18" i="12"/>
  <c r="EY18" i="12"/>
  <c r="EZ18" i="12"/>
  <c r="FA18" i="12"/>
  <c r="FB18" i="12"/>
  <c r="FC18" i="12"/>
  <c r="FD18" i="12"/>
  <c r="FE18" i="12"/>
  <c r="FF18" i="12"/>
  <c r="HX30" i="11"/>
  <c r="GQ8" i="12"/>
  <c r="HF29" i="12"/>
  <c r="EP28" i="12"/>
  <c r="HW34" i="12"/>
  <c r="HG13" i="12"/>
  <c r="HG31" i="12" s="1"/>
  <c r="HG27" i="12"/>
  <c r="FH33" i="11"/>
  <c r="HW30" i="12"/>
  <c r="HF31" i="12"/>
  <c r="GQ6" i="12"/>
  <c r="FG28" i="12"/>
  <c r="FH21" i="12"/>
  <c r="ER21" i="12"/>
  <c r="ES21" i="12"/>
  <c r="ET21" i="12"/>
  <c r="EU21" i="12"/>
  <c r="EV21" i="12"/>
  <c r="EW21" i="12"/>
  <c r="EX21" i="12"/>
  <c r="EY21" i="12"/>
  <c r="EZ21" i="12"/>
  <c r="FA21" i="12"/>
  <c r="FB21" i="12"/>
  <c r="FC21" i="12"/>
  <c r="FD21" i="12"/>
  <c r="FE21" i="12"/>
  <c r="FF21" i="12"/>
  <c r="FZ17" i="11"/>
  <c r="FJ17" i="11"/>
  <c r="FK17" i="11"/>
  <c r="FL17" i="11"/>
  <c r="FM17" i="11"/>
  <c r="FN17" i="11"/>
  <c r="FO17" i="11"/>
  <c r="FP17" i="11"/>
  <c r="FQ17" i="11"/>
  <c r="FR17" i="11"/>
  <c r="FS17" i="11"/>
  <c r="FT17" i="11"/>
  <c r="FU17" i="11"/>
  <c r="FV17" i="11"/>
  <c r="FW17" i="11"/>
  <c r="FX17" i="11"/>
  <c r="FY34" i="11"/>
  <c r="FY24" i="11"/>
  <c r="GQ11" i="12"/>
  <c r="HW29" i="12"/>
  <c r="HY6" i="12"/>
  <c r="FZ18" i="11"/>
  <c r="FJ18" i="11"/>
  <c r="FK18" i="11"/>
  <c r="FL18" i="11"/>
  <c r="FM18" i="11"/>
  <c r="FN18" i="11"/>
  <c r="FO18" i="11"/>
  <c r="FP18" i="11"/>
  <c r="FQ18" i="11"/>
  <c r="FR18" i="11"/>
  <c r="FS18" i="11"/>
  <c r="FT18" i="11"/>
  <c r="FU18" i="11"/>
  <c r="FV18" i="11"/>
  <c r="FW18" i="11"/>
  <c r="FX18" i="11"/>
  <c r="FZ22" i="11"/>
  <c r="FJ22" i="11"/>
  <c r="FK22" i="11"/>
  <c r="FL22" i="11"/>
  <c r="FM22" i="11"/>
  <c r="FN22" i="11"/>
  <c r="FO22" i="11"/>
  <c r="FP22" i="11"/>
  <c r="FQ22" i="11"/>
  <c r="FR22" i="11"/>
  <c r="FS22" i="11"/>
  <c r="FT22" i="11"/>
  <c r="FU22" i="11"/>
  <c r="FV22" i="11"/>
  <c r="FW22" i="11"/>
  <c r="FX22" i="11"/>
  <c r="GP34" i="11"/>
  <c r="GQ10" i="12"/>
  <c r="HF34" i="12"/>
  <c r="FY21" i="11"/>
  <c r="FH20" i="12"/>
  <c r="ER20" i="12"/>
  <c r="ES20" i="12"/>
  <c r="ET20" i="12"/>
  <c r="EU20" i="12"/>
  <c r="EV20" i="12"/>
  <c r="EW20" i="12"/>
  <c r="EX20" i="12"/>
  <c r="EY20" i="12"/>
  <c r="EZ20" i="12"/>
  <c r="FA20" i="12"/>
  <c r="FB20" i="12"/>
  <c r="FC20" i="12"/>
  <c r="FD20" i="12"/>
  <c r="FE20" i="12"/>
  <c r="FF20" i="12"/>
  <c r="FY32" i="11"/>
  <c r="FY29" i="11"/>
  <c r="FY18" i="11"/>
  <c r="HX28" i="11"/>
  <c r="FY33" i="11"/>
  <c r="GQ12" i="12"/>
  <c r="FY31" i="11"/>
  <c r="FG30" i="12"/>
  <c r="FY22" i="12"/>
  <c r="FZ11" i="12"/>
  <c r="FZ8" i="12"/>
  <c r="FY28" i="11"/>
  <c r="EP24" i="12"/>
  <c r="EP34" i="12"/>
  <c r="DZ24" i="12"/>
  <c r="EA24" i="12"/>
  <c r="EB24" i="12"/>
  <c r="EC24" i="12"/>
  <c r="ED24" i="12"/>
  <c r="EE24" i="12"/>
  <c r="EF24" i="12"/>
  <c r="EG24" i="12"/>
  <c r="EH24" i="12"/>
  <c r="EI24" i="12"/>
  <c r="EJ24" i="12"/>
  <c r="EK24" i="12"/>
  <c r="EL24" i="12"/>
  <c r="EM24" i="12"/>
  <c r="EN24" i="12"/>
  <c r="FZ12" i="12"/>
  <c r="HH6" i="12"/>
  <c r="FH34" i="11"/>
  <c r="FH24" i="11"/>
  <c r="ER24" i="11"/>
  <c r="ES24" i="11"/>
  <c r="ET24" i="11"/>
  <c r="EU24" i="11"/>
  <c r="EV24" i="11"/>
  <c r="EW24" i="11"/>
  <c r="EX24" i="11"/>
  <c r="EY24" i="11"/>
  <c r="EZ24" i="11"/>
  <c r="FA24" i="11"/>
  <c r="FB24" i="11"/>
  <c r="FC24" i="11"/>
  <c r="FD24" i="11"/>
  <c r="FE24" i="11"/>
  <c r="FF24" i="11"/>
  <c r="FY21" i="12"/>
  <c r="FZ10" i="12"/>
  <c r="FG20" i="12"/>
  <c r="FY18" i="12"/>
  <c r="FZ7" i="12"/>
  <c r="EP31" i="12"/>
  <c r="HX32" i="11"/>
  <c r="FX34" i="12"/>
  <c r="HY8" i="12"/>
  <c r="HY29" i="11"/>
  <c r="HH7" i="12"/>
  <c r="FZ19" i="11"/>
  <c r="FJ19" i="11"/>
  <c r="FK19" i="11"/>
  <c r="FL19" i="11"/>
  <c r="FM19" i="11"/>
  <c r="FN19" i="11"/>
  <c r="FO19" i="11"/>
  <c r="FP19" i="11"/>
  <c r="FQ19" i="11"/>
  <c r="FR19" i="11"/>
  <c r="FS19" i="11"/>
  <c r="FT19" i="11"/>
  <c r="FU19" i="11"/>
  <c r="FV19" i="11"/>
  <c r="FW19" i="11"/>
  <c r="FX19" i="11"/>
  <c r="HG32" i="11"/>
  <c r="GP28" i="11"/>
  <c r="FH23" i="12"/>
  <c r="ER23" i="12"/>
  <c r="ES23" i="12"/>
  <c r="ET23" i="12"/>
  <c r="EU23" i="12"/>
  <c r="EV23" i="12"/>
  <c r="EW23" i="12"/>
  <c r="EX23" i="12"/>
  <c r="EY23" i="12"/>
  <c r="EZ23" i="12"/>
  <c r="FA23" i="12"/>
  <c r="FB23" i="12"/>
  <c r="FC23" i="12"/>
  <c r="FD23" i="12"/>
  <c r="FE23" i="12"/>
  <c r="FF23" i="12"/>
  <c r="HF32" i="12"/>
  <c r="HX32" i="12"/>
  <c r="HG28" i="11"/>
  <c r="HX29" i="11"/>
  <c r="FH28" i="11"/>
  <c r="HY9" i="12"/>
  <c r="HH9" i="12"/>
  <c r="FZ20" i="11"/>
  <c r="FJ20" i="11"/>
  <c r="FK20" i="11"/>
  <c r="FL20" i="11"/>
  <c r="FM20" i="11"/>
  <c r="FN20" i="11"/>
  <c r="FO20" i="11"/>
  <c r="FP20" i="11"/>
  <c r="FQ20" i="11"/>
  <c r="FR20" i="11"/>
  <c r="FS20" i="11"/>
  <c r="FT20" i="11"/>
  <c r="FU20" i="11"/>
  <c r="FV20" i="11"/>
  <c r="FW20" i="11"/>
  <c r="FX20" i="11"/>
  <c r="HF33" i="12"/>
  <c r="GP28" i="12"/>
  <c r="FG23" i="12"/>
  <c r="GP27" i="11"/>
  <c r="GO34" i="12"/>
  <c r="HG28" i="12"/>
  <c r="FH27" i="11"/>
  <c r="HY7" i="12"/>
  <c r="HY28" i="11"/>
  <c r="FZ33" i="11"/>
  <c r="FZ23" i="11"/>
  <c r="FJ23" i="11"/>
  <c r="FK23" i="11"/>
  <c r="FL23" i="11"/>
  <c r="FM23" i="11"/>
  <c r="FN23" i="11"/>
  <c r="FO23" i="11"/>
  <c r="FP23" i="11"/>
  <c r="FQ23" i="11"/>
  <c r="FR23" i="11"/>
  <c r="FS23" i="11"/>
  <c r="FT23" i="11"/>
  <c r="FU23" i="11"/>
  <c r="FV23" i="11"/>
  <c r="FW23" i="11"/>
  <c r="FX23" i="11"/>
  <c r="HH8" i="12"/>
  <c r="FH22" i="12"/>
  <c r="ER22" i="12"/>
  <c r="ES22" i="12"/>
  <c r="ET22" i="12"/>
  <c r="EU22" i="12"/>
  <c r="EV22" i="12"/>
  <c r="EW22" i="12"/>
  <c r="EX22" i="12"/>
  <c r="EY22" i="12"/>
  <c r="EZ22" i="12"/>
  <c r="FA22" i="12"/>
  <c r="FB22" i="12"/>
  <c r="FC22" i="12"/>
  <c r="FD22" i="12"/>
  <c r="FE22" i="12"/>
  <c r="FF22" i="12"/>
  <c r="FH19" i="12"/>
  <c r="ER19" i="12"/>
  <c r="ES19" i="12"/>
  <c r="ET19" i="12"/>
  <c r="EU19" i="12"/>
  <c r="EV19" i="12"/>
  <c r="EW19" i="12"/>
  <c r="EX19" i="12"/>
  <c r="EY19" i="12"/>
  <c r="EZ19" i="12"/>
  <c r="FA19" i="12"/>
  <c r="FB19" i="12"/>
  <c r="FC19" i="12"/>
  <c r="FD19" i="12"/>
  <c r="FE19" i="12"/>
  <c r="FF19" i="12"/>
  <c r="FH29" i="11"/>
  <c r="FY17" i="11"/>
  <c r="FG33" i="12"/>
  <c r="FX28" i="12"/>
  <c r="GP13" i="12"/>
  <c r="GP27" i="12" s="1"/>
  <c r="HG29" i="11"/>
  <c r="FH17" i="12"/>
  <c r="FH13" i="12"/>
  <c r="FH30" i="12" s="1"/>
  <c r="ER17" i="12"/>
  <c r="ES17" i="12"/>
  <c r="ET17" i="12"/>
  <c r="EU17" i="12"/>
  <c r="EV17" i="12"/>
  <c r="EW17" i="12"/>
  <c r="EX17" i="12"/>
  <c r="EY17" i="12"/>
  <c r="EZ17" i="12"/>
  <c r="FA17" i="12"/>
  <c r="FB17" i="12"/>
  <c r="FC17" i="12"/>
  <c r="FD17" i="12"/>
  <c r="FE17" i="12"/>
  <c r="FF17" i="12"/>
  <c r="FY20" i="11"/>
  <c r="HY12" i="12"/>
  <c r="HY33" i="11"/>
  <c r="HX34" i="11"/>
  <c r="HH11" i="12"/>
  <c r="GP33" i="11"/>
  <c r="FY27" i="11"/>
  <c r="HG29" i="12"/>
  <c r="HX27" i="11"/>
  <c r="FX30" i="12"/>
  <c r="HX31" i="12"/>
  <c r="FX32" i="12"/>
  <c r="FY30" i="11"/>
  <c r="HY10" i="12"/>
  <c r="HH10" i="12"/>
  <c r="FG32" i="12"/>
  <c r="FG29" i="12"/>
  <c r="HF28" i="12"/>
  <c r="HG33" i="11"/>
  <c r="FY13" i="12"/>
  <c r="FY31" i="12" s="1"/>
  <c r="FZ6" i="12"/>
  <c r="HX33" i="11"/>
  <c r="FG27" i="12"/>
  <c r="HX13" i="12"/>
  <c r="HX29" i="12" s="1"/>
  <c r="HX27" i="12"/>
  <c r="FG24" i="11"/>
  <c r="FZ9" i="12"/>
  <c r="GQ13" i="10"/>
  <c r="GR6" i="10"/>
  <c r="GR7" i="11"/>
  <c r="GR8" i="11"/>
  <c r="GQ19" i="11" s="1"/>
  <c r="GR8" i="10"/>
  <c r="GR9" i="10"/>
  <c r="HZ10" i="11" a="1"/>
  <c r="HZ10" i="11" s="1"/>
  <c r="HZ11" i="11" a="1"/>
  <c r="HZ11" i="11" s="1"/>
  <c r="HZ12" i="11" a="1"/>
  <c r="HZ12" i="11" s="1"/>
  <c r="HZ8" i="11" a="1"/>
  <c r="HZ8" i="11" s="1"/>
  <c r="HZ9" i="11" a="1"/>
  <c r="HZ9" i="11" s="1"/>
  <c r="HZ7" i="11" a="1"/>
  <c r="HZ7" i="11" s="1"/>
  <c r="HZ6" i="11" a="1"/>
  <c r="HZ6" i="11" s="1"/>
  <c r="IA2" i="11"/>
  <c r="GR11" i="11"/>
  <c r="GQ22" i="11" s="1"/>
  <c r="GR11" i="10"/>
  <c r="GR10" i="11"/>
  <c r="GQ21" i="11" s="1"/>
  <c r="GR10" i="10"/>
  <c r="FZ13" i="10"/>
  <c r="GR12" i="11"/>
  <c r="GR12" i="10"/>
  <c r="HI12" i="11" a="1"/>
  <c r="HI12" i="11" s="1"/>
  <c r="HI9" i="11" a="1"/>
  <c r="HI9" i="11" s="1"/>
  <c r="HI11" i="11" a="1"/>
  <c r="HI11" i="11" s="1"/>
  <c r="HI8" i="11" a="1"/>
  <c r="HI8" i="11" s="1"/>
  <c r="HI6" i="11" a="1"/>
  <c r="HI6" i="11" s="1"/>
  <c r="HI7" i="11" a="1"/>
  <c r="HI7" i="11" s="1"/>
  <c r="HI10" i="11" a="1"/>
  <c r="HI10" i="11" s="1"/>
  <c r="HH13" i="11"/>
  <c r="HH33" i="11" s="1"/>
  <c r="HY13" i="10"/>
  <c r="HI12" i="10" a="1"/>
  <c r="HI12" i="10" s="1"/>
  <c r="HI10" i="10" a="1"/>
  <c r="HI10" i="10" s="1"/>
  <c r="HI11" i="10" a="1"/>
  <c r="HI11" i="10" s="1"/>
  <c r="HI6" i="10" a="1"/>
  <c r="HI6" i="10" s="1"/>
  <c r="HI8" i="10" a="1"/>
  <c r="HI8" i="10" s="1"/>
  <c r="HI9" i="10" a="1"/>
  <c r="HI9" i="10" s="1"/>
  <c r="HI7" i="10" a="1"/>
  <c r="HI7" i="10" s="1"/>
  <c r="HZ11" i="10" a="1"/>
  <c r="HZ11" i="10" s="1"/>
  <c r="HZ12" i="10" a="1"/>
  <c r="HZ12" i="10" s="1"/>
  <c r="HZ8" i="10" a="1"/>
  <c r="HZ8" i="10" s="1"/>
  <c r="HZ9" i="10" a="1"/>
  <c r="HZ9" i="10" s="1"/>
  <c r="HZ6" i="10" a="1"/>
  <c r="HZ6" i="10" s="1"/>
  <c r="HZ10" i="10" a="1"/>
  <c r="HZ10" i="10" s="1"/>
  <c r="HZ7" i="10" a="1"/>
  <c r="HZ7" i="10" s="1"/>
  <c r="IA2" i="10"/>
  <c r="HH13" i="10"/>
  <c r="GQ13" i="11"/>
  <c r="GQ31" i="11" s="1"/>
  <c r="GR6" i="11"/>
  <c r="GR7" i="10"/>
  <c r="HY13" i="11"/>
  <c r="HY31" i="11" s="1"/>
  <c r="FZ13" i="11"/>
  <c r="FZ27" i="11" s="1"/>
  <c r="GR9" i="11"/>
  <c r="GQ20" i="11" s="1"/>
  <c r="IB8" i="2"/>
  <c r="HJ19" i="2"/>
  <c r="GU19" i="2"/>
  <c r="GV19" i="2"/>
  <c r="GW19" i="2"/>
  <c r="GX19" i="2"/>
  <c r="GY19" i="2"/>
  <c r="GZ19" i="2"/>
  <c r="HA19" i="2"/>
  <c r="HB19" i="2"/>
  <c r="HC19" i="2"/>
  <c r="HD19" i="2"/>
  <c r="HE19" i="2"/>
  <c r="HF19" i="2"/>
  <c r="HG19" i="2"/>
  <c r="HH19" i="2"/>
  <c r="HJ22" i="2"/>
  <c r="GU22" i="2"/>
  <c r="GV22" i="2"/>
  <c r="GW22" i="2"/>
  <c r="GX22" i="2"/>
  <c r="GY22" i="2"/>
  <c r="GZ22" i="2"/>
  <c r="HA22" i="2"/>
  <c r="HB22" i="2"/>
  <c r="HC22" i="2"/>
  <c r="HD22" i="2"/>
  <c r="HE22" i="2"/>
  <c r="HF22" i="2"/>
  <c r="HG22" i="2"/>
  <c r="HH22" i="2"/>
  <c r="HI19" i="2"/>
  <c r="IB12" i="2"/>
  <c r="IA23" i="2" s="1"/>
  <c r="IA13" i="2"/>
  <c r="IB6" i="2"/>
  <c r="IA17" i="2" s="1"/>
  <c r="IB7" i="2"/>
  <c r="IA18" i="2" s="1"/>
  <c r="HI22" i="2"/>
  <c r="HJ20" i="2"/>
  <c r="GU20" i="2"/>
  <c r="GV20" i="2"/>
  <c r="GW20" i="2"/>
  <c r="GX20" i="2"/>
  <c r="GY20" i="2"/>
  <c r="GZ20" i="2"/>
  <c r="HA20" i="2"/>
  <c r="HB20" i="2"/>
  <c r="HC20" i="2"/>
  <c r="HD20" i="2"/>
  <c r="HE20" i="2"/>
  <c r="HF20" i="2"/>
  <c r="HG20" i="2"/>
  <c r="HH20" i="2"/>
  <c r="HJ23" i="2"/>
  <c r="GU23" i="2"/>
  <c r="GV23" i="2"/>
  <c r="GW23" i="2"/>
  <c r="GX23" i="2"/>
  <c r="GY23" i="2"/>
  <c r="GZ23" i="2"/>
  <c r="HA23" i="2"/>
  <c r="HB23" i="2"/>
  <c r="HC23" i="2"/>
  <c r="HD23" i="2"/>
  <c r="HE23" i="2"/>
  <c r="HF23" i="2"/>
  <c r="HG23" i="2"/>
  <c r="HH23" i="2"/>
  <c r="IB9" i="2"/>
  <c r="IA20" i="2" s="1"/>
  <c r="HJ17" i="2"/>
  <c r="HJ13" i="2"/>
  <c r="GU17" i="2"/>
  <c r="GV17" i="2"/>
  <c r="GW17" i="2"/>
  <c r="GX17" i="2"/>
  <c r="GY17" i="2"/>
  <c r="GZ17" i="2"/>
  <c r="HA17" i="2"/>
  <c r="HB17" i="2"/>
  <c r="HC17" i="2"/>
  <c r="HD17" i="2"/>
  <c r="HE17" i="2"/>
  <c r="HF17" i="2"/>
  <c r="HG17" i="2"/>
  <c r="HH17" i="2"/>
  <c r="HJ18" i="2"/>
  <c r="GU18" i="2"/>
  <c r="GV18" i="2"/>
  <c r="GW18" i="2"/>
  <c r="GX18" i="2"/>
  <c r="GY18" i="2"/>
  <c r="GZ18" i="2"/>
  <c r="HA18" i="2"/>
  <c r="HB18" i="2"/>
  <c r="HC18" i="2"/>
  <c r="HD18" i="2"/>
  <c r="HE18" i="2"/>
  <c r="HF18" i="2"/>
  <c r="HG18" i="2"/>
  <c r="HH18" i="2"/>
  <c r="IB10" i="2"/>
  <c r="HI23" i="2"/>
  <c r="HJ21" i="2"/>
  <c r="GU21" i="2"/>
  <c r="GV21" i="2"/>
  <c r="GW21" i="2"/>
  <c r="GX21" i="2"/>
  <c r="GY21" i="2"/>
  <c r="GZ21" i="2"/>
  <c r="HA21" i="2"/>
  <c r="HB21" i="2"/>
  <c r="HC21" i="2"/>
  <c r="HD21" i="2"/>
  <c r="HE21" i="2"/>
  <c r="HF21" i="2"/>
  <c r="HG21" i="2"/>
  <c r="HH21" i="2"/>
  <c r="IB11" i="2"/>
  <c r="HI21" i="2"/>
  <c r="HI10" i="12" l="1"/>
  <c r="FZ20" i="12"/>
  <c r="FZ30" i="12"/>
  <c r="FJ20" i="12"/>
  <c r="FK20" i="12"/>
  <c r="FL20" i="12"/>
  <c r="FM20" i="12"/>
  <c r="FN20" i="12"/>
  <c r="FO20" i="12"/>
  <c r="FP20" i="12"/>
  <c r="FQ20" i="12"/>
  <c r="FR20" i="12"/>
  <c r="FS20" i="12"/>
  <c r="FT20" i="12"/>
  <c r="FU20" i="12"/>
  <c r="FV20" i="12"/>
  <c r="FW20" i="12"/>
  <c r="FX20" i="12"/>
  <c r="HY33" i="12"/>
  <c r="FZ19" i="12"/>
  <c r="FZ29" i="12"/>
  <c r="FJ19" i="12"/>
  <c r="FK19" i="12"/>
  <c r="FL19" i="12"/>
  <c r="FM19" i="12"/>
  <c r="FN19" i="12"/>
  <c r="FO19" i="12"/>
  <c r="FP19" i="12"/>
  <c r="FQ19" i="12"/>
  <c r="FR19" i="12"/>
  <c r="FS19" i="12"/>
  <c r="FT19" i="12"/>
  <c r="FU19" i="12"/>
  <c r="FV19" i="12"/>
  <c r="FW19" i="12"/>
  <c r="FX19" i="12"/>
  <c r="GQ13" i="12"/>
  <c r="GQ17" i="12"/>
  <c r="GR6" i="12"/>
  <c r="HZ6" i="12"/>
  <c r="FY30" i="12"/>
  <c r="GP33" i="12"/>
  <c r="FH29" i="12"/>
  <c r="FY19" i="12"/>
  <c r="FZ32" i="11"/>
  <c r="HZ7" i="12"/>
  <c r="FY20" i="12"/>
  <c r="FY29" i="12"/>
  <c r="GP32" i="12"/>
  <c r="FZ31" i="11"/>
  <c r="HZ9" i="12"/>
  <c r="FH27" i="12"/>
  <c r="FZ30" i="11"/>
  <c r="FH33" i="12"/>
  <c r="HH27" i="11"/>
  <c r="FZ32" i="12"/>
  <c r="FZ22" i="12"/>
  <c r="FJ22" i="12"/>
  <c r="FK22" i="12"/>
  <c r="FL22" i="12"/>
  <c r="FM22" i="12"/>
  <c r="FN22" i="12"/>
  <c r="FO22" i="12"/>
  <c r="FP22" i="12"/>
  <c r="FQ22" i="12"/>
  <c r="FR22" i="12"/>
  <c r="FS22" i="12"/>
  <c r="FT22" i="12"/>
  <c r="FU22" i="12"/>
  <c r="FV22" i="12"/>
  <c r="FW22" i="12"/>
  <c r="FX22" i="12"/>
  <c r="GQ30" i="11"/>
  <c r="HZ8" i="12"/>
  <c r="FH31" i="12"/>
  <c r="FH34" i="12"/>
  <c r="FH24" i="12"/>
  <c r="ER24" i="12"/>
  <c r="ES24" i="12"/>
  <c r="ET24" i="12"/>
  <c r="EU24" i="12"/>
  <c r="EV24" i="12"/>
  <c r="EW24" i="12"/>
  <c r="EX24" i="12"/>
  <c r="EY24" i="12"/>
  <c r="EZ24" i="12"/>
  <c r="FA24" i="12"/>
  <c r="FB24" i="12"/>
  <c r="FC24" i="12"/>
  <c r="FD24" i="12"/>
  <c r="FE24" i="12"/>
  <c r="FF24" i="12"/>
  <c r="FH32" i="12"/>
  <c r="HH13" i="12"/>
  <c r="HH27" i="12"/>
  <c r="FZ28" i="11"/>
  <c r="HY32" i="11"/>
  <c r="GR9" i="12"/>
  <c r="HZ12" i="12"/>
  <c r="HH30" i="11"/>
  <c r="FZ23" i="12"/>
  <c r="FZ33" i="12"/>
  <c r="FJ23" i="12"/>
  <c r="FK23" i="12"/>
  <c r="FL23" i="12"/>
  <c r="FM23" i="12"/>
  <c r="FN23" i="12"/>
  <c r="FO23" i="12"/>
  <c r="FP23" i="12"/>
  <c r="FQ23" i="12"/>
  <c r="FR23" i="12"/>
  <c r="FS23" i="12"/>
  <c r="FT23" i="12"/>
  <c r="FU23" i="12"/>
  <c r="FV23" i="12"/>
  <c r="FW23" i="12"/>
  <c r="FX23" i="12"/>
  <c r="FY32" i="12"/>
  <c r="HY32" i="12"/>
  <c r="HZ11" i="12"/>
  <c r="HX34" i="12"/>
  <c r="HH31" i="11"/>
  <c r="HH30" i="12"/>
  <c r="FZ18" i="12"/>
  <c r="FZ28" i="12"/>
  <c r="FJ18" i="12"/>
  <c r="FK18" i="12"/>
  <c r="FL18" i="12"/>
  <c r="FM18" i="12"/>
  <c r="FN18" i="12"/>
  <c r="FO18" i="12"/>
  <c r="FP18" i="12"/>
  <c r="FQ18" i="12"/>
  <c r="FR18" i="12"/>
  <c r="FS18" i="12"/>
  <c r="FT18" i="12"/>
  <c r="FU18" i="12"/>
  <c r="FV18" i="12"/>
  <c r="FW18" i="12"/>
  <c r="FX18" i="12"/>
  <c r="FY33" i="12"/>
  <c r="HY27" i="11"/>
  <c r="HX30" i="12"/>
  <c r="HG34" i="12"/>
  <c r="GQ29" i="11"/>
  <c r="HZ10" i="12"/>
  <c r="HH31" i="12"/>
  <c r="HH29" i="11"/>
  <c r="FY23" i="12"/>
  <c r="HY13" i="12"/>
  <c r="HY27" i="12"/>
  <c r="GQ19" i="12"/>
  <c r="GR8" i="12"/>
  <c r="HI7" i="12"/>
  <c r="HI28" i="11"/>
  <c r="HI12" i="12"/>
  <c r="HI33" i="11"/>
  <c r="GR17" i="11"/>
  <c r="GB17" i="11"/>
  <c r="GC17" i="11"/>
  <c r="GD17" i="11"/>
  <c r="GE17" i="11"/>
  <c r="GF17" i="11"/>
  <c r="GG17" i="11"/>
  <c r="GH17" i="11"/>
  <c r="GI17" i="11"/>
  <c r="GJ17" i="11"/>
  <c r="GK17" i="11"/>
  <c r="GL17" i="11"/>
  <c r="GM17" i="11"/>
  <c r="GN17" i="11"/>
  <c r="GO17" i="11"/>
  <c r="GP17" i="11"/>
  <c r="GR33" i="11"/>
  <c r="GR23" i="11"/>
  <c r="GB23" i="11"/>
  <c r="GC23" i="11"/>
  <c r="GD23" i="11"/>
  <c r="GE23" i="11"/>
  <c r="GF23" i="11"/>
  <c r="GG23" i="11"/>
  <c r="GH23" i="11"/>
  <c r="GI23" i="11"/>
  <c r="GJ23" i="11"/>
  <c r="GK23" i="11"/>
  <c r="GL23" i="11"/>
  <c r="GM23" i="11"/>
  <c r="GN23" i="11"/>
  <c r="GO23" i="11"/>
  <c r="GP23" i="11"/>
  <c r="HH32" i="11"/>
  <c r="HY30" i="11"/>
  <c r="FY28" i="12"/>
  <c r="GQ23" i="11"/>
  <c r="FG24" i="12"/>
  <c r="HI11" i="12"/>
  <c r="FZ34" i="11"/>
  <c r="FZ24" i="11"/>
  <c r="FJ24" i="11"/>
  <c r="FK24" i="11"/>
  <c r="FL24" i="11"/>
  <c r="FM24" i="11"/>
  <c r="FN24" i="11"/>
  <c r="FO24" i="11"/>
  <c r="FP24" i="11"/>
  <c r="FQ24" i="11"/>
  <c r="FR24" i="11"/>
  <c r="FS24" i="11"/>
  <c r="FT24" i="11"/>
  <c r="FU24" i="11"/>
  <c r="FV24" i="11"/>
  <c r="FW24" i="11"/>
  <c r="FX24" i="11"/>
  <c r="GP34" i="12"/>
  <c r="FZ29" i="11"/>
  <c r="GQ33" i="11"/>
  <c r="HI9" i="12"/>
  <c r="HI30" i="11"/>
  <c r="HY34" i="11"/>
  <c r="GQ34" i="11"/>
  <c r="GQ24" i="11"/>
  <c r="FZ17" i="12"/>
  <c r="FZ13" i="12"/>
  <c r="FZ27" i="12" s="1"/>
  <c r="FJ17" i="12"/>
  <c r="FK17" i="12"/>
  <c r="FL17" i="12"/>
  <c r="FM17" i="12"/>
  <c r="FN17" i="12"/>
  <c r="FO17" i="12"/>
  <c r="FP17" i="12"/>
  <c r="FQ17" i="12"/>
  <c r="FR17" i="12"/>
  <c r="FS17" i="12"/>
  <c r="FT17" i="12"/>
  <c r="FU17" i="12"/>
  <c r="FV17" i="12"/>
  <c r="FW17" i="12"/>
  <c r="FX17" i="12"/>
  <c r="HH32" i="12"/>
  <c r="GR29" i="11"/>
  <c r="GR19" i="11"/>
  <c r="GB19" i="11"/>
  <c r="GC19" i="11"/>
  <c r="GD19" i="11"/>
  <c r="GE19" i="11"/>
  <c r="GF19" i="11"/>
  <c r="GG19" i="11"/>
  <c r="GH19" i="11"/>
  <c r="GI19" i="11"/>
  <c r="GJ19" i="11"/>
  <c r="GK19" i="11"/>
  <c r="GL19" i="11"/>
  <c r="GM19" i="11"/>
  <c r="GN19" i="11"/>
  <c r="GO19" i="11"/>
  <c r="GP19" i="11"/>
  <c r="FY17" i="12"/>
  <c r="HY31" i="12"/>
  <c r="FZ21" i="12"/>
  <c r="FJ21" i="12"/>
  <c r="FK21" i="12"/>
  <c r="FL21" i="12"/>
  <c r="FM21" i="12"/>
  <c r="FN21" i="12"/>
  <c r="FO21" i="12"/>
  <c r="FP21" i="12"/>
  <c r="FQ21" i="12"/>
  <c r="FR21" i="12"/>
  <c r="FS21" i="12"/>
  <c r="FT21" i="12"/>
  <c r="FU21" i="12"/>
  <c r="FV21" i="12"/>
  <c r="FW21" i="12"/>
  <c r="FX21" i="12"/>
  <c r="GQ33" i="12"/>
  <c r="GR12" i="12"/>
  <c r="GR10" i="12"/>
  <c r="GQ21" i="12" s="1"/>
  <c r="GP30" i="12"/>
  <c r="GP29" i="12"/>
  <c r="HG30" i="12"/>
  <c r="HX33" i="12"/>
  <c r="HG33" i="12"/>
  <c r="HI8" i="12"/>
  <c r="GR30" i="11"/>
  <c r="GR20" i="11"/>
  <c r="GB20" i="11"/>
  <c r="GC20" i="11"/>
  <c r="GD20" i="11"/>
  <c r="GE20" i="11"/>
  <c r="GF20" i="11"/>
  <c r="GG20" i="11"/>
  <c r="GH20" i="11"/>
  <c r="GI20" i="11"/>
  <c r="GJ20" i="11"/>
  <c r="GK20" i="11"/>
  <c r="GL20" i="11"/>
  <c r="GM20" i="11"/>
  <c r="GN20" i="11"/>
  <c r="GO20" i="11"/>
  <c r="GP20" i="11"/>
  <c r="GR21" i="11"/>
  <c r="GB21" i="11"/>
  <c r="GC21" i="11"/>
  <c r="GD21" i="11"/>
  <c r="GE21" i="11"/>
  <c r="GF21" i="11"/>
  <c r="GG21" i="11"/>
  <c r="GH21" i="11"/>
  <c r="GI21" i="11"/>
  <c r="GJ21" i="11"/>
  <c r="GK21" i="11"/>
  <c r="GL21" i="11"/>
  <c r="GM21" i="11"/>
  <c r="GN21" i="11"/>
  <c r="GO21" i="11"/>
  <c r="GP21" i="11"/>
  <c r="GR28" i="11"/>
  <c r="GR18" i="11"/>
  <c r="GB18" i="11"/>
  <c r="GC18" i="11"/>
  <c r="GD18" i="11"/>
  <c r="GE18" i="11"/>
  <c r="GF18" i="11"/>
  <c r="GG18" i="11"/>
  <c r="GH18" i="11"/>
  <c r="GI18" i="11"/>
  <c r="GJ18" i="11"/>
  <c r="GK18" i="11"/>
  <c r="GL18" i="11"/>
  <c r="GM18" i="11"/>
  <c r="GN18" i="11"/>
  <c r="GO18" i="11"/>
  <c r="GP18" i="11"/>
  <c r="FY27" i="12"/>
  <c r="HH28" i="11"/>
  <c r="GQ18" i="11"/>
  <c r="HH28" i="12"/>
  <c r="HX28" i="12"/>
  <c r="GQ32" i="11"/>
  <c r="GQ17" i="11"/>
  <c r="GQ28" i="11"/>
  <c r="HI6" i="12"/>
  <c r="HI27" i="11"/>
  <c r="FY24" i="12"/>
  <c r="FY34" i="12"/>
  <c r="HH34" i="11"/>
  <c r="GR32" i="11"/>
  <c r="GR22" i="11"/>
  <c r="GB22" i="11"/>
  <c r="GC22" i="11"/>
  <c r="GD22" i="11"/>
  <c r="GE22" i="11"/>
  <c r="GF22" i="11"/>
  <c r="GG22" i="11"/>
  <c r="GH22" i="11"/>
  <c r="GI22" i="11"/>
  <c r="GJ22" i="11"/>
  <c r="GK22" i="11"/>
  <c r="GL22" i="11"/>
  <c r="GM22" i="11"/>
  <c r="GN22" i="11"/>
  <c r="GO22" i="11"/>
  <c r="GP22" i="11"/>
  <c r="HG32" i="12"/>
  <c r="GQ22" i="12"/>
  <c r="GR11" i="12"/>
  <c r="GQ27" i="11"/>
  <c r="GP31" i="12"/>
  <c r="FH28" i="12"/>
  <c r="GQ18" i="12"/>
  <c r="GR7" i="12"/>
  <c r="HH33" i="12"/>
  <c r="HJ11" i="10"/>
  <c r="HJ12" i="10"/>
  <c r="HJ10" i="10"/>
  <c r="IA12" i="10" a="1"/>
  <c r="IA12" i="10" s="1"/>
  <c r="IA11" i="10" a="1"/>
  <c r="IA11" i="10" s="1"/>
  <c r="IA10" i="10" a="1"/>
  <c r="IA10" i="10" s="1"/>
  <c r="IA7" i="10" a="1"/>
  <c r="IA7" i="10" s="1"/>
  <c r="IA8" i="10" a="1"/>
  <c r="IA8" i="10" s="1"/>
  <c r="IA9" i="10" a="1"/>
  <c r="IA9" i="10" s="1"/>
  <c r="IA6" i="10" a="1"/>
  <c r="IA6" i="10" s="1"/>
  <c r="HZ13" i="10"/>
  <c r="HJ10" i="11"/>
  <c r="HJ7" i="11"/>
  <c r="HI13" i="11"/>
  <c r="HI29" i="11" s="1"/>
  <c r="HJ6" i="11"/>
  <c r="HJ8" i="11"/>
  <c r="HI19" i="11" s="1"/>
  <c r="HJ11" i="11"/>
  <c r="HI22" i="11" s="1"/>
  <c r="GR13" i="11"/>
  <c r="GR31" i="11" s="1"/>
  <c r="HJ9" i="11"/>
  <c r="HI20" i="11" s="1"/>
  <c r="HJ7" i="10"/>
  <c r="HJ12" i="11"/>
  <c r="HI23" i="11" s="1"/>
  <c r="IA10" i="11" a="1"/>
  <c r="IA10" i="11" s="1"/>
  <c r="IA12" i="11" a="1"/>
  <c r="IA12" i="11" s="1"/>
  <c r="IA11" i="11" a="1"/>
  <c r="IA11" i="11" s="1"/>
  <c r="IA9" i="11" a="1"/>
  <c r="IA9" i="11" s="1"/>
  <c r="IA6" i="11" a="1"/>
  <c r="IA6" i="11" s="1"/>
  <c r="IA8" i="11" a="1"/>
  <c r="IA8" i="11" s="1"/>
  <c r="IA7" i="11" a="1"/>
  <c r="IA7" i="11" s="1"/>
  <c r="HJ9" i="10"/>
  <c r="HZ13" i="11"/>
  <c r="HZ30" i="11" s="1"/>
  <c r="GR13" i="10"/>
  <c r="HJ8" i="10"/>
  <c r="HI13" i="10"/>
  <c r="HJ6" i="10"/>
  <c r="IB21" i="2"/>
  <c r="HM21" i="2"/>
  <c r="HN21" i="2"/>
  <c r="HO21" i="2"/>
  <c r="HP21" i="2"/>
  <c r="HQ21" i="2"/>
  <c r="HR21" i="2"/>
  <c r="HS21" i="2"/>
  <c r="HT21" i="2"/>
  <c r="HU21" i="2"/>
  <c r="HV21" i="2"/>
  <c r="HW21" i="2"/>
  <c r="HX21" i="2"/>
  <c r="HY21" i="2"/>
  <c r="HZ21" i="2"/>
  <c r="IB22" i="2"/>
  <c r="HM22" i="2"/>
  <c r="HN22" i="2"/>
  <c r="HO22" i="2"/>
  <c r="HP22" i="2"/>
  <c r="HQ22" i="2"/>
  <c r="HR22" i="2"/>
  <c r="HS22" i="2"/>
  <c r="HT22" i="2"/>
  <c r="HU22" i="2"/>
  <c r="HV22" i="2"/>
  <c r="HW22" i="2"/>
  <c r="HX22" i="2"/>
  <c r="HY22" i="2"/>
  <c r="HZ22" i="2"/>
  <c r="IA22" i="2"/>
  <c r="IA21" i="2"/>
  <c r="IB20" i="2"/>
  <c r="HM20" i="2"/>
  <c r="HN20" i="2"/>
  <c r="HO20" i="2"/>
  <c r="HP20" i="2"/>
  <c r="HQ20" i="2"/>
  <c r="HR20" i="2"/>
  <c r="HS20" i="2"/>
  <c r="HT20" i="2"/>
  <c r="HU20" i="2"/>
  <c r="HV20" i="2"/>
  <c r="HW20" i="2"/>
  <c r="HX20" i="2"/>
  <c r="HY20" i="2"/>
  <c r="HZ20" i="2"/>
  <c r="IB19" i="2"/>
  <c r="HM19" i="2"/>
  <c r="HN19" i="2"/>
  <c r="HO19" i="2"/>
  <c r="HP19" i="2"/>
  <c r="HQ19" i="2"/>
  <c r="HR19" i="2"/>
  <c r="HS19" i="2"/>
  <c r="HT19" i="2"/>
  <c r="HU19" i="2"/>
  <c r="HV19" i="2"/>
  <c r="HW19" i="2"/>
  <c r="HX19" i="2"/>
  <c r="HY19" i="2"/>
  <c r="HZ19" i="2"/>
  <c r="IB18" i="2"/>
  <c r="HM18" i="2"/>
  <c r="HN18" i="2"/>
  <c r="HO18" i="2"/>
  <c r="HP18" i="2"/>
  <c r="HQ18" i="2"/>
  <c r="HR18" i="2"/>
  <c r="HS18" i="2"/>
  <c r="HT18" i="2"/>
  <c r="HU18" i="2"/>
  <c r="HV18" i="2"/>
  <c r="HW18" i="2"/>
  <c r="HX18" i="2"/>
  <c r="HY18" i="2"/>
  <c r="HZ18" i="2"/>
  <c r="IB17" i="2"/>
  <c r="IB13" i="2"/>
  <c r="HM17" i="2"/>
  <c r="HN17" i="2"/>
  <c r="HO17" i="2"/>
  <c r="HP17" i="2"/>
  <c r="HQ17" i="2"/>
  <c r="HR17" i="2"/>
  <c r="HS17" i="2"/>
  <c r="HT17" i="2"/>
  <c r="HU17" i="2"/>
  <c r="HV17" i="2"/>
  <c r="HW17" i="2"/>
  <c r="HX17" i="2"/>
  <c r="HY17" i="2"/>
  <c r="HZ17" i="2"/>
  <c r="IB23" i="2"/>
  <c r="HM23" i="2"/>
  <c r="HN23" i="2"/>
  <c r="HO23" i="2"/>
  <c r="HP23" i="2"/>
  <c r="HQ23" i="2"/>
  <c r="HR23" i="2"/>
  <c r="HS23" i="2"/>
  <c r="HT23" i="2"/>
  <c r="HU23" i="2"/>
  <c r="HV23" i="2"/>
  <c r="HW23" i="2"/>
  <c r="HX23" i="2"/>
  <c r="HY23" i="2"/>
  <c r="HZ23" i="2"/>
  <c r="IA19" i="2"/>
  <c r="GQ34" i="12" l="1"/>
  <c r="HJ17" i="11"/>
  <c r="GT17" i="11"/>
  <c r="GU17" i="11"/>
  <c r="GV17" i="11"/>
  <c r="GW17" i="11"/>
  <c r="GX17" i="11"/>
  <c r="GY17" i="11"/>
  <c r="GZ17" i="11"/>
  <c r="HA17" i="11"/>
  <c r="HB17" i="11"/>
  <c r="HC17" i="11"/>
  <c r="HD17" i="11"/>
  <c r="HE17" i="11"/>
  <c r="HF17" i="11"/>
  <c r="HG17" i="11"/>
  <c r="HH17" i="11"/>
  <c r="HY34" i="12"/>
  <c r="HH34" i="12"/>
  <c r="IA7" i="12"/>
  <c r="HI34" i="11"/>
  <c r="HI24" i="11"/>
  <c r="HI19" i="12"/>
  <c r="HJ8" i="12"/>
  <c r="IA8" i="12"/>
  <c r="IA19" i="11"/>
  <c r="HJ28" i="11"/>
  <c r="HJ18" i="11"/>
  <c r="GT18" i="11"/>
  <c r="GU18" i="11"/>
  <c r="GV18" i="11"/>
  <c r="GW18" i="11"/>
  <c r="GX18" i="11"/>
  <c r="GY18" i="11"/>
  <c r="GZ18" i="11"/>
  <c r="HA18" i="11"/>
  <c r="HB18" i="11"/>
  <c r="HC18" i="11"/>
  <c r="HD18" i="11"/>
  <c r="HE18" i="11"/>
  <c r="HF18" i="11"/>
  <c r="HG18" i="11"/>
  <c r="HH18" i="11"/>
  <c r="HI32" i="11"/>
  <c r="GR27" i="11"/>
  <c r="HY29" i="12"/>
  <c r="IA6" i="12"/>
  <c r="IA27" i="11"/>
  <c r="HJ21" i="11"/>
  <c r="GT21" i="11"/>
  <c r="GU21" i="11"/>
  <c r="GV21" i="11"/>
  <c r="GW21" i="11"/>
  <c r="GX21" i="11"/>
  <c r="GY21" i="11"/>
  <c r="GZ21" i="11"/>
  <c r="HA21" i="11"/>
  <c r="HB21" i="11"/>
  <c r="HC21" i="11"/>
  <c r="HD21" i="11"/>
  <c r="HE21" i="11"/>
  <c r="HF21" i="11"/>
  <c r="HG21" i="11"/>
  <c r="HH21" i="11"/>
  <c r="GR18" i="12"/>
  <c r="GR28" i="12"/>
  <c r="GB18" i="12"/>
  <c r="GC18" i="12"/>
  <c r="GD18" i="12"/>
  <c r="GE18" i="12"/>
  <c r="GF18" i="12"/>
  <c r="GG18" i="12"/>
  <c r="GH18" i="12"/>
  <c r="GI18" i="12"/>
  <c r="GJ18" i="12"/>
  <c r="GK18" i="12"/>
  <c r="GL18" i="12"/>
  <c r="GM18" i="12"/>
  <c r="GN18" i="12"/>
  <c r="GO18" i="12"/>
  <c r="GP18" i="12"/>
  <c r="HJ11" i="12"/>
  <c r="HY28" i="12"/>
  <c r="HJ29" i="11"/>
  <c r="HJ19" i="11"/>
  <c r="GT19" i="11"/>
  <c r="GU19" i="11"/>
  <c r="GV19" i="11"/>
  <c r="GW19" i="11"/>
  <c r="GX19" i="11"/>
  <c r="GY19" i="11"/>
  <c r="GZ19" i="11"/>
  <c r="HA19" i="11"/>
  <c r="HB19" i="11"/>
  <c r="HC19" i="11"/>
  <c r="HD19" i="11"/>
  <c r="HE19" i="11"/>
  <c r="HF19" i="11"/>
  <c r="HG19" i="11"/>
  <c r="HH19" i="11"/>
  <c r="GQ28" i="12"/>
  <c r="HZ34" i="11"/>
  <c r="HJ12" i="12"/>
  <c r="HZ33" i="11"/>
  <c r="HZ30" i="12"/>
  <c r="IA12" i="12"/>
  <c r="IA33" i="11"/>
  <c r="HI17" i="11"/>
  <c r="HI18" i="11"/>
  <c r="HZ31" i="11"/>
  <c r="IA11" i="12"/>
  <c r="IA32" i="11"/>
  <c r="GR20" i="12"/>
  <c r="GR30" i="12"/>
  <c r="GB20" i="12"/>
  <c r="GC20" i="12"/>
  <c r="GD20" i="12"/>
  <c r="GE20" i="12"/>
  <c r="GF20" i="12"/>
  <c r="GG20" i="12"/>
  <c r="GH20" i="12"/>
  <c r="GI20" i="12"/>
  <c r="GJ20" i="12"/>
  <c r="GK20" i="12"/>
  <c r="GL20" i="12"/>
  <c r="GM20" i="12"/>
  <c r="GN20" i="12"/>
  <c r="GO20" i="12"/>
  <c r="GP20" i="12"/>
  <c r="HZ27" i="11"/>
  <c r="IA9" i="12"/>
  <c r="HZ29" i="11"/>
  <c r="HJ33" i="11"/>
  <c r="HJ23" i="11"/>
  <c r="GT23" i="11"/>
  <c r="GU23" i="11"/>
  <c r="GV23" i="11"/>
  <c r="GW23" i="11"/>
  <c r="GX23" i="11"/>
  <c r="GY23" i="11"/>
  <c r="GZ23" i="11"/>
  <c r="HA23" i="11"/>
  <c r="HB23" i="11"/>
  <c r="HC23" i="11"/>
  <c r="HD23" i="11"/>
  <c r="HE23" i="11"/>
  <c r="HF23" i="11"/>
  <c r="HG23" i="11"/>
  <c r="HH23" i="11"/>
  <c r="HI13" i="12"/>
  <c r="HI32" i="12" s="1"/>
  <c r="HI27" i="12"/>
  <c r="HJ6" i="12"/>
  <c r="GQ31" i="12"/>
  <c r="HI18" i="12"/>
  <c r="HI28" i="12"/>
  <c r="HJ7" i="12"/>
  <c r="GQ30" i="12"/>
  <c r="HZ13" i="12"/>
  <c r="HZ31" i="12" s="1"/>
  <c r="HZ27" i="12"/>
  <c r="GR22" i="12"/>
  <c r="GR32" i="12"/>
  <c r="GB22" i="12"/>
  <c r="GC22" i="12"/>
  <c r="GD22" i="12"/>
  <c r="GE22" i="12"/>
  <c r="GF22" i="12"/>
  <c r="GG22" i="12"/>
  <c r="GH22" i="12"/>
  <c r="GI22" i="12"/>
  <c r="GJ22" i="12"/>
  <c r="GK22" i="12"/>
  <c r="GL22" i="12"/>
  <c r="GM22" i="12"/>
  <c r="GN22" i="12"/>
  <c r="GO22" i="12"/>
  <c r="GP22" i="12"/>
  <c r="HY30" i="12"/>
  <c r="HH29" i="12"/>
  <c r="GR19" i="12"/>
  <c r="GR29" i="12"/>
  <c r="GB19" i="12"/>
  <c r="GC19" i="12"/>
  <c r="GD19" i="12"/>
  <c r="GE19" i="12"/>
  <c r="GF19" i="12"/>
  <c r="GG19" i="12"/>
  <c r="GH19" i="12"/>
  <c r="GI19" i="12"/>
  <c r="GJ19" i="12"/>
  <c r="GK19" i="12"/>
  <c r="GL19" i="12"/>
  <c r="GM19" i="12"/>
  <c r="GN19" i="12"/>
  <c r="GO19" i="12"/>
  <c r="GP19" i="12"/>
  <c r="HZ32" i="11"/>
  <c r="GQ20" i="12"/>
  <c r="GR13" i="12"/>
  <c r="GR17" i="12"/>
  <c r="GB17" i="12"/>
  <c r="GC17" i="12"/>
  <c r="GD17" i="12"/>
  <c r="GE17" i="12"/>
  <c r="GF17" i="12"/>
  <c r="GG17" i="12"/>
  <c r="GH17" i="12"/>
  <c r="GI17" i="12"/>
  <c r="GJ17" i="12"/>
  <c r="GK17" i="12"/>
  <c r="GL17" i="12"/>
  <c r="GM17" i="12"/>
  <c r="GN17" i="12"/>
  <c r="GO17" i="12"/>
  <c r="GP17" i="12"/>
  <c r="HI21" i="11"/>
  <c r="HJ32" i="11"/>
  <c r="HJ22" i="11"/>
  <c r="GT22" i="11"/>
  <c r="GU22" i="11"/>
  <c r="GV22" i="11"/>
  <c r="GW22" i="11"/>
  <c r="GX22" i="11"/>
  <c r="GY22" i="11"/>
  <c r="GZ22" i="11"/>
  <c r="HA22" i="11"/>
  <c r="HB22" i="11"/>
  <c r="HC22" i="11"/>
  <c r="HD22" i="11"/>
  <c r="HE22" i="11"/>
  <c r="HF22" i="11"/>
  <c r="HG22" i="11"/>
  <c r="HH22" i="11"/>
  <c r="HJ9" i="12"/>
  <c r="HI20" i="12" s="1"/>
  <c r="GQ29" i="12"/>
  <c r="HI31" i="11"/>
  <c r="IA10" i="12"/>
  <c r="IA31" i="11"/>
  <c r="GR31" i="12"/>
  <c r="GR21" i="12"/>
  <c r="GB21" i="12"/>
  <c r="GC21" i="12"/>
  <c r="GD21" i="12"/>
  <c r="GE21" i="12"/>
  <c r="GF21" i="12"/>
  <c r="GG21" i="12"/>
  <c r="GH21" i="12"/>
  <c r="GI21" i="12"/>
  <c r="GJ21" i="12"/>
  <c r="GK21" i="12"/>
  <c r="GL21" i="12"/>
  <c r="GM21" i="12"/>
  <c r="GN21" i="12"/>
  <c r="GO21" i="12"/>
  <c r="GP21" i="12"/>
  <c r="HJ30" i="11"/>
  <c r="HJ20" i="11"/>
  <c r="GT20" i="11"/>
  <c r="GU20" i="11"/>
  <c r="GV20" i="11"/>
  <c r="GW20" i="11"/>
  <c r="GX20" i="11"/>
  <c r="GY20" i="11"/>
  <c r="GZ20" i="11"/>
  <c r="HA20" i="11"/>
  <c r="HB20" i="11"/>
  <c r="HC20" i="11"/>
  <c r="HD20" i="11"/>
  <c r="HE20" i="11"/>
  <c r="HF20" i="11"/>
  <c r="HG20" i="11"/>
  <c r="HH20" i="11"/>
  <c r="GR33" i="12"/>
  <c r="GR23" i="12"/>
  <c r="GB23" i="12"/>
  <c r="GC23" i="12"/>
  <c r="GD23" i="12"/>
  <c r="GE23" i="12"/>
  <c r="GF23" i="12"/>
  <c r="GG23" i="12"/>
  <c r="GH23" i="12"/>
  <c r="GI23" i="12"/>
  <c r="GJ23" i="12"/>
  <c r="GK23" i="12"/>
  <c r="GL23" i="12"/>
  <c r="GM23" i="12"/>
  <c r="GN23" i="12"/>
  <c r="GO23" i="12"/>
  <c r="GP23" i="12"/>
  <c r="GR34" i="11"/>
  <c r="GR24" i="11"/>
  <c r="GB24" i="11"/>
  <c r="GC24" i="11"/>
  <c r="GD24" i="11"/>
  <c r="GE24" i="11"/>
  <c r="GF24" i="11"/>
  <c r="GG24" i="11"/>
  <c r="GH24" i="11"/>
  <c r="GI24" i="11"/>
  <c r="GJ24" i="11"/>
  <c r="GK24" i="11"/>
  <c r="GL24" i="11"/>
  <c r="GM24" i="11"/>
  <c r="GN24" i="11"/>
  <c r="GO24" i="11"/>
  <c r="GP24" i="11"/>
  <c r="GQ32" i="12"/>
  <c r="GQ23" i="12"/>
  <c r="FZ31" i="12"/>
  <c r="FZ24" i="12"/>
  <c r="FZ34" i="12"/>
  <c r="FJ24" i="12"/>
  <c r="FK24" i="12"/>
  <c r="FL24" i="12"/>
  <c r="FM24" i="12"/>
  <c r="FN24" i="12"/>
  <c r="FO24" i="12"/>
  <c r="FP24" i="12"/>
  <c r="FQ24" i="12"/>
  <c r="FR24" i="12"/>
  <c r="FS24" i="12"/>
  <c r="FT24" i="12"/>
  <c r="FU24" i="12"/>
  <c r="FV24" i="12"/>
  <c r="FW24" i="12"/>
  <c r="FX24" i="12"/>
  <c r="HZ28" i="11"/>
  <c r="GQ27" i="12"/>
  <c r="HI31" i="12"/>
  <c r="HI21" i="12"/>
  <c r="HJ10" i="12"/>
  <c r="IA13" i="10"/>
  <c r="IB6" i="10"/>
  <c r="IB9" i="10"/>
  <c r="IB8" i="10"/>
  <c r="IB7" i="10"/>
  <c r="IB10" i="10"/>
  <c r="IB11" i="10"/>
  <c r="IB12" i="10"/>
  <c r="IB9" i="11"/>
  <c r="IB11" i="11"/>
  <c r="IB7" i="11"/>
  <c r="HJ13" i="10"/>
  <c r="IB12" i="11"/>
  <c r="IB10" i="11"/>
  <c r="IA21" i="11" s="1"/>
  <c r="IB8" i="11"/>
  <c r="HJ13" i="11"/>
  <c r="IA13" i="11"/>
  <c r="IA29" i="11" s="1"/>
  <c r="IB6" i="11"/>
  <c r="IB18" i="11" l="1"/>
  <c r="HL18" i="11"/>
  <c r="HM18" i="11"/>
  <c r="HN18" i="11"/>
  <c r="HO18" i="11"/>
  <c r="HP18" i="11"/>
  <c r="HQ18" i="11"/>
  <c r="HR18" i="11"/>
  <c r="HS18" i="11"/>
  <c r="HT18" i="11"/>
  <c r="HU18" i="11"/>
  <c r="HV18" i="11"/>
  <c r="HW18" i="11"/>
  <c r="HX18" i="11"/>
  <c r="HY18" i="11"/>
  <c r="HZ18" i="11"/>
  <c r="HI30" i="12"/>
  <c r="IB12" i="12"/>
  <c r="HZ28" i="12"/>
  <c r="IA18" i="11"/>
  <c r="IA13" i="12"/>
  <c r="IA27" i="12"/>
  <c r="IB6" i="12"/>
  <c r="IB22" i="11"/>
  <c r="HL22" i="11"/>
  <c r="HM22" i="11"/>
  <c r="HN22" i="11"/>
  <c r="HO22" i="11"/>
  <c r="HP22" i="11"/>
  <c r="HQ22" i="11"/>
  <c r="HR22" i="11"/>
  <c r="HS22" i="11"/>
  <c r="HT22" i="11"/>
  <c r="HU22" i="11"/>
  <c r="HV22" i="11"/>
  <c r="HW22" i="11"/>
  <c r="HX22" i="11"/>
  <c r="HY22" i="11"/>
  <c r="HZ22" i="11"/>
  <c r="HJ17" i="12"/>
  <c r="HJ13" i="12"/>
  <c r="HJ27" i="12"/>
  <c r="GT17" i="12"/>
  <c r="GU17" i="12"/>
  <c r="GV17" i="12"/>
  <c r="GW17" i="12"/>
  <c r="GX17" i="12"/>
  <c r="GY17" i="12"/>
  <c r="GZ17" i="12"/>
  <c r="HA17" i="12"/>
  <c r="HB17" i="12"/>
  <c r="HC17" i="12"/>
  <c r="HD17" i="12"/>
  <c r="HE17" i="12"/>
  <c r="HF17" i="12"/>
  <c r="HG17" i="12"/>
  <c r="HH17" i="12"/>
  <c r="IA28" i="11"/>
  <c r="IB23" i="11"/>
  <c r="HL23" i="11"/>
  <c r="HM23" i="11"/>
  <c r="HN23" i="11"/>
  <c r="HO23" i="11"/>
  <c r="HP23" i="11"/>
  <c r="HQ23" i="11"/>
  <c r="HR23" i="11"/>
  <c r="HS23" i="11"/>
  <c r="HT23" i="11"/>
  <c r="HU23" i="11"/>
  <c r="HV23" i="11"/>
  <c r="HW23" i="11"/>
  <c r="HX23" i="11"/>
  <c r="HY23" i="11"/>
  <c r="HZ23" i="11"/>
  <c r="HJ22" i="12"/>
  <c r="HJ32" i="12"/>
  <c r="GT22" i="12"/>
  <c r="GU22" i="12"/>
  <c r="GV22" i="12"/>
  <c r="GW22" i="12"/>
  <c r="GX22" i="12"/>
  <c r="GY22" i="12"/>
  <c r="GZ22" i="12"/>
  <c r="HA22" i="12"/>
  <c r="HB22" i="12"/>
  <c r="HC22" i="12"/>
  <c r="HD22" i="12"/>
  <c r="HE22" i="12"/>
  <c r="HF22" i="12"/>
  <c r="HG22" i="12"/>
  <c r="HH22" i="12"/>
  <c r="IA18" i="12"/>
  <c r="IB7" i="12"/>
  <c r="HI17" i="12"/>
  <c r="HI34" i="12"/>
  <c r="HI24" i="12"/>
  <c r="IA22" i="11"/>
  <c r="HJ23" i="12"/>
  <c r="HJ33" i="12"/>
  <c r="GT23" i="12"/>
  <c r="GU23" i="12"/>
  <c r="GV23" i="12"/>
  <c r="GW23" i="12"/>
  <c r="GX23" i="12"/>
  <c r="GY23" i="12"/>
  <c r="GZ23" i="12"/>
  <c r="HA23" i="12"/>
  <c r="HB23" i="12"/>
  <c r="HC23" i="12"/>
  <c r="HD23" i="12"/>
  <c r="HE23" i="12"/>
  <c r="HF23" i="12"/>
  <c r="HG23" i="12"/>
  <c r="HH23" i="12"/>
  <c r="HI22" i="12"/>
  <c r="HI23" i="12"/>
  <c r="IB20" i="11"/>
  <c r="HL20" i="11"/>
  <c r="HM20" i="11"/>
  <c r="HN20" i="11"/>
  <c r="HO20" i="11"/>
  <c r="HP20" i="11"/>
  <c r="HQ20" i="11"/>
  <c r="HR20" i="11"/>
  <c r="HS20" i="11"/>
  <c r="HT20" i="11"/>
  <c r="HU20" i="11"/>
  <c r="HV20" i="11"/>
  <c r="HW20" i="11"/>
  <c r="HX20" i="11"/>
  <c r="HY20" i="11"/>
  <c r="HZ20" i="11"/>
  <c r="IA32" i="12"/>
  <c r="IB11" i="12"/>
  <c r="HI33" i="12"/>
  <c r="IB17" i="11"/>
  <c r="HL17" i="11"/>
  <c r="HM17" i="11"/>
  <c r="HN17" i="11"/>
  <c r="HO17" i="11"/>
  <c r="HP17" i="11"/>
  <c r="HQ17" i="11"/>
  <c r="HR17" i="11"/>
  <c r="HS17" i="11"/>
  <c r="HT17" i="11"/>
  <c r="HU17" i="11"/>
  <c r="HV17" i="11"/>
  <c r="HW17" i="11"/>
  <c r="HX17" i="11"/>
  <c r="HY17" i="11"/>
  <c r="HZ17" i="11"/>
  <c r="HZ34" i="12"/>
  <c r="IA31" i="12"/>
  <c r="IB10" i="12"/>
  <c r="IA21" i="12" s="1"/>
  <c r="GR27" i="12"/>
  <c r="GR34" i="12"/>
  <c r="GR24" i="12"/>
  <c r="GB24" i="12"/>
  <c r="GC24" i="12"/>
  <c r="GD24" i="12"/>
  <c r="GE24" i="12"/>
  <c r="GF24" i="12"/>
  <c r="GG24" i="12"/>
  <c r="GH24" i="12"/>
  <c r="GI24" i="12"/>
  <c r="GJ24" i="12"/>
  <c r="GK24" i="12"/>
  <c r="GL24" i="12"/>
  <c r="GM24" i="12"/>
  <c r="GN24" i="12"/>
  <c r="GO24" i="12"/>
  <c r="GP24" i="12"/>
  <c r="HZ33" i="12"/>
  <c r="IA29" i="12"/>
  <c r="IA19" i="12"/>
  <c r="IB8" i="12"/>
  <c r="IA34" i="11"/>
  <c r="HJ34" i="11"/>
  <c r="HJ24" i="11"/>
  <c r="GT24" i="11"/>
  <c r="GU24" i="11"/>
  <c r="GV24" i="11"/>
  <c r="GW24" i="11"/>
  <c r="GX24" i="11"/>
  <c r="GY24" i="11"/>
  <c r="GZ24" i="11"/>
  <c r="HA24" i="11"/>
  <c r="HB24" i="11"/>
  <c r="HC24" i="11"/>
  <c r="HD24" i="11"/>
  <c r="HE24" i="11"/>
  <c r="HF24" i="11"/>
  <c r="HG24" i="11"/>
  <c r="HH24" i="11"/>
  <c r="HZ29" i="12"/>
  <c r="IA20" i="11"/>
  <c r="HJ19" i="12"/>
  <c r="HJ29" i="12"/>
  <c r="GT19" i="12"/>
  <c r="GU19" i="12"/>
  <c r="GV19" i="12"/>
  <c r="GW19" i="12"/>
  <c r="GX19" i="12"/>
  <c r="GY19" i="12"/>
  <c r="GZ19" i="12"/>
  <c r="HA19" i="12"/>
  <c r="HB19" i="12"/>
  <c r="HC19" i="12"/>
  <c r="HD19" i="12"/>
  <c r="HE19" i="12"/>
  <c r="HF19" i="12"/>
  <c r="HG19" i="12"/>
  <c r="HH19" i="12"/>
  <c r="HJ27" i="11"/>
  <c r="IB19" i="11"/>
  <c r="HL19" i="11"/>
  <c r="HM19" i="11"/>
  <c r="HN19" i="11"/>
  <c r="HO19" i="11"/>
  <c r="HP19" i="11"/>
  <c r="HQ19" i="11"/>
  <c r="HR19" i="11"/>
  <c r="HS19" i="11"/>
  <c r="HT19" i="11"/>
  <c r="HU19" i="11"/>
  <c r="HV19" i="11"/>
  <c r="HW19" i="11"/>
  <c r="HX19" i="11"/>
  <c r="HY19" i="11"/>
  <c r="HZ19" i="11"/>
  <c r="IA30" i="11"/>
  <c r="HJ31" i="11"/>
  <c r="GQ24" i="12"/>
  <c r="IA23" i="11"/>
  <c r="HJ20" i="12"/>
  <c r="HJ30" i="12"/>
  <c r="GT20" i="12"/>
  <c r="GU20" i="12"/>
  <c r="GV20" i="12"/>
  <c r="GW20" i="12"/>
  <c r="GX20" i="12"/>
  <c r="GY20" i="12"/>
  <c r="GZ20" i="12"/>
  <c r="HA20" i="12"/>
  <c r="HB20" i="12"/>
  <c r="HC20" i="12"/>
  <c r="HD20" i="12"/>
  <c r="HE20" i="12"/>
  <c r="HF20" i="12"/>
  <c r="HG20" i="12"/>
  <c r="HH20" i="12"/>
  <c r="IB31" i="11"/>
  <c r="IB21" i="11"/>
  <c r="HL21" i="11"/>
  <c r="HM21" i="11"/>
  <c r="HN21" i="11"/>
  <c r="HO21" i="11"/>
  <c r="HP21" i="11"/>
  <c r="HQ21" i="11"/>
  <c r="HR21" i="11"/>
  <c r="HS21" i="11"/>
  <c r="HT21" i="11"/>
  <c r="HU21" i="11"/>
  <c r="HV21" i="11"/>
  <c r="HW21" i="11"/>
  <c r="HX21" i="11"/>
  <c r="HY21" i="11"/>
  <c r="HZ21" i="11"/>
  <c r="HJ21" i="12"/>
  <c r="GT21" i="12"/>
  <c r="GU21" i="12"/>
  <c r="GV21" i="12"/>
  <c r="GW21" i="12"/>
  <c r="GX21" i="12"/>
  <c r="GY21" i="12"/>
  <c r="GZ21" i="12"/>
  <c r="HA21" i="12"/>
  <c r="HB21" i="12"/>
  <c r="HC21" i="12"/>
  <c r="HD21" i="12"/>
  <c r="HE21" i="12"/>
  <c r="HF21" i="12"/>
  <c r="HG21" i="12"/>
  <c r="HH21" i="12"/>
  <c r="HZ32" i="12"/>
  <c r="HJ18" i="12"/>
  <c r="HJ28" i="12"/>
  <c r="GT18" i="12"/>
  <c r="GU18" i="12"/>
  <c r="GV18" i="12"/>
  <c r="GW18" i="12"/>
  <c r="GX18" i="12"/>
  <c r="GY18" i="12"/>
  <c r="GZ18" i="12"/>
  <c r="HA18" i="12"/>
  <c r="HB18" i="12"/>
  <c r="HC18" i="12"/>
  <c r="HD18" i="12"/>
  <c r="HE18" i="12"/>
  <c r="HF18" i="12"/>
  <c r="HG18" i="12"/>
  <c r="HH18" i="12"/>
  <c r="IA30" i="12"/>
  <c r="IB9" i="12"/>
  <c r="IA17" i="11"/>
  <c r="HI29" i="12"/>
  <c r="IB13" i="11"/>
  <c r="IB13" i="10"/>
  <c r="IB17" i="12" l="1"/>
  <c r="IB13" i="12"/>
  <c r="IB27" i="12"/>
  <c r="HL17" i="12"/>
  <c r="HM17" i="12"/>
  <c r="HN17" i="12"/>
  <c r="HO17" i="12"/>
  <c r="HP17" i="12"/>
  <c r="HQ17" i="12"/>
  <c r="HR17" i="12"/>
  <c r="HS17" i="12"/>
  <c r="HT17" i="12"/>
  <c r="HU17" i="12"/>
  <c r="HV17" i="12"/>
  <c r="HW17" i="12"/>
  <c r="HX17" i="12"/>
  <c r="HY17" i="12"/>
  <c r="HZ17" i="12"/>
  <c r="IA17" i="12"/>
  <c r="IA34" i="12"/>
  <c r="IA24" i="12"/>
  <c r="IB34" i="11"/>
  <c r="IB24" i="11"/>
  <c r="HL24" i="11"/>
  <c r="HM24" i="11"/>
  <c r="HN24" i="11"/>
  <c r="HO24" i="11"/>
  <c r="HP24" i="11"/>
  <c r="HQ24" i="11"/>
  <c r="HR24" i="11"/>
  <c r="HS24" i="11"/>
  <c r="HT24" i="11"/>
  <c r="HU24" i="11"/>
  <c r="HV24" i="11"/>
  <c r="HW24" i="11"/>
  <c r="HX24" i="11"/>
  <c r="HY24" i="11"/>
  <c r="HZ24" i="11"/>
  <c r="IB21" i="12"/>
  <c r="IB31" i="12"/>
  <c r="HL21" i="12"/>
  <c r="HM21" i="12"/>
  <c r="HN21" i="12"/>
  <c r="HO21" i="12"/>
  <c r="HP21" i="12"/>
  <c r="HQ21" i="12"/>
  <c r="HR21" i="12"/>
  <c r="HS21" i="12"/>
  <c r="HT21" i="12"/>
  <c r="HU21" i="12"/>
  <c r="HV21" i="12"/>
  <c r="HW21" i="12"/>
  <c r="HX21" i="12"/>
  <c r="HY21" i="12"/>
  <c r="HZ21" i="12"/>
  <c r="IA24" i="11"/>
  <c r="IB33" i="11"/>
  <c r="IB20" i="12"/>
  <c r="IB30" i="12"/>
  <c r="HL20" i="12"/>
  <c r="HM20" i="12"/>
  <c r="HN20" i="12"/>
  <c r="HO20" i="12"/>
  <c r="HP20" i="12"/>
  <c r="HQ20" i="12"/>
  <c r="HR20" i="12"/>
  <c r="HS20" i="12"/>
  <c r="HT20" i="12"/>
  <c r="HU20" i="12"/>
  <c r="HV20" i="12"/>
  <c r="HW20" i="12"/>
  <c r="HX20" i="12"/>
  <c r="HY20" i="12"/>
  <c r="HZ20" i="12"/>
  <c r="IA20" i="12"/>
  <c r="IB23" i="12"/>
  <c r="HL23" i="12"/>
  <c r="HM23" i="12"/>
  <c r="HN23" i="12"/>
  <c r="HO23" i="12"/>
  <c r="HP23" i="12"/>
  <c r="HQ23" i="12"/>
  <c r="HR23" i="12"/>
  <c r="HS23" i="12"/>
  <c r="HT23" i="12"/>
  <c r="HU23" i="12"/>
  <c r="HV23" i="12"/>
  <c r="HW23" i="12"/>
  <c r="HX23" i="12"/>
  <c r="HY23" i="12"/>
  <c r="HZ23" i="12"/>
  <c r="IB32" i="11"/>
  <c r="IB19" i="12"/>
  <c r="IB29" i="12"/>
  <c r="HL19" i="12"/>
  <c r="HM19" i="12"/>
  <c r="HN19" i="12"/>
  <c r="HO19" i="12"/>
  <c r="HP19" i="12"/>
  <c r="HQ19" i="12"/>
  <c r="HR19" i="12"/>
  <c r="HS19" i="12"/>
  <c r="HT19" i="12"/>
  <c r="HU19" i="12"/>
  <c r="HV19" i="12"/>
  <c r="HW19" i="12"/>
  <c r="HX19" i="12"/>
  <c r="HY19" i="12"/>
  <c r="HZ19" i="12"/>
  <c r="IA33" i="12"/>
  <c r="IA23" i="12"/>
  <c r="HJ31" i="12"/>
  <c r="HJ24" i="12"/>
  <c r="HJ34" i="12"/>
  <c r="GT24" i="12"/>
  <c r="GU24" i="12"/>
  <c r="GV24" i="12"/>
  <c r="GW24" i="12"/>
  <c r="GX24" i="12"/>
  <c r="GY24" i="12"/>
  <c r="GZ24" i="12"/>
  <c r="HA24" i="12"/>
  <c r="HB24" i="12"/>
  <c r="HC24" i="12"/>
  <c r="HD24" i="12"/>
  <c r="HE24" i="12"/>
  <c r="HF24" i="12"/>
  <c r="HG24" i="12"/>
  <c r="HH24" i="12"/>
  <c r="IB22" i="12"/>
  <c r="IB32" i="12"/>
  <c r="HL22" i="12"/>
  <c r="HM22" i="12"/>
  <c r="HN22" i="12"/>
  <c r="HO22" i="12"/>
  <c r="HP22" i="12"/>
  <c r="HQ22" i="12"/>
  <c r="HR22" i="12"/>
  <c r="HS22" i="12"/>
  <c r="HT22" i="12"/>
  <c r="HU22" i="12"/>
  <c r="HV22" i="12"/>
  <c r="HW22" i="12"/>
  <c r="HX22" i="12"/>
  <c r="HY22" i="12"/>
  <c r="HZ22" i="12"/>
  <c r="IB30" i="11"/>
  <c r="IB27" i="11"/>
  <c r="IB28" i="12"/>
  <c r="IB18" i="12"/>
  <c r="HL18" i="12"/>
  <c r="HM18" i="12"/>
  <c r="HN18" i="12"/>
  <c r="HO18" i="12"/>
  <c r="HP18" i="12"/>
  <c r="HQ18" i="12"/>
  <c r="HR18" i="12"/>
  <c r="HS18" i="12"/>
  <c r="HT18" i="12"/>
  <c r="HU18" i="12"/>
  <c r="HV18" i="12"/>
  <c r="HW18" i="12"/>
  <c r="HX18" i="12"/>
  <c r="HY18" i="12"/>
  <c r="HZ18" i="12"/>
  <c r="IB29" i="11"/>
  <c r="IA22" i="12"/>
  <c r="IA28" i="12"/>
  <c r="IB28" i="11"/>
  <c r="X2" i="2"/>
  <c r="V4" i="2"/>
  <c r="M948" i="1"/>
  <c r="M999" i="1"/>
  <c r="L999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IB33" i="12" l="1"/>
  <c r="IB34" i="12"/>
  <c r="IB24" i="12"/>
  <c r="HL24" i="12"/>
  <c r="HM24" i="12"/>
  <c r="HN24" i="12"/>
  <c r="HO24" i="12"/>
  <c r="HP24" i="12"/>
  <c r="HQ24" i="12"/>
  <c r="HR24" i="12"/>
  <c r="HS24" i="12"/>
  <c r="HT24" i="12"/>
  <c r="HU24" i="12"/>
  <c r="HV24" i="12"/>
  <c r="HW24" i="12"/>
  <c r="HX24" i="12"/>
  <c r="HY24" i="12"/>
  <c r="HZ24" i="12"/>
  <c r="Y2" i="2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Q12" i="2" l="1" a="1"/>
  <c r="Q12" i="2" s="1"/>
  <c r="X11" i="2" a="1"/>
  <c r="X11" i="2" s="1"/>
  <c r="E11" i="2" a="1"/>
  <c r="E11" i="2" s="1"/>
  <c r="P12" i="2" a="1"/>
  <c r="P12" i="2" s="1"/>
  <c r="W11" i="2" a="1"/>
  <c r="W11" i="2" s="1"/>
  <c r="O12" i="2" a="1"/>
  <c r="O12" i="2" s="1"/>
  <c r="S11" i="2" a="1"/>
  <c r="S11" i="2" s="1"/>
  <c r="N12" i="2" a="1"/>
  <c r="N12" i="2" s="1"/>
  <c r="R11" i="2" a="1"/>
  <c r="R11" i="2" s="1"/>
  <c r="M12" i="2" a="1"/>
  <c r="M12" i="2" s="1"/>
  <c r="Q11" i="2" a="1"/>
  <c r="Q11" i="2" s="1"/>
  <c r="L12" i="2" a="1"/>
  <c r="L12" i="2" s="1"/>
  <c r="K12" i="2" a="1"/>
  <c r="K12" i="2" s="1"/>
  <c r="J12" i="2" a="1"/>
  <c r="J12" i="2" s="1"/>
  <c r="I12" i="2" a="1"/>
  <c r="I12" i="2" s="1"/>
  <c r="H12" i="2" a="1"/>
  <c r="H12" i="2" s="1"/>
  <c r="L11" i="2" a="1"/>
  <c r="L11" i="2" s="1"/>
  <c r="N10" i="2" a="1"/>
  <c r="N10" i="2" s="1"/>
  <c r="G12" i="2" a="1"/>
  <c r="G12" i="2" s="1"/>
  <c r="K11" i="2" a="1"/>
  <c r="K11" i="2" s="1"/>
  <c r="Y12" i="2" a="1"/>
  <c r="Y12" i="2" s="1"/>
  <c r="F12" i="2" a="1"/>
  <c r="F12" i="2" s="1"/>
  <c r="X12" i="2" a="1"/>
  <c r="X12" i="2" s="1"/>
  <c r="E12" i="2" a="1"/>
  <c r="E12" i="2" s="1"/>
  <c r="W12" i="2" a="1"/>
  <c r="W12" i="2" s="1"/>
  <c r="H11" i="2" a="1"/>
  <c r="H11" i="2" s="1"/>
  <c r="S12" i="2" a="1"/>
  <c r="S12" i="2" s="1"/>
  <c r="G11" i="2" a="1"/>
  <c r="G11" i="2" s="1"/>
  <c r="R12" i="2" a="1"/>
  <c r="R12" i="2" s="1"/>
  <c r="M11" i="2" a="1"/>
  <c r="M11" i="2" s="1"/>
  <c r="X10" i="2" a="1"/>
  <c r="X10" i="2" s="1"/>
  <c r="I10" i="2" a="1"/>
  <c r="I10" i="2" s="1"/>
  <c r="N9" i="2" a="1"/>
  <c r="N9" i="2" s="1"/>
  <c r="X8" i="2" a="1"/>
  <c r="X8" i="2" s="1"/>
  <c r="H8" i="2" a="1"/>
  <c r="H8" i="2" s="1"/>
  <c r="M7" i="2" a="1"/>
  <c r="M7" i="2" s="1"/>
  <c r="H6" i="2" a="1"/>
  <c r="H6" i="2" s="1"/>
  <c r="F6" i="2" a="1"/>
  <c r="F6" i="2" s="1"/>
  <c r="J11" i="2" a="1"/>
  <c r="J11" i="2" s="1"/>
  <c r="W10" i="2" a="1"/>
  <c r="W10" i="2" s="1"/>
  <c r="H10" i="2" a="1"/>
  <c r="H10" i="2" s="1"/>
  <c r="W8" i="2" a="1"/>
  <c r="W8" i="2" s="1"/>
  <c r="G8" i="2" a="1"/>
  <c r="G8" i="2" s="1"/>
  <c r="L7" i="2" a="1"/>
  <c r="L7" i="2" s="1"/>
  <c r="G6" i="2" a="1"/>
  <c r="G6" i="2" s="1"/>
  <c r="I11" i="2" a="1"/>
  <c r="I11" i="2" s="1"/>
  <c r="S10" i="2" a="1"/>
  <c r="S10" i="2" s="1"/>
  <c r="G10" i="2" a="1"/>
  <c r="G10" i="2" s="1"/>
  <c r="M9" i="2" a="1"/>
  <c r="M9" i="2" s="1"/>
  <c r="S8" i="2" a="1"/>
  <c r="S8" i="2" s="1"/>
  <c r="F8" i="2" a="1"/>
  <c r="F8" i="2" s="1"/>
  <c r="K7" i="2" a="1"/>
  <c r="K7" i="2" s="1"/>
  <c r="Y6" i="2" a="1"/>
  <c r="Y6" i="2" s="1"/>
  <c r="F11" i="2" a="1"/>
  <c r="F11" i="2" s="1"/>
  <c r="R10" i="2" a="1"/>
  <c r="R10" i="2" s="1"/>
  <c r="F10" i="2" a="1"/>
  <c r="F10" i="2" s="1"/>
  <c r="R8" i="2" a="1"/>
  <c r="R8" i="2" s="1"/>
  <c r="J7" i="2" a="1"/>
  <c r="J7" i="2" s="1"/>
  <c r="L9" i="2" a="1"/>
  <c r="L9" i="2" s="1"/>
  <c r="Q8" i="2" a="1"/>
  <c r="Q8" i="2" s="1"/>
  <c r="E8" i="2" a="1"/>
  <c r="E8" i="2" s="1"/>
  <c r="I7" i="2" a="1"/>
  <c r="I7" i="2" s="1"/>
  <c r="Q10" i="2" a="1"/>
  <c r="Q10" i="2" s="1"/>
  <c r="E10" i="2" a="1"/>
  <c r="E10" i="2" s="1"/>
  <c r="Y9" i="2" a="1"/>
  <c r="Y9" i="2" s="1"/>
  <c r="K9" i="2" a="1"/>
  <c r="K9" i="2" s="1"/>
  <c r="S6" i="2" a="1"/>
  <c r="S6" i="2" s="1"/>
  <c r="R6" i="2" a="1"/>
  <c r="R6" i="2" s="1"/>
  <c r="X9" i="2" a="1"/>
  <c r="X9" i="2" s="1"/>
  <c r="P8" i="2" a="1"/>
  <c r="P8" i="2" s="1"/>
  <c r="Y7" i="2" a="1"/>
  <c r="Y7" i="2" s="1"/>
  <c r="H7" i="2" a="1"/>
  <c r="H7" i="2" s="1"/>
  <c r="I6" i="2" a="1"/>
  <c r="I6" i="2" s="1"/>
  <c r="P10" i="2" a="1"/>
  <c r="P10" i="2" s="1"/>
  <c r="J9" i="2" a="1"/>
  <c r="J9" i="2" s="1"/>
  <c r="O8" i="2" a="1"/>
  <c r="O8" i="2" s="1"/>
  <c r="X7" i="2" a="1"/>
  <c r="X7" i="2" s="1"/>
  <c r="G7" i="2" a="1"/>
  <c r="G7" i="2" s="1"/>
  <c r="Q6" i="2" a="1"/>
  <c r="Q6" i="2" s="1"/>
  <c r="M6" i="2" a="1"/>
  <c r="M6" i="2" s="1"/>
  <c r="N7" i="2" a="1"/>
  <c r="N7" i="2" s="1"/>
  <c r="W6" i="2" a="1"/>
  <c r="W6" i="2" s="1"/>
  <c r="W9" i="2" a="1"/>
  <c r="W9" i="2" s="1"/>
  <c r="I9" i="2" a="1"/>
  <c r="I9" i="2" s="1"/>
  <c r="N8" i="2" a="1"/>
  <c r="N8" i="2" s="1"/>
  <c r="W7" i="2" a="1"/>
  <c r="W7" i="2" s="1"/>
  <c r="F7" i="2" a="1"/>
  <c r="F7" i="2" s="1"/>
  <c r="P6" i="2" a="1"/>
  <c r="P6" i="2" s="1"/>
  <c r="O10" i="2" a="1"/>
  <c r="O10" i="2" s="1"/>
  <c r="S9" i="2" a="1"/>
  <c r="S9" i="2" s="1"/>
  <c r="H9" i="2" a="1"/>
  <c r="H9" i="2" s="1"/>
  <c r="E7" i="2" a="1"/>
  <c r="E7" i="2" s="1"/>
  <c r="O6" i="2" a="1"/>
  <c r="O6" i="2" s="1"/>
  <c r="N6" i="2" a="1"/>
  <c r="N6" i="2" s="1"/>
  <c r="X6" i="2" a="1"/>
  <c r="X6" i="2" s="1"/>
  <c r="G9" i="2" a="1"/>
  <c r="G9" i="2" s="1"/>
  <c r="M8" i="2" a="1"/>
  <c r="M8" i="2" s="1"/>
  <c r="R7" i="2" a="1"/>
  <c r="R7" i="2" s="1"/>
  <c r="L6" i="2" a="1"/>
  <c r="L6" i="2" s="1"/>
  <c r="K6" i="2" a="1"/>
  <c r="K6" i="2" s="1"/>
  <c r="M10" i="2" a="1"/>
  <c r="M10" i="2" s="1"/>
  <c r="R9" i="2" a="1"/>
  <c r="R9" i="2" s="1"/>
  <c r="L8" i="2" a="1"/>
  <c r="L8" i="2" s="1"/>
  <c r="Q7" i="2" a="1"/>
  <c r="Q7" i="2" s="1"/>
  <c r="J6" i="2" a="1"/>
  <c r="J6" i="2" s="1"/>
  <c r="Y11" i="2" a="1"/>
  <c r="Y11" i="2" s="1"/>
  <c r="L10" i="2" a="1"/>
  <c r="L10" i="2" s="1"/>
  <c r="Q9" i="2" a="1"/>
  <c r="Q9" i="2" s="1"/>
  <c r="F9" i="2" a="1"/>
  <c r="F9" i="2" s="1"/>
  <c r="K8" i="2" a="1"/>
  <c r="K8" i="2" s="1"/>
  <c r="P11" i="2" a="1"/>
  <c r="P11" i="2" s="1"/>
  <c r="K10" i="2" a="1"/>
  <c r="K10" i="2" s="1"/>
  <c r="J8" i="2" a="1"/>
  <c r="J8" i="2" s="1"/>
  <c r="P7" i="2" a="1"/>
  <c r="P7" i="2" s="1"/>
  <c r="O11" i="2" a="1"/>
  <c r="O11" i="2" s="1"/>
  <c r="J10" i="2" a="1"/>
  <c r="J10" i="2" s="1"/>
  <c r="P9" i="2" a="1"/>
  <c r="P9" i="2" s="1"/>
  <c r="E9" i="2" a="1"/>
  <c r="E9" i="2" s="1"/>
  <c r="I8" i="2" a="1"/>
  <c r="I8" i="2" s="1"/>
  <c r="O7" i="2" a="1"/>
  <c r="O7" i="2" s="1"/>
  <c r="N11" i="2" a="1"/>
  <c r="N11" i="2" s="1"/>
  <c r="Y10" i="2" a="1"/>
  <c r="Y10" i="2" s="1"/>
  <c r="O9" i="2" a="1"/>
  <c r="O9" i="2" s="1"/>
  <c r="Y8" i="2" a="1"/>
  <c r="Y8" i="2" s="1"/>
  <c r="Z2" i="2"/>
  <c r="Z10" i="2" s="1" a="1"/>
  <c r="Z10" i="2" s="1"/>
  <c r="Z8" i="2" l="1" a="1"/>
  <c r="Z8" i="2" s="1"/>
  <c r="N13" i="2"/>
  <c r="K13" i="2"/>
  <c r="Z6" i="2" a="1"/>
  <c r="Z6" i="2" s="1"/>
  <c r="Z12" i="2" a="1"/>
  <c r="Z12" i="2" s="1"/>
  <c r="Z11" i="2" a="1"/>
  <c r="Z11" i="2" s="1"/>
  <c r="Z9" i="2" a="1"/>
  <c r="Z9" i="2" s="1"/>
  <c r="Z7" i="2" a="1"/>
  <c r="Z7" i="2" s="1"/>
  <c r="X13" i="2"/>
  <c r="J13" i="2"/>
  <c r="T11" i="2"/>
  <c r="W13" i="2"/>
  <c r="R13" i="2"/>
  <c r="O13" i="2"/>
  <c r="P13" i="2"/>
  <c r="L13" i="2"/>
  <c r="M13" i="2"/>
  <c r="S13" i="2"/>
  <c r="T10" i="2"/>
  <c r="T21" i="2" s="1"/>
  <c r="E21" i="2"/>
  <c r="Q13" i="2"/>
  <c r="AA2" i="2"/>
  <c r="Y13" i="2"/>
  <c r="T12" i="2"/>
  <c r="E23" i="2" s="1"/>
  <c r="T7" i="2"/>
  <c r="F18" i="2" s="1"/>
  <c r="T8" i="2"/>
  <c r="G19" i="2" s="1"/>
  <c r="T9" i="2"/>
  <c r="F13" i="2"/>
  <c r="I13" i="2"/>
  <c r="G13" i="2"/>
  <c r="H13" i="2"/>
  <c r="M21" i="2" l="1"/>
  <c r="J21" i="2"/>
  <c r="O21" i="2"/>
  <c r="AA10" i="2" a="1"/>
  <c r="AA10" i="2" s="1"/>
  <c r="AA12" i="2" a="1"/>
  <c r="AA12" i="2" s="1"/>
  <c r="AA9" i="2" a="1"/>
  <c r="AA9" i="2" s="1"/>
  <c r="AA8" i="2" a="1"/>
  <c r="AA8" i="2" s="1"/>
  <c r="AA11" i="2" a="1"/>
  <c r="AA11" i="2" s="1"/>
  <c r="AA7" i="2" a="1"/>
  <c r="AA7" i="2" s="1"/>
  <c r="AA6" i="2" a="1"/>
  <c r="AA6" i="2" s="1"/>
  <c r="F21" i="2"/>
  <c r="I21" i="2"/>
  <c r="S21" i="2"/>
  <c r="H21" i="2"/>
  <c r="N21" i="2"/>
  <c r="H23" i="2"/>
  <c r="G21" i="2"/>
  <c r="K21" i="2"/>
  <c r="Q21" i="2"/>
  <c r="P22" i="2"/>
  <c r="T22" i="2"/>
  <c r="O22" i="2"/>
  <c r="J22" i="2"/>
  <c r="N22" i="2"/>
  <c r="L22" i="2"/>
  <c r="K22" i="2"/>
  <c r="I22" i="2"/>
  <c r="M22" i="2"/>
  <c r="H22" i="2"/>
  <c r="Q22" i="2"/>
  <c r="E22" i="2"/>
  <c r="G22" i="2"/>
  <c r="F22" i="2"/>
  <c r="R22" i="2"/>
  <c r="S22" i="2"/>
  <c r="R21" i="2"/>
  <c r="L21" i="2"/>
  <c r="P21" i="2"/>
  <c r="F23" i="2"/>
  <c r="I23" i="2"/>
  <c r="AB2" i="2"/>
  <c r="Z13" i="2"/>
  <c r="H19" i="2"/>
  <c r="I18" i="2"/>
  <c r="G18" i="2"/>
  <c r="I19" i="2"/>
  <c r="G23" i="2"/>
  <c r="H18" i="2"/>
  <c r="T20" i="2"/>
  <c r="L20" i="2"/>
  <c r="K20" i="2"/>
  <c r="M20" i="2"/>
  <c r="J20" i="2"/>
  <c r="S20" i="2"/>
  <c r="Q20" i="2"/>
  <c r="R20" i="2"/>
  <c r="P20" i="2"/>
  <c r="N20" i="2"/>
  <c r="O20" i="2"/>
  <c r="F20" i="2"/>
  <c r="G20" i="2"/>
  <c r="T23" i="2"/>
  <c r="L23" i="2"/>
  <c r="K23" i="2"/>
  <c r="M23" i="2"/>
  <c r="O23" i="2"/>
  <c r="J23" i="2"/>
  <c r="R23" i="2"/>
  <c r="S23" i="2"/>
  <c r="N23" i="2"/>
  <c r="P23" i="2"/>
  <c r="Q23" i="2"/>
  <c r="T19" i="2"/>
  <c r="L19" i="2"/>
  <c r="M19" i="2"/>
  <c r="N19" i="2"/>
  <c r="P19" i="2"/>
  <c r="R19" i="2"/>
  <c r="J19" i="2"/>
  <c r="S19" i="2"/>
  <c r="K19" i="2"/>
  <c r="O19" i="2"/>
  <c r="Q19" i="2"/>
  <c r="I20" i="2"/>
  <c r="E19" i="2"/>
  <c r="E20" i="2"/>
  <c r="T18" i="2"/>
  <c r="L18" i="2"/>
  <c r="O18" i="2"/>
  <c r="K18" i="2"/>
  <c r="J18" i="2"/>
  <c r="P18" i="2"/>
  <c r="S18" i="2"/>
  <c r="M18" i="2"/>
  <c r="Q18" i="2"/>
  <c r="N18" i="2"/>
  <c r="R18" i="2"/>
  <c r="F19" i="2"/>
  <c r="E18" i="2"/>
  <c r="H20" i="2"/>
  <c r="AB8" i="2" l="1" a="1"/>
  <c r="AB8" i="2" s="1"/>
  <c r="AB12" i="2" a="1"/>
  <c r="AB12" i="2" s="1"/>
  <c r="AB9" i="2" a="1"/>
  <c r="AB9" i="2" s="1"/>
  <c r="AB7" i="2" a="1"/>
  <c r="AB7" i="2" s="1"/>
  <c r="AB11" i="2" a="1"/>
  <c r="AB11" i="2" s="1"/>
  <c r="AB10" i="2" a="1"/>
  <c r="AB10" i="2" s="1"/>
  <c r="AB6" i="2" a="1"/>
  <c r="AB6" i="2" s="1"/>
  <c r="AC2" i="2"/>
  <c r="AA13" i="2"/>
  <c r="AC12" i="2" l="1" a="1"/>
  <c r="AC12" i="2" s="1"/>
  <c r="AC11" i="2" a="1"/>
  <c r="AC11" i="2" s="1"/>
  <c r="AC6" i="2" a="1"/>
  <c r="AC6" i="2" s="1"/>
  <c r="AC8" i="2" a="1"/>
  <c r="AC8" i="2" s="1"/>
  <c r="AC7" i="2" a="1"/>
  <c r="AC7" i="2" s="1"/>
  <c r="AC10" i="2" a="1"/>
  <c r="AC10" i="2" s="1"/>
  <c r="AC9" i="2" a="1"/>
  <c r="AC9" i="2" s="1"/>
  <c r="AD2" i="2"/>
  <c r="AB13" i="2"/>
  <c r="AD11" i="2" l="1" a="1"/>
  <c r="AD11" i="2" s="1"/>
  <c r="AD12" i="2" a="1"/>
  <c r="AD12" i="2" s="1"/>
  <c r="AD8" i="2" a="1"/>
  <c r="AD8" i="2" s="1"/>
  <c r="AD7" i="2" a="1"/>
  <c r="AD7" i="2" s="1"/>
  <c r="AD9" i="2" a="1"/>
  <c r="AD9" i="2" s="1"/>
  <c r="AD6" i="2" a="1"/>
  <c r="AD6" i="2" s="1"/>
  <c r="AD10" i="2" a="1"/>
  <c r="AD10" i="2" s="1"/>
  <c r="AC13" i="2"/>
  <c r="AE2" i="2"/>
  <c r="AE7" i="2" l="1" a="1"/>
  <c r="AE7" i="2" s="1"/>
  <c r="AE11" i="2" a="1"/>
  <c r="AE11" i="2" s="1"/>
  <c r="AE12" i="2" a="1"/>
  <c r="AE12" i="2" s="1"/>
  <c r="AE9" i="2" a="1"/>
  <c r="AE9" i="2" s="1"/>
  <c r="AE6" i="2" a="1"/>
  <c r="AE6" i="2" s="1"/>
  <c r="AE10" i="2" a="1"/>
  <c r="AE10" i="2" s="1"/>
  <c r="AE8" i="2" a="1"/>
  <c r="AE8" i="2" s="1"/>
  <c r="AD13" i="2"/>
  <c r="AF2" i="2"/>
  <c r="AF10" i="2" l="1" a="1"/>
  <c r="AF10" i="2" s="1"/>
  <c r="AF12" i="2" a="1"/>
  <c r="AF12" i="2" s="1"/>
  <c r="AF11" i="2" a="1"/>
  <c r="AF11" i="2" s="1"/>
  <c r="AF8" i="2" a="1"/>
  <c r="AF8" i="2" s="1"/>
  <c r="AF6" i="2" a="1"/>
  <c r="AF6" i="2" s="1"/>
  <c r="AF9" i="2" a="1"/>
  <c r="AF9" i="2" s="1"/>
  <c r="AF7" i="2" a="1"/>
  <c r="AF7" i="2" s="1"/>
  <c r="AE13" i="2"/>
  <c r="AG2" i="2"/>
  <c r="AG9" i="2" l="1" a="1"/>
  <c r="AG9" i="2" s="1"/>
  <c r="AG8" i="2" a="1"/>
  <c r="AG8" i="2" s="1"/>
  <c r="AG12" i="2" a="1"/>
  <c r="AG12" i="2" s="1"/>
  <c r="AG6" i="2" a="1"/>
  <c r="AG6" i="2" s="1"/>
  <c r="AG10" i="2" a="1"/>
  <c r="AG10" i="2" s="1"/>
  <c r="AG7" i="2" a="1"/>
  <c r="AG7" i="2" s="1"/>
  <c r="AG11" i="2" a="1"/>
  <c r="AG11" i="2" s="1"/>
  <c r="AF13" i="2"/>
  <c r="AH2" i="2"/>
  <c r="AH10" i="2" l="1" a="1"/>
  <c r="AH10" i="2" s="1"/>
  <c r="AH12" i="2" a="1"/>
  <c r="AH12" i="2" s="1"/>
  <c r="AH8" i="2" a="1"/>
  <c r="AH8" i="2" s="1"/>
  <c r="AH11" i="2" a="1"/>
  <c r="AH11" i="2" s="1"/>
  <c r="AH9" i="2" a="1"/>
  <c r="AH9" i="2" s="1"/>
  <c r="AH7" i="2" a="1"/>
  <c r="AH7" i="2" s="1"/>
  <c r="AH6" i="2" a="1"/>
  <c r="AH6" i="2" s="1"/>
  <c r="AG13" i="2"/>
  <c r="AI2" i="2"/>
  <c r="AI8" i="2" l="1" a="1"/>
  <c r="AI8" i="2" s="1"/>
  <c r="AI10" i="2" a="1"/>
  <c r="AI10" i="2" s="1"/>
  <c r="AI12" i="2" a="1"/>
  <c r="AI12" i="2" s="1"/>
  <c r="AI11" i="2" a="1"/>
  <c r="AI11" i="2" s="1"/>
  <c r="AI7" i="2" a="1"/>
  <c r="AI7" i="2" s="1"/>
  <c r="AI6" i="2" a="1"/>
  <c r="AI6" i="2" s="1"/>
  <c r="AI9" i="2" a="1"/>
  <c r="AI9" i="2" s="1"/>
  <c r="AH13" i="2"/>
  <c r="AJ2" i="2"/>
  <c r="AJ11" i="2" l="1" a="1"/>
  <c r="AJ11" i="2" s="1"/>
  <c r="AJ12" i="2" a="1"/>
  <c r="AJ12" i="2" s="1"/>
  <c r="AJ8" i="2" a="1"/>
  <c r="AJ8" i="2" s="1"/>
  <c r="AJ6" i="2" a="1"/>
  <c r="AJ6" i="2" s="1"/>
  <c r="AJ7" i="2" a="1"/>
  <c r="AJ7" i="2" s="1"/>
  <c r="AJ9" i="2" a="1"/>
  <c r="AJ9" i="2" s="1"/>
  <c r="AJ10" i="2" a="1"/>
  <c r="AJ10" i="2" s="1"/>
  <c r="AI13" i="2"/>
  <c r="AK2" i="2"/>
  <c r="AK8" i="2" l="1" a="1"/>
  <c r="AK8" i="2" s="1"/>
  <c r="AK12" i="2" a="1"/>
  <c r="AK12" i="2" s="1"/>
  <c r="AK11" i="2" a="1"/>
  <c r="AK11" i="2" s="1"/>
  <c r="AK10" i="2" a="1"/>
  <c r="AK10" i="2" s="1"/>
  <c r="AK7" i="2" a="1"/>
  <c r="AK7" i="2" s="1"/>
  <c r="AK6" i="2" a="1"/>
  <c r="AK6" i="2" s="1"/>
  <c r="AK9" i="2" a="1"/>
  <c r="AK9" i="2" s="1"/>
  <c r="AJ13" i="2"/>
  <c r="AL12" i="2" l="1"/>
  <c r="AK13" i="2"/>
  <c r="AL6" i="2"/>
  <c r="AK17" i="2" s="1"/>
  <c r="AL7" i="2"/>
  <c r="AL8" i="2"/>
  <c r="AL11" i="2"/>
  <c r="AL9" i="2"/>
  <c r="AL10" i="2"/>
  <c r="W21" i="2" l="1"/>
  <c r="X21" i="2"/>
  <c r="AL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H22" i="2"/>
  <c r="AL22" i="2"/>
  <c r="W22" i="2"/>
  <c r="X22" i="2"/>
  <c r="Y22" i="2"/>
  <c r="Z22" i="2"/>
  <c r="AA22" i="2"/>
  <c r="AB22" i="2"/>
  <c r="AC22" i="2"/>
  <c r="AD22" i="2"/>
  <c r="AE22" i="2"/>
  <c r="AF22" i="2"/>
  <c r="AG22" i="2"/>
  <c r="AI22" i="2"/>
  <c r="AJ22" i="2"/>
  <c r="AC19" i="2"/>
  <c r="W19" i="2"/>
  <c r="X19" i="2"/>
  <c r="AL19" i="2"/>
  <c r="Y19" i="2"/>
  <c r="Z19" i="2"/>
  <c r="AA19" i="2"/>
  <c r="AB19" i="2"/>
  <c r="AD19" i="2"/>
  <c r="AE19" i="2"/>
  <c r="AF19" i="2"/>
  <c r="AG19" i="2"/>
  <c r="AH19" i="2"/>
  <c r="AI19" i="2"/>
  <c r="AJ19" i="2"/>
  <c r="AL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W23" i="2"/>
  <c r="X23" i="2"/>
  <c r="AL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X20" i="2"/>
  <c r="AL20" i="2"/>
  <c r="W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K22" i="2"/>
  <c r="AK19" i="2"/>
  <c r="AE17" i="2"/>
  <c r="AL17" i="2"/>
  <c r="AL13" i="2"/>
  <c r="W17" i="2"/>
  <c r="X17" i="2"/>
  <c r="Y17" i="2"/>
  <c r="Z17" i="2"/>
  <c r="AA17" i="2"/>
  <c r="AB17" i="2"/>
  <c r="AC17" i="2"/>
  <c r="AD17" i="2"/>
  <c r="AF17" i="2"/>
  <c r="AG17" i="2"/>
  <c r="AH17" i="2"/>
  <c r="AI17" i="2"/>
  <c r="AJ17" i="2"/>
  <c r="AK23" i="2"/>
  <c r="S17" i="2"/>
  <c r="J17" i="2"/>
  <c r="K17" i="2"/>
  <c r="T17" i="2"/>
  <c r="I17" i="2"/>
  <c r="O17" i="2"/>
  <c r="F17" i="2"/>
  <c r="R17" i="2"/>
  <c r="H17" i="2"/>
  <c r="E13" i="2"/>
  <c r="I24" i="2"/>
  <c r="L24" i="2"/>
  <c r="N24" i="2"/>
  <c r="O24" i="2"/>
  <c r="P24" i="2"/>
  <c r="S24" i="2"/>
  <c r="F24" i="2"/>
  <c r="T6" i="2"/>
  <c r="M17" i="2" s="1"/>
  <c r="T13" i="2"/>
  <c r="J24" i="2" s="1"/>
  <c r="R24" i="2"/>
  <c r="H24" i="2" l="1"/>
  <c r="T24" i="2"/>
  <c r="P17" i="2"/>
  <c r="K24" i="2"/>
  <c r="T14" i="2"/>
  <c r="T15" i="2" s="1"/>
  <c r="N17" i="2"/>
  <c r="G24" i="2"/>
  <c r="Q17" i="2"/>
  <c r="Q24" i="2"/>
  <c r="E24" i="2"/>
  <c r="G17" i="2"/>
  <c r="M24" i="2"/>
  <c r="L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<sst xmlns="http://schemas.openxmlformats.org/spreadsheetml/2006/main" count="11969" uniqueCount="160">
  <si>
    <t>Year</t>
  </si>
  <si>
    <t>Month</t>
  </si>
  <si>
    <t>Main SKU</t>
  </si>
  <si>
    <t>Main SKU name</t>
  </si>
  <si>
    <t>Material-Nhập</t>
  </si>
  <si>
    <t>Nhập-SPC-NX</t>
  </si>
  <si>
    <t>Nhập-SPP-NX</t>
  </si>
  <si>
    <t>Nhập-SPC+SPP-NX</t>
  </si>
  <si>
    <t>110000329</t>
  </si>
  <si>
    <t>Hạt nhựa rPET WSS01</t>
  </si>
  <si>
    <t>110000331</t>
  </si>
  <si>
    <t>Hạt nhựa rPET WSS02</t>
  </si>
  <si>
    <t>110000333</t>
  </si>
  <si>
    <t>Hạt nhựa rPET WSS03</t>
  </si>
  <si>
    <t>110000332</t>
  </si>
  <si>
    <t>Hạt nhựa rPET iSS01084G</t>
  </si>
  <si>
    <t>110000354</t>
  </si>
  <si>
    <t>Hạt nhựa rPET WSS01G 1</t>
  </si>
  <si>
    <t>110000355</t>
  </si>
  <si>
    <t>Hạt nhựa rPET iSS01G 1</t>
  </si>
  <si>
    <t>110000358</t>
  </si>
  <si>
    <t>Hạt nhựa rPET WSS02G</t>
  </si>
  <si>
    <t>110000359</t>
  </si>
  <si>
    <t>Hạt nhựa rPET WSS03G</t>
  </si>
  <si>
    <t>110000377</t>
  </si>
  <si>
    <t>Hạt nhựa rPET WSS01G 2</t>
  </si>
  <si>
    <t>110000378</t>
  </si>
  <si>
    <t>Hạt nhựa rPET iSS01G 2</t>
  </si>
  <si>
    <t>110000383</t>
  </si>
  <si>
    <t>Hạt Nhựa rPET iSS84G-P</t>
  </si>
  <si>
    <t>110000468</t>
  </si>
  <si>
    <t>Hạt Nhựa rPET iSS80G-P</t>
  </si>
  <si>
    <t>110000475</t>
  </si>
  <si>
    <t>Hạt nhựa rPET WSS03G FRH</t>
  </si>
  <si>
    <t>110000492</t>
  </si>
  <si>
    <t>Hạt Nhựa rPET WSS03G PL</t>
  </si>
  <si>
    <t>110000493</t>
  </si>
  <si>
    <t>Hạt Nhựa rPET WSS01 PL</t>
  </si>
  <si>
    <t>110000488</t>
  </si>
  <si>
    <t>Hạt Nhựa rPET iSS01084G PL</t>
  </si>
  <si>
    <t>110000484</t>
  </si>
  <si>
    <t>Hạt Nhựa rPET WSS01G 1 PL</t>
  </si>
  <si>
    <t>110000486</t>
  </si>
  <si>
    <t>Hạt Nhựa rPET iSS01G 1 PL</t>
  </si>
  <si>
    <t>110000483</t>
  </si>
  <si>
    <t>Hạt Nhựa rPET iSS01G-S</t>
  </si>
  <si>
    <t>110000491</t>
  </si>
  <si>
    <t>Hạt Nhựa rPET iSS01G-S PL</t>
  </si>
  <si>
    <t>110000497</t>
  </si>
  <si>
    <t>Hạt Nhựa rPET WSS01G-L</t>
  </si>
  <si>
    <t>110000487</t>
  </si>
  <si>
    <t>Hạt Nhựa rPET iSS01G 2 PL</t>
  </si>
  <si>
    <t>110000376</t>
  </si>
  <si>
    <t>Hạt nhựa rPET iSS01L</t>
  </si>
  <si>
    <t>110000499</t>
  </si>
  <si>
    <t>Hạt Nhựa rPET WSS01L</t>
  </si>
  <si>
    <t>110000500</t>
  </si>
  <si>
    <t>Hạt Nhựa rPET WSS01L PL</t>
  </si>
  <si>
    <t>110000485</t>
  </si>
  <si>
    <t>Hạt Nhựa rPET WSS01G 2 PL</t>
  </si>
  <si>
    <t>110000498</t>
  </si>
  <si>
    <t>Hạt Nhựa rPET WSS01G-L PL</t>
  </si>
  <si>
    <t>160012869</t>
  </si>
  <si>
    <t>Vảy PET WSS03G Mixed</t>
  </si>
  <si>
    <t>Material description-Nhập</t>
  </si>
  <si>
    <t>Main SKU name_GOM</t>
  </si>
  <si>
    <t>SKU name_gom</t>
  </si>
  <si>
    <t>WSS02</t>
  </si>
  <si>
    <t>iSS01084</t>
  </si>
  <si>
    <t>iSS01</t>
  </si>
  <si>
    <t>WSS01</t>
  </si>
  <si>
    <t>WSS03</t>
  </si>
  <si>
    <t>iSS01084-PL</t>
  </si>
  <si>
    <t>iSS01-PL</t>
  </si>
  <si>
    <t>WSS01-PL</t>
  </si>
  <si>
    <t>WSS03-PL</t>
  </si>
  <si>
    <t>Khác</t>
  </si>
  <si>
    <t>SKU name_NHẬP_GOM</t>
  </si>
  <si>
    <t>TỔNG</t>
  </si>
  <si>
    <r>
      <t xml:space="preserve">Main SKU name
</t>
    </r>
    <r>
      <rPr>
        <i/>
        <sz val="9"/>
        <color theme="0"/>
        <rFont val="Aptos Display"/>
        <family val="2"/>
        <scheme val="major"/>
      </rPr>
      <t>(Đvt: tấn)</t>
    </r>
  </si>
  <si>
    <t>FY</t>
  </si>
  <si>
    <t>NĂM 2024-THU HỒI</t>
  </si>
  <si>
    <t>%Thu hồi</t>
  </si>
  <si>
    <t>Nhập-PS-NX</t>
  </si>
  <si>
    <t>Tổng Nhập-NX</t>
  </si>
  <si>
    <t>160012357</t>
  </si>
  <si>
    <t>Phó Sản PET Đầu Keo</t>
  </si>
  <si>
    <t>160012417</t>
  </si>
  <si>
    <t>Phó Sản PET HAD</t>
  </si>
  <si>
    <t>160012418</t>
  </si>
  <si>
    <t>Phó Sản PET Hạt Lẫn Kim Loại</t>
  </si>
  <si>
    <t>160012421</t>
  </si>
  <si>
    <t>Phó Sản PET Hạt Chưa Kết Tinh</t>
  </si>
  <si>
    <t>160012423</t>
  </si>
  <si>
    <t>Phó Sản PET Bụi Vảy</t>
  </si>
  <si>
    <t>110000381</t>
  </si>
  <si>
    <t>Hạt nhựa rPET WSS04SD</t>
  </si>
  <si>
    <t>110000384</t>
  </si>
  <si>
    <t>Hạt Nhựa Xơ Sợi Thử Nghiệm</t>
  </si>
  <si>
    <t>110000382</t>
  </si>
  <si>
    <t>Hạt nhựa rPET WSS04SB</t>
  </si>
  <si>
    <t>110000387</t>
  </si>
  <si>
    <t>Hạt nhựa rPET WSS03SD</t>
  </si>
  <si>
    <t>160012420</t>
  </si>
  <si>
    <t>Phó Sản PET Quét Nền</t>
  </si>
  <si>
    <t>160012443</t>
  </si>
  <si>
    <t>Phó Sản PET Hạt Cắt Lỗi</t>
  </si>
  <si>
    <t>110000430</t>
  </si>
  <si>
    <t>Hạt Nhựa rPET Bán Thành Phẩm</t>
  </si>
  <si>
    <t>160012268</t>
  </si>
  <si>
    <t>Phó Sản PET Tomra Cổng 2</t>
  </si>
  <si>
    <t>160012334</t>
  </si>
  <si>
    <t>Phó Sản PET Bụi Sàn Rung</t>
  </si>
  <si>
    <t>160012336</t>
  </si>
  <si>
    <t>Phó Sản PET Bụi Cám</t>
  </si>
  <si>
    <t>110000436</t>
  </si>
  <si>
    <t>Hạt nhựa rPET WSS05SB</t>
  </si>
  <si>
    <t>160012783</t>
  </si>
  <si>
    <t>110000466</t>
  </si>
  <si>
    <t>Hạt Nhựa rPET WSS05SB-2</t>
  </si>
  <si>
    <t>160012792</t>
  </si>
  <si>
    <t>Phó Sản PET Hạt Lẫn Kim Loại FRH</t>
  </si>
  <si>
    <t>160012794</t>
  </si>
  <si>
    <t>Phó Sản PET Đầu Keo FRH</t>
  </si>
  <si>
    <t>110000464</t>
  </si>
  <si>
    <t>Hạt Nhựa rPET WSS06SP-1</t>
  </si>
  <si>
    <t>160012938</t>
  </si>
  <si>
    <t>Phó Sản Hạt rPET iSS01084G Lẫn Kim Loại</t>
  </si>
  <si>
    <t>160012935</t>
  </si>
  <si>
    <t>Phó Sản Hạt rPET WSS01G Lẫn Kim Loại</t>
  </si>
  <si>
    <t>160012936</t>
  </si>
  <si>
    <t>Phó Sản Hạt rPET iSS01G 1 Lẫn Kim Loại</t>
  </si>
  <si>
    <t>160012937</t>
  </si>
  <si>
    <t>Phó Sản Hạt rPET iSS01G 2 Lẫn Kim Loại</t>
  </si>
  <si>
    <t>160012939</t>
  </si>
  <si>
    <t>Phó Sản Hạt rPET WSS01 Lẫn Kim Loại</t>
  </si>
  <si>
    <t>110000507</t>
  </si>
  <si>
    <t>Vảy FPET201</t>
  </si>
  <si>
    <t>160012941</t>
  </si>
  <si>
    <t>Phó Sản Hạt rPET WSS03G Lẫn Kim Loại</t>
  </si>
  <si>
    <t>110000510</t>
  </si>
  <si>
    <t>Hạt Nhựa rPET WSS05SB PL</t>
  </si>
  <si>
    <t>160012659</t>
  </si>
  <si>
    <t>Vảy PET B1_A2.1 DT</t>
  </si>
  <si>
    <t>160012980</t>
  </si>
  <si>
    <t>Phó Sản Hạt PET Quét Nền</t>
  </si>
  <si>
    <t>Phó sản</t>
  </si>
  <si>
    <t>WSS05</t>
  </si>
  <si>
    <t>WSS04</t>
  </si>
  <si>
    <t>WSS06</t>
  </si>
  <si>
    <t>WSS05 PL</t>
  </si>
  <si>
    <t>Phó Sản Vảy PET Quét Nền</t>
  </si>
  <si>
    <t>Phó Sản PET Bụi Cám Sau Sàn Rung</t>
  </si>
  <si>
    <t>Xuất-NX</t>
  </si>
  <si>
    <t>TỔNG-NHẬP</t>
  </si>
  <si>
    <t>TỔNG-XUẤT</t>
  </si>
  <si>
    <t>NĂM 2026-THU HỒI</t>
  </si>
  <si>
    <t>NĂM 2025-THU HỒI</t>
  </si>
  <si>
    <t>Tổng</t>
  </si>
  <si>
    <t>% Cơ cấu thành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</si>
</sst>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,_);_(* \(#,##0,\);_(* &quot;-&quot;??_);_(@_)"/>
    <numFmt numFmtId="166" formatCode="0.0%;\-0.0%;;"/>
    <numFmt numFmtId="167" formatCode="0.0%"/>
  </numFmts>
  <fonts count="13" x14ac:knownFonts="1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0" tint="-0.249977111117893"/>
      <name val="Aptos Display"/>
      <family val="2"/>
      <scheme val="major"/>
    </font>
    <font>
      <b/>
      <sz val="11"/>
      <color theme="0" tint="-0.249977111117893"/>
      <name val="Aptos Display"/>
      <family val="2"/>
      <scheme val="major"/>
    </font>
    <font>
      <i/>
      <sz val="9"/>
      <color theme="0"/>
      <name val="Aptos Display"/>
      <family val="2"/>
      <scheme val="major"/>
    </font>
    <font>
      <sz val="11"/>
      <color theme="7" tint="-0.249977111117893"/>
      <name val="Aptos Display"/>
      <family val="2"/>
      <scheme val="major"/>
    </font>
    <font>
      <b/>
      <sz val="11"/>
      <color theme="7" tint="-0.249977111117893"/>
      <name val="Aptos Display"/>
      <family val="2"/>
      <scheme val="major"/>
    </font>
    <font>
      <sz val="8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b/>
      <sz val="11"/>
      <color rgb="FF3333FF"/>
      <name val="Aptos Display"/>
      <family val="2"/>
      <scheme val="major"/>
    </font>
    <font>
      <b/>
      <sz val="11"/>
      <color rgb="FFFF0000"/>
      <name val="Aptos Display"/>
      <family val="2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medium">
        <color theme="7" tint="-0.24994659260841701"/>
      </bottom>
      <diagonal/>
    </border>
    <border>
      <left/>
      <right/>
      <top/>
      <bottom style="hair">
        <color theme="7" tint="0.79998168889431442"/>
      </bottom>
      <diagonal/>
    </border>
    <border>
      <left/>
      <right/>
      <top style="hair">
        <color theme="7" tint="0.79998168889431442"/>
      </top>
      <bottom style="hair">
        <color theme="7" tint="0.79998168889431442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/>
      <bottom style="hair">
        <color theme="0" tint="-0.149967955565050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164" fontId="0" fillId="0" borderId="0" xfId="1" applyNumberFormat="1" applyFont="1"/>
    <xf numFmtId="0" fontId="2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3" fillId="0" borderId="1" xfId="0" applyFont="1" applyBorder="1"/>
    <xf numFmtId="165" fontId="3" fillId="0" borderId="1" xfId="1" applyNumberFormat="1" applyFont="1" applyBorder="1"/>
    <xf numFmtId="0" fontId="2" fillId="5" borderId="2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0" fontId="7" fillId="0" borderId="0" xfId="0" applyFont="1"/>
    <xf numFmtId="0" fontId="8" fillId="0" borderId="4" xfId="0" applyFont="1" applyBorder="1"/>
    <xf numFmtId="0" fontId="7" fillId="0" borderId="4" xfId="0" applyFont="1" applyBorder="1"/>
    <xf numFmtId="0" fontId="7" fillId="0" borderId="5" xfId="0" applyFont="1" applyBorder="1"/>
    <xf numFmtId="166" fontId="7" fillId="6" borderId="5" xfId="0" applyNumberFormat="1" applyFont="1" applyFill="1" applyBorder="1"/>
    <xf numFmtId="166" fontId="7" fillId="0" borderId="5" xfId="0" applyNumberFormat="1" applyFont="1" applyBorder="1"/>
    <xf numFmtId="0" fontId="7" fillId="0" borderId="6" xfId="0" applyFont="1" applyBorder="1"/>
    <xf numFmtId="166" fontId="7" fillId="0" borderId="6" xfId="0" applyNumberFormat="1" applyFont="1" applyBorder="1"/>
    <xf numFmtId="166" fontId="7" fillId="6" borderId="6" xfId="0" applyNumberFormat="1" applyFont="1" applyFill="1" applyBorder="1"/>
    <xf numFmtId="166" fontId="7" fillId="0" borderId="6" xfId="1" applyNumberFormat="1" applyFont="1" applyBorder="1"/>
    <xf numFmtId="164" fontId="3" fillId="0" borderId="0" xfId="1" applyNumberFormat="1" applyFont="1"/>
    <xf numFmtId="0" fontId="0" fillId="0" borderId="8" xfId="0" applyBorder="1"/>
    <xf numFmtId="0" fontId="0" fillId="0" borderId="7" xfId="0" applyBorder="1"/>
    <xf numFmtId="165" fontId="0" fillId="0" borderId="8" xfId="1" applyNumberFormat="1" applyFont="1" applyBorder="1"/>
    <xf numFmtId="165" fontId="3" fillId="0" borderId="8" xfId="1" applyNumberFormat="1" applyFont="1" applyBorder="1"/>
    <xf numFmtId="165" fontId="0" fillId="0" borderId="7" xfId="1" applyNumberFormat="1" applyFont="1" applyBorder="1"/>
    <xf numFmtId="165" fontId="3" fillId="0" borderId="7" xfId="1" applyNumberFormat="1" applyFont="1" applyBorder="1"/>
    <xf numFmtId="0" fontId="0" fillId="0" borderId="9" xfId="0" applyBorder="1"/>
    <xf numFmtId="165" fontId="0" fillId="0" borderId="9" xfId="1" applyNumberFormat="1" applyFont="1" applyBorder="1"/>
    <xf numFmtId="165" fontId="3" fillId="0" borderId="9" xfId="1" applyNumberFormat="1" applyFont="1" applyBorder="1"/>
    <xf numFmtId="0" fontId="2" fillId="7" borderId="2" xfId="0" applyFont="1" applyFill="1" applyBorder="1" applyAlignment="1">
      <alignment horizontal="right"/>
    </xf>
    <xf numFmtId="0" fontId="3" fillId="8" borderId="2" xfId="0" applyFont="1" applyFill="1" applyBorder="1" applyAlignment="1">
      <alignment horizontal="right"/>
    </xf>
    <xf numFmtId="165" fontId="0" fillId="0" borderId="0" xfId="0" applyNumberFormat="1"/>
    <xf numFmtId="167" fontId="10" fillId="9" borderId="0" xfId="2" applyNumberFormat="1" applyFont="1" applyFill="1"/>
    <xf numFmtId="0" fontId="8" fillId="10" borderId="0" xfId="0" applyFont="1" applyFill="1"/>
    <xf numFmtId="166" fontId="7" fillId="10" borderId="6" xfId="0" applyNumberFormat="1" applyFont="1" applyFill="1" applyBorder="1"/>
    <xf numFmtId="166" fontId="7" fillId="10" borderId="6" xfId="1" applyNumberFormat="1" applyFont="1" applyFill="1" applyBorder="1"/>
    <xf numFmtId="9" fontId="3" fillId="10" borderId="0" xfId="2" applyFont="1" applyFill="1"/>
    <xf numFmtId="9" fontId="11" fillId="11" borderId="0" xfId="2" applyFont="1" applyFill="1" applyBorder="1"/>
    <xf numFmtId="166" fontId="11" fillId="11" borderId="0" xfId="0" applyNumberFormat="1" applyFont="1" applyFill="1"/>
    <xf numFmtId="165" fontId="12" fillId="0" borderId="9" xfId="1" applyNumberFormat="1" applyFont="1" applyBorder="1"/>
    <xf numFmtId="165" fontId="12" fillId="0" borderId="8" xfId="1" applyNumberFormat="1" applyFont="1" applyBorder="1"/>
    <xf numFmtId="165" fontId="12" fillId="0" borderId="7" xfId="1" applyNumberFormat="1" applyFont="1" applyBorder="1"/>
    <xf numFmtId="165" fontId="12" fillId="0" borderId="1" xfId="1" applyNumberFormat="1" applyFont="1" applyBorder="1"/>
    <xf numFmtId="166" fontId="12" fillId="12" borderId="5" xfId="0" applyNumberFormat="1" applyFont="1" applyFill="1" applyBorder="1"/>
    <xf numFmtId="166" fontId="12" fillId="12" borderId="6" xfId="0" applyNumberFormat="1" applyFont="1" applyFill="1" applyBorder="1"/>
    <xf numFmtId="9" fontId="12" fillId="12" borderId="0" xfId="2" applyFont="1" applyFill="1"/>
    <xf numFmtId="166" fontId="8" fillId="6" borderId="5" xfId="0" applyNumberFormat="1" applyFont="1" applyFill="1" applyBorder="1"/>
    <xf numFmtId="166" fontId="8" fillId="6" borderId="6" xfId="0" applyNumberFormat="1" applyFont="1" applyFill="1" applyBorder="1"/>
    <xf numFmtId="166" fontId="7" fillId="13" borderId="6" xfId="0" applyNumberFormat="1" applyFont="1" applyFill="1" applyBorder="1"/>
    <xf numFmtId="166" fontId="7" fillId="14" borderId="6" xfId="0" applyNumberFormat="1" applyFont="1" applyFill="1" applyBorder="1"/>
    <xf numFmtId="166" fontId="7" fillId="13" borderId="6" xfId="1" applyNumberFormat="1" applyFont="1" applyFill="1" applyBorder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/>
    </xf>
    <xf numFmtId="0" fontId="2" fillId="5" borderId="3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1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Display"/>
        <family val="2"/>
        <scheme val="maj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C1A84-033C-4556-BFB4-F5449B15FF8C}" name="Data_Nhập" displayName="Data_Nhập" ref="A2:M1239" totalsRowShown="0" headerRowDxfId="10">
  <autoFilter ref="A2:M1239" xr:uid="{337C1A84-033C-4556-BFB4-F5449B15FF8C}"/>
  <tableColumns count="13">
    <tableColumn id="1" xr3:uid="{6C2923D1-BE5B-424C-B592-FD6DE6F9DC4B}" name="Year"/>
    <tableColumn id="2" xr3:uid="{45FECEFF-4C70-42F1-BD0D-1A35D3E4333A}" name="Month"/>
    <tableColumn id="3" xr3:uid="{EDD6FC0E-B528-483F-A714-8050FF9E4773}" name="Main SKU"/>
    <tableColumn id="4" xr3:uid="{08DDFE18-3CB6-47C1-8E97-4B0F104802F1}" name="Main SKU name"/>
    <tableColumn id="5" xr3:uid="{E2A0ED2D-93DD-465B-BB22-06E125CF0169}" name="Material-Nhập"/>
    <tableColumn id="6" xr3:uid="{7DD62EC4-A3B7-4894-8935-25B758B60F1E}" name="Material description-Nhập"/>
    <tableColumn id="7" xr3:uid="{6ADBB7F8-C855-4D9D-B7B8-CBF5977C1D62}" name="Nhập-SPC-NX" dataDxfId="9" dataCellStyle="Comma"/>
    <tableColumn id="8" xr3:uid="{5B4785B8-56E3-4D7D-B91E-F919341409DC}" name="Nhập-SPP-NX" dataDxfId="8" dataCellStyle="Comma"/>
    <tableColumn id="9" xr3:uid="{6F3CF361-D90C-44EA-AB34-5331F2DEF262}" name="Nhập-SPC+SPP-NX" dataDxfId="7" dataCellStyle="Comma"/>
    <tableColumn id="12" xr3:uid="{C8FB9CBD-91DF-44FE-9C5E-B736C9AB56A1}" name="Nhập-PS-NX" dataDxfId="6" dataCellStyle="Comma"/>
    <tableColumn id="13" xr3:uid="{5FAD004F-BB67-40E7-ADC4-37A8664093D1}" name="Tổng Nhập-NX" dataDxfId="5" dataCellStyle="Comma"/>
    <tableColumn id="10" xr3:uid="{B3BAC7AC-3730-482D-B995-BE2B0094AA1A}" name="Main SKU name_GOM" dataDxfId="4" dataCellStyle="Comma">
      <calculatedColumnFormula>_xlfn.XLOOKUP(Data_Nhập[[#This Row],[Main SKU]],MD_Main_SKU[Main SKU],MD_Main_SKU[SKU name_gom])</calculatedColumnFormula>
    </tableColumn>
    <tableColumn id="11" xr3:uid="{87698C3B-E2D0-4954-B210-0DB7B10EFB05}" name="SKU name_NHẬP_GOM" dataDxfId="3" dataCellStyle="Comma">
      <calculatedColumnFormula>_xlfn.XLOOKUP(Data_Nhập[[#This Row],[Material-Nhập]],MD_Main_SKU[Main SKU],MD_Main_SKU[SKU name_gom])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81734B-7D7D-4661-B769-C34D543963AD}" name="Data_Xuất" displayName="Data_Xuất" ref="A2:H1239" totalsRowShown="0" headerRowDxfId="2">
  <autoFilter ref="A2:H1239" xr:uid="{421D94A4-312C-4C82-B0FA-22EF29621402}"/>
  <tableColumns count="8">
    <tableColumn id="1" xr3:uid="{3A44302B-11CD-4EDC-9EB0-6D4A0DBB749F}" name="Year"/>
    <tableColumn id="2" xr3:uid="{F48D3F8D-731B-4F90-B192-0D2A0742314B}" name="Month"/>
    <tableColumn id="3" xr3:uid="{47344A49-F72A-4D6B-B2E8-2E804F9A288E}" name="Main SKU"/>
    <tableColumn id="4" xr3:uid="{8FA05A08-3D5F-4646-AF89-5B654800AB50}" name="Main SKU name"/>
    <tableColumn id="5" xr3:uid="{DEC173F5-A9FD-43BF-8F92-079E116443FA}" name="Material-Nhập"/>
    <tableColumn id="6" xr3:uid="{82CC640B-81FD-4902-BC61-CBBC25E5D7B1}" name="Material description-Nhập"/>
    <tableColumn id="7" xr3:uid="{A7703616-B496-438D-9C78-0A43EF72D098}" name="Xuất-NX" dataDxfId="1" dataCellStyle="Comma"/>
    <tableColumn id="8" xr3:uid="{1936EC27-1986-4D88-894A-04E05CCC6D36}" name="Main SKU name_GOM">
      <calculatedColumnFormula>_xlfn.XLOOKUP(Data_Xuất[[#This Row],[Main SKU]],MD_Main_SKU[Main SKU],MD_Main_SKU[SKU name_gom])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2FBC0F-4348-446C-867E-0FE9BFD787F9}" name="MD_Main_SKU" displayName="MD_Main_SKU" ref="A2:C61" totalsRowShown="0" headerRowDxfId="0">
  <autoFilter ref="A2:C61" xr:uid="{2A2FBC0F-4348-446C-867E-0FE9BFD787F9}"/>
  <tableColumns count="3">
    <tableColumn id="1" xr3:uid="{72585A5C-D81A-4D3E-8FEE-F498CC4EDF64}" name="Main SKU"/>
    <tableColumn id="2" xr3:uid="{632A3170-3063-4DB1-9FEB-199E5562BC3A}" name="Main SKU name"/>
    <tableColumn id="3" xr3:uid="{67931DDE-0FA2-4CD3-BB08-A71ED74A5807}" name="SKU name_go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A89A-B99C-45B5-9E65-924EC94727C7}">
  <sheetPr>
    <tabColor rgb="FF00B050"/>
  </sheetPr>
  <dimension ref="A1:IB44"/>
  <sheetViews>
    <sheetView showGridLines="0" tabSelected="1" zoomScaleNormal="100" workbookViewId="0">
      <pane xSplit="2" ySplit="5" topLeftCell="K23" activePane="bottomRight" state="frozen"/>
      <selection pane="topRight" activeCell="C1" sqref="C1"/>
      <selection pane="bottomLeft" activeCell="A4" sqref="A4"/>
      <selection pane="bottomRight" activeCell="T14" sqref="T14"/>
    </sheetView>
  </sheetViews>
  <sheetFormatPr defaultRowHeight="14.5" outlineLevelRow="1" outlineLevelCol="1" x14ac:dyDescent="0.35"/>
  <cols>
    <col min="1" max="1" width="3.08203125" style="5" customWidth="1" outlineLevel="1"/>
    <col min="2" max="2" width="14.9140625" customWidth="1"/>
    <col min="3" max="3" width="0.75" customWidth="1"/>
    <col min="4" max="4" width="12.4140625" bestFit="1" customWidth="1"/>
    <col min="5" max="12" width="12.4140625" customWidth="1" outlineLevel="1"/>
    <col min="13" max="13" width="17.08203125" customWidth="1" outlineLevel="1"/>
    <col min="14" max="19" width="12.4140625" customWidth="1" outlineLevel="1"/>
    <col min="20" max="20" width="12.4140625" customWidth="1"/>
    <col min="21" max="21" width="0.75" customWidth="1"/>
    <col min="22" max="22" width="11.33203125" bestFit="1" customWidth="1"/>
    <col min="23" max="32" width="11.25" customWidth="1" outlineLevel="1"/>
    <col min="33" max="37" width="13" customWidth="1" outlineLevel="1"/>
    <col min="38" max="38" width="12.25" bestFit="1" customWidth="1"/>
    <col min="39" max="39" width="0.75" customWidth="1"/>
    <col min="40" max="40" width="11.33203125" bestFit="1" customWidth="1"/>
    <col min="41" max="50" width="11.25" customWidth="1" outlineLevel="1"/>
    <col min="51" max="55" width="13" customWidth="1" outlineLevel="1"/>
    <col min="56" max="56" width="12.25" bestFit="1" customWidth="1"/>
    <col min="57" max="57" width="0.75" customWidth="1"/>
    <col min="58" max="58" width="11.33203125" bestFit="1" customWidth="1"/>
    <col min="59" max="68" width="11.25" customWidth="1" outlineLevel="1"/>
    <col min="69" max="73" width="13" customWidth="1" outlineLevel="1"/>
    <col min="74" max="74" width="12.25" bestFit="1" customWidth="1"/>
    <col min="75" max="75" width="0.75" customWidth="1"/>
    <col min="76" max="76" width="11.33203125" bestFit="1" customWidth="1"/>
    <col min="77" max="86" width="11.25" customWidth="1" outlineLevel="1"/>
    <col min="87" max="91" width="13" customWidth="1" outlineLevel="1"/>
    <col min="92" max="92" width="12.25" bestFit="1" customWidth="1"/>
    <col min="93" max="93" width="0.75" customWidth="1"/>
    <col min="94" max="94" width="11.33203125" bestFit="1" customWidth="1"/>
    <col min="95" max="104" width="11.25" customWidth="1" outlineLevel="1"/>
    <col min="105" max="109" width="13" customWidth="1" outlineLevel="1"/>
    <col min="110" max="110" width="12.25" bestFit="1" customWidth="1"/>
    <col min="111" max="111" width="0.75" customWidth="1"/>
    <col min="112" max="112" width="11.33203125" bestFit="1" customWidth="1"/>
    <col min="113" max="122" width="11.25" customWidth="1" outlineLevel="1"/>
    <col min="123" max="127" width="13" customWidth="1" outlineLevel="1"/>
    <col min="128" max="128" width="12.25" bestFit="1" customWidth="1"/>
    <col min="129" max="129" width="0.75" customWidth="1"/>
    <col min="130" max="130" width="11.33203125" bestFit="1" customWidth="1"/>
    <col min="131" max="140" width="11.25" customWidth="1" outlineLevel="1"/>
    <col min="141" max="145" width="13" customWidth="1" outlineLevel="1"/>
    <col min="146" max="146" width="12.25" bestFit="1" customWidth="1"/>
    <col min="147" max="147" width="0.75" customWidth="1"/>
    <col min="148" max="148" width="11.33203125" bestFit="1" customWidth="1"/>
    <col min="149" max="158" width="11.25" customWidth="1" outlineLevel="1"/>
    <col min="159" max="163" width="13" customWidth="1" outlineLevel="1"/>
    <col min="164" max="164" width="12.25" bestFit="1" customWidth="1"/>
    <col min="165" max="165" width="0.75" customWidth="1"/>
    <col min="166" max="166" width="11.33203125" bestFit="1" customWidth="1"/>
    <col min="167" max="176" width="11.25" customWidth="1" outlineLevel="1"/>
    <col min="177" max="181" width="13" customWidth="1" outlineLevel="1"/>
    <col min="182" max="182" width="12.25" bestFit="1" customWidth="1"/>
    <col min="183" max="183" width="0.75" customWidth="1"/>
    <col min="184" max="184" width="11.33203125" bestFit="1" customWidth="1"/>
    <col min="185" max="194" width="11.25" customWidth="1" outlineLevel="1"/>
    <col min="195" max="199" width="13" customWidth="1" outlineLevel="1"/>
    <col min="200" max="200" width="12.25" bestFit="1" customWidth="1"/>
    <col min="201" max="201" width="0.75" customWidth="1"/>
    <col min="202" max="202" width="11.33203125" bestFit="1" customWidth="1"/>
    <col min="203" max="212" width="11.25" customWidth="1" outlineLevel="1"/>
    <col min="213" max="217" width="13" customWidth="1" outlineLevel="1"/>
    <col min="218" max="218" width="12.25" bestFit="1" customWidth="1"/>
    <col min="219" max="219" width="0.75" customWidth="1"/>
    <col min="220" max="220" width="11.33203125" bestFit="1" customWidth="1"/>
    <col min="221" max="230" width="11.25" customWidth="1" outlineLevel="1"/>
    <col min="231" max="235" width="13" customWidth="1" outlineLevel="1"/>
    <col min="236" max="236" width="12.25" bestFit="1" customWidth="1"/>
  </cols>
  <sheetData>
    <row r="1" spans="1:236" s="5" customFormat="1" x14ac:dyDescent="0.35">
      <c r="D1" s="5">
        <v>2026</v>
      </c>
      <c r="E1" s="5">
        <v>2026</v>
      </c>
      <c r="F1" s="5">
        <v>2026</v>
      </c>
      <c r="G1" s="5">
        <v>2026</v>
      </c>
      <c r="H1" s="5">
        <v>2026</v>
      </c>
      <c r="I1" s="5">
        <v>2026</v>
      </c>
      <c r="J1" s="5">
        <v>2026</v>
      </c>
      <c r="K1" s="5">
        <v>2026</v>
      </c>
      <c r="L1" s="5">
        <v>2026</v>
      </c>
      <c r="M1" s="5">
        <v>2026</v>
      </c>
      <c r="N1" s="5">
        <v>2026</v>
      </c>
      <c r="O1" s="5">
        <v>2026</v>
      </c>
      <c r="P1" s="5">
        <v>2026</v>
      </c>
      <c r="Q1" s="5">
        <v>2026</v>
      </c>
      <c r="R1" s="5">
        <v>2026</v>
      </c>
      <c r="S1" s="5">
        <v>2026</v>
      </c>
      <c r="T1" s="5">
        <v>2026</v>
      </c>
      <c r="V1" s="5">
        <v>2026</v>
      </c>
      <c r="W1" s="5">
        <v>2026</v>
      </c>
      <c r="X1" s="5">
        <v>2026</v>
      </c>
      <c r="Y1" s="5">
        <v>2026</v>
      </c>
      <c r="Z1" s="5">
        <v>2026</v>
      </c>
      <c r="AA1" s="5">
        <v>2026</v>
      </c>
      <c r="AB1" s="5">
        <v>2026</v>
      </c>
      <c r="AC1" s="5">
        <v>2026</v>
      </c>
      <c r="AD1" s="5">
        <v>2026</v>
      </c>
      <c r="AE1" s="5">
        <v>2026</v>
      </c>
      <c r="AF1" s="5">
        <v>2026</v>
      </c>
      <c r="AG1" s="5">
        <v>2026</v>
      </c>
      <c r="AH1" s="5">
        <v>2026</v>
      </c>
      <c r="AI1" s="5">
        <v>2026</v>
      </c>
      <c r="AJ1" s="5">
        <v>2026</v>
      </c>
      <c r="AK1" s="5">
        <v>2026</v>
      </c>
      <c r="AN1" s="5">
        <v>2026</v>
      </c>
      <c r="AO1" s="5">
        <v>2026</v>
      </c>
      <c r="AP1" s="5">
        <v>2026</v>
      </c>
      <c r="AQ1" s="5">
        <v>2026</v>
      </c>
      <c r="AR1" s="5">
        <v>2026</v>
      </c>
      <c r="AS1" s="5">
        <v>2026</v>
      </c>
      <c r="AT1" s="5">
        <v>2026</v>
      </c>
      <c r="AU1" s="5">
        <v>2026</v>
      </c>
      <c r="AV1" s="5">
        <v>2026</v>
      </c>
      <c r="AW1" s="5">
        <v>2026</v>
      </c>
      <c r="AX1" s="5">
        <v>2026</v>
      </c>
      <c r="AY1" s="5">
        <v>2026</v>
      </c>
      <c r="AZ1" s="5">
        <v>2026</v>
      </c>
      <c r="BA1" s="5">
        <v>2026</v>
      </c>
      <c r="BB1" s="5">
        <v>2026</v>
      </c>
      <c r="BC1" s="5">
        <v>2026</v>
      </c>
      <c r="BF1" s="5">
        <v>2026</v>
      </c>
      <c r="BG1" s="5">
        <v>2026</v>
      </c>
      <c r="BH1" s="5">
        <v>2026</v>
      </c>
      <c r="BI1" s="5">
        <v>2026</v>
      </c>
      <c r="BJ1" s="5">
        <v>2026</v>
      </c>
      <c r="BK1" s="5">
        <v>2026</v>
      </c>
      <c r="BL1" s="5">
        <v>2026</v>
      </c>
      <c r="BM1" s="5">
        <v>2026</v>
      </c>
      <c r="BN1" s="5">
        <v>2026</v>
      </c>
      <c r="BO1" s="5">
        <v>2026</v>
      </c>
      <c r="BP1" s="5">
        <v>2026</v>
      </c>
      <c r="BQ1" s="5">
        <v>2026</v>
      </c>
      <c r="BR1" s="5">
        <v>2026</v>
      </c>
      <c r="BS1" s="5">
        <v>2026</v>
      </c>
      <c r="BT1" s="5">
        <v>2026</v>
      </c>
      <c r="BU1" s="5">
        <v>2026</v>
      </c>
      <c r="BX1" s="5">
        <v>2026</v>
      </c>
      <c r="BY1" s="5">
        <v>2026</v>
      </c>
      <c r="BZ1" s="5">
        <v>2026</v>
      </c>
      <c r="CA1" s="5">
        <v>2026</v>
      </c>
      <c r="CB1" s="5">
        <v>2026</v>
      </c>
      <c r="CC1" s="5">
        <v>2026</v>
      </c>
      <c r="CD1" s="5">
        <v>2026</v>
      </c>
      <c r="CE1" s="5">
        <v>2026</v>
      </c>
      <c r="CF1" s="5">
        <v>2026</v>
      </c>
      <c r="CG1" s="5">
        <v>2026</v>
      </c>
      <c r="CH1" s="5">
        <v>2026</v>
      </c>
      <c r="CI1" s="5">
        <v>2026</v>
      </c>
      <c r="CJ1" s="5">
        <v>2026</v>
      </c>
      <c r="CK1" s="5">
        <v>2026</v>
      </c>
      <c r="CL1" s="5">
        <v>2026</v>
      </c>
      <c r="CM1" s="5">
        <v>2026</v>
      </c>
      <c r="CP1" s="5">
        <v>2026</v>
      </c>
      <c r="CQ1" s="5">
        <v>2026</v>
      </c>
      <c r="CR1" s="5">
        <v>2026</v>
      </c>
      <c r="CS1" s="5">
        <v>2026</v>
      </c>
      <c r="CT1" s="5">
        <v>2026</v>
      </c>
      <c r="CU1" s="5">
        <v>2026</v>
      </c>
      <c r="CV1" s="5">
        <v>2026</v>
      </c>
      <c r="CW1" s="5">
        <v>2026</v>
      </c>
      <c r="CX1" s="5">
        <v>2026</v>
      </c>
      <c r="CY1" s="5">
        <v>2026</v>
      </c>
      <c r="CZ1" s="5">
        <v>2026</v>
      </c>
      <c r="DA1" s="5">
        <v>2026</v>
      </c>
      <c r="DB1" s="5">
        <v>2026</v>
      </c>
      <c r="DC1" s="5">
        <v>2026</v>
      </c>
      <c r="DD1" s="5">
        <v>2026</v>
      </c>
      <c r="DE1" s="5">
        <v>2026</v>
      </c>
      <c r="DH1" s="5">
        <v>2026</v>
      </c>
      <c r="DI1" s="5">
        <v>2026</v>
      </c>
      <c r="DJ1" s="5">
        <v>2026</v>
      </c>
      <c r="DK1" s="5">
        <v>2026</v>
      </c>
      <c r="DL1" s="5">
        <v>2026</v>
      </c>
      <c r="DM1" s="5">
        <v>2026</v>
      </c>
      <c r="DN1" s="5">
        <v>2026</v>
      </c>
      <c r="DO1" s="5">
        <v>2026</v>
      </c>
      <c r="DP1" s="5">
        <v>2026</v>
      </c>
      <c r="DQ1" s="5">
        <v>2026</v>
      </c>
      <c r="DR1" s="5">
        <v>2026</v>
      </c>
      <c r="DS1" s="5">
        <v>2026</v>
      </c>
      <c r="DT1" s="5">
        <v>2026</v>
      </c>
      <c r="DU1" s="5">
        <v>2026</v>
      </c>
      <c r="DV1" s="5">
        <v>2026</v>
      </c>
      <c r="DW1" s="5">
        <v>2026</v>
      </c>
      <c r="DZ1" s="5">
        <v>2026</v>
      </c>
      <c r="EA1" s="5">
        <v>2026</v>
      </c>
      <c r="EB1" s="5">
        <v>2026</v>
      </c>
      <c r="EC1" s="5">
        <v>2026</v>
      </c>
      <c r="ED1" s="5">
        <v>2026</v>
      </c>
      <c r="EE1" s="5">
        <v>2026</v>
      </c>
      <c r="EF1" s="5">
        <v>2026</v>
      </c>
      <c r="EG1" s="5">
        <v>2026</v>
      </c>
      <c r="EH1" s="5">
        <v>2026</v>
      </c>
      <c r="EI1" s="5">
        <v>2026</v>
      </c>
      <c r="EJ1" s="5">
        <v>2026</v>
      </c>
      <c r="EK1" s="5">
        <v>2026</v>
      </c>
      <c r="EL1" s="5">
        <v>2026</v>
      </c>
      <c r="EM1" s="5">
        <v>2026</v>
      </c>
      <c r="EN1" s="5">
        <v>2026</v>
      </c>
      <c r="EO1" s="5">
        <v>2026</v>
      </c>
      <c r="ER1" s="5">
        <v>2026</v>
      </c>
      <c r="ES1" s="5">
        <v>2026</v>
      </c>
      <c r="ET1" s="5">
        <v>2026</v>
      </c>
      <c r="EU1" s="5">
        <v>2026</v>
      </c>
      <c r="EV1" s="5">
        <v>2026</v>
      </c>
      <c r="EW1" s="5">
        <v>2026</v>
      </c>
      <c r="EX1" s="5">
        <v>2026</v>
      </c>
      <c r="EY1" s="5">
        <v>2026</v>
      </c>
      <c r="EZ1" s="5">
        <v>2026</v>
      </c>
      <c r="FA1" s="5">
        <v>2026</v>
      </c>
      <c r="FB1" s="5">
        <v>2026</v>
      </c>
      <c r="FC1" s="5">
        <v>2026</v>
      </c>
      <c r="FD1" s="5">
        <v>2026</v>
      </c>
      <c r="FE1" s="5">
        <v>2026</v>
      </c>
      <c r="FF1" s="5">
        <v>2026</v>
      </c>
      <c r="FG1" s="5">
        <v>2026</v>
      </c>
      <c r="FJ1" s="5">
        <v>2026</v>
      </c>
      <c r="FK1" s="5">
        <v>2026</v>
      </c>
      <c r="FL1" s="5">
        <v>2026</v>
      </c>
      <c r="FM1" s="5">
        <v>2026</v>
      </c>
      <c r="FN1" s="5">
        <v>2026</v>
      </c>
      <c r="FO1" s="5">
        <v>2026</v>
      </c>
      <c r="FP1" s="5">
        <v>2026</v>
      </c>
      <c r="FQ1" s="5">
        <v>2026</v>
      </c>
      <c r="FR1" s="5">
        <v>2026</v>
      </c>
      <c r="FS1" s="5">
        <v>2026</v>
      </c>
      <c r="FT1" s="5">
        <v>2026</v>
      </c>
      <c r="FU1" s="5">
        <v>2026</v>
      </c>
      <c r="FV1" s="5">
        <v>2026</v>
      </c>
      <c r="FW1" s="5">
        <v>2026</v>
      </c>
      <c r="FX1" s="5">
        <v>2026</v>
      </c>
      <c r="FY1" s="5">
        <v>2026</v>
      </c>
      <c r="GB1" s="5">
        <v>2026</v>
      </c>
      <c r="GC1" s="5">
        <v>2026</v>
      </c>
      <c r="GD1" s="5">
        <v>2026</v>
      </c>
      <c r="GE1" s="5">
        <v>2026</v>
      </c>
      <c r="GF1" s="5">
        <v>2026</v>
      </c>
      <c r="GG1" s="5">
        <v>2026</v>
      </c>
      <c r="GH1" s="5">
        <v>2026</v>
      </c>
      <c r="GI1" s="5">
        <v>2026</v>
      </c>
      <c r="GJ1" s="5">
        <v>2026</v>
      </c>
      <c r="GK1" s="5">
        <v>2026</v>
      </c>
      <c r="GL1" s="5">
        <v>2026</v>
      </c>
      <c r="GM1" s="5">
        <v>2026</v>
      </c>
      <c r="GN1" s="5">
        <v>2026</v>
      </c>
      <c r="GO1" s="5">
        <v>2026</v>
      </c>
      <c r="GP1" s="5">
        <v>2026</v>
      </c>
      <c r="GQ1" s="5">
        <v>2026</v>
      </c>
      <c r="GT1" s="5">
        <v>2026</v>
      </c>
      <c r="GU1" s="5">
        <v>2026</v>
      </c>
      <c r="GV1" s="5">
        <v>2026</v>
      </c>
      <c r="GW1" s="5">
        <v>2026</v>
      </c>
      <c r="GX1" s="5">
        <v>2026</v>
      </c>
      <c r="GY1" s="5">
        <v>2026</v>
      </c>
      <c r="GZ1" s="5">
        <v>2026</v>
      </c>
      <c r="HA1" s="5">
        <v>2026</v>
      </c>
      <c r="HB1" s="5">
        <v>2026</v>
      </c>
      <c r="HC1" s="5">
        <v>2026</v>
      </c>
      <c r="HD1" s="5">
        <v>2026</v>
      </c>
      <c r="HE1" s="5">
        <v>2026</v>
      </c>
      <c r="HF1" s="5">
        <v>2026</v>
      </c>
      <c r="HG1" s="5">
        <v>2026</v>
      </c>
      <c r="HH1" s="5">
        <v>2026</v>
      </c>
      <c r="HI1" s="5">
        <v>2026</v>
      </c>
      <c r="HL1" s="5">
        <v>2026</v>
      </c>
      <c r="HM1" s="5">
        <v>2026</v>
      </c>
      <c r="HN1" s="5">
        <v>2026</v>
      </c>
      <c r="HO1" s="5">
        <v>2026</v>
      </c>
      <c r="HP1" s="5">
        <v>2026</v>
      </c>
      <c r="HQ1" s="5">
        <v>2026</v>
      </c>
      <c r="HR1" s="5">
        <v>2026</v>
      </c>
      <c r="HS1" s="5">
        <v>2026</v>
      </c>
      <c r="HT1" s="5">
        <v>2026</v>
      </c>
      <c r="HU1" s="5">
        <v>2026</v>
      </c>
      <c r="HV1" s="5">
        <v>2026</v>
      </c>
      <c r="HW1" s="5">
        <v>2026</v>
      </c>
      <c r="HX1" s="5">
        <v>2026</v>
      </c>
      <c r="HY1" s="5">
        <v>2026</v>
      </c>
      <c r="HZ1" s="5">
        <v>2026</v>
      </c>
      <c r="IA1" s="5">
        <v>2026</v>
      </c>
    </row>
    <row r="2" spans="1:236" s="5" customFormat="1" outlineLevel="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 t="s">
        <v>80</v>
      </c>
      <c r="S2" s="5" t="s">
        <v>80</v>
      </c>
      <c r="T2" s="5" t="s">
        <v>80</v>
      </c>
      <c r="V2" s="5">
        <v>1</v>
      </c>
      <c r="W2" s="5">
        <v>1</v>
      </c>
      <c r="X2" s="5">
        <f>W2</f>
        <v>1</v>
      </c>
      <c r="Y2" s="5">
        <f t="shared" ref="Y2:AK2" si="0">X2</f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>
        <f t="shared" si="0"/>
        <v>1</v>
      </c>
      <c r="AH2" s="5">
        <f t="shared" si="0"/>
        <v>1</v>
      </c>
      <c r="AI2" s="5">
        <f t="shared" si="0"/>
        <v>1</v>
      </c>
      <c r="AJ2" s="5">
        <f t="shared" si="0"/>
        <v>1</v>
      </c>
      <c r="AK2" s="5">
        <f t="shared" si="0"/>
        <v>1</v>
      </c>
      <c r="AN2" s="5">
        <f>V2+1</f>
        <v>2</v>
      </c>
      <c r="AO2" s="5">
        <f>AN2</f>
        <v>2</v>
      </c>
      <c r="AP2" s="5">
        <f t="shared" ref="AP2:BC2" si="1">AO2</f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>
        <f t="shared" si="1"/>
        <v>2</v>
      </c>
      <c r="AW2" s="5">
        <f t="shared" si="1"/>
        <v>2</v>
      </c>
      <c r="AX2" s="5">
        <f t="shared" si="1"/>
        <v>2</v>
      </c>
      <c r="AY2" s="5">
        <f t="shared" si="1"/>
        <v>2</v>
      </c>
      <c r="AZ2" s="5">
        <f t="shared" si="1"/>
        <v>2</v>
      </c>
      <c r="BA2" s="5">
        <f t="shared" si="1"/>
        <v>2</v>
      </c>
      <c r="BB2" s="5">
        <f t="shared" si="1"/>
        <v>2</v>
      </c>
      <c r="BC2" s="5">
        <f t="shared" si="1"/>
        <v>2</v>
      </c>
      <c r="BF2" s="5">
        <f>AN2+1</f>
        <v>3</v>
      </c>
      <c r="BG2" s="5">
        <f>BF2</f>
        <v>3</v>
      </c>
      <c r="BH2" s="5">
        <f t="shared" ref="BH2:BU2" si="2">BG2</f>
        <v>3</v>
      </c>
      <c r="BI2" s="5">
        <f t="shared" si="2"/>
        <v>3</v>
      </c>
      <c r="BJ2" s="5">
        <f t="shared" si="2"/>
        <v>3</v>
      </c>
      <c r="BK2" s="5">
        <f t="shared" si="2"/>
        <v>3</v>
      </c>
      <c r="BL2" s="5">
        <f t="shared" si="2"/>
        <v>3</v>
      </c>
      <c r="BM2" s="5">
        <f t="shared" si="2"/>
        <v>3</v>
      </c>
      <c r="BN2" s="5">
        <f t="shared" si="2"/>
        <v>3</v>
      </c>
      <c r="BO2" s="5">
        <f t="shared" si="2"/>
        <v>3</v>
      </c>
      <c r="BP2" s="5">
        <f t="shared" si="2"/>
        <v>3</v>
      </c>
      <c r="BQ2" s="5">
        <f t="shared" si="2"/>
        <v>3</v>
      </c>
      <c r="BR2" s="5">
        <f t="shared" si="2"/>
        <v>3</v>
      </c>
      <c r="BS2" s="5">
        <f t="shared" si="2"/>
        <v>3</v>
      </c>
      <c r="BT2" s="5">
        <f t="shared" si="2"/>
        <v>3</v>
      </c>
      <c r="BU2" s="5">
        <f t="shared" si="2"/>
        <v>3</v>
      </c>
      <c r="BX2" s="5">
        <f>BF2+1</f>
        <v>4</v>
      </c>
      <c r="BY2" s="5">
        <f>BX2</f>
        <v>4</v>
      </c>
      <c r="BZ2" s="5">
        <f t="shared" ref="BZ2:CM2" si="3">BY2</f>
        <v>4</v>
      </c>
      <c r="CA2" s="5">
        <f t="shared" si="3"/>
        <v>4</v>
      </c>
      <c r="CB2" s="5">
        <f t="shared" si="3"/>
        <v>4</v>
      </c>
      <c r="CC2" s="5">
        <f t="shared" si="3"/>
        <v>4</v>
      </c>
      <c r="CD2" s="5">
        <f t="shared" si="3"/>
        <v>4</v>
      </c>
      <c r="CE2" s="5">
        <f t="shared" si="3"/>
        <v>4</v>
      </c>
      <c r="CF2" s="5">
        <f t="shared" si="3"/>
        <v>4</v>
      </c>
      <c r="CG2" s="5">
        <f t="shared" si="3"/>
        <v>4</v>
      </c>
      <c r="CH2" s="5">
        <f t="shared" si="3"/>
        <v>4</v>
      </c>
      <c r="CI2" s="5">
        <f t="shared" si="3"/>
        <v>4</v>
      </c>
      <c r="CJ2" s="5">
        <f t="shared" si="3"/>
        <v>4</v>
      </c>
      <c r="CK2" s="5">
        <f t="shared" si="3"/>
        <v>4</v>
      </c>
      <c r="CL2" s="5">
        <f t="shared" si="3"/>
        <v>4</v>
      </c>
      <c r="CM2" s="5">
        <f t="shared" si="3"/>
        <v>4</v>
      </c>
      <c r="CP2" s="5">
        <f>BX2+1</f>
        <v>5</v>
      </c>
      <c r="CQ2" s="5">
        <f>CP2</f>
        <v>5</v>
      </c>
      <c r="CR2" s="5">
        <f t="shared" ref="CR2:DE2" si="4">CQ2</f>
        <v>5</v>
      </c>
      <c r="CS2" s="5">
        <f t="shared" si="4"/>
        <v>5</v>
      </c>
      <c r="CT2" s="5">
        <f t="shared" si="4"/>
        <v>5</v>
      </c>
      <c r="CU2" s="5">
        <f t="shared" si="4"/>
        <v>5</v>
      </c>
      <c r="CV2" s="5">
        <f t="shared" si="4"/>
        <v>5</v>
      </c>
      <c r="CW2" s="5">
        <f t="shared" si="4"/>
        <v>5</v>
      </c>
      <c r="CX2" s="5">
        <f t="shared" si="4"/>
        <v>5</v>
      </c>
      <c r="CY2" s="5">
        <f t="shared" si="4"/>
        <v>5</v>
      </c>
      <c r="CZ2" s="5">
        <f t="shared" si="4"/>
        <v>5</v>
      </c>
      <c r="DA2" s="5">
        <f t="shared" si="4"/>
        <v>5</v>
      </c>
      <c r="DB2" s="5">
        <f t="shared" si="4"/>
        <v>5</v>
      </c>
      <c r="DC2" s="5">
        <f t="shared" si="4"/>
        <v>5</v>
      </c>
      <c r="DD2" s="5">
        <f t="shared" si="4"/>
        <v>5</v>
      </c>
      <c r="DE2" s="5">
        <f t="shared" si="4"/>
        <v>5</v>
      </c>
      <c r="DH2" s="5">
        <f>CP2+1</f>
        <v>6</v>
      </c>
      <c r="DI2" s="5">
        <f>DH2</f>
        <v>6</v>
      </c>
      <c r="DJ2" s="5">
        <f t="shared" ref="DJ2:DW2" si="5">DI2</f>
        <v>6</v>
      </c>
      <c r="DK2" s="5">
        <f t="shared" si="5"/>
        <v>6</v>
      </c>
      <c r="DL2" s="5">
        <f t="shared" si="5"/>
        <v>6</v>
      </c>
      <c r="DM2" s="5">
        <f t="shared" si="5"/>
        <v>6</v>
      </c>
      <c r="DN2" s="5">
        <f t="shared" si="5"/>
        <v>6</v>
      </c>
      <c r="DO2" s="5">
        <f t="shared" si="5"/>
        <v>6</v>
      </c>
      <c r="DP2" s="5">
        <f t="shared" si="5"/>
        <v>6</v>
      </c>
      <c r="DQ2" s="5">
        <f t="shared" si="5"/>
        <v>6</v>
      </c>
      <c r="DR2" s="5">
        <f t="shared" si="5"/>
        <v>6</v>
      </c>
      <c r="DS2" s="5">
        <f t="shared" si="5"/>
        <v>6</v>
      </c>
      <c r="DT2" s="5">
        <f t="shared" si="5"/>
        <v>6</v>
      </c>
      <c r="DU2" s="5">
        <f t="shared" si="5"/>
        <v>6</v>
      </c>
      <c r="DV2" s="5">
        <f t="shared" si="5"/>
        <v>6</v>
      </c>
      <c r="DW2" s="5">
        <f t="shared" si="5"/>
        <v>6</v>
      </c>
      <c r="DZ2" s="5">
        <f>DH2+1</f>
        <v>7</v>
      </c>
      <c r="EA2" s="5">
        <f>DZ2</f>
        <v>7</v>
      </c>
      <c r="EB2" s="5">
        <f t="shared" ref="EB2:EO2" si="6">EA2</f>
        <v>7</v>
      </c>
      <c r="EC2" s="5">
        <f t="shared" si="6"/>
        <v>7</v>
      </c>
      <c r="ED2" s="5">
        <f t="shared" si="6"/>
        <v>7</v>
      </c>
      <c r="EE2" s="5">
        <f t="shared" si="6"/>
        <v>7</v>
      </c>
      <c r="EF2" s="5">
        <f t="shared" si="6"/>
        <v>7</v>
      </c>
      <c r="EG2" s="5">
        <f t="shared" si="6"/>
        <v>7</v>
      </c>
      <c r="EH2" s="5">
        <f t="shared" si="6"/>
        <v>7</v>
      </c>
      <c r="EI2" s="5">
        <f t="shared" si="6"/>
        <v>7</v>
      </c>
      <c r="EJ2" s="5">
        <f t="shared" si="6"/>
        <v>7</v>
      </c>
      <c r="EK2" s="5">
        <f t="shared" si="6"/>
        <v>7</v>
      </c>
      <c r="EL2" s="5">
        <f t="shared" si="6"/>
        <v>7</v>
      </c>
      <c r="EM2" s="5">
        <f t="shared" si="6"/>
        <v>7</v>
      </c>
      <c r="EN2" s="5">
        <f t="shared" si="6"/>
        <v>7</v>
      </c>
      <c r="EO2" s="5">
        <f t="shared" si="6"/>
        <v>7</v>
      </c>
      <c r="ER2" s="5">
        <f>DZ2+1</f>
        <v>8</v>
      </c>
      <c r="ES2" s="5">
        <f>ER2</f>
        <v>8</v>
      </c>
      <c r="ET2" s="5">
        <f t="shared" ref="ET2:FG2" si="7">ES2</f>
        <v>8</v>
      </c>
      <c r="EU2" s="5">
        <f t="shared" si="7"/>
        <v>8</v>
      </c>
      <c r="EV2" s="5">
        <f t="shared" si="7"/>
        <v>8</v>
      </c>
      <c r="EW2" s="5">
        <f t="shared" si="7"/>
        <v>8</v>
      </c>
      <c r="EX2" s="5">
        <f t="shared" si="7"/>
        <v>8</v>
      </c>
      <c r="EY2" s="5">
        <f t="shared" si="7"/>
        <v>8</v>
      </c>
      <c r="EZ2" s="5">
        <f t="shared" si="7"/>
        <v>8</v>
      </c>
      <c r="FA2" s="5">
        <f t="shared" si="7"/>
        <v>8</v>
      </c>
      <c r="FB2" s="5">
        <f t="shared" si="7"/>
        <v>8</v>
      </c>
      <c r="FC2" s="5">
        <f t="shared" si="7"/>
        <v>8</v>
      </c>
      <c r="FD2" s="5">
        <f t="shared" si="7"/>
        <v>8</v>
      </c>
      <c r="FE2" s="5">
        <f t="shared" si="7"/>
        <v>8</v>
      </c>
      <c r="FF2" s="5">
        <f t="shared" si="7"/>
        <v>8</v>
      </c>
      <c r="FG2" s="5">
        <f t="shared" si="7"/>
        <v>8</v>
      </c>
      <c r="FJ2" s="5">
        <f>ER2+1</f>
        <v>9</v>
      </c>
      <c r="FK2" s="5">
        <f>FJ2</f>
        <v>9</v>
      </c>
      <c r="FL2" s="5">
        <f t="shared" ref="FL2:FY2" si="8">FK2</f>
        <v>9</v>
      </c>
      <c r="FM2" s="5">
        <f t="shared" si="8"/>
        <v>9</v>
      </c>
      <c r="FN2" s="5">
        <f t="shared" si="8"/>
        <v>9</v>
      </c>
      <c r="FO2" s="5">
        <f t="shared" si="8"/>
        <v>9</v>
      </c>
      <c r="FP2" s="5">
        <f t="shared" si="8"/>
        <v>9</v>
      </c>
      <c r="FQ2" s="5">
        <f t="shared" si="8"/>
        <v>9</v>
      </c>
      <c r="FR2" s="5">
        <f t="shared" si="8"/>
        <v>9</v>
      </c>
      <c r="FS2" s="5">
        <f t="shared" si="8"/>
        <v>9</v>
      </c>
      <c r="FT2" s="5">
        <f t="shared" si="8"/>
        <v>9</v>
      </c>
      <c r="FU2" s="5">
        <f t="shared" si="8"/>
        <v>9</v>
      </c>
      <c r="FV2" s="5">
        <f t="shared" si="8"/>
        <v>9</v>
      </c>
      <c r="FW2" s="5">
        <f t="shared" si="8"/>
        <v>9</v>
      </c>
      <c r="FX2" s="5">
        <f t="shared" si="8"/>
        <v>9</v>
      </c>
      <c r="FY2" s="5">
        <f t="shared" si="8"/>
        <v>9</v>
      </c>
      <c r="GB2" s="5">
        <f>FJ2+1</f>
        <v>10</v>
      </c>
      <c r="GC2" s="5">
        <f>GB2</f>
        <v>10</v>
      </c>
      <c r="GD2" s="5">
        <f t="shared" ref="GD2:GQ2" si="9">GC2</f>
        <v>10</v>
      </c>
      <c r="GE2" s="5">
        <f t="shared" si="9"/>
        <v>10</v>
      </c>
      <c r="GF2" s="5">
        <f t="shared" si="9"/>
        <v>10</v>
      </c>
      <c r="GG2" s="5">
        <f t="shared" si="9"/>
        <v>10</v>
      </c>
      <c r="GH2" s="5">
        <f t="shared" si="9"/>
        <v>10</v>
      </c>
      <c r="GI2" s="5">
        <f t="shared" si="9"/>
        <v>10</v>
      </c>
      <c r="GJ2" s="5">
        <f t="shared" si="9"/>
        <v>10</v>
      </c>
      <c r="GK2" s="5">
        <f t="shared" si="9"/>
        <v>10</v>
      </c>
      <c r="GL2" s="5">
        <f t="shared" si="9"/>
        <v>10</v>
      </c>
      <c r="GM2" s="5">
        <f t="shared" si="9"/>
        <v>10</v>
      </c>
      <c r="GN2" s="5">
        <f t="shared" si="9"/>
        <v>10</v>
      </c>
      <c r="GO2" s="5">
        <f t="shared" si="9"/>
        <v>10</v>
      </c>
      <c r="GP2" s="5">
        <f t="shared" si="9"/>
        <v>10</v>
      </c>
      <c r="GQ2" s="5">
        <f t="shared" si="9"/>
        <v>10</v>
      </c>
      <c r="GT2" s="5">
        <f>GB2+1</f>
        <v>11</v>
      </c>
      <c r="GU2" s="5">
        <f>GT2</f>
        <v>11</v>
      </c>
      <c r="GV2" s="5">
        <f t="shared" ref="GV2:HI2" si="10">GU2</f>
        <v>11</v>
      </c>
      <c r="GW2" s="5">
        <f t="shared" si="10"/>
        <v>11</v>
      </c>
      <c r="GX2" s="5">
        <f t="shared" si="10"/>
        <v>11</v>
      </c>
      <c r="GY2" s="5">
        <f t="shared" si="10"/>
        <v>11</v>
      </c>
      <c r="GZ2" s="5">
        <f t="shared" si="10"/>
        <v>11</v>
      </c>
      <c r="HA2" s="5">
        <f t="shared" si="10"/>
        <v>11</v>
      </c>
      <c r="HB2" s="5">
        <f t="shared" si="10"/>
        <v>11</v>
      </c>
      <c r="HC2" s="5">
        <f t="shared" si="10"/>
        <v>11</v>
      </c>
      <c r="HD2" s="5">
        <f t="shared" si="10"/>
        <v>11</v>
      </c>
      <c r="HE2" s="5">
        <f t="shared" si="10"/>
        <v>11</v>
      </c>
      <c r="HF2" s="5">
        <f t="shared" si="10"/>
        <v>11</v>
      </c>
      <c r="HG2" s="5">
        <f t="shared" si="10"/>
        <v>11</v>
      </c>
      <c r="HH2" s="5">
        <f t="shared" si="10"/>
        <v>11</v>
      </c>
      <c r="HI2" s="5">
        <f t="shared" si="10"/>
        <v>11</v>
      </c>
      <c r="HL2" s="5">
        <f>GT2+1</f>
        <v>12</v>
      </c>
      <c r="HM2" s="5">
        <f>HL2</f>
        <v>12</v>
      </c>
      <c r="HN2" s="5">
        <f t="shared" ref="HN2:IA2" si="11">HM2</f>
        <v>12</v>
      </c>
      <c r="HO2" s="5">
        <f t="shared" si="11"/>
        <v>12</v>
      </c>
      <c r="HP2" s="5">
        <f t="shared" si="11"/>
        <v>12</v>
      </c>
      <c r="HQ2" s="5">
        <f t="shared" si="11"/>
        <v>12</v>
      </c>
      <c r="HR2" s="5">
        <f t="shared" si="11"/>
        <v>12</v>
      </c>
      <c r="HS2" s="5">
        <f t="shared" si="11"/>
        <v>12</v>
      </c>
      <c r="HT2" s="5">
        <f t="shared" si="11"/>
        <v>12</v>
      </c>
      <c r="HU2" s="5">
        <f t="shared" si="11"/>
        <v>12</v>
      </c>
      <c r="HV2" s="5">
        <f t="shared" si="11"/>
        <v>12</v>
      </c>
      <c r="HW2" s="5">
        <f t="shared" si="11"/>
        <v>12</v>
      </c>
      <c r="HX2" s="5">
        <f t="shared" si="11"/>
        <v>12</v>
      </c>
      <c r="HY2" s="5">
        <f t="shared" si="11"/>
        <v>12</v>
      </c>
      <c r="HZ2" s="5">
        <f t="shared" si="11"/>
        <v>12</v>
      </c>
      <c r="IA2" s="5">
        <f t="shared" si="11"/>
        <v>12</v>
      </c>
    </row>
    <row r="3" spans="1:236" s="5" customFormat="1" outlineLevel="1" x14ac:dyDescent="0.35">
      <c r="E3" s="5" t="s">
        <v>68</v>
      </c>
      <c r="F3" s="5" t="s">
        <v>69</v>
      </c>
      <c r="G3" s="5" t="s">
        <v>70</v>
      </c>
      <c r="H3" s="5" t="s">
        <v>67</v>
      </c>
      <c r="I3" s="5" t="s">
        <v>71</v>
      </c>
      <c r="J3" s="5" t="s">
        <v>148</v>
      </c>
      <c r="K3" s="5" t="s">
        <v>147</v>
      </c>
      <c r="L3" s="5" t="s">
        <v>149</v>
      </c>
      <c r="M3" s="5" t="s">
        <v>72</v>
      </c>
      <c r="N3" s="5" t="s">
        <v>73</v>
      </c>
      <c r="O3" s="5" t="s">
        <v>74</v>
      </c>
      <c r="P3" s="5" t="s">
        <v>75</v>
      </c>
      <c r="Q3" s="5" t="s">
        <v>150</v>
      </c>
      <c r="R3" s="5" t="s">
        <v>146</v>
      </c>
      <c r="S3" s="5" t="s">
        <v>76</v>
      </c>
      <c r="W3" s="5" t="s">
        <v>68</v>
      </c>
      <c r="X3" s="5" t="s">
        <v>69</v>
      </c>
      <c r="Y3" s="5" t="s">
        <v>70</v>
      </c>
      <c r="Z3" s="5" t="s">
        <v>67</v>
      </c>
      <c r="AA3" s="5" t="s">
        <v>71</v>
      </c>
      <c r="AB3" s="5" t="s">
        <v>148</v>
      </c>
      <c r="AC3" s="5" t="s">
        <v>147</v>
      </c>
      <c r="AD3" s="5" t="s">
        <v>149</v>
      </c>
      <c r="AE3" s="5" t="s">
        <v>72</v>
      </c>
      <c r="AF3" s="5" t="s">
        <v>73</v>
      </c>
      <c r="AG3" s="5" t="s">
        <v>74</v>
      </c>
      <c r="AH3" s="5" t="s">
        <v>75</v>
      </c>
      <c r="AI3" s="5" t="s">
        <v>150</v>
      </c>
      <c r="AJ3" s="5" t="s">
        <v>146</v>
      </c>
      <c r="AK3" s="5" t="s">
        <v>76</v>
      </c>
      <c r="AO3" s="5" t="s">
        <v>68</v>
      </c>
      <c r="AP3" s="5" t="s">
        <v>69</v>
      </c>
      <c r="AQ3" s="5" t="s">
        <v>70</v>
      </c>
      <c r="AR3" s="5" t="s">
        <v>67</v>
      </c>
      <c r="AS3" s="5" t="s">
        <v>71</v>
      </c>
      <c r="AT3" s="5" t="s">
        <v>148</v>
      </c>
      <c r="AU3" s="5" t="s">
        <v>147</v>
      </c>
      <c r="AV3" s="5" t="s">
        <v>149</v>
      </c>
      <c r="AW3" s="5" t="s">
        <v>72</v>
      </c>
      <c r="AX3" s="5" t="s">
        <v>73</v>
      </c>
      <c r="AY3" s="5" t="s">
        <v>74</v>
      </c>
      <c r="AZ3" s="5" t="s">
        <v>75</v>
      </c>
      <c r="BA3" s="5" t="s">
        <v>150</v>
      </c>
      <c r="BB3" s="5" t="s">
        <v>146</v>
      </c>
      <c r="BC3" s="5" t="s">
        <v>76</v>
      </c>
      <c r="BG3" s="5" t="s">
        <v>68</v>
      </c>
      <c r="BH3" s="5" t="s">
        <v>69</v>
      </c>
      <c r="BI3" s="5" t="s">
        <v>70</v>
      </c>
      <c r="BJ3" s="5" t="s">
        <v>67</v>
      </c>
      <c r="BK3" s="5" t="s">
        <v>71</v>
      </c>
      <c r="BL3" s="5" t="s">
        <v>148</v>
      </c>
      <c r="BM3" s="5" t="s">
        <v>147</v>
      </c>
      <c r="BN3" s="5" t="s">
        <v>149</v>
      </c>
      <c r="BO3" s="5" t="s">
        <v>72</v>
      </c>
      <c r="BP3" s="5" t="s">
        <v>73</v>
      </c>
      <c r="BQ3" s="5" t="s">
        <v>74</v>
      </c>
      <c r="BR3" s="5" t="s">
        <v>75</v>
      </c>
      <c r="BS3" s="5" t="s">
        <v>150</v>
      </c>
      <c r="BT3" s="5" t="s">
        <v>146</v>
      </c>
      <c r="BU3" s="5" t="s">
        <v>76</v>
      </c>
      <c r="BY3" s="5" t="s">
        <v>68</v>
      </c>
      <c r="BZ3" s="5" t="s">
        <v>69</v>
      </c>
      <c r="CA3" s="5" t="s">
        <v>70</v>
      </c>
      <c r="CB3" s="5" t="s">
        <v>67</v>
      </c>
      <c r="CC3" s="5" t="s">
        <v>71</v>
      </c>
      <c r="CD3" s="5" t="s">
        <v>148</v>
      </c>
      <c r="CE3" s="5" t="s">
        <v>147</v>
      </c>
      <c r="CF3" s="5" t="s">
        <v>149</v>
      </c>
      <c r="CG3" s="5" t="s">
        <v>72</v>
      </c>
      <c r="CH3" s="5" t="s">
        <v>73</v>
      </c>
      <c r="CI3" s="5" t="s">
        <v>74</v>
      </c>
      <c r="CJ3" s="5" t="s">
        <v>75</v>
      </c>
      <c r="CK3" s="5" t="s">
        <v>150</v>
      </c>
      <c r="CL3" s="5" t="s">
        <v>146</v>
      </c>
      <c r="CM3" s="5" t="s">
        <v>76</v>
      </c>
      <c r="CQ3" s="5" t="s">
        <v>68</v>
      </c>
      <c r="CR3" s="5" t="s">
        <v>69</v>
      </c>
      <c r="CS3" s="5" t="s">
        <v>70</v>
      </c>
      <c r="CT3" s="5" t="s">
        <v>67</v>
      </c>
      <c r="CU3" s="5" t="s">
        <v>71</v>
      </c>
      <c r="CV3" s="5" t="s">
        <v>148</v>
      </c>
      <c r="CW3" s="5" t="s">
        <v>147</v>
      </c>
      <c r="CX3" s="5" t="s">
        <v>149</v>
      </c>
      <c r="CY3" s="5" t="s">
        <v>72</v>
      </c>
      <c r="CZ3" s="5" t="s">
        <v>73</v>
      </c>
      <c r="DA3" s="5" t="s">
        <v>74</v>
      </c>
      <c r="DB3" s="5" t="s">
        <v>75</v>
      </c>
      <c r="DC3" s="5" t="s">
        <v>150</v>
      </c>
      <c r="DD3" s="5" t="s">
        <v>146</v>
      </c>
      <c r="DE3" s="5" t="s">
        <v>76</v>
      </c>
      <c r="DI3" s="5" t="s">
        <v>68</v>
      </c>
      <c r="DJ3" s="5" t="s">
        <v>69</v>
      </c>
      <c r="DK3" s="5" t="s">
        <v>70</v>
      </c>
      <c r="DL3" s="5" t="s">
        <v>67</v>
      </c>
      <c r="DM3" s="5" t="s">
        <v>71</v>
      </c>
      <c r="DN3" s="5" t="s">
        <v>148</v>
      </c>
      <c r="DO3" s="5" t="s">
        <v>147</v>
      </c>
      <c r="DP3" s="5" t="s">
        <v>149</v>
      </c>
      <c r="DQ3" s="5" t="s">
        <v>72</v>
      </c>
      <c r="DR3" s="5" t="s">
        <v>73</v>
      </c>
      <c r="DS3" s="5" t="s">
        <v>74</v>
      </c>
      <c r="DT3" s="5" t="s">
        <v>75</v>
      </c>
      <c r="DU3" s="5" t="s">
        <v>150</v>
      </c>
      <c r="DV3" s="5" t="s">
        <v>146</v>
      </c>
      <c r="DW3" s="5" t="s">
        <v>76</v>
      </c>
      <c r="EA3" s="5" t="s">
        <v>68</v>
      </c>
      <c r="EB3" s="5" t="s">
        <v>69</v>
      </c>
      <c r="EC3" s="5" t="s">
        <v>70</v>
      </c>
      <c r="ED3" s="5" t="s">
        <v>67</v>
      </c>
      <c r="EE3" s="5" t="s">
        <v>71</v>
      </c>
      <c r="EF3" s="5" t="s">
        <v>148</v>
      </c>
      <c r="EG3" s="5" t="s">
        <v>147</v>
      </c>
      <c r="EH3" s="5" t="s">
        <v>149</v>
      </c>
      <c r="EI3" s="5" t="s">
        <v>72</v>
      </c>
      <c r="EJ3" s="5" t="s">
        <v>73</v>
      </c>
      <c r="EK3" s="5" t="s">
        <v>74</v>
      </c>
      <c r="EL3" s="5" t="s">
        <v>75</v>
      </c>
      <c r="EM3" s="5" t="s">
        <v>150</v>
      </c>
      <c r="EN3" s="5" t="s">
        <v>146</v>
      </c>
      <c r="EO3" s="5" t="s">
        <v>76</v>
      </c>
      <c r="ES3" s="5" t="s">
        <v>68</v>
      </c>
      <c r="ET3" s="5" t="s">
        <v>69</v>
      </c>
      <c r="EU3" s="5" t="s">
        <v>70</v>
      </c>
      <c r="EV3" s="5" t="s">
        <v>67</v>
      </c>
      <c r="EW3" s="5" t="s">
        <v>71</v>
      </c>
      <c r="EX3" s="5" t="s">
        <v>148</v>
      </c>
      <c r="EY3" s="5" t="s">
        <v>147</v>
      </c>
      <c r="EZ3" s="5" t="s">
        <v>149</v>
      </c>
      <c r="FA3" s="5" t="s">
        <v>72</v>
      </c>
      <c r="FB3" s="5" t="s">
        <v>73</v>
      </c>
      <c r="FC3" s="5" t="s">
        <v>74</v>
      </c>
      <c r="FD3" s="5" t="s">
        <v>75</v>
      </c>
      <c r="FE3" s="5" t="s">
        <v>150</v>
      </c>
      <c r="FF3" s="5" t="s">
        <v>146</v>
      </c>
      <c r="FG3" s="5" t="s">
        <v>76</v>
      </c>
      <c r="FK3" s="5" t="s">
        <v>68</v>
      </c>
      <c r="FL3" s="5" t="s">
        <v>69</v>
      </c>
      <c r="FM3" s="5" t="s">
        <v>70</v>
      </c>
      <c r="FN3" s="5" t="s">
        <v>67</v>
      </c>
      <c r="FO3" s="5" t="s">
        <v>71</v>
      </c>
      <c r="FP3" s="5" t="s">
        <v>148</v>
      </c>
      <c r="FQ3" s="5" t="s">
        <v>147</v>
      </c>
      <c r="FR3" s="5" t="s">
        <v>149</v>
      </c>
      <c r="FS3" s="5" t="s">
        <v>72</v>
      </c>
      <c r="FT3" s="5" t="s">
        <v>73</v>
      </c>
      <c r="FU3" s="5" t="s">
        <v>74</v>
      </c>
      <c r="FV3" s="5" t="s">
        <v>75</v>
      </c>
      <c r="FW3" s="5" t="s">
        <v>150</v>
      </c>
      <c r="FX3" s="5" t="s">
        <v>146</v>
      </c>
      <c r="FY3" s="5" t="s">
        <v>76</v>
      </c>
      <c r="GC3" s="5" t="s">
        <v>68</v>
      </c>
      <c r="GD3" s="5" t="s">
        <v>69</v>
      </c>
      <c r="GE3" s="5" t="s">
        <v>70</v>
      </c>
      <c r="GF3" s="5" t="s">
        <v>67</v>
      </c>
      <c r="GG3" s="5" t="s">
        <v>71</v>
      </c>
      <c r="GH3" s="5" t="s">
        <v>148</v>
      </c>
      <c r="GI3" s="5" t="s">
        <v>147</v>
      </c>
      <c r="GJ3" s="5" t="s">
        <v>149</v>
      </c>
      <c r="GK3" s="5" t="s">
        <v>72</v>
      </c>
      <c r="GL3" s="5" t="s">
        <v>73</v>
      </c>
      <c r="GM3" s="5" t="s">
        <v>74</v>
      </c>
      <c r="GN3" s="5" t="s">
        <v>75</v>
      </c>
      <c r="GO3" s="5" t="s">
        <v>150</v>
      </c>
      <c r="GP3" s="5" t="s">
        <v>146</v>
      </c>
      <c r="GQ3" s="5" t="s">
        <v>76</v>
      </c>
      <c r="GU3" s="5" t="s">
        <v>68</v>
      </c>
      <c r="GV3" s="5" t="s">
        <v>69</v>
      </c>
      <c r="GW3" s="5" t="s">
        <v>70</v>
      </c>
      <c r="GX3" s="5" t="s">
        <v>67</v>
      </c>
      <c r="GY3" s="5" t="s">
        <v>71</v>
      </c>
      <c r="GZ3" s="5" t="s">
        <v>148</v>
      </c>
      <c r="HA3" s="5" t="s">
        <v>147</v>
      </c>
      <c r="HB3" s="5" t="s">
        <v>149</v>
      </c>
      <c r="HC3" s="5" t="s">
        <v>72</v>
      </c>
      <c r="HD3" s="5" t="s">
        <v>73</v>
      </c>
      <c r="HE3" s="5" t="s">
        <v>74</v>
      </c>
      <c r="HF3" s="5" t="s">
        <v>75</v>
      </c>
      <c r="HG3" s="5" t="s">
        <v>150</v>
      </c>
      <c r="HH3" s="5" t="s">
        <v>146</v>
      </c>
      <c r="HI3" s="5" t="s">
        <v>76</v>
      </c>
      <c r="HM3" s="5" t="s">
        <v>68</v>
      </c>
      <c r="HN3" s="5" t="s">
        <v>69</v>
      </c>
      <c r="HO3" s="5" t="s">
        <v>70</v>
      </c>
      <c r="HP3" s="5" t="s">
        <v>67</v>
      </c>
      <c r="HQ3" s="5" t="s">
        <v>71</v>
      </c>
      <c r="HR3" s="5" t="s">
        <v>148</v>
      </c>
      <c r="HS3" s="5" t="s">
        <v>147</v>
      </c>
      <c r="HT3" s="5" t="s">
        <v>149</v>
      </c>
      <c r="HU3" s="5" t="s">
        <v>72</v>
      </c>
      <c r="HV3" s="5" t="s">
        <v>73</v>
      </c>
      <c r="HW3" s="5" t="s">
        <v>74</v>
      </c>
      <c r="HX3" s="5" t="s">
        <v>75</v>
      </c>
      <c r="HY3" s="5" t="s">
        <v>150</v>
      </c>
      <c r="HZ3" s="5" t="s">
        <v>146</v>
      </c>
      <c r="IA3" s="5" t="s">
        <v>76</v>
      </c>
    </row>
    <row r="4" spans="1:236" x14ac:dyDescent="0.35">
      <c r="B4" s="54" t="s">
        <v>79</v>
      </c>
      <c r="D4" s="56" t="s">
        <v>156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V4" s="53" t="str">
        <f>"THÁNG "&amp;W2&amp;"-THU HỒI"</f>
        <v>THÁNG 1-THU HỒI</v>
      </c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N4" s="53" t="str">
        <f>"THÁNG "&amp;AO2&amp;"-THU HỒI"</f>
        <v>THÁNG 2-THU HỒI</v>
      </c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F4" s="53" t="str">
        <f>"THÁNG "&amp;BG2&amp;"-THU HỒI"</f>
        <v>THÁNG 3-THU HỒI</v>
      </c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X4" s="53" t="str">
        <f>"THÁNG "&amp;BY2&amp;"-THU HỒI"</f>
        <v>THÁNG 4-THU HỒI</v>
      </c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P4" s="53" t="str">
        <f>"THÁNG "&amp;CQ2&amp;"-THU HỒI"</f>
        <v>THÁNG 5-THU HỒI</v>
      </c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H4" s="53" t="str">
        <f>"THÁNG "&amp;DI2&amp;"-THU HỒI"</f>
        <v>THÁNG 6-THU HỒI</v>
      </c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Z4" s="53" t="str">
        <f>"THÁNG "&amp;EA2&amp;"-THU HỒI"</f>
        <v>THÁNG 7-THU HỒI</v>
      </c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R4" s="53" t="str">
        <f>"THÁNG "&amp;ES2&amp;"-THU HỒI"</f>
        <v>THÁNG 8-THU HỒI</v>
      </c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J4" s="53" t="str">
        <f>"THÁNG "&amp;FK2&amp;"-THU HỒI"</f>
        <v>THÁNG 9-THU HỒI</v>
      </c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B4" s="53" t="str">
        <f>"THÁNG "&amp;GC2&amp;"-THU HỒI"</f>
        <v>THÁNG 10-THU HỒI</v>
      </c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T4" s="53" t="str">
        <f>"THÁNG "&amp;GU2&amp;"-THU HỒI"</f>
        <v>THÁNG 11-THU HỒI</v>
      </c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L4" s="53" t="str">
        <f>"THÁNG "&amp;HM2&amp;"-THU HỒI"</f>
        <v>THÁNG 12-THU HỒI</v>
      </c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</row>
    <row r="5" spans="1:236" x14ac:dyDescent="0.35">
      <c r="B5" s="55"/>
      <c r="D5" s="9" t="s">
        <v>155</v>
      </c>
      <c r="E5" s="31" t="s">
        <v>68</v>
      </c>
      <c r="F5" s="31" t="s">
        <v>69</v>
      </c>
      <c r="G5" s="31" t="s">
        <v>70</v>
      </c>
      <c r="H5" s="31" t="s">
        <v>67</v>
      </c>
      <c r="I5" s="31" t="s">
        <v>71</v>
      </c>
      <c r="J5" s="31" t="s">
        <v>148</v>
      </c>
      <c r="K5" s="31" t="s">
        <v>147</v>
      </c>
      <c r="L5" s="31" t="s">
        <v>149</v>
      </c>
      <c r="M5" s="31" t="s">
        <v>72</v>
      </c>
      <c r="N5" s="31" t="s">
        <v>73</v>
      </c>
      <c r="O5" s="31" t="s">
        <v>74</v>
      </c>
      <c r="P5" s="31" t="s">
        <v>75</v>
      </c>
      <c r="Q5" s="31" t="s">
        <v>150</v>
      </c>
      <c r="R5" s="31" t="s">
        <v>146</v>
      </c>
      <c r="S5" s="31" t="s">
        <v>76</v>
      </c>
      <c r="T5" s="9" t="s">
        <v>154</v>
      </c>
      <c r="V5" s="10" t="s">
        <v>155</v>
      </c>
      <c r="W5" s="32" t="s">
        <v>68</v>
      </c>
      <c r="X5" s="32" t="s">
        <v>69</v>
      </c>
      <c r="Y5" s="32" t="s">
        <v>70</v>
      </c>
      <c r="Z5" s="32" t="s">
        <v>67</v>
      </c>
      <c r="AA5" s="32" t="s">
        <v>71</v>
      </c>
      <c r="AB5" s="32" t="s">
        <v>148</v>
      </c>
      <c r="AC5" s="32" t="s">
        <v>147</v>
      </c>
      <c r="AD5" s="32" t="s">
        <v>149</v>
      </c>
      <c r="AE5" s="32" t="s">
        <v>72</v>
      </c>
      <c r="AF5" s="32" t="s">
        <v>73</v>
      </c>
      <c r="AG5" s="32" t="s">
        <v>74</v>
      </c>
      <c r="AH5" s="32" t="s">
        <v>75</v>
      </c>
      <c r="AI5" s="32" t="s">
        <v>150</v>
      </c>
      <c r="AJ5" s="32" t="s">
        <v>146</v>
      </c>
      <c r="AK5" s="32" t="s">
        <v>76</v>
      </c>
      <c r="AL5" s="10" t="s">
        <v>154</v>
      </c>
      <c r="AN5" s="10" t="s">
        <v>155</v>
      </c>
      <c r="AO5" s="32" t="s">
        <v>68</v>
      </c>
      <c r="AP5" s="32" t="s">
        <v>69</v>
      </c>
      <c r="AQ5" s="32" t="s">
        <v>70</v>
      </c>
      <c r="AR5" s="32" t="s">
        <v>67</v>
      </c>
      <c r="AS5" s="32" t="s">
        <v>71</v>
      </c>
      <c r="AT5" s="32" t="s">
        <v>148</v>
      </c>
      <c r="AU5" s="32" t="s">
        <v>147</v>
      </c>
      <c r="AV5" s="32" t="s">
        <v>149</v>
      </c>
      <c r="AW5" s="32" t="s">
        <v>72</v>
      </c>
      <c r="AX5" s="32" t="s">
        <v>73</v>
      </c>
      <c r="AY5" s="32" t="s">
        <v>74</v>
      </c>
      <c r="AZ5" s="32" t="s">
        <v>75</v>
      </c>
      <c r="BA5" s="32" t="s">
        <v>150</v>
      </c>
      <c r="BB5" s="32" t="s">
        <v>146</v>
      </c>
      <c r="BC5" s="32" t="s">
        <v>76</v>
      </c>
      <c r="BD5" s="10" t="s">
        <v>154</v>
      </c>
      <c r="BF5" s="10" t="s">
        <v>155</v>
      </c>
      <c r="BG5" s="32" t="s">
        <v>68</v>
      </c>
      <c r="BH5" s="32" t="s">
        <v>69</v>
      </c>
      <c r="BI5" s="32" t="s">
        <v>70</v>
      </c>
      <c r="BJ5" s="32" t="s">
        <v>67</v>
      </c>
      <c r="BK5" s="32" t="s">
        <v>71</v>
      </c>
      <c r="BL5" s="32" t="s">
        <v>148</v>
      </c>
      <c r="BM5" s="32" t="s">
        <v>147</v>
      </c>
      <c r="BN5" s="32" t="s">
        <v>149</v>
      </c>
      <c r="BO5" s="32" t="s">
        <v>72</v>
      </c>
      <c r="BP5" s="32" t="s">
        <v>73</v>
      </c>
      <c r="BQ5" s="32" t="s">
        <v>74</v>
      </c>
      <c r="BR5" s="32" t="s">
        <v>75</v>
      </c>
      <c r="BS5" s="32" t="s">
        <v>150</v>
      </c>
      <c r="BT5" s="32" t="s">
        <v>146</v>
      </c>
      <c r="BU5" s="32" t="s">
        <v>76</v>
      </c>
      <c r="BV5" s="10" t="s">
        <v>154</v>
      </c>
      <c r="BX5" s="10" t="s">
        <v>155</v>
      </c>
      <c r="BY5" s="32" t="s">
        <v>68</v>
      </c>
      <c r="BZ5" s="32" t="s">
        <v>69</v>
      </c>
      <c r="CA5" s="32" t="s">
        <v>70</v>
      </c>
      <c r="CB5" s="32" t="s">
        <v>67</v>
      </c>
      <c r="CC5" s="32" t="s">
        <v>71</v>
      </c>
      <c r="CD5" s="32" t="s">
        <v>148</v>
      </c>
      <c r="CE5" s="32" t="s">
        <v>147</v>
      </c>
      <c r="CF5" s="32" t="s">
        <v>149</v>
      </c>
      <c r="CG5" s="32" t="s">
        <v>72</v>
      </c>
      <c r="CH5" s="32" t="s">
        <v>73</v>
      </c>
      <c r="CI5" s="32" t="s">
        <v>74</v>
      </c>
      <c r="CJ5" s="32" t="s">
        <v>75</v>
      </c>
      <c r="CK5" s="32" t="s">
        <v>150</v>
      </c>
      <c r="CL5" s="32" t="s">
        <v>146</v>
      </c>
      <c r="CM5" s="32" t="s">
        <v>76</v>
      </c>
      <c r="CN5" s="10" t="s">
        <v>154</v>
      </c>
      <c r="CP5" s="10" t="s">
        <v>155</v>
      </c>
      <c r="CQ5" s="32" t="s">
        <v>68</v>
      </c>
      <c r="CR5" s="32" t="s">
        <v>69</v>
      </c>
      <c r="CS5" s="32" t="s">
        <v>70</v>
      </c>
      <c r="CT5" s="32" t="s">
        <v>67</v>
      </c>
      <c r="CU5" s="32" t="s">
        <v>71</v>
      </c>
      <c r="CV5" s="32" t="s">
        <v>148</v>
      </c>
      <c r="CW5" s="32" t="s">
        <v>147</v>
      </c>
      <c r="CX5" s="32" t="s">
        <v>149</v>
      </c>
      <c r="CY5" s="32" t="s">
        <v>72</v>
      </c>
      <c r="CZ5" s="32" t="s">
        <v>73</v>
      </c>
      <c r="DA5" s="32" t="s">
        <v>74</v>
      </c>
      <c r="DB5" s="32" t="s">
        <v>75</v>
      </c>
      <c r="DC5" s="32" t="s">
        <v>150</v>
      </c>
      <c r="DD5" s="32" t="s">
        <v>146</v>
      </c>
      <c r="DE5" s="32" t="s">
        <v>76</v>
      </c>
      <c r="DF5" s="10" t="s">
        <v>154</v>
      </c>
      <c r="DH5" s="10" t="s">
        <v>155</v>
      </c>
      <c r="DI5" s="32" t="s">
        <v>68</v>
      </c>
      <c r="DJ5" s="32" t="s">
        <v>69</v>
      </c>
      <c r="DK5" s="32" t="s">
        <v>70</v>
      </c>
      <c r="DL5" s="32" t="s">
        <v>67</v>
      </c>
      <c r="DM5" s="32" t="s">
        <v>71</v>
      </c>
      <c r="DN5" s="32" t="s">
        <v>148</v>
      </c>
      <c r="DO5" s="32" t="s">
        <v>147</v>
      </c>
      <c r="DP5" s="32" t="s">
        <v>149</v>
      </c>
      <c r="DQ5" s="32" t="s">
        <v>72</v>
      </c>
      <c r="DR5" s="32" t="s">
        <v>73</v>
      </c>
      <c r="DS5" s="32" t="s">
        <v>74</v>
      </c>
      <c r="DT5" s="32" t="s">
        <v>75</v>
      </c>
      <c r="DU5" s="32" t="s">
        <v>150</v>
      </c>
      <c r="DV5" s="32" t="s">
        <v>146</v>
      </c>
      <c r="DW5" s="32" t="s">
        <v>76</v>
      </c>
      <c r="DX5" s="10" t="s">
        <v>154</v>
      </c>
      <c r="DZ5" s="10" t="s">
        <v>155</v>
      </c>
      <c r="EA5" s="32" t="s">
        <v>68</v>
      </c>
      <c r="EB5" s="32" t="s">
        <v>69</v>
      </c>
      <c r="EC5" s="32" t="s">
        <v>70</v>
      </c>
      <c r="ED5" s="32" t="s">
        <v>67</v>
      </c>
      <c r="EE5" s="32" t="s">
        <v>71</v>
      </c>
      <c r="EF5" s="32" t="s">
        <v>148</v>
      </c>
      <c r="EG5" s="32" t="s">
        <v>147</v>
      </c>
      <c r="EH5" s="32" t="s">
        <v>149</v>
      </c>
      <c r="EI5" s="32" t="s">
        <v>72</v>
      </c>
      <c r="EJ5" s="32" t="s">
        <v>73</v>
      </c>
      <c r="EK5" s="32" t="s">
        <v>74</v>
      </c>
      <c r="EL5" s="32" t="s">
        <v>75</v>
      </c>
      <c r="EM5" s="32" t="s">
        <v>150</v>
      </c>
      <c r="EN5" s="32" t="s">
        <v>146</v>
      </c>
      <c r="EO5" s="32" t="s">
        <v>76</v>
      </c>
      <c r="EP5" s="10" t="s">
        <v>154</v>
      </c>
      <c r="ER5" s="10" t="s">
        <v>155</v>
      </c>
      <c r="ES5" s="32" t="s">
        <v>68</v>
      </c>
      <c r="ET5" s="32" t="s">
        <v>69</v>
      </c>
      <c r="EU5" s="32" t="s">
        <v>70</v>
      </c>
      <c r="EV5" s="32" t="s">
        <v>67</v>
      </c>
      <c r="EW5" s="32" t="s">
        <v>71</v>
      </c>
      <c r="EX5" s="32" t="s">
        <v>148</v>
      </c>
      <c r="EY5" s="32" t="s">
        <v>147</v>
      </c>
      <c r="EZ5" s="32" t="s">
        <v>149</v>
      </c>
      <c r="FA5" s="32" t="s">
        <v>72</v>
      </c>
      <c r="FB5" s="32" t="s">
        <v>73</v>
      </c>
      <c r="FC5" s="32" t="s">
        <v>74</v>
      </c>
      <c r="FD5" s="32" t="s">
        <v>75</v>
      </c>
      <c r="FE5" s="32" t="s">
        <v>150</v>
      </c>
      <c r="FF5" s="32" t="s">
        <v>146</v>
      </c>
      <c r="FG5" s="32" t="s">
        <v>76</v>
      </c>
      <c r="FH5" s="10" t="s">
        <v>154</v>
      </c>
      <c r="FJ5" s="10" t="s">
        <v>155</v>
      </c>
      <c r="FK5" s="32" t="s">
        <v>68</v>
      </c>
      <c r="FL5" s="32" t="s">
        <v>69</v>
      </c>
      <c r="FM5" s="32" t="s">
        <v>70</v>
      </c>
      <c r="FN5" s="32" t="s">
        <v>67</v>
      </c>
      <c r="FO5" s="32" t="s">
        <v>71</v>
      </c>
      <c r="FP5" s="32" t="s">
        <v>148</v>
      </c>
      <c r="FQ5" s="32" t="s">
        <v>147</v>
      </c>
      <c r="FR5" s="32" t="s">
        <v>149</v>
      </c>
      <c r="FS5" s="32" t="s">
        <v>72</v>
      </c>
      <c r="FT5" s="32" t="s">
        <v>73</v>
      </c>
      <c r="FU5" s="32" t="s">
        <v>74</v>
      </c>
      <c r="FV5" s="32" t="s">
        <v>75</v>
      </c>
      <c r="FW5" s="32" t="s">
        <v>150</v>
      </c>
      <c r="FX5" s="32" t="s">
        <v>146</v>
      </c>
      <c r="FY5" s="32" t="s">
        <v>76</v>
      </c>
      <c r="FZ5" s="10" t="s">
        <v>154</v>
      </c>
      <c r="GB5" s="10" t="s">
        <v>155</v>
      </c>
      <c r="GC5" s="32" t="s">
        <v>68</v>
      </c>
      <c r="GD5" s="32" t="s">
        <v>69</v>
      </c>
      <c r="GE5" s="32" t="s">
        <v>70</v>
      </c>
      <c r="GF5" s="32" t="s">
        <v>67</v>
      </c>
      <c r="GG5" s="32" t="s">
        <v>71</v>
      </c>
      <c r="GH5" s="32" t="s">
        <v>148</v>
      </c>
      <c r="GI5" s="32" t="s">
        <v>147</v>
      </c>
      <c r="GJ5" s="32" t="s">
        <v>149</v>
      </c>
      <c r="GK5" s="32" t="s">
        <v>72</v>
      </c>
      <c r="GL5" s="32" t="s">
        <v>73</v>
      </c>
      <c r="GM5" s="32" t="s">
        <v>74</v>
      </c>
      <c r="GN5" s="32" t="s">
        <v>75</v>
      </c>
      <c r="GO5" s="32" t="s">
        <v>150</v>
      </c>
      <c r="GP5" s="32" t="s">
        <v>146</v>
      </c>
      <c r="GQ5" s="32" t="s">
        <v>76</v>
      </c>
      <c r="GR5" s="10" t="s">
        <v>154</v>
      </c>
      <c r="GT5" s="10" t="s">
        <v>155</v>
      </c>
      <c r="GU5" s="32" t="s">
        <v>68</v>
      </c>
      <c r="GV5" s="32" t="s">
        <v>69</v>
      </c>
      <c r="GW5" s="32" t="s">
        <v>70</v>
      </c>
      <c r="GX5" s="32" t="s">
        <v>67</v>
      </c>
      <c r="GY5" s="32" t="s">
        <v>71</v>
      </c>
      <c r="GZ5" s="32" t="s">
        <v>148</v>
      </c>
      <c r="HA5" s="32" t="s">
        <v>147</v>
      </c>
      <c r="HB5" s="32" t="s">
        <v>149</v>
      </c>
      <c r="HC5" s="32" t="s">
        <v>72</v>
      </c>
      <c r="HD5" s="32" t="s">
        <v>73</v>
      </c>
      <c r="HE5" s="32" t="s">
        <v>74</v>
      </c>
      <c r="HF5" s="32" t="s">
        <v>75</v>
      </c>
      <c r="HG5" s="32" t="s">
        <v>150</v>
      </c>
      <c r="HH5" s="32" t="s">
        <v>146</v>
      </c>
      <c r="HI5" s="32" t="s">
        <v>76</v>
      </c>
      <c r="HJ5" s="10" t="s">
        <v>154</v>
      </c>
      <c r="HL5" s="10" t="s">
        <v>155</v>
      </c>
      <c r="HM5" s="32" t="s">
        <v>68</v>
      </c>
      <c r="HN5" s="32" t="s">
        <v>69</v>
      </c>
      <c r="HO5" s="32" t="s">
        <v>70</v>
      </c>
      <c r="HP5" s="32" t="s">
        <v>67</v>
      </c>
      <c r="HQ5" s="32" t="s">
        <v>71</v>
      </c>
      <c r="HR5" s="32" t="s">
        <v>148</v>
      </c>
      <c r="HS5" s="32" t="s">
        <v>147</v>
      </c>
      <c r="HT5" s="32" t="s">
        <v>149</v>
      </c>
      <c r="HU5" s="32" t="s">
        <v>72</v>
      </c>
      <c r="HV5" s="32" t="s">
        <v>73</v>
      </c>
      <c r="HW5" s="32" t="s">
        <v>74</v>
      </c>
      <c r="HX5" s="32" t="s">
        <v>75</v>
      </c>
      <c r="HY5" s="32" t="s">
        <v>150</v>
      </c>
      <c r="HZ5" s="32" t="s">
        <v>146</v>
      </c>
      <c r="IA5" s="32" t="s">
        <v>76</v>
      </c>
      <c r="IB5" s="10" t="s">
        <v>154</v>
      </c>
    </row>
    <row r="6" spans="1:236" x14ac:dyDescent="0.35">
      <c r="A6" s="5" t="s">
        <v>68</v>
      </c>
      <c r="B6" s="28" t="s">
        <v>68</v>
      </c>
      <c r="D6" s="30">
        <f>SUM('2026:2024'!D6)</f>
        <v>15928682.006999999</v>
      </c>
      <c r="E6" s="29">
        <f>SUM('2026:2024'!E6)</f>
        <v>13340733</v>
      </c>
      <c r="F6" s="29">
        <f>SUM('2026:2024'!F6)</f>
        <v>603400</v>
      </c>
      <c r="G6" s="29">
        <f>SUM('2026:2024'!G6)</f>
        <v>199061</v>
      </c>
      <c r="H6" s="29">
        <f>SUM('2026:2024'!H6)</f>
        <v>17600</v>
      </c>
      <c r="I6" s="29">
        <f>SUM('2026:2024'!I6)</f>
        <v>790003.5</v>
      </c>
      <c r="J6" s="29">
        <f>SUM('2026:2024'!J6)</f>
        <v>0</v>
      </c>
      <c r="K6" s="29">
        <f>SUM('2026:2024'!K6)</f>
        <v>0</v>
      </c>
      <c r="L6" s="29">
        <f>SUM('2026:2024'!L6)</f>
        <v>0</v>
      </c>
      <c r="M6" s="29">
        <f>SUM('2026:2024'!M6)</f>
        <v>103400</v>
      </c>
      <c r="N6" s="29">
        <f>SUM('2026:2024'!N6)</f>
        <v>23100</v>
      </c>
      <c r="O6" s="29">
        <f>SUM('2026:2024'!O6)</f>
        <v>39600</v>
      </c>
      <c r="P6" s="29">
        <f>SUM('2026:2024'!P6)</f>
        <v>72000</v>
      </c>
      <c r="Q6" s="29">
        <f>SUM('2026:2024'!Q6)</f>
        <v>0</v>
      </c>
      <c r="R6" s="29">
        <f>SUM('2026:2024'!R6)</f>
        <v>604935.245</v>
      </c>
      <c r="S6" s="29">
        <f>SUM('2026:2024'!S6)</f>
        <v>0</v>
      </c>
      <c r="T6" s="30">
        <f>SUM(E6:S6)</f>
        <v>15793832.744999999</v>
      </c>
      <c r="V6" s="30">
        <f>SUM('2026:2024'!V6)</f>
        <v>1008496</v>
      </c>
      <c r="W6" s="29">
        <f>SUM('2026:2024'!W6)</f>
        <v>895498</v>
      </c>
      <c r="X6" s="29">
        <f>SUM('2026:2024'!X6)</f>
        <v>17600</v>
      </c>
      <c r="Y6" s="29">
        <f>SUM('2026:2024'!Y6)</f>
        <v>2161</v>
      </c>
      <c r="Z6" s="29">
        <f>SUM('2026:2024'!Z6)</f>
        <v>5500</v>
      </c>
      <c r="AA6" s="29">
        <f>SUM('2026:2024'!AA6)</f>
        <v>44000</v>
      </c>
      <c r="AB6" s="29">
        <f>SUM('2026:2024'!AB6)</f>
        <v>0</v>
      </c>
      <c r="AC6" s="29">
        <f>SUM('2026:2024'!AC6)</f>
        <v>0</v>
      </c>
      <c r="AD6" s="29">
        <f>SUM('2026:2024'!AD6)</f>
        <v>0</v>
      </c>
      <c r="AE6" s="29">
        <f>SUM('2026:2024'!AE6)</f>
        <v>1100</v>
      </c>
      <c r="AF6" s="29">
        <f>SUM('2026:2024'!AF6)</f>
        <v>2200</v>
      </c>
      <c r="AG6" s="29">
        <f>SUM('2026:2024'!AG6)</f>
        <v>0</v>
      </c>
      <c r="AH6" s="29">
        <f>SUM('2026:2024'!AH6)</f>
        <v>0</v>
      </c>
      <c r="AI6" s="29">
        <f>SUM('2026:2024'!AI6)</f>
        <v>0</v>
      </c>
      <c r="AJ6" s="29">
        <f>SUM('2026:2024'!AJ6)</f>
        <v>33635</v>
      </c>
      <c r="AK6" s="29">
        <f>SUM('2026:2024'!AK6)</f>
        <v>0</v>
      </c>
      <c r="AL6" s="30">
        <f>SUM(W6:AK6)</f>
        <v>1001694</v>
      </c>
      <c r="AN6" s="30">
        <f>SUM('2026:2024'!AN6)</f>
        <v>1270781.0000000002</v>
      </c>
      <c r="AO6" s="29">
        <f>SUM('2026:2024'!AO6)</f>
        <v>1067133</v>
      </c>
      <c r="AP6" s="29">
        <f>SUM('2026:2024'!AP6)</f>
        <v>64900</v>
      </c>
      <c r="AQ6" s="29">
        <f>SUM('2026:2024'!AQ6)</f>
        <v>2200</v>
      </c>
      <c r="AR6" s="29">
        <f>SUM('2026:2024'!AR6)</f>
        <v>6600</v>
      </c>
      <c r="AS6" s="29">
        <f>SUM('2026:2024'!AS6)</f>
        <v>57200</v>
      </c>
      <c r="AT6" s="29">
        <f>SUM('2026:2024'!AT6)</f>
        <v>0</v>
      </c>
      <c r="AU6" s="29">
        <f>SUM('2026:2024'!AU6)</f>
        <v>0</v>
      </c>
      <c r="AV6" s="29">
        <f>SUM('2026:2024'!AV6)</f>
        <v>0</v>
      </c>
      <c r="AW6" s="29">
        <f>SUM('2026:2024'!AW6)</f>
        <v>4400</v>
      </c>
      <c r="AX6" s="29">
        <f>SUM('2026:2024'!AX6)</f>
        <v>4400</v>
      </c>
      <c r="AY6" s="29">
        <f>SUM('2026:2024'!AY6)</f>
        <v>0</v>
      </c>
      <c r="AZ6" s="29">
        <f>SUM('2026:2024'!AZ6)</f>
        <v>4400</v>
      </c>
      <c r="BA6" s="29">
        <f>SUM('2026:2024'!BA6)</f>
        <v>0</v>
      </c>
      <c r="BB6" s="29">
        <f>SUM('2026:2024'!BB6)</f>
        <v>50628</v>
      </c>
      <c r="BC6" s="29">
        <f>SUM('2026:2024'!BC6)</f>
        <v>0</v>
      </c>
      <c r="BD6" s="30">
        <f>SUM(AO6:BC6)</f>
        <v>1261861</v>
      </c>
      <c r="BF6" s="30">
        <f>SUM('2026:2024'!BF6)</f>
        <v>714030</v>
      </c>
      <c r="BG6" s="29">
        <f>SUM('2026:2024'!BG6)</f>
        <v>644600</v>
      </c>
      <c r="BH6" s="29">
        <f>SUM('2026:2024'!BH6)</f>
        <v>11000</v>
      </c>
      <c r="BI6" s="29">
        <f>SUM('2026:2024'!BI6)</f>
        <v>1100</v>
      </c>
      <c r="BJ6" s="29">
        <f>SUM('2026:2024'!BJ6)</f>
        <v>0</v>
      </c>
      <c r="BK6" s="29">
        <f>SUM('2026:2024'!BK6)</f>
        <v>11000</v>
      </c>
      <c r="BL6" s="29">
        <f>SUM('2026:2024'!BL6)</f>
        <v>0</v>
      </c>
      <c r="BM6" s="29">
        <f>SUM('2026:2024'!BM6)</f>
        <v>0</v>
      </c>
      <c r="BN6" s="29">
        <f>SUM('2026:2024'!BN6)</f>
        <v>0</v>
      </c>
      <c r="BO6" s="29">
        <f>SUM('2026:2024'!BO6)</f>
        <v>0</v>
      </c>
      <c r="BP6" s="29">
        <f>SUM('2026:2024'!BP6)</f>
        <v>6600.0000000000009</v>
      </c>
      <c r="BQ6" s="29">
        <f>SUM('2026:2024'!BQ6)</f>
        <v>0</v>
      </c>
      <c r="BR6" s="29">
        <f>SUM('2026:2024'!BR6)</f>
        <v>0</v>
      </c>
      <c r="BS6" s="29">
        <f>SUM('2026:2024'!BS6)</f>
        <v>0</v>
      </c>
      <c r="BT6" s="29">
        <f>SUM('2026:2024'!BT6)</f>
        <v>29585</v>
      </c>
      <c r="BU6" s="29">
        <f>SUM('2026:2024'!BU6)</f>
        <v>0</v>
      </c>
      <c r="BV6" s="30">
        <f>SUM(BG6:BU6)</f>
        <v>703885</v>
      </c>
      <c r="BX6" s="30">
        <f>SUM('2026:2024'!BX6)</f>
        <v>1111085.9999999995</v>
      </c>
      <c r="BY6" s="29">
        <f>SUM('2026:2024'!BY6)</f>
        <v>980100.00000000012</v>
      </c>
      <c r="BZ6" s="29">
        <f>SUM('2026:2024'!BZ6)</f>
        <v>20900</v>
      </c>
      <c r="CA6" s="29">
        <f>SUM('2026:2024'!CA6)</f>
        <v>47300</v>
      </c>
      <c r="CB6" s="29">
        <f>SUM('2026:2024'!CB6)</f>
        <v>0</v>
      </c>
      <c r="CC6" s="29">
        <f>SUM('2026:2024'!CC6)</f>
        <v>14300</v>
      </c>
      <c r="CD6" s="29">
        <f>SUM('2026:2024'!CD6)</f>
        <v>0</v>
      </c>
      <c r="CE6" s="29">
        <f>SUM('2026:2024'!CE6)</f>
        <v>0</v>
      </c>
      <c r="CF6" s="29">
        <f>SUM('2026:2024'!CF6)</f>
        <v>0</v>
      </c>
      <c r="CG6" s="29">
        <f>SUM('2026:2024'!CG6)</f>
        <v>2200</v>
      </c>
      <c r="CH6" s="29">
        <f>SUM('2026:2024'!CH6)</f>
        <v>2200</v>
      </c>
      <c r="CI6" s="29">
        <f>SUM('2026:2024'!CI6)</f>
        <v>0</v>
      </c>
      <c r="CJ6" s="29">
        <f>SUM('2026:2024'!CJ6)</f>
        <v>2200</v>
      </c>
      <c r="CK6" s="29">
        <f>SUM('2026:2024'!CK6)</f>
        <v>0</v>
      </c>
      <c r="CL6" s="29">
        <f>SUM('2026:2024'!CL6)</f>
        <v>25362.999999999996</v>
      </c>
      <c r="CM6" s="29">
        <f>SUM('2026:2024'!CM6)</f>
        <v>0</v>
      </c>
      <c r="CN6" s="30">
        <f>SUM(BY6:CM6)</f>
        <v>1094563</v>
      </c>
      <c r="CP6" s="30">
        <f>SUM('2026:2024'!CP6)</f>
        <v>732096</v>
      </c>
      <c r="CQ6" s="29">
        <f>SUM('2026:2024'!CQ6)</f>
        <v>526900</v>
      </c>
      <c r="CR6" s="29">
        <f>SUM('2026:2024'!CR6)</f>
        <v>129800</v>
      </c>
      <c r="CS6" s="29">
        <f>SUM('2026:2024'!CS6)</f>
        <v>0</v>
      </c>
      <c r="CT6" s="29">
        <f>SUM('2026:2024'!CT6)</f>
        <v>4400</v>
      </c>
      <c r="CU6" s="29">
        <f>SUM('2026:2024'!CU6)</f>
        <v>17600</v>
      </c>
      <c r="CV6" s="29">
        <f>SUM('2026:2024'!CV6)</f>
        <v>0</v>
      </c>
      <c r="CW6" s="29">
        <f>SUM('2026:2024'!CW6)</f>
        <v>0</v>
      </c>
      <c r="CX6" s="29">
        <f>SUM('2026:2024'!CX6)</f>
        <v>0</v>
      </c>
      <c r="CY6" s="29">
        <f>SUM('2026:2024'!CY6)</f>
        <v>1100</v>
      </c>
      <c r="CZ6" s="29">
        <f>SUM('2026:2024'!CZ6)</f>
        <v>0</v>
      </c>
      <c r="DA6" s="29">
        <f>SUM('2026:2024'!DA6)</f>
        <v>14300</v>
      </c>
      <c r="DB6" s="29">
        <f>SUM('2026:2024'!DB6)</f>
        <v>0</v>
      </c>
      <c r="DC6" s="29">
        <f>SUM('2026:2024'!DC6)</f>
        <v>0</v>
      </c>
      <c r="DD6" s="29">
        <f>SUM('2026:2024'!DD6)</f>
        <v>33304.5</v>
      </c>
      <c r="DE6" s="29">
        <f>SUM('2026:2024'!DE6)</f>
        <v>0</v>
      </c>
      <c r="DF6" s="30">
        <f>SUM(CQ6:DE6)</f>
        <v>727404.5</v>
      </c>
      <c r="DH6" s="30">
        <f>SUM('2026:2024'!DH6)</f>
        <v>770583</v>
      </c>
      <c r="DI6" s="29">
        <f>SUM('2026:2024'!DI6)</f>
        <v>669900</v>
      </c>
      <c r="DJ6" s="29">
        <f>SUM('2026:2024'!DJ6)</f>
        <v>30800</v>
      </c>
      <c r="DK6" s="29">
        <f>SUM('2026:2024'!DK6)</f>
        <v>0</v>
      </c>
      <c r="DL6" s="29">
        <f>SUM('2026:2024'!DL6)</f>
        <v>0</v>
      </c>
      <c r="DM6" s="29">
        <f>SUM('2026:2024'!DM6)</f>
        <v>7700</v>
      </c>
      <c r="DN6" s="29">
        <f>SUM('2026:2024'!DN6)</f>
        <v>0</v>
      </c>
      <c r="DO6" s="29">
        <f>SUM('2026:2024'!DO6)</f>
        <v>0</v>
      </c>
      <c r="DP6" s="29">
        <f>SUM('2026:2024'!DP6)</f>
        <v>0</v>
      </c>
      <c r="DQ6" s="29">
        <f>SUM('2026:2024'!DQ6)</f>
        <v>6600</v>
      </c>
      <c r="DR6" s="29">
        <f>SUM('2026:2024'!DR6)</f>
        <v>4400</v>
      </c>
      <c r="DS6" s="29">
        <f>SUM('2026:2024'!DS6)</f>
        <v>2200</v>
      </c>
      <c r="DT6" s="29">
        <f>SUM('2026:2024'!DT6)</f>
        <v>6600</v>
      </c>
      <c r="DU6" s="29">
        <f>SUM('2026:2024'!DU6)</f>
        <v>0</v>
      </c>
      <c r="DV6" s="29">
        <f>SUM('2026:2024'!DV6)</f>
        <v>31993.5</v>
      </c>
      <c r="DW6" s="29">
        <f>SUM('2026:2024'!DW6)</f>
        <v>0</v>
      </c>
      <c r="DX6" s="30">
        <f>SUM(DI6:DW6)</f>
        <v>760193.5</v>
      </c>
      <c r="DZ6" s="30">
        <f>SUM('2026:2024'!DZ6)</f>
        <v>848454.679</v>
      </c>
      <c r="EA6" s="29">
        <f>SUM('2026:2024'!EA6)</f>
        <v>657800</v>
      </c>
      <c r="EB6" s="29">
        <f>SUM('2026:2024'!EB6)</f>
        <v>70400</v>
      </c>
      <c r="EC6" s="29">
        <f>SUM('2026:2024'!EC6)</f>
        <v>7700</v>
      </c>
      <c r="ED6" s="29">
        <f>SUM('2026:2024'!ED6)</f>
        <v>0</v>
      </c>
      <c r="EE6" s="29">
        <f>SUM('2026:2024'!EE6)</f>
        <v>28600</v>
      </c>
      <c r="EF6" s="29">
        <f>SUM('2026:2024'!EF6)</f>
        <v>0</v>
      </c>
      <c r="EG6" s="29">
        <f>SUM('2026:2024'!EG6)</f>
        <v>0</v>
      </c>
      <c r="EH6" s="29">
        <f>SUM('2026:2024'!EH6)</f>
        <v>0</v>
      </c>
      <c r="EI6" s="29">
        <f>SUM('2026:2024'!EI6)</f>
        <v>11000</v>
      </c>
      <c r="EJ6" s="29">
        <f>SUM('2026:2024'!EJ6)</f>
        <v>0</v>
      </c>
      <c r="EK6" s="29">
        <f>SUM('2026:2024'!EK6)</f>
        <v>0</v>
      </c>
      <c r="EL6" s="29">
        <f>SUM('2026:2024'!EL6)</f>
        <v>6599.9999999999991</v>
      </c>
      <c r="EM6" s="29">
        <f>SUM('2026:2024'!EM6)</f>
        <v>0</v>
      </c>
      <c r="EN6" s="29">
        <f>SUM('2026:2024'!EN6)</f>
        <v>60858.399999999994</v>
      </c>
      <c r="EO6" s="29">
        <f>SUM('2026:2024'!EO6)</f>
        <v>0</v>
      </c>
      <c r="EP6" s="30">
        <f>SUM(EA6:EO6)</f>
        <v>842958.4</v>
      </c>
      <c r="ER6" s="30">
        <f>SUM('2026:2024'!ER6)</f>
        <v>1301515.9219999998</v>
      </c>
      <c r="ES6" s="29">
        <f>SUM('2026:2024'!ES6)</f>
        <v>1119800</v>
      </c>
      <c r="ET6" s="29">
        <f>SUM('2026:2024'!ET6)</f>
        <v>44245</v>
      </c>
      <c r="EU6" s="29">
        <f>SUM('2026:2024'!EU6)</f>
        <v>1100</v>
      </c>
      <c r="EV6" s="29">
        <f>SUM('2026:2024'!EV6)</f>
        <v>0</v>
      </c>
      <c r="EW6" s="29">
        <f>SUM('2026:2024'!EW6)</f>
        <v>59398.999999999993</v>
      </c>
      <c r="EX6" s="29">
        <f>SUM('2026:2024'!EX6)</f>
        <v>0</v>
      </c>
      <c r="EY6" s="29">
        <f>SUM('2026:2024'!EY6)</f>
        <v>0</v>
      </c>
      <c r="EZ6" s="29">
        <f>SUM('2026:2024'!EZ6)</f>
        <v>0</v>
      </c>
      <c r="FA6" s="29">
        <f>SUM('2026:2024'!FA6)</f>
        <v>0</v>
      </c>
      <c r="FB6" s="29">
        <f>SUM('2026:2024'!FB6)</f>
        <v>1100</v>
      </c>
      <c r="FC6" s="29">
        <f>SUM('2026:2024'!FC6)</f>
        <v>6599.9999999999991</v>
      </c>
      <c r="FD6" s="29">
        <f>SUM('2026:2024'!FD6)</f>
        <v>10400</v>
      </c>
      <c r="FE6" s="29">
        <f>SUM('2026:2024'!FE6)</f>
        <v>0</v>
      </c>
      <c r="FF6" s="29">
        <f>SUM('2026:2024'!FF6)</f>
        <v>47564</v>
      </c>
      <c r="FG6" s="29">
        <f>SUM('2026:2024'!FG6)</f>
        <v>0</v>
      </c>
      <c r="FH6" s="30">
        <f>SUM(ES6:FG6)</f>
        <v>1290208</v>
      </c>
      <c r="FJ6" s="30">
        <f>SUM('2026:2024'!FJ6)</f>
        <v>1894393.6510000003</v>
      </c>
      <c r="FK6" s="29">
        <f>SUM('2026:2024'!FK6)</f>
        <v>1568600.0000000002</v>
      </c>
      <c r="FL6" s="29">
        <f>SUM('2026:2024'!FL6)</f>
        <v>93855</v>
      </c>
      <c r="FM6" s="29">
        <f>SUM('2026:2024'!FM6)</f>
        <v>3300</v>
      </c>
      <c r="FN6" s="29">
        <f>SUM('2026:2024'!FN6)</f>
        <v>0</v>
      </c>
      <c r="FO6" s="29">
        <f>SUM('2026:2024'!FO6)</f>
        <v>159704.5</v>
      </c>
      <c r="FP6" s="29">
        <f>SUM('2026:2024'!FP6)</f>
        <v>0</v>
      </c>
      <c r="FQ6" s="29">
        <f>SUM('2026:2024'!FQ6)</f>
        <v>0</v>
      </c>
      <c r="FR6" s="29">
        <f>SUM('2026:2024'!FR6)</f>
        <v>0</v>
      </c>
      <c r="FS6" s="29">
        <f>SUM('2026:2024'!FS6)</f>
        <v>0</v>
      </c>
      <c r="FT6" s="29">
        <f>SUM('2026:2024'!FT6)</f>
        <v>0</v>
      </c>
      <c r="FU6" s="29">
        <f>SUM('2026:2024'!FU6)</f>
        <v>0</v>
      </c>
      <c r="FV6" s="29">
        <f>SUM('2026:2024'!FV6)</f>
        <v>1100</v>
      </c>
      <c r="FW6" s="29">
        <f>SUM('2026:2024'!FW6)</f>
        <v>0</v>
      </c>
      <c r="FX6" s="29">
        <f>SUM('2026:2024'!FX6)</f>
        <v>60934.445</v>
      </c>
      <c r="FY6" s="29">
        <f>SUM('2026:2024'!FY6)</f>
        <v>0</v>
      </c>
      <c r="FZ6" s="30">
        <f>SUM(FK6:FY6)</f>
        <v>1887493.9450000003</v>
      </c>
      <c r="GB6" s="30">
        <f>SUM('2026:2024'!GB6)</f>
        <v>2004780.0000000002</v>
      </c>
      <c r="GC6" s="29">
        <f>SUM('2026:2024'!GC6)</f>
        <v>1432202</v>
      </c>
      <c r="GD6" s="29">
        <f>SUM('2026:2024'!GD6)</f>
        <v>85800</v>
      </c>
      <c r="GE6" s="29">
        <f>SUM('2026:2024'!GE6)</f>
        <v>105600</v>
      </c>
      <c r="GF6" s="29">
        <f>SUM('2026:2024'!GF6)</f>
        <v>1100</v>
      </c>
      <c r="GG6" s="29">
        <f>SUM('2026:2024'!GG6)</f>
        <v>189200</v>
      </c>
      <c r="GH6" s="29">
        <f>SUM('2026:2024'!GH6)</f>
        <v>0</v>
      </c>
      <c r="GI6" s="29">
        <f>SUM('2026:2024'!GI6)</f>
        <v>0</v>
      </c>
      <c r="GJ6" s="29">
        <f>SUM('2026:2024'!GJ6)</f>
        <v>0</v>
      </c>
      <c r="GK6" s="29">
        <f>SUM('2026:2024'!GK6)</f>
        <v>59400</v>
      </c>
      <c r="GL6" s="29">
        <f>SUM('2026:2024'!GL6)</f>
        <v>0</v>
      </c>
      <c r="GM6" s="29">
        <f>SUM('2026:2024'!GM6)</f>
        <v>16500</v>
      </c>
      <c r="GN6" s="29">
        <f>SUM('2026:2024'!GN6)</f>
        <v>20900.000000000004</v>
      </c>
      <c r="GO6" s="29">
        <f>SUM('2026:2024'!GO6)</f>
        <v>0</v>
      </c>
      <c r="GP6" s="29">
        <f>SUM('2026:2024'!GP6)</f>
        <v>77582.399999999994</v>
      </c>
      <c r="GQ6" s="29">
        <f>SUM('2026:2024'!GQ6)</f>
        <v>0</v>
      </c>
      <c r="GR6" s="30">
        <f>SUM(GC6:GQ6)</f>
        <v>1988284.4</v>
      </c>
      <c r="GT6" s="30">
        <f>SUM('2026:2024'!GT6)</f>
        <v>2202565.7549999999</v>
      </c>
      <c r="GU6" s="29">
        <f>SUM('2026:2024'!GU6)</f>
        <v>1910400</v>
      </c>
      <c r="GV6" s="29">
        <f>SUM('2026:2024'!GV6)</f>
        <v>26400</v>
      </c>
      <c r="GW6" s="29">
        <f>SUM('2026:2024'!GW6)</f>
        <v>12100</v>
      </c>
      <c r="GX6" s="29">
        <f>SUM('2026:2024'!GX6)</f>
        <v>0</v>
      </c>
      <c r="GY6" s="29">
        <f>SUM('2026:2024'!GY6)</f>
        <v>147400</v>
      </c>
      <c r="GZ6" s="29">
        <f>SUM('2026:2024'!GZ6)</f>
        <v>0</v>
      </c>
      <c r="HA6" s="29">
        <f>SUM('2026:2024'!HA6)</f>
        <v>0</v>
      </c>
      <c r="HB6" s="29">
        <f>SUM('2026:2024'!HB6)</f>
        <v>0</v>
      </c>
      <c r="HC6" s="29">
        <f>SUM('2026:2024'!HC6)</f>
        <v>2200</v>
      </c>
      <c r="HD6" s="29">
        <f>SUM('2026:2024'!HD6)</f>
        <v>0</v>
      </c>
      <c r="HE6" s="29">
        <f>SUM('2026:2024'!HE6)</f>
        <v>0</v>
      </c>
      <c r="HF6" s="29">
        <f>SUM('2026:2024'!HF6)</f>
        <v>7700</v>
      </c>
      <c r="HG6" s="29">
        <f>SUM('2026:2024'!HG6)</f>
        <v>0</v>
      </c>
      <c r="HH6" s="29">
        <f>SUM('2026:2024'!HH6)</f>
        <v>76841</v>
      </c>
      <c r="HI6" s="29">
        <f>SUM('2026:2024'!HI6)</f>
        <v>0</v>
      </c>
      <c r="HJ6" s="30">
        <f>SUM(GU6:HI6)</f>
        <v>2183041</v>
      </c>
      <c r="HL6" s="30">
        <f>SUM('2026:2024'!HL6)</f>
        <v>2069900</v>
      </c>
      <c r="HM6" s="29">
        <f>SUM('2026:2024'!HM6)</f>
        <v>1867800</v>
      </c>
      <c r="HN6" s="29">
        <f>SUM('2026:2024'!HN6)</f>
        <v>7700</v>
      </c>
      <c r="HO6" s="29">
        <f>SUM('2026:2024'!HO6)</f>
        <v>16500</v>
      </c>
      <c r="HP6" s="29">
        <f>SUM('2026:2024'!HP6)</f>
        <v>0</v>
      </c>
      <c r="HQ6" s="29">
        <f>SUM('2026:2024'!HQ6)</f>
        <v>53899.999999999993</v>
      </c>
      <c r="HR6" s="29">
        <f>SUM('2026:2024'!HR6)</f>
        <v>0</v>
      </c>
      <c r="HS6" s="29">
        <f>SUM('2026:2024'!HS6)</f>
        <v>0</v>
      </c>
      <c r="HT6" s="29">
        <f>SUM('2026:2024'!HT6)</f>
        <v>0</v>
      </c>
      <c r="HU6" s="29">
        <f>SUM('2026:2024'!HU6)</f>
        <v>15400</v>
      </c>
      <c r="HV6" s="29">
        <f>SUM('2026:2024'!HV6)</f>
        <v>2199.9999999999995</v>
      </c>
      <c r="HW6" s="29">
        <f>SUM('2026:2024'!HW6)</f>
        <v>0</v>
      </c>
      <c r="HX6" s="29">
        <f>SUM('2026:2024'!HX6)</f>
        <v>12100</v>
      </c>
      <c r="HY6" s="29">
        <f>SUM('2026:2024'!HY6)</f>
        <v>0</v>
      </c>
      <c r="HZ6" s="29">
        <f>SUM('2026:2024'!HZ6)</f>
        <v>76646</v>
      </c>
      <c r="IA6" s="29">
        <f>SUM('2026:2024'!IA6)</f>
        <v>0</v>
      </c>
      <c r="IB6" s="30">
        <f>SUM(HM6:IA6)</f>
        <v>2052246</v>
      </c>
    </row>
    <row r="7" spans="1:236" x14ac:dyDescent="0.35">
      <c r="A7" s="5" t="s">
        <v>69</v>
      </c>
      <c r="B7" s="22" t="s">
        <v>69</v>
      </c>
      <c r="D7" s="25">
        <f>SUM('2026:2024'!D7)</f>
        <v>15035789.893000005</v>
      </c>
      <c r="E7" s="24">
        <f>SUM('2026:2024'!E7)</f>
        <v>293538</v>
      </c>
      <c r="F7" s="24">
        <f>SUM('2026:2024'!F7)</f>
        <v>12990577</v>
      </c>
      <c r="G7" s="24">
        <f>SUM('2026:2024'!G7)</f>
        <v>432300</v>
      </c>
      <c r="H7" s="24">
        <f>SUM('2026:2024'!H7)</f>
        <v>0</v>
      </c>
      <c r="I7" s="24">
        <f>SUM('2026:2024'!I7)</f>
        <v>189276.5</v>
      </c>
      <c r="J7" s="24">
        <f>SUM('2026:2024'!J7)</f>
        <v>0</v>
      </c>
      <c r="K7" s="24">
        <f>SUM('2026:2024'!K7)</f>
        <v>0</v>
      </c>
      <c r="L7" s="24">
        <f>SUM('2026:2024'!L7)</f>
        <v>0</v>
      </c>
      <c r="M7" s="24">
        <f>SUM('2026:2024'!M7)</f>
        <v>3300</v>
      </c>
      <c r="N7" s="24">
        <f>SUM('2026:2024'!N7)</f>
        <v>141900</v>
      </c>
      <c r="O7" s="24">
        <f>SUM('2026:2024'!O7)</f>
        <v>16500</v>
      </c>
      <c r="P7" s="24">
        <f>SUM('2026:2024'!P7)</f>
        <v>28650</v>
      </c>
      <c r="Q7" s="24">
        <f>SUM('2026:2024'!Q7)</f>
        <v>0</v>
      </c>
      <c r="R7" s="24">
        <f>SUM('2026:2024'!R7)</f>
        <v>799462.5</v>
      </c>
      <c r="S7" s="24">
        <f>SUM('2026:2024'!S7)</f>
        <v>3500</v>
      </c>
      <c r="T7" s="25">
        <f t="shared" ref="T7:T12" si="12">SUM(E7:S7)</f>
        <v>14899004</v>
      </c>
      <c r="V7" s="25">
        <f>SUM('2026:2024'!V7)</f>
        <v>535000</v>
      </c>
      <c r="W7" s="24">
        <f>SUM('2026:2024'!W7)</f>
        <v>8800</v>
      </c>
      <c r="X7" s="24">
        <f>SUM('2026:2024'!X7)</f>
        <v>492800</v>
      </c>
      <c r="Y7" s="24">
        <f>SUM('2026:2024'!Y7)</f>
        <v>2200</v>
      </c>
      <c r="Z7" s="24">
        <f>SUM('2026:2024'!Z7)</f>
        <v>0</v>
      </c>
      <c r="AA7" s="24">
        <f>SUM('2026:2024'!AA7)</f>
        <v>5500</v>
      </c>
      <c r="AB7" s="24">
        <f>SUM('2026:2024'!AB7)</f>
        <v>0</v>
      </c>
      <c r="AC7" s="24">
        <f>SUM('2026:2024'!AC7)</f>
        <v>0</v>
      </c>
      <c r="AD7" s="24">
        <f>SUM('2026:2024'!AD7)</f>
        <v>0</v>
      </c>
      <c r="AE7" s="24">
        <f>SUM('2026:2024'!AE7)</f>
        <v>0</v>
      </c>
      <c r="AF7" s="24">
        <f>SUM('2026:2024'!AF7)</f>
        <v>1100</v>
      </c>
      <c r="AG7" s="24">
        <f>SUM('2026:2024'!AG7)</f>
        <v>0</v>
      </c>
      <c r="AH7" s="24">
        <f>SUM('2026:2024'!AH7)</f>
        <v>2200</v>
      </c>
      <c r="AI7" s="24">
        <f>SUM('2026:2024'!AI7)</f>
        <v>0</v>
      </c>
      <c r="AJ7" s="24">
        <f>SUM('2026:2024'!AJ7)</f>
        <v>18277.5</v>
      </c>
      <c r="AK7" s="24">
        <f>SUM('2026:2024'!AK7)</f>
        <v>0</v>
      </c>
      <c r="AL7" s="25">
        <f t="shared" ref="AL7:AL12" si="13">SUM(W7:AK7)</f>
        <v>530877.5</v>
      </c>
      <c r="AN7" s="25">
        <f>SUM('2026:2024'!AN7)</f>
        <v>857700.00000000035</v>
      </c>
      <c r="AO7" s="24">
        <f>SUM('2026:2024'!AO7)</f>
        <v>1100</v>
      </c>
      <c r="AP7" s="24">
        <f>SUM('2026:2024'!AP7)</f>
        <v>737440</v>
      </c>
      <c r="AQ7" s="24">
        <f>SUM('2026:2024'!AQ7)</f>
        <v>6600</v>
      </c>
      <c r="AR7" s="24">
        <f>SUM('2026:2024'!AR7)</f>
        <v>0</v>
      </c>
      <c r="AS7" s="24">
        <f>SUM('2026:2024'!AS7)</f>
        <v>19800</v>
      </c>
      <c r="AT7" s="24">
        <f>SUM('2026:2024'!AT7)</f>
        <v>0</v>
      </c>
      <c r="AU7" s="24">
        <f>SUM('2026:2024'!AU7)</f>
        <v>0</v>
      </c>
      <c r="AV7" s="24">
        <f>SUM('2026:2024'!AV7)</f>
        <v>0</v>
      </c>
      <c r="AW7" s="24">
        <f>SUM('2026:2024'!AW7)</f>
        <v>0</v>
      </c>
      <c r="AX7" s="24">
        <f>SUM('2026:2024'!AX7)</f>
        <v>24200</v>
      </c>
      <c r="AY7" s="24">
        <f>SUM('2026:2024'!AY7)</f>
        <v>0</v>
      </c>
      <c r="AZ7" s="24">
        <f>SUM('2026:2024'!AZ7)</f>
        <v>5500</v>
      </c>
      <c r="BA7" s="24">
        <f>SUM('2026:2024'!BA7)</f>
        <v>0</v>
      </c>
      <c r="BB7" s="24">
        <f>SUM('2026:2024'!BB7)</f>
        <v>61044</v>
      </c>
      <c r="BC7" s="24">
        <f>SUM('2026:2024'!BC7)</f>
        <v>0</v>
      </c>
      <c r="BD7" s="25">
        <f t="shared" ref="BD7:BD12" si="14">SUM(AO7:BC7)</f>
        <v>855684</v>
      </c>
      <c r="BF7" s="25">
        <f>SUM('2026:2024'!BF7)</f>
        <v>2126498.9999999995</v>
      </c>
      <c r="BG7" s="24">
        <f>SUM('2026:2024'!BG7)</f>
        <v>11000</v>
      </c>
      <c r="BH7" s="24">
        <f>SUM('2026:2024'!BH7)</f>
        <v>1915100</v>
      </c>
      <c r="BI7" s="24">
        <f>SUM('2026:2024'!BI7)</f>
        <v>39600</v>
      </c>
      <c r="BJ7" s="24">
        <f>SUM('2026:2024'!BJ7)</f>
        <v>0</v>
      </c>
      <c r="BK7" s="24">
        <f>SUM('2026:2024'!BK7)</f>
        <v>23015.000000000004</v>
      </c>
      <c r="BL7" s="24">
        <f>SUM('2026:2024'!BL7)</f>
        <v>0</v>
      </c>
      <c r="BM7" s="24">
        <f>SUM('2026:2024'!BM7)</f>
        <v>0</v>
      </c>
      <c r="BN7" s="24">
        <f>SUM('2026:2024'!BN7)</f>
        <v>0</v>
      </c>
      <c r="BO7" s="24">
        <f>SUM('2026:2024'!BO7)</f>
        <v>0</v>
      </c>
      <c r="BP7" s="24">
        <f>SUM('2026:2024'!BP7)</f>
        <v>13200</v>
      </c>
      <c r="BQ7" s="24">
        <f>SUM('2026:2024'!BQ7)</f>
        <v>1100</v>
      </c>
      <c r="BR7" s="24">
        <f>SUM('2026:2024'!BR7)</f>
        <v>1100</v>
      </c>
      <c r="BS7" s="24">
        <f>SUM('2026:2024'!BS7)</f>
        <v>0</v>
      </c>
      <c r="BT7" s="24">
        <f>SUM('2026:2024'!BT7)</f>
        <v>103885</v>
      </c>
      <c r="BU7" s="24">
        <f>SUM('2026:2024'!BU7)</f>
        <v>3500</v>
      </c>
      <c r="BV7" s="25">
        <f t="shared" ref="BV7:BV12" si="15">SUM(BG7:BU7)</f>
        <v>2111500</v>
      </c>
      <c r="BX7" s="25">
        <f>SUM('2026:2024'!BX7)</f>
        <v>1737443</v>
      </c>
      <c r="BY7" s="24">
        <f>SUM('2026:2024'!BY7)</f>
        <v>0</v>
      </c>
      <c r="BZ7" s="24">
        <f>SUM('2026:2024'!BZ7)</f>
        <v>1502936</v>
      </c>
      <c r="CA7" s="24">
        <f>SUM('2026:2024'!CA7)</f>
        <v>39600</v>
      </c>
      <c r="CB7" s="24">
        <f>SUM('2026:2024'!CB7)</f>
        <v>0</v>
      </c>
      <c r="CC7" s="24">
        <f>SUM('2026:2024'!CC7)</f>
        <v>12744.999999999996</v>
      </c>
      <c r="CD7" s="24">
        <f>SUM('2026:2024'!CD7)</f>
        <v>0</v>
      </c>
      <c r="CE7" s="24">
        <f>SUM('2026:2024'!CE7)</f>
        <v>0</v>
      </c>
      <c r="CF7" s="24">
        <f>SUM('2026:2024'!CF7)</f>
        <v>0</v>
      </c>
      <c r="CG7" s="24">
        <f>SUM('2026:2024'!CG7)</f>
        <v>0</v>
      </c>
      <c r="CH7" s="24">
        <f>SUM('2026:2024'!CH7)</f>
        <v>33000.000000000015</v>
      </c>
      <c r="CI7" s="24">
        <f>SUM('2026:2024'!CI7)</f>
        <v>7700</v>
      </c>
      <c r="CJ7" s="24">
        <f>SUM('2026:2024'!CJ7)</f>
        <v>12150.000000000002</v>
      </c>
      <c r="CK7" s="24">
        <f>SUM('2026:2024'!CK7)</f>
        <v>0</v>
      </c>
      <c r="CL7" s="24">
        <f>SUM('2026:2024'!CL7)</f>
        <v>118923.00000000001</v>
      </c>
      <c r="CM7" s="24">
        <f>SUM('2026:2024'!CM7)</f>
        <v>0</v>
      </c>
      <c r="CN7" s="25">
        <f t="shared" ref="CN7:CN12" si="16">SUM(BY7:CM7)</f>
        <v>1727054</v>
      </c>
      <c r="CP7" s="25">
        <f>SUM('2026:2024'!CP7)</f>
        <v>1457049</v>
      </c>
      <c r="CQ7" s="24">
        <f>SUM('2026:2024'!CQ7)</f>
        <v>2200</v>
      </c>
      <c r="CR7" s="24">
        <f>SUM('2026:2024'!CR7)</f>
        <v>1322200</v>
      </c>
      <c r="CS7" s="24">
        <f>SUM('2026:2024'!CS7)</f>
        <v>23100</v>
      </c>
      <c r="CT7" s="24">
        <f>SUM('2026:2024'!CT7)</f>
        <v>0</v>
      </c>
      <c r="CU7" s="24">
        <f>SUM('2026:2024'!CU7)</f>
        <v>18700</v>
      </c>
      <c r="CV7" s="24">
        <f>SUM('2026:2024'!CV7)</f>
        <v>0</v>
      </c>
      <c r="CW7" s="24">
        <f>SUM('2026:2024'!CW7)</f>
        <v>0</v>
      </c>
      <c r="CX7" s="24">
        <f>SUM('2026:2024'!CX7)</f>
        <v>0</v>
      </c>
      <c r="CY7" s="24">
        <f>SUM('2026:2024'!CY7)</f>
        <v>0</v>
      </c>
      <c r="CZ7" s="24">
        <f>SUM('2026:2024'!CZ7)</f>
        <v>11000</v>
      </c>
      <c r="DA7" s="24">
        <f>SUM('2026:2024'!DA7)</f>
        <v>2200</v>
      </c>
      <c r="DB7" s="24">
        <f>SUM('2026:2024'!DB7)</f>
        <v>1100</v>
      </c>
      <c r="DC7" s="24">
        <f>SUM('2026:2024'!DC7)</f>
        <v>0</v>
      </c>
      <c r="DD7" s="24">
        <f>SUM('2026:2024'!DD7)</f>
        <v>58401</v>
      </c>
      <c r="DE7" s="24">
        <f>SUM('2026:2024'!DE7)</f>
        <v>0</v>
      </c>
      <c r="DF7" s="25">
        <f t="shared" ref="DF7:DF12" si="17">SUM(CQ7:DE7)</f>
        <v>1438901</v>
      </c>
      <c r="DH7" s="25">
        <f>SUM('2026:2024'!DH7)</f>
        <v>2115446.75</v>
      </c>
      <c r="DI7" s="24">
        <f>SUM('2026:2024'!DI7)</f>
        <v>37400</v>
      </c>
      <c r="DJ7" s="24">
        <f>SUM('2026:2024'!DJ7)</f>
        <v>1905200</v>
      </c>
      <c r="DK7" s="24">
        <f>SUM('2026:2024'!DK7)</f>
        <v>27500</v>
      </c>
      <c r="DL7" s="24">
        <f>SUM('2026:2024'!DL7)</f>
        <v>0</v>
      </c>
      <c r="DM7" s="24">
        <f>SUM('2026:2024'!DM7)</f>
        <v>4400</v>
      </c>
      <c r="DN7" s="24">
        <f>SUM('2026:2024'!DN7)</f>
        <v>0</v>
      </c>
      <c r="DO7" s="24">
        <f>SUM('2026:2024'!DO7)</f>
        <v>0</v>
      </c>
      <c r="DP7" s="24">
        <f>SUM('2026:2024'!DP7)</f>
        <v>0</v>
      </c>
      <c r="DQ7" s="24">
        <f>SUM('2026:2024'!DQ7)</f>
        <v>0</v>
      </c>
      <c r="DR7" s="24">
        <f>SUM('2026:2024'!DR7)</f>
        <v>12100</v>
      </c>
      <c r="DS7" s="24">
        <f>SUM('2026:2024'!DS7)</f>
        <v>2200</v>
      </c>
      <c r="DT7" s="24">
        <f>SUM('2026:2024'!DT7)</f>
        <v>4400</v>
      </c>
      <c r="DU7" s="24">
        <f>SUM('2026:2024'!DU7)</f>
        <v>0</v>
      </c>
      <c r="DV7" s="24">
        <f>SUM('2026:2024'!DV7)</f>
        <v>91173</v>
      </c>
      <c r="DW7" s="24">
        <f>SUM('2026:2024'!DW7)</f>
        <v>0</v>
      </c>
      <c r="DX7" s="25">
        <f t="shared" ref="DX7:DX12" si="18">SUM(DI7:DW7)</f>
        <v>2084373</v>
      </c>
      <c r="DZ7" s="25">
        <f>SUM('2026:2024'!DZ7)</f>
        <v>1613617.7900000003</v>
      </c>
      <c r="EA7" s="24">
        <f>SUM('2026:2024'!EA7)</f>
        <v>112200</v>
      </c>
      <c r="EB7" s="24">
        <f>SUM('2026:2024'!EB7)</f>
        <v>1305700</v>
      </c>
      <c r="EC7" s="24">
        <f>SUM('2026:2024'!EC7)</f>
        <v>68200</v>
      </c>
      <c r="ED7" s="24">
        <f>SUM('2026:2024'!ED7)</f>
        <v>0</v>
      </c>
      <c r="EE7" s="24">
        <f>SUM('2026:2024'!EE7)</f>
        <v>22000.000000000007</v>
      </c>
      <c r="EF7" s="24">
        <f>SUM('2026:2024'!EF7)</f>
        <v>0</v>
      </c>
      <c r="EG7" s="24">
        <f>SUM('2026:2024'!EG7)</f>
        <v>0</v>
      </c>
      <c r="EH7" s="24">
        <f>SUM('2026:2024'!EH7)</f>
        <v>0</v>
      </c>
      <c r="EI7" s="24">
        <f>SUM('2026:2024'!EI7)</f>
        <v>0</v>
      </c>
      <c r="EJ7" s="24">
        <f>SUM('2026:2024'!EJ7)</f>
        <v>12100</v>
      </c>
      <c r="EK7" s="24">
        <f>SUM('2026:2024'!EK7)</f>
        <v>0</v>
      </c>
      <c r="EL7" s="24">
        <f>SUM('2026:2024'!EL7)</f>
        <v>0</v>
      </c>
      <c r="EM7" s="24">
        <f>SUM('2026:2024'!EM7)</f>
        <v>0</v>
      </c>
      <c r="EN7" s="24">
        <f>SUM('2026:2024'!EN7)</f>
        <v>76827</v>
      </c>
      <c r="EO7" s="24">
        <f>SUM('2026:2024'!EO7)</f>
        <v>0</v>
      </c>
      <c r="EP7" s="25">
        <f t="shared" ref="EP7:EP12" si="19">SUM(EA7:EO7)</f>
        <v>1597027</v>
      </c>
      <c r="ER7" s="25">
        <f>SUM('2026:2024'!ER7)</f>
        <v>1403140.8529999999</v>
      </c>
      <c r="ES7" s="24">
        <f>SUM('2026:2024'!ES7)</f>
        <v>91299.999999999985</v>
      </c>
      <c r="ET7" s="24">
        <f>SUM('2026:2024'!ET7)</f>
        <v>1106600</v>
      </c>
      <c r="EU7" s="24">
        <f>SUM('2026:2024'!EU7)</f>
        <v>69300</v>
      </c>
      <c r="EV7" s="24">
        <f>SUM('2026:2024'!EV7)</f>
        <v>0</v>
      </c>
      <c r="EW7" s="24">
        <f>SUM('2026:2024'!EW7)</f>
        <v>14299.999999999998</v>
      </c>
      <c r="EX7" s="24">
        <f>SUM('2026:2024'!EX7)</f>
        <v>0</v>
      </c>
      <c r="EY7" s="24">
        <f>SUM('2026:2024'!EY7)</f>
        <v>0</v>
      </c>
      <c r="EZ7" s="24">
        <f>SUM('2026:2024'!EZ7)</f>
        <v>0</v>
      </c>
      <c r="FA7" s="24">
        <f>SUM('2026:2024'!FA7)</f>
        <v>0</v>
      </c>
      <c r="FB7" s="24">
        <f>SUM('2026:2024'!FB7)</f>
        <v>14299.999999999998</v>
      </c>
      <c r="FC7" s="24">
        <f>SUM('2026:2024'!FC7)</f>
        <v>3300</v>
      </c>
      <c r="FD7" s="24">
        <f>SUM('2026:2024'!FD7)</f>
        <v>2200</v>
      </c>
      <c r="FE7" s="24">
        <f>SUM('2026:2024'!FE7)</f>
        <v>0</v>
      </c>
      <c r="FF7" s="24">
        <f>SUM('2026:2024'!FF7)</f>
        <v>84995</v>
      </c>
      <c r="FG7" s="24">
        <f>SUM('2026:2024'!FG7)</f>
        <v>0</v>
      </c>
      <c r="FH7" s="25">
        <f t="shared" ref="FH7:FH12" si="20">SUM(ES7:FG7)</f>
        <v>1386295</v>
      </c>
      <c r="FJ7" s="25">
        <f>SUM('2026:2024'!FJ7)</f>
        <v>961237.99999999988</v>
      </c>
      <c r="FK7" s="24">
        <f>SUM('2026:2024'!FK7)</f>
        <v>0</v>
      </c>
      <c r="FL7" s="24">
        <f>SUM('2026:2024'!FL7)</f>
        <v>847000</v>
      </c>
      <c r="FM7" s="24">
        <f>SUM('2026:2024'!FM7)</f>
        <v>40700.000000000007</v>
      </c>
      <c r="FN7" s="24">
        <f>SUM('2026:2024'!FN7)</f>
        <v>0</v>
      </c>
      <c r="FO7" s="24">
        <f>SUM('2026:2024'!FO7)</f>
        <v>13200</v>
      </c>
      <c r="FP7" s="24">
        <f>SUM('2026:2024'!FP7)</f>
        <v>0</v>
      </c>
      <c r="FQ7" s="24">
        <f>SUM('2026:2024'!FQ7)</f>
        <v>0</v>
      </c>
      <c r="FR7" s="24">
        <f>SUM('2026:2024'!FR7)</f>
        <v>0</v>
      </c>
      <c r="FS7" s="24">
        <f>SUM('2026:2024'!FS7)</f>
        <v>0</v>
      </c>
      <c r="FT7" s="24">
        <f>SUM('2026:2024'!FT7)</f>
        <v>8800</v>
      </c>
      <c r="FU7" s="24">
        <f>SUM('2026:2024'!FU7)</f>
        <v>0</v>
      </c>
      <c r="FV7" s="24">
        <f>SUM('2026:2024'!FV7)</f>
        <v>0</v>
      </c>
      <c r="FW7" s="24">
        <f>SUM('2026:2024'!FW7)</f>
        <v>0</v>
      </c>
      <c r="FX7" s="24">
        <f>SUM('2026:2024'!FX7)</f>
        <v>38032</v>
      </c>
      <c r="FY7" s="24">
        <f>SUM('2026:2024'!FY7)</f>
        <v>0</v>
      </c>
      <c r="FZ7" s="25">
        <f t="shared" ref="FZ7:FZ12" si="21">SUM(FK7:FY7)</f>
        <v>947732</v>
      </c>
      <c r="GB7" s="25">
        <f>SUM('2026:2024'!GB7)</f>
        <v>578641.5</v>
      </c>
      <c r="GC7" s="24">
        <f>SUM('2026:2024'!GC7)</f>
        <v>16338</v>
      </c>
      <c r="GD7" s="24">
        <f>SUM('2026:2024'!GD7)</f>
        <v>484000</v>
      </c>
      <c r="GE7" s="24">
        <f>SUM('2026:2024'!GE7)</f>
        <v>11000</v>
      </c>
      <c r="GF7" s="24">
        <f>SUM('2026:2024'!GF7)</f>
        <v>0</v>
      </c>
      <c r="GG7" s="24">
        <f>SUM('2026:2024'!GG7)</f>
        <v>13816.5</v>
      </c>
      <c r="GH7" s="24">
        <f>SUM('2026:2024'!GH7)</f>
        <v>0</v>
      </c>
      <c r="GI7" s="24">
        <f>SUM('2026:2024'!GI7)</f>
        <v>0</v>
      </c>
      <c r="GJ7" s="24">
        <f>SUM('2026:2024'!GJ7)</f>
        <v>0</v>
      </c>
      <c r="GK7" s="24">
        <f>SUM('2026:2024'!GK7)</f>
        <v>0</v>
      </c>
      <c r="GL7" s="24">
        <f>SUM('2026:2024'!GL7)</f>
        <v>12100</v>
      </c>
      <c r="GM7" s="24">
        <f>SUM('2026:2024'!GM7)</f>
        <v>0</v>
      </c>
      <c r="GN7" s="24">
        <f>SUM('2026:2024'!GN7)</f>
        <v>0</v>
      </c>
      <c r="GO7" s="24">
        <f>SUM('2026:2024'!GO7)</f>
        <v>0</v>
      </c>
      <c r="GP7" s="24">
        <f>SUM('2026:2024'!GP7)</f>
        <v>38358</v>
      </c>
      <c r="GQ7" s="24">
        <f>SUM('2026:2024'!GQ7)</f>
        <v>0</v>
      </c>
      <c r="GR7" s="25">
        <f t="shared" ref="GR7:GR12" si="22">SUM(GC7:GQ7)</f>
        <v>575612.5</v>
      </c>
      <c r="GT7" s="25">
        <f>SUM('2026:2024'!GT7)</f>
        <v>1447334.0000000002</v>
      </c>
      <c r="GU7" s="24">
        <f>SUM('2026:2024'!GU7)</f>
        <v>13200</v>
      </c>
      <c r="GV7" s="24">
        <f>SUM('2026:2024'!GV7)</f>
        <v>1211001.0000000002</v>
      </c>
      <c r="GW7" s="24">
        <f>SUM('2026:2024'!GW7)</f>
        <v>82500</v>
      </c>
      <c r="GX7" s="24">
        <f>SUM('2026:2024'!GX7)</f>
        <v>0</v>
      </c>
      <c r="GY7" s="24">
        <f>SUM('2026:2024'!GY7)</f>
        <v>41800</v>
      </c>
      <c r="GZ7" s="24">
        <f>SUM('2026:2024'!GZ7)</f>
        <v>0</v>
      </c>
      <c r="HA7" s="24">
        <f>SUM('2026:2024'!HA7)</f>
        <v>0</v>
      </c>
      <c r="HB7" s="24">
        <f>SUM('2026:2024'!HB7)</f>
        <v>0</v>
      </c>
      <c r="HC7" s="24">
        <f>SUM('2026:2024'!HC7)</f>
        <v>0</v>
      </c>
      <c r="HD7" s="24">
        <f>SUM('2026:2024'!HD7)</f>
        <v>0</v>
      </c>
      <c r="HE7" s="24">
        <f>SUM('2026:2024'!HE7)</f>
        <v>0</v>
      </c>
      <c r="HF7" s="24">
        <f>SUM('2026:2024'!HF7)</f>
        <v>0</v>
      </c>
      <c r="HG7" s="24">
        <f>SUM('2026:2024'!HG7)</f>
        <v>0</v>
      </c>
      <c r="HH7" s="24">
        <f>SUM('2026:2024'!HH7)</f>
        <v>94127.999999999985</v>
      </c>
      <c r="HI7" s="24">
        <f>SUM('2026:2024'!HI7)</f>
        <v>0</v>
      </c>
      <c r="HJ7" s="25">
        <f t="shared" ref="HJ7:HJ12" si="23">SUM(GU7:HI7)</f>
        <v>1442629.0000000002</v>
      </c>
      <c r="HL7" s="25">
        <f>SUM('2026:2024'!HL7)</f>
        <v>202680.00000000003</v>
      </c>
      <c r="HM7" s="24">
        <f>SUM('2026:2024'!HM7)</f>
        <v>0</v>
      </c>
      <c r="HN7" s="24">
        <f>SUM('2026:2024'!HN7)</f>
        <v>160600</v>
      </c>
      <c r="HO7" s="24">
        <f>SUM('2026:2024'!HO7)</f>
        <v>22000</v>
      </c>
      <c r="HP7" s="24">
        <f>SUM('2026:2024'!HP7)</f>
        <v>0</v>
      </c>
      <c r="HQ7" s="24">
        <f>SUM('2026:2024'!HQ7)</f>
        <v>0</v>
      </c>
      <c r="HR7" s="24">
        <f>SUM('2026:2024'!HR7)</f>
        <v>0</v>
      </c>
      <c r="HS7" s="24">
        <f>SUM('2026:2024'!HS7)</f>
        <v>0</v>
      </c>
      <c r="HT7" s="24">
        <f>SUM('2026:2024'!HT7)</f>
        <v>0</v>
      </c>
      <c r="HU7" s="24">
        <f>SUM('2026:2024'!HU7)</f>
        <v>3300</v>
      </c>
      <c r="HV7" s="24">
        <f>SUM('2026:2024'!HV7)</f>
        <v>0</v>
      </c>
      <c r="HW7" s="24">
        <f>SUM('2026:2024'!HW7)</f>
        <v>0</v>
      </c>
      <c r="HX7" s="24">
        <f>SUM('2026:2024'!HX7)</f>
        <v>0</v>
      </c>
      <c r="HY7" s="24">
        <f>SUM('2026:2024'!HY7)</f>
        <v>0</v>
      </c>
      <c r="HZ7" s="24">
        <f>SUM('2026:2024'!HZ7)</f>
        <v>15419</v>
      </c>
      <c r="IA7" s="24">
        <f>SUM('2026:2024'!IA7)</f>
        <v>0</v>
      </c>
      <c r="IB7" s="25">
        <f t="shared" ref="IB7:IB12" si="24">SUM(HM7:IA7)</f>
        <v>201319</v>
      </c>
    </row>
    <row r="8" spans="1:236" x14ac:dyDescent="0.35">
      <c r="A8" s="5" t="s">
        <v>70</v>
      </c>
      <c r="B8" s="22" t="s">
        <v>70</v>
      </c>
      <c r="D8" s="25">
        <f>SUM('2026:2024'!D8)</f>
        <v>58251711.913000017</v>
      </c>
      <c r="E8" s="24">
        <f>SUM('2026:2024'!E8)</f>
        <v>58300</v>
      </c>
      <c r="F8" s="24">
        <f>SUM('2026:2024'!F8)</f>
        <v>3794120</v>
      </c>
      <c r="G8" s="24">
        <f>SUM('2026:2024'!G8)</f>
        <v>48333936</v>
      </c>
      <c r="H8" s="24">
        <f>SUM('2026:2024'!H8)</f>
        <v>895544</v>
      </c>
      <c r="I8" s="24">
        <f>SUM('2026:2024'!I8)</f>
        <v>1775747.5</v>
      </c>
      <c r="J8" s="24">
        <f>SUM('2026:2024'!J8)</f>
        <v>0</v>
      </c>
      <c r="K8" s="24">
        <f>SUM('2026:2024'!K8)</f>
        <v>0</v>
      </c>
      <c r="L8" s="24">
        <f>SUM('2026:2024'!L8)</f>
        <v>0</v>
      </c>
      <c r="M8" s="24">
        <f>SUM('2026:2024'!M8)</f>
        <v>2199.9999999999995</v>
      </c>
      <c r="N8" s="24">
        <f>SUM('2026:2024'!N8)</f>
        <v>11000</v>
      </c>
      <c r="O8" s="24">
        <f>SUM('2026:2024'!O8)</f>
        <v>543400</v>
      </c>
      <c r="P8" s="24">
        <f>SUM('2026:2024'!P8)</f>
        <v>156172.25</v>
      </c>
      <c r="Q8" s="24">
        <f>SUM('2026:2024'!Q8)</f>
        <v>0</v>
      </c>
      <c r="R8" s="24">
        <f>SUM('2026:2024'!R8)</f>
        <v>2207749.2650000001</v>
      </c>
      <c r="S8" s="24">
        <f>SUM('2026:2024'!S8)</f>
        <v>0</v>
      </c>
      <c r="T8" s="25">
        <f t="shared" si="12"/>
        <v>57778169.015000001</v>
      </c>
      <c r="V8" s="25">
        <f>SUM('2026:2024'!V8)</f>
        <v>7368506</v>
      </c>
      <c r="W8" s="24">
        <f>SUM('2026:2024'!W8)</f>
        <v>1100</v>
      </c>
      <c r="X8" s="24">
        <f>SUM('2026:2024'!X8)</f>
        <v>500500</v>
      </c>
      <c r="Y8" s="24">
        <f>SUM('2026:2024'!Y8)</f>
        <v>6360657.9999999991</v>
      </c>
      <c r="Z8" s="24">
        <f>SUM('2026:2024'!Z8)</f>
        <v>164344</v>
      </c>
      <c r="AA8" s="24">
        <f>SUM('2026:2024'!AA8)</f>
        <v>44892</v>
      </c>
      <c r="AB8" s="24">
        <f>SUM('2026:2024'!AB8)</f>
        <v>0</v>
      </c>
      <c r="AC8" s="24">
        <f>SUM('2026:2024'!AC8)</f>
        <v>0</v>
      </c>
      <c r="AD8" s="24">
        <f>SUM('2026:2024'!AD8)</f>
        <v>0</v>
      </c>
      <c r="AE8" s="24">
        <f>SUM('2026:2024'!AE8)</f>
        <v>0</v>
      </c>
      <c r="AF8" s="24">
        <f>SUM('2026:2024'!AF8)</f>
        <v>5500</v>
      </c>
      <c r="AG8" s="24">
        <f>SUM('2026:2024'!AG8)</f>
        <v>18700</v>
      </c>
      <c r="AH8" s="24">
        <f>SUM('2026:2024'!AH8)</f>
        <v>17572.25</v>
      </c>
      <c r="AI8" s="24">
        <f>SUM('2026:2024'!AI8)</f>
        <v>0</v>
      </c>
      <c r="AJ8" s="24">
        <f>SUM('2026:2024'!AJ8)</f>
        <v>199881.5</v>
      </c>
      <c r="AK8" s="24">
        <f>SUM('2026:2024'!AK8)</f>
        <v>0</v>
      </c>
      <c r="AL8" s="25">
        <f t="shared" si="13"/>
        <v>7313147.7499999991</v>
      </c>
      <c r="AN8" s="25">
        <f>SUM('2026:2024'!AN8)</f>
        <v>4457183.8000000007</v>
      </c>
      <c r="AO8" s="24">
        <f>SUM('2026:2024'!AO8)</f>
        <v>0</v>
      </c>
      <c r="AP8" s="24">
        <f>SUM('2026:2024'!AP8)</f>
        <v>266200</v>
      </c>
      <c r="AQ8" s="24">
        <f>SUM('2026:2024'!AQ8)</f>
        <v>3754482</v>
      </c>
      <c r="AR8" s="24">
        <f>SUM('2026:2024'!AR8)</f>
        <v>150700</v>
      </c>
      <c r="AS8" s="24">
        <f>SUM('2026:2024'!AS8)</f>
        <v>21931</v>
      </c>
      <c r="AT8" s="24">
        <f>SUM('2026:2024'!AT8)</f>
        <v>0</v>
      </c>
      <c r="AU8" s="24">
        <f>SUM('2026:2024'!AU8)</f>
        <v>0</v>
      </c>
      <c r="AV8" s="24">
        <f>SUM('2026:2024'!AV8)</f>
        <v>0</v>
      </c>
      <c r="AW8" s="24">
        <f>SUM('2026:2024'!AW8)</f>
        <v>0</v>
      </c>
      <c r="AX8" s="24">
        <f>SUM('2026:2024'!AX8)</f>
        <v>1100</v>
      </c>
      <c r="AY8" s="24">
        <f>SUM('2026:2024'!AY8)</f>
        <v>51700</v>
      </c>
      <c r="AZ8" s="24">
        <f>SUM('2026:2024'!AZ8)</f>
        <v>8800</v>
      </c>
      <c r="BA8" s="24">
        <f>SUM('2026:2024'!BA8)</f>
        <v>0</v>
      </c>
      <c r="BB8" s="24">
        <f>SUM('2026:2024'!BB8)</f>
        <v>171748</v>
      </c>
      <c r="BC8" s="24">
        <f>SUM('2026:2024'!BC8)</f>
        <v>0</v>
      </c>
      <c r="BD8" s="25">
        <f t="shared" si="14"/>
        <v>4426661</v>
      </c>
      <c r="BF8" s="25">
        <f>SUM('2026:2024'!BF8)</f>
        <v>8081225.0000000019</v>
      </c>
      <c r="BG8" s="24">
        <f>SUM('2026:2024'!BG8)</f>
        <v>0</v>
      </c>
      <c r="BH8" s="24">
        <f>SUM('2026:2024'!BH8)</f>
        <v>487300</v>
      </c>
      <c r="BI8" s="24">
        <f>SUM('2026:2024'!BI8)</f>
        <v>7017928.9999999991</v>
      </c>
      <c r="BJ8" s="24">
        <f>SUM('2026:2024'!BJ8)</f>
        <v>118800</v>
      </c>
      <c r="BK8" s="24">
        <f>SUM('2026:2024'!BK8)</f>
        <v>62699.999999999993</v>
      </c>
      <c r="BL8" s="24">
        <f>SUM('2026:2024'!BL8)</f>
        <v>0</v>
      </c>
      <c r="BM8" s="24">
        <f>SUM('2026:2024'!BM8)</f>
        <v>0</v>
      </c>
      <c r="BN8" s="24">
        <f>SUM('2026:2024'!BN8)</f>
        <v>0</v>
      </c>
      <c r="BO8" s="24">
        <f>SUM('2026:2024'!BO8)</f>
        <v>0</v>
      </c>
      <c r="BP8" s="24">
        <f>SUM('2026:2024'!BP8)</f>
        <v>3300</v>
      </c>
      <c r="BQ8" s="24">
        <f>SUM('2026:2024'!BQ8)</f>
        <v>15400</v>
      </c>
      <c r="BR8" s="24">
        <f>SUM('2026:2024'!BR8)</f>
        <v>6600</v>
      </c>
      <c r="BS8" s="24">
        <f>SUM('2026:2024'!BS8)</f>
        <v>0</v>
      </c>
      <c r="BT8" s="24">
        <f>SUM('2026:2024'!BT8)</f>
        <v>314065</v>
      </c>
      <c r="BU8" s="24">
        <f>SUM('2026:2024'!BU8)</f>
        <v>0</v>
      </c>
      <c r="BV8" s="25">
        <f t="shared" si="15"/>
        <v>8026093.9999999991</v>
      </c>
      <c r="BX8" s="25">
        <f>SUM('2026:2024'!BX8)</f>
        <v>6517599.3999999994</v>
      </c>
      <c r="BY8" s="24">
        <f>SUM('2026:2024'!BY8)</f>
        <v>3300</v>
      </c>
      <c r="BZ8" s="24">
        <f>SUM('2026:2024'!BZ8)</f>
        <v>398201.00000000012</v>
      </c>
      <c r="CA8" s="24">
        <f>SUM('2026:2024'!CA8)</f>
        <v>5655100.0000000009</v>
      </c>
      <c r="CB8" s="24">
        <f>SUM('2026:2024'!CB8)</f>
        <v>47300</v>
      </c>
      <c r="CC8" s="24">
        <f>SUM('2026:2024'!CC8)</f>
        <v>69300</v>
      </c>
      <c r="CD8" s="24">
        <f>SUM('2026:2024'!CD8)</f>
        <v>0</v>
      </c>
      <c r="CE8" s="24">
        <f>SUM('2026:2024'!CE8)</f>
        <v>0</v>
      </c>
      <c r="CF8" s="24">
        <f>SUM('2026:2024'!CF8)</f>
        <v>0</v>
      </c>
      <c r="CG8" s="24">
        <f>SUM('2026:2024'!CG8)</f>
        <v>0</v>
      </c>
      <c r="CH8" s="24">
        <f>SUM('2026:2024'!CH8)</f>
        <v>0</v>
      </c>
      <c r="CI8" s="24">
        <f>SUM('2026:2024'!CI8)</f>
        <v>17600</v>
      </c>
      <c r="CJ8" s="24">
        <f>SUM('2026:2024'!CJ8)</f>
        <v>11000</v>
      </c>
      <c r="CK8" s="24">
        <f>SUM('2026:2024'!CK8)</f>
        <v>0</v>
      </c>
      <c r="CL8" s="24">
        <f>SUM('2026:2024'!CL8)</f>
        <v>260471.00000000006</v>
      </c>
      <c r="CM8" s="24">
        <f>SUM('2026:2024'!CM8)</f>
        <v>0</v>
      </c>
      <c r="CN8" s="25">
        <f t="shared" si="16"/>
        <v>6462272.0000000009</v>
      </c>
      <c r="CP8" s="25">
        <f>SUM('2026:2024'!CP8)</f>
        <v>6084751.0999999996</v>
      </c>
      <c r="CQ8" s="24">
        <f>SUM('2026:2024'!CQ8)</f>
        <v>0</v>
      </c>
      <c r="CR8" s="24">
        <f>SUM('2026:2024'!CR8)</f>
        <v>586300</v>
      </c>
      <c r="CS8" s="24">
        <f>SUM('2026:2024'!CS8)</f>
        <v>4692600</v>
      </c>
      <c r="CT8" s="24">
        <f>SUM('2026:2024'!CT8)</f>
        <v>238700</v>
      </c>
      <c r="CU8" s="24">
        <f>SUM('2026:2024'!CU8)</f>
        <v>285999.99999999994</v>
      </c>
      <c r="CV8" s="24">
        <f>SUM('2026:2024'!CV8)</f>
        <v>0</v>
      </c>
      <c r="CW8" s="24">
        <f>SUM('2026:2024'!CW8)</f>
        <v>0</v>
      </c>
      <c r="CX8" s="24">
        <f>SUM('2026:2024'!CX8)</f>
        <v>0</v>
      </c>
      <c r="CY8" s="24">
        <f>SUM('2026:2024'!CY8)</f>
        <v>0</v>
      </c>
      <c r="CZ8" s="24">
        <f>SUM('2026:2024'!CZ8)</f>
        <v>0</v>
      </c>
      <c r="DA8" s="24">
        <f>SUM('2026:2024'!DA8)</f>
        <v>18700</v>
      </c>
      <c r="DB8" s="24">
        <f>SUM('2026:2024'!DB8)</f>
        <v>6599.9999999999991</v>
      </c>
      <c r="DC8" s="24">
        <f>SUM('2026:2024'!DC8)</f>
        <v>0</v>
      </c>
      <c r="DD8" s="24">
        <f>SUM('2026:2024'!DD8)</f>
        <v>209561.19999999998</v>
      </c>
      <c r="DE8" s="24">
        <f>SUM('2026:2024'!DE8)</f>
        <v>0</v>
      </c>
      <c r="DF8" s="25">
        <f t="shared" si="17"/>
        <v>6038461.2000000002</v>
      </c>
      <c r="DH8" s="25">
        <f>SUM('2026:2024'!DH8)</f>
        <v>5594326.7999999998</v>
      </c>
      <c r="DI8" s="24">
        <f>SUM('2026:2024'!DI8)</f>
        <v>16500.000000000004</v>
      </c>
      <c r="DJ8" s="24">
        <f>SUM('2026:2024'!DJ8)</f>
        <v>558800</v>
      </c>
      <c r="DK8" s="24">
        <f>SUM('2026:2024'!DK8)</f>
        <v>4226199.9999999991</v>
      </c>
      <c r="DL8" s="24">
        <f>SUM('2026:2024'!DL8)</f>
        <v>105600.00000000001</v>
      </c>
      <c r="DM8" s="24">
        <f>SUM('2026:2024'!DM8)</f>
        <v>390700</v>
      </c>
      <c r="DN8" s="24">
        <f>SUM('2026:2024'!DN8)</f>
        <v>0</v>
      </c>
      <c r="DO8" s="24">
        <f>SUM('2026:2024'!DO8)</f>
        <v>0</v>
      </c>
      <c r="DP8" s="24">
        <f>SUM('2026:2024'!DP8)</f>
        <v>0</v>
      </c>
      <c r="DQ8" s="24">
        <f>SUM('2026:2024'!DQ8)</f>
        <v>2199.9999999999995</v>
      </c>
      <c r="DR8" s="24">
        <f>SUM('2026:2024'!DR8)</f>
        <v>0</v>
      </c>
      <c r="DS8" s="24">
        <f>SUM('2026:2024'!DS8)</f>
        <v>27500.000000000004</v>
      </c>
      <c r="DT8" s="24">
        <f>SUM('2026:2024'!DT8)</f>
        <v>7700.0000000000018</v>
      </c>
      <c r="DU8" s="24">
        <f>SUM('2026:2024'!DU8)</f>
        <v>0</v>
      </c>
      <c r="DV8" s="24">
        <f>SUM('2026:2024'!DV8)</f>
        <v>216055.40000000002</v>
      </c>
      <c r="DW8" s="24">
        <f>SUM('2026:2024'!DW8)</f>
        <v>0</v>
      </c>
      <c r="DX8" s="25">
        <f t="shared" si="18"/>
        <v>5551255.3999999994</v>
      </c>
      <c r="DZ8" s="25">
        <f>SUM('2026:2024'!DZ8)</f>
        <v>2527587.91</v>
      </c>
      <c r="EA8" s="24">
        <f>SUM('2026:2024'!EA8)</f>
        <v>1100</v>
      </c>
      <c r="EB8" s="24">
        <f>SUM('2026:2024'!EB8)</f>
        <v>78100.000000000015</v>
      </c>
      <c r="EC8" s="24">
        <f>SUM('2026:2024'!EC8)</f>
        <v>2125300</v>
      </c>
      <c r="ED8" s="24">
        <f>SUM('2026:2024'!ED8)</f>
        <v>3300</v>
      </c>
      <c r="EE8" s="24">
        <f>SUM('2026:2024'!EE8)</f>
        <v>47000</v>
      </c>
      <c r="EF8" s="24">
        <f>SUM('2026:2024'!EF8)</f>
        <v>0</v>
      </c>
      <c r="EG8" s="24">
        <f>SUM('2026:2024'!EG8)</f>
        <v>0</v>
      </c>
      <c r="EH8" s="24">
        <f>SUM('2026:2024'!EH8)</f>
        <v>0</v>
      </c>
      <c r="EI8" s="24">
        <f>SUM('2026:2024'!EI8)</f>
        <v>0</v>
      </c>
      <c r="EJ8" s="24">
        <f>SUM('2026:2024'!EJ8)</f>
        <v>0</v>
      </c>
      <c r="EK8" s="24">
        <f>SUM('2026:2024'!EK8)</f>
        <v>113300.00000000001</v>
      </c>
      <c r="EL8" s="24">
        <f>SUM('2026:2024'!EL8)</f>
        <v>9900</v>
      </c>
      <c r="EM8" s="24">
        <f>SUM('2026:2024'!EM8)</f>
        <v>0</v>
      </c>
      <c r="EN8" s="24">
        <f>SUM('2026:2024'!EN8)</f>
        <v>116531</v>
      </c>
      <c r="EO8" s="24">
        <f>SUM('2026:2024'!EO8)</f>
        <v>0</v>
      </c>
      <c r="EP8" s="25">
        <f t="shared" si="19"/>
        <v>2494531</v>
      </c>
      <c r="ER8" s="25">
        <f>SUM('2026:2024'!ER8)</f>
        <v>3456680.1029999992</v>
      </c>
      <c r="ES8" s="24">
        <f>SUM('2026:2024'!ES8)</f>
        <v>2200</v>
      </c>
      <c r="ET8" s="24">
        <f>SUM('2026:2024'!ET8)</f>
        <v>214719</v>
      </c>
      <c r="EU8" s="24">
        <f>SUM('2026:2024'!EU8)</f>
        <v>2836456</v>
      </c>
      <c r="EV8" s="24">
        <f>SUM('2026:2024'!EV8)</f>
        <v>2200</v>
      </c>
      <c r="EW8" s="24">
        <f>SUM('2026:2024'!EW8)</f>
        <v>88251</v>
      </c>
      <c r="EX8" s="24">
        <f>SUM('2026:2024'!EX8)</f>
        <v>0</v>
      </c>
      <c r="EY8" s="24">
        <f>SUM('2026:2024'!EY8)</f>
        <v>0</v>
      </c>
      <c r="EZ8" s="24">
        <f>SUM('2026:2024'!EZ8)</f>
        <v>0</v>
      </c>
      <c r="FA8" s="24">
        <f>SUM('2026:2024'!FA8)</f>
        <v>0</v>
      </c>
      <c r="FB8" s="24">
        <f>SUM('2026:2024'!FB8)</f>
        <v>0</v>
      </c>
      <c r="FC8" s="24">
        <f>SUM('2026:2024'!FC8)</f>
        <v>94600.000000000015</v>
      </c>
      <c r="FD8" s="24">
        <f>SUM('2026:2024'!FD8)</f>
        <v>15400</v>
      </c>
      <c r="FE8" s="24">
        <f>SUM('2026:2024'!FE8)</f>
        <v>0</v>
      </c>
      <c r="FF8" s="24">
        <f>SUM('2026:2024'!FF8)</f>
        <v>163402.16499999998</v>
      </c>
      <c r="FG8" s="24">
        <f>SUM('2026:2024'!FG8)</f>
        <v>0</v>
      </c>
      <c r="FH8" s="25">
        <f t="shared" si="20"/>
        <v>3417228.165</v>
      </c>
      <c r="FJ8" s="25">
        <f>SUM('2026:2024'!FJ8)</f>
        <v>3300896.3</v>
      </c>
      <c r="FK8" s="24">
        <f>SUM('2026:2024'!FK8)</f>
        <v>9900</v>
      </c>
      <c r="FL8" s="24">
        <f>SUM('2026:2024'!FL8)</f>
        <v>159500</v>
      </c>
      <c r="FM8" s="24">
        <f>SUM('2026:2024'!FM8)</f>
        <v>2840201</v>
      </c>
      <c r="FN8" s="24">
        <f>SUM('2026:2024'!FN8)</f>
        <v>4100</v>
      </c>
      <c r="FO8" s="24">
        <f>SUM('2026:2024'!FO8)</f>
        <v>96032.5</v>
      </c>
      <c r="FP8" s="24">
        <f>SUM('2026:2024'!FP8)</f>
        <v>0</v>
      </c>
      <c r="FQ8" s="24">
        <f>SUM('2026:2024'!FQ8)</f>
        <v>0</v>
      </c>
      <c r="FR8" s="24">
        <f>SUM('2026:2024'!FR8)</f>
        <v>0</v>
      </c>
      <c r="FS8" s="24">
        <f>SUM('2026:2024'!FS8)</f>
        <v>0</v>
      </c>
      <c r="FT8" s="24">
        <f>SUM('2026:2024'!FT8)</f>
        <v>1100</v>
      </c>
      <c r="FU8" s="24">
        <f>SUM('2026:2024'!FU8)</f>
        <v>24200</v>
      </c>
      <c r="FV8" s="24">
        <f>SUM('2026:2024'!FV8)</f>
        <v>7700.0000000000009</v>
      </c>
      <c r="FW8" s="24">
        <f>SUM('2026:2024'!FW8)</f>
        <v>0</v>
      </c>
      <c r="FX8" s="24">
        <f>SUM('2026:2024'!FX8)</f>
        <v>129721</v>
      </c>
      <c r="FY8" s="24">
        <f>SUM('2026:2024'!FY8)</f>
        <v>0</v>
      </c>
      <c r="FZ8" s="25">
        <f t="shared" si="21"/>
        <v>3272454.5</v>
      </c>
      <c r="GB8" s="25">
        <f>SUM('2026:2024'!GB8)</f>
        <v>4835544</v>
      </c>
      <c r="GC8" s="24">
        <f>SUM('2026:2024'!GC8)</f>
        <v>12100</v>
      </c>
      <c r="GD8" s="24">
        <f>SUM('2026:2024'!GD8)</f>
        <v>141900</v>
      </c>
      <c r="GE8" s="24">
        <f>SUM('2026:2024'!GE8)</f>
        <v>3730909.9999999991</v>
      </c>
      <c r="GF8" s="24">
        <f>SUM('2026:2024'!GF8)</f>
        <v>52800</v>
      </c>
      <c r="GG8" s="24">
        <f>SUM('2026:2024'!GG8)</f>
        <v>604006</v>
      </c>
      <c r="GH8" s="24">
        <f>SUM('2026:2024'!GH8)</f>
        <v>0</v>
      </c>
      <c r="GI8" s="24">
        <f>SUM('2026:2024'!GI8)</f>
        <v>0</v>
      </c>
      <c r="GJ8" s="24">
        <f>SUM('2026:2024'!GJ8)</f>
        <v>0</v>
      </c>
      <c r="GK8" s="24">
        <f>SUM('2026:2024'!GK8)</f>
        <v>0</v>
      </c>
      <c r="GL8" s="24">
        <f>SUM('2026:2024'!GL8)</f>
        <v>0</v>
      </c>
      <c r="GM8" s="24">
        <f>SUM('2026:2024'!GM8)</f>
        <v>27500.000000000004</v>
      </c>
      <c r="GN8" s="24">
        <f>SUM('2026:2024'!GN8)</f>
        <v>33000</v>
      </c>
      <c r="GO8" s="24">
        <f>SUM('2026:2024'!GO8)</f>
        <v>0</v>
      </c>
      <c r="GP8" s="24">
        <f>SUM('2026:2024'!GP8)</f>
        <v>189803</v>
      </c>
      <c r="GQ8" s="24">
        <f>SUM('2026:2024'!GQ8)</f>
        <v>0</v>
      </c>
      <c r="GR8" s="25">
        <f t="shared" si="22"/>
        <v>4792018.9999999991</v>
      </c>
      <c r="GT8" s="25">
        <f>SUM('2026:2024'!GT8)</f>
        <v>2412321</v>
      </c>
      <c r="GU8" s="24">
        <f>SUM('2026:2024'!GU8)</f>
        <v>0</v>
      </c>
      <c r="GV8" s="24">
        <f>SUM('2026:2024'!GV8)</f>
        <v>247500</v>
      </c>
      <c r="GW8" s="24">
        <f>SUM('2026:2024'!GW8)</f>
        <v>1930500</v>
      </c>
      <c r="GX8" s="24">
        <f>SUM('2026:2024'!GX8)</f>
        <v>5500</v>
      </c>
      <c r="GY8" s="24">
        <f>SUM('2026:2024'!GY8)</f>
        <v>30835</v>
      </c>
      <c r="GZ8" s="24">
        <f>SUM('2026:2024'!GZ8)</f>
        <v>0</v>
      </c>
      <c r="HA8" s="24">
        <f>SUM('2026:2024'!HA8)</f>
        <v>0</v>
      </c>
      <c r="HB8" s="24">
        <f>SUM('2026:2024'!HB8)</f>
        <v>0</v>
      </c>
      <c r="HC8" s="24">
        <f>SUM('2026:2024'!HC8)</f>
        <v>0</v>
      </c>
      <c r="HD8" s="24">
        <f>SUM('2026:2024'!HD8)</f>
        <v>0</v>
      </c>
      <c r="HE8" s="24">
        <f>SUM('2026:2024'!HE8)</f>
        <v>81400</v>
      </c>
      <c r="HF8" s="24">
        <f>SUM('2026:2024'!HF8)</f>
        <v>11000</v>
      </c>
      <c r="HG8" s="24">
        <f>SUM('2026:2024'!HG8)</f>
        <v>0</v>
      </c>
      <c r="HH8" s="24">
        <f>SUM('2026:2024'!HH8)</f>
        <v>93651</v>
      </c>
      <c r="HI8" s="24">
        <f>SUM('2026:2024'!HI8)</f>
        <v>0</v>
      </c>
      <c r="HJ8" s="25">
        <f t="shared" si="23"/>
        <v>2400386</v>
      </c>
      <c r="HL8" s="25">
        <f>SUM('2026:2024'!HL8)</f>
        <v>3615090.4999999991</v>
      </c>
      <c r="HM8" s="24">
        <f>SUM('2026:2024'!HM8)</f>
        <v>12100</v>
      </c>
      <c r="HN8" s="24">
        <f>SUM('2026:2024'!HN8)</f>
        <v>155100</v>
      </c>
      <c r="HO8" s="24">
        <f>SUM('2026:2024'!HO8)</f>
        <v>3163600</v>
      </c>
      <c r="HP8" s="24">
        <f>SUM('2026:2024'!HP8)</f>
        <v>2200</v>
      </c>
      <c r="HQ8" s="24">
        <f>SUM('2026:2024'!HQ8)</f>
        <v>34100</v>
      </c>
      <c r="HR8" s="24">
        <f>SUM('2026:2024'!HR8)</f>
        <v>0</v>
      </c>
      <c r="HS8" s="24">
        <f>SUM('2026:2024'!HS8)</f>
        <v>0</v>
      </c>
      <c r="HT8" s="24">
        <f>SUM('2026:2024'!HT8)</f>
        <v>0</v>
      </c>
      <c r="HU8" s="24">
        <f>SUM('2026:2024'!HU8)</f>
        <v>0</v>
      </c>
      <c r="HV8" s="24">
        <f>SUM('2026:2024'!HV8)</f>
        <v>0</v>
      </c>
      <c r="HW8" s="24">
        <f>SUM('2026:2024'!HW8)</f>
        <v>52800</v>
      </c>
      <c r="HX8" s="24">
        <f>SUM('2026:2024'!HX8)</f>
        <v>20900</v>
      </c>
      <c r="HY8" s="24">
        <f>SUM('2026:2024'!HY8)</f>
        <v>0</v>
      </c>
      <c r="HZ8" s="24">
        <f>SUM('2026:2024'!HZ8)</f>
        <v>142859</v>
      </c>
      <c r="IA8" s="24">
        <f>SUM('2026:2024'!IA8)</f>
        <v>0</v>
      </c>
      <c r="IB8" s="25">
        <f t="shared" si="24"/>
        <v>3583659</v>
      </c>
    </row>
    <row r="9" spans="1:236" x14ac:dyDescent="0.35">
      <c r="A9" s="5" t="s">
        <v>71</v>
      </c>
      <c r="B9" s="22" t="s">
        <v>71</v>
      </c>
      <c r="D9" s="25">
        <f>SUM('2026:2024'!D9)</f>
        <v>3382548</v>
      </c>
      <c r="E9" s="24">
        <f>SUM('2026:2024'!E9)</f>
        <v>0</v>
      </c>
      <c r="F9" s="24">
        <f>SUM('2026:2024'!F9)</f>
        <v>0</v>
      </c>
      <c r="G9" s="24">
        <f>SUM('2026:2024'!G9)</f>
        <v>0</v>
      </c>
      <c r="H9" s="24">
        <f>SUM('2026:2024'!H9)</f>
        <v>2200</v>
      </c>
      <c r="I9" s="24">
        <f>SUM('2026:2024'!I9)</f>
        <v>3087891</v>
      </c>
      <c r="J9" s="24">
        <f>SUM('2026:2024'!J9)</f>
        <v>0</v>
      </c>
      <c r="K9" s="24">
        <f>SUM('2026:2024'!K9)</f>
        <v>6994</v>
      </c>
      <c r="L9" s="24">
        <f>SUM('2026:2024'!L9)</f>
        <v>0</v>
      </c>
      <c r="M9" s="24">
        <f>SUM('2026:2024'!M9)</f>
        <v>0</v>
      </c>
      <c r="N9" s="24">
        <f>SUM('2026:2024'!N9)</f>
        <v>0</v>
      </c>
      <c r="O9" s="24">
        <f>SUM('2026:2024'!O9)</f>
        <v>0</v>
      </c>
      <c r="P9" s="24">
        <f>SUM('2026:2024'!P9)</f>
        <v>74800</v>
      </c>
      <c r="Q9" s="24">
        <f>SUM('2026:2024'!Q9)</f>
        <v>0</v>
      </c>
      <c r="R9" s="24">
        <f>SUM('2026:2024'!R9)</f>
        <v>170928</v>
      </c>
      <c r="S9" s="24">
        <f>SUM('2026:2024'!S9)</f>
        <v>0</v>
      </c>
      <c r="T9" s="25">
        <f t="shared" si="12"/>
        <v>3342813</v>
      </c>
      <c r="V9" s="25">
        <f>SUM('2026:2024'!V9)</f>
        <v>403783</v>
      </c>
      <c r="W9" s="24">
        <f>SUM('2026:2024'!W9)</f>
        <v>0</v>
      </c>
      <c r="X9" s="24">
        <f>SUM('2026:2024'!X9)</f>
        <v>0</v>
      </c>
      <c r="Y9" s="24">
        <f>SUM('2026:2024'!Y9)</f>
        <v>0</v>
      </c>
      <c r="Z9" s="24">
        <f>SUM('2026:2024'!Z9)</f>
        <v>0</v>
      </c>
      <c r="AA9" s="24">
        <f>SUM('2026:2024'!AA9)</f>
        <v>376761</v>
      </c>
      <c r="AB9" s="24">
        <f>SUM('2026:2024'!AB9)</f>
        <v>0</v>
      </c>
      <c r="AC9" s="24">
        <f>SUM('2026:2024'!AC9)</f>
        <v>4130</v>
      </c>
      <c r="AD9" s="24">
        <f>SUM('2026:2024'!AD9)</f>
        <v>0</v>
      </c>
      <c r="AE9" s="24">
        <f>SUM('2026:2024'!AE9)</f>
        <v>0</v>
      </c>
      <c r="AF9" s="24">
        <f>SUM('2026:2024'!AF9)</f>
        <v>0</v>
      </c>
      <c r="AG9" s="24">
        <f>SUM('2026:2024'!AG9)</f>
        <v>0</v>
      </c>
      <c r="AH9" s="24">
        <f>SUM('2026:2024'!AH9)</f>
        <v>2200</v>
      </c>
      <c r="AI9" s="24">
        <f>SUM('2026:2024'!AI9)</f>
        <v>0</v>
      </c>
      <c r="AJ9" s="24">
        <f>SUM('2026:2024'!AJ9)</f>
        <v>14495</v>
      </c>
      <c r="AK9" s="24">
        <f>SUM('2026:2024'!AK9)</f>
        <v>0</v>
      </c>
      <c r="AL9" s="25">
        <f t="shared" si="13"/>
        <v>397586</v>
      </c>
      <c r="AN9" s="25">
        <f>SUM('2026:2024'!AN9)</f>
        <v>12599.999999999998</v>
      </c>
      <c r="AO9" s="24">
        <f>SUM('2026:2024'!AO9)</f>
        <v>0</v>
      </c>
      <c r="AP9" s="24">
        <f>SUM('2026:2024'!AP9)</f>
        <v>0</v>
      </c>
      <c r="AQ9" s="24">
        <f>SUM('2026:2024'!AQ9)</f>
        <v>0</v>
      </c>
      <c r="AR9" s="24">
        <f>SUM('2026:2024'!AR9)</f>
        <v>0</v>
      </c>
      <c r="AS9" s="24">
        <f>SUM('2026:2024'!AS9)</f>
        <v>5500</v>
      </c>
      <c r="AT9" s="24">
        <f>SUM('2026:2024'!AT9)</f>
        <v>0</v>
      </c>
      <c r="AU9" s="24">
        <f>SUM('2026:2024'!AU9)</f>
        <v>2864</v>
      </c>
      <c r="AV9" s="24">
        <f>SUM('2026:2024'!AV9)</f>
        <v>0</v>
      </c>
      <c r="AW9" s="24">
        <f>SUM('2026:2024'!AW9)</f>
        <v>0</v>
      </c>
      <c r="AX9" s="24">
        <f>SUM('2026:2024'!AX9)</f>
        <v>0</v>
      </c>
      <c r="AY9" s="24">
        <f>SUM('2026:2024'!AY9)</f>
        <v>0</v>
      </c>
      <c r="AZ9" s="24">
        <f>SUM('2026:2024'!AZ9)</f>
        <v>2200</v>
      </c>
      <c r="BA9" s="24">
        <f>SUM('2026:2024'!BA9)</f>
        <v>0</v>
      </c>
      <c r="BB9" s="24">
        <f>SUM('2026:2024'!BB9)</f>
        <v>1986</v>
      </c>
      <c r="BC9" s="24">
        <f>SUM('2026:2024'!BC9)</f>
        <v>0</v>
      </c>
      <c r="BD9" s="25">
        <f t="shared" si="14"/>
        <v>12550</v>
      </c>
      <c r="BF9" s="25">
        <f>SUM('2026:2024'!BF9)</f>
        <v>713578</v>
      </c>
      <c r="BG9" s="24">
        <f>SUM('2026:2024'!BG9)</f>
        <v>0</v>
      </c>
      <c r="BH9" s="24">
        <f>SUM('2026:2024'!BH9)</f>
        <v>0</v>
      </c>
      <c r="BI9" s="24">
        <f>SUM('2026:2024'!BI9)</f>
        <v>0</v>
      </c>
      <c r="BJ9" s="24">
        <f>SUM('2026:2024'!BJ9)</f>
        <v>0</v>
      </c>
      <c r="BK9" s="24">
        <f>SUM('2026:2024'!BK9)</f>
        <v>640630</v>
      </c>
      <c r="BL9" s="24">
        <f>SUM('2026:2024'!BL9)</f>
        <v>0</v>
      </c>
      <c r="BM9" s="24">
        <f>SUM('2026:2024'!BM9)</f>
        <v>0</v>
      </c>
      <c r="BN9" s="24">
        <f>SUM('2026:2024'!BN9)</f>
        <v>0</v>
      </c>
      <c r="BO9" s="24">
        <f>SUM('2026:2024'!BO9)</f>
        <v>0</v>
      </c>
      <c r="BP9" s="24">
        <f>SUM('2026:2024'!BP9)</f>
        <v>0</v>
      </c>
      <c r="BQ9" s="24">
        <f>SUM('2026:2024'!BQ9)</f>
        <v>0</v>
      </c>
      <c r="BR9" s="24">
        <f>SUM('2026:2024'!BR9)</f>
        <v>23100</v>
      </c>
      <c r="BS9" s="24">
        <f>SUM('2026:2024'!BS9)</f>
        <v>0</v>
      </c>
      <c r="BT9" s="24">
        <f>SUM('2026:2024'!BT9)</f>
        <v>44425</v>
      </c>
      <c r="BU9" s="24">
        <f>SUM('2026:2024'!BU9)</f>
        <v>0</v>
      </c>
      <c r="BV9" s="25">
        <f t="shared" si="15"/>
        <v>708155</v>
      </c>
      <c r="BX9" s="25">
        <f>SUM('2026:2024'!BX9)</f>
        <v>1192892.0000000005</v>
      </c>
      <c r="BY9" s="24">
        <f>SUM('2026:2024'!BY9)</f>
        <v>0</v>
      </c>
      <c r="BZ9" s="24">
        <f>SUM('2026:2024'!BZ9)</f>
        <v>0</v>
      </c>
      <c r="CA9" s="24">
        <f>SUM('2026:2024'!CA9)</f>
        <v>0</v>
      </c>
      <c r="CB9" s="24">
        <f>SUM('2026:2024'!CB9)</f>
        <v>0</v>
      </c>
      <c r="CC9" s="24">
        <f>SUM('2026:2024'!CC9)</f>
        <v>1137400</v>
      </c>
      <c r="CD9" s="24">
        <f>SUM('2026:2024'!CD9)</f>
        <v>0</v>
      </c>
      <c r="CE9" s="24">
        <f>SUM('2026:2024'!CE9)</f>
        <v>0</v>
      </c>
      <c r="CF9" s="24">
        <f>SUM('2026:2024'!CF9)</f>
        <v>0</v>
      </c>
      <c r="CG9" s="24">
        <f>SUM('2026:2024'!CG9)</f>
        <v>0</v>
      </c>
      <c r="CH9" s="24">
        <f>SUM('2026:2024'!CH9)</f>
        <v>0</v>
      </c>
      <c r="CI9" s="24">
        <f>SUM('2026:2024'!CI9)</f>
        <v>0</v>
      </c>
      <c r="CJ9" s="24">
        <f>SUM('2026:2024'!CJ9)</f>
        <v>7700</v>
      </c>
      <c r="CK9" s="24">
        <f>SUM('2026:2024'!CK9)</f>
        <v>0</v>
      </c>
      <c r="CL9" s="24">
        <f>SUM('2026:2024'!CL9)</f>
        <v>33159</v>
      </c>
      <c r="CM9" s="24">
        <f>SUM('2026:2024'!CM9)</f>
        <v>0</v>
      </c>
      <c r="CN9" s="25">
        <f t="shared" si="16"/>
        <v>1178259</v>
      </c>
      <c r="CP9" s="25">
        <f>SUM('2026:2024'!CP9)</f>
        <v>39600</v>
      </c>
      <c r="CQ9" s="24">
        <f>SUM('2026:2024'!CQ9)</f>
        <v>0</v>
      </c>
      <c r="CR9" s="24">
        <f>SUM('2026:2024'!CR9)</f>
        <v>0</v>
      </c>
      <c r="CS9" s="24">
        <f>SUM('2026:2024'!CS9)</f>
        <v>0</v>
      </c>
      <c r="CT9" s="24">
        <f>SUM('2026:2024'!CT9)</f>
        <v>0</v>
      </c>
      <c r="CU9" s="24">
        <f>SUM('2026:2024'!CU9)</f>
        <v>39600</v>
      </c>
      <c r="CV9" s="24">
        <f>SUM('2026:2024'!CV9)</f>
        <v>0</v>
      </c>
      <c r="CW9" s="24">
        <f>SUM('2026:2024'!CW9)</f>
        <v>0</v>
      </c>
      <c r="CX9" s="24">
        <f>SUM('2026:2024'!CX9)</f>
        <v>0</v>
      </c>
      <c r="CY9" s="24">
        <f>SUM('2026:2024'!CY9)</f>
        <v>0</v>
      </c>
      <c r="CZ9" s="24">
        <f>SUM('2026:2024'!CZ9)</f>
        <v>0</v>
      </c>
      <c r="DA9" s="24">
        <f>SUM('2026:2024'!DA9)</f>
        <v>0</v>
      </c>
      <c r="DB9" s="24">
        <f>SUM('2026:2024'!DB9)</f>
        <v>0</v>
      </c>
      <c r="DC9" s="24">
        <f>SUM('2026:2024'!DC9)</f>
        <v>0</v>
      </c>
      <c r="DD9" s="24">
        <f>SUM('2026:2024'!DD9)</f>
        <v>0</v>
      </c>
      <c r="DE9" s="24">
        <f>SUM('2026:2024'!DE9)</f>
        <v>0</v>
      </c>
      <c r="DF9" s="25">
        <f t="shared" si="17"/>
        <v>39600</v>
      </c>
      <c r="DH9" s="25">
        <f>SUM('2026:2024'!DH9)</f>
        <v>1400</v>
      </c>
      <c r="DI9" s="24">
        <f>SUM('2026:2024'!DI9)</f>
        <v>0</v>
      </c>
      <c r="DJ9" s="24">
        <f>SUM('2026:2024'!DJ9)</f>
        <v>0</v>
      </c>
      <c r="DK9" s="24">
        <f>SUM('2026:2024'!DK9)</f>
        <v>0</v>
      </c>
      <c r="DL9" s="24">
        <f>SUM('2026:2024'!DL9)</f>
        <v>0</v>
      </c>
      <c r="DM9" s="24">
        <f>SUM('2026:2024'!DM9)</f>
        <v>1400</v>
      </c>
      <c r="DN9" s="24">
        <f>SUM('2026:2024'!DN9)</f>
        <v>0</v>
      </c>
      <c r="DO9" s="24">
        <f>SUM('2026:2024'!DO9)</f>
        <v>0</v>
      </c>
      <c r="DP9" s="24">
        <f>SUM('2026:2024'!DP9)</f>
        <v>0</v>
      </c>
      <c r="DQ9" s="24">
        <f>SUM('2026:2024'!DQ9)</f>
        <v>0</v>
      </c>
      <c r="DR9" s="24">
        <f>SUM('2026:2024'!DR9)</f>
        <v>0</v>
      </c>
      <c r="DS9" s="24">
        <f>SUM('2026:2024'!DS9)</f>
        <v>0</v>
      </c>
      <c r="DT9" s="24">
        <f>SUM('2026:2024'!DT9)</f>
        <v>0</v>
      </c>
      <c r="DU9" s="24">
        <f>SUM('2026:2024'!DU9)</f>
        <v>0</v>
      </c>
      <c r="DV9" s="24">
        <f>SUM('2026:2024'!DV9)</f>
        <v>0</v>
      </c>
      <c r="DW9" s="24">
        <f>SUM('2026:2024'!DW9)</f>
        <v>0</v>
      </c>
      <c r="DX9" s="25">
        <f t="shared" si="18"/>
        <v>1400</v>
      </c>
      <c r="DZ9" s="25">
        <f>SUM('2026:2024'!DZ9)</f>
        <v>0</v>
      </c>
      <c r="EA9" s="24">
        <f>SUM('2026:2024'!EA9)</f>
        <v>0</v>
      </c>
      <c r="EB9" s="24">
        <f>SUM('2026:2024'!EB9)</f>
        <v>0</v>
      </c>
      <c r="EC9" s="24">
        <f>SUM('2026:2024'!EC9)</f>
        <v>0</v>
      </c>
      <c r="ED9" s="24">
        <f>SUM('2026:2024'!ED9)</f>
        <v>0</v>
      </c>
      <c r="EE9" s="24">
        <f>SUM('2026:2024'!EE9)</f>
        <v>0</v>
      </c>
      <c r="EF9" s="24">
        <f>SUM('2026:2024'!EF9)</f>
        <v>0</v>
      </c>
      <c r="EG9" s="24">
        <f>SUM('2026:2024'!EG9)</f>
        <v>0</v>
      </c>
      <c r="EH9" s="24">
        <f>SUM('2026:2024'!EH9)</f>
        <v>0</v>
      </c>
      <c r="EI9" s="24">
        <f>SUM('2026:2024'!EI9)</f>
        <v>0</v>
      </c>
      <c r="EJ9" s="24">
        <f>SUM('2026:2024'!EJ9)</f>
        <v>0</v>
      </c>
      <c r="EK9" s="24">
        <f>SUM('2026:2024'!EK9)</f>
        <v>0</v>
      </c>
      <c r="EL9" s="24">
        <f>SUM('2026:2024'!EL9)</f>
        <v>0</v>
      </c>
      <c r="EM9" s="24">
        <f>SUM('2026:2024'!EM9)</f>
        <v>0</v>
      </c>
      <c r="EN9" s="24">
        <f>SUM('2026:2024'!EN9)</f>
        <v>0</v>
      </c>
      <c r="EO9" s="24">
        <f>SUM('2026:2024'!EO9)</f>
        <v>0</v>
      </c>
      <c r="EP9" s="25">
        <f t="shared" si="19"/>
        <v>0</v>
      </c>
      <c r="ER9" s="25">
        <f>SUM('2026:2024'!ER9)</f>
        <v>0</v>
      </c>
      <c r="ES9" s="24">
        <f>SUM('2026:2024'!ES9)</f>
        <v>0</v>
      </c>
      <c r="ET9" s="24">
        <f>SUM('2026:2024'!ET9)</f>
        <v>0</v>
      </c>
      <c r="EU9" s="24">
        <f>SUM('2026:2024'!EU9)</f>
        <v>0</v>
      </c>
      <c r="EV9" s="24">
        <f>SUM('2026:2024'!EV9)</f>
        <v>0</v>
      </c>
      <c r="EW9" s="24">
        <f>SUM('2026:2024'!EW9)</f>
        <v>0</v>
      </c>
      <c r="EX9" s="24">
        <f>SUM('2026:2024'!EX9)</f>
        <v>0</v>
      </c>
      <c r="EY9" s="24">
        <f>SUM('2026:2024'!EY9)</f>
        <v>0</v>
      </c>
      <c r="EZ9" s="24">
        <f>SUM('2026:2024'!EZ9)</f>
        <v>0</v>
      </c>
      <c r="FA9" s="24">
        <f>SUM('2026:2024'!FA9)</f>
        <v>0</v>
      </c>
      <c r="FB9" s="24">
        <f>SUM('2026:2024'!FB9)</f>
        <v>0</v>
      </c>
      <c r="FC9" s="24">
        <f>SUM('2026:2024'!FC9)</f>
        <v>0</v>
      </c>
      <c r="FD9" s="24">
        <f>SUM('2026:2024'!FD9)</f>
        <v>0</v>
      </c>
      <c r="FE9" s="24">
        <f>SUM('2026:2024'!FE9)</f>
        <v>0</v>
      </c>
      <c r="FF9" s="24">
        <f>SUM('2026:2024'!FF9)</f>
        <v>0</v>
      </c>
      <c r="FG9" s="24">
        <f>SUM('2026:2024'!FG9)</f>
        <v>0</v>
      </c>
      <c r="FH9" s="25">
        <f t="shared" si="20"/>
        <v>0</v>
      </c>
      <c r="FJ9" s="25">
        <f>SUM('2026:2024'!FJ9)</f>
        <v>168000</v>
      </c>
      <c r="FK9" s="24">
        <f>SUM('2026:2024'!FK9)</f>
        <v>0</v>
      </c>
      <c r="FL9" s="24">
        <f>SUM('2026:2024'!FL9)</f>
        <v>0</v>
      </c>
      <c r="FM9" s="24">
        <f>SUM('2026:2024'!FM9)</f>
        <v>0</v>
      </c>
      <c r="FN9" s="24">
        <f>SUM('2026:2024'!FN9)</f>
        <v>0</v>
      </c>
      <c r="FO9" s="24">
        <f>SUM('2026:2024'!FO9)</f>
        <v>157300</v>
      </c>
      <c r="FP9" s="24">
        <f>SUM('2026:2024'!FP9)</f>
        <v>0</v>
      </c>
      <c r="FQ9" s="24">
        <f>SUM('2026:2024'!FQ9)</f>
        <v>0</v>
      </c>
      <c r="FR9" s="24">
        <f>SUM('2026:2024'!FR9)</f>
        <v>0</v>
      </c>
      <c r="FS9" s="24">
        <f>SUM('2026:2024'!FS9)</f>
        <v>0</v>
      </c>
      <c r="FT9" s="24">
        <f>SUM('2026:2024'!FT9)</f>
        <v>0</v>
      </c>
      <c r="FU9" s="24">
        <f>SUM('2026:2024'!FU9)</f>
        <v>0</v>
      </c>
      <c r="FV9" s="24">
        <f>SUM('2026:2024'!FV9)</f>
        <v>0</v>
      </c>
      <c r="FW9" s="24">
        <f>SUM('2026:2024'!FW9)</f>
        <v>0</v>
      </c>
      <c r="FX9" s="24">
        <f>SUM('2026:2024'!FX9)</f>
        <v>8220</v>
      </c>
      <c r="FY9" s="24">
        <f>SUM('2026:2024'!FY9)</f>
        <v>0</v>
      </c>
      <c r="FZ9" s="25">
        <f t="shared" si="21"/>
        <v>165520</v>
      </c>
      <c r="GB9" s="25">
        <f>SUM('2026:2024'!GB9)</f>
        <v>157250</v>
      </c>
      <c r="GC9" s="24">
        <f>SUM('2026:2024'!GC9)</f>
        <v>0</v>
      </c>
      <c r="GD9" s="24">
        <f>SUM('2026:2024'!GD9)</f>
        <v>0</v>
      </c>
      <c r="GE9" s="24">
        <f>SUM('2026:2024'!GE9)</f>
        <v>0</v>
      </c>
      <c r="GF9" s="24">
        <f>SUM('2026:2024'!GF9)</f>
        <v>0</v>
      </c>
      <c r="GG9" s="24">
        <f>SUM('2026:2024'!GG9)</f>
        <v>108900</v>
      </c>
      <c r="GH9" s="24">
        <f>SUM('2026:2024'!GH9)</f>
        <v>0</v>
      </c>
      <c r="GI9" s="24">
        <f>SUM('2026:2024'!GI9)</f>
        <v>0</v>
      </c>
      <c r="GJ9" s="24">
        <f>SUM('2026:2024'!GJ9)</f>
        <v>0</v>
      </c>
      <c r="GK9" s="24">
        <f>SUM('2026:2024'!GK9)</f>
        <v>0</v>
      </c>
      <c r="GL9" s="24">
        <f>SUM('2026:2024'!GL9)</f>
        <v>0</v>
      </c>
      <c r="GM9" s="24">
        <f>SUM('2026:2024'!GM9)</f>
        <v>0</v>
      </c>
      <c r="GN9" s="24">
        <f>SUM('2026:2024'!GN9)</f>
        <v>33000</v>
      </c>
      <c r="GO9" s="24">
        <f>SUM('2026:2024'!GO9)</f>
        <v>0</v>
      </c>
      <c r="GP9" s="24">
        <f>SUM('2026:2024'!GP9)</f>
        <v>14290</v>
      </c>
      <c r="GQ9" s="24">
        <f>SUM('2026:2024'!GQ9)</f>
        <v>0</v>
      </c>
      <c r="GR9" s="25">
        <f t="shared" si="22"/>
        <v>156190</v>
      </c>
      <c r="GT9" s="25">
        <f>SUM('2026:2024'!GT9)</f>
        <v>105000</v>
      </c>
      <c r="GU9" s="24">
        <f>SUM('2026:2024'!GU9)</f>
        <v>0</v>
      </c>
      <c r="GV9" s="24">
        <f>SUM('2026:2024'!GV9)</f>
        <v>0</v>
      </c>
      <c r="GW9" s="24">
        <f>SUM('2026:2024'!GW9)</f>
        <v>0</v>
      </c>
      <c r="GX9" s="24">
        <f>SUM('2026:2024'!GX9)</f>
        <v>1100</v>
      </c>
      <c r="GY9" s="24">
        <f>SUM('2026:2024'!GY9)</f>
        <v>93500</v>
      </c>
      <c r="GZ9" s="24">
        <f>SUM('2026:2024'!GZ9)</f>
        <v>0</v>
      </c>
      <c r="HA9" s="24">
        <f>SUM('2026:2024'!HA9)</f>
        <v>0</v>
      </c>
      <c r="HB9" s="24">
        <f>SUM('2026:2024'!HB9)</f>
        <v>0</v>
      </c>
      <c r="HC9" s="24">
        <f>SUM('2026:2024'!HC9)</f>
        <v>0</v>
      </c>
      <c r="HD9" s="24">
        <f>SUM('2026:2024'!HD9)</f>
        <v>0</v>
      </c>
      <c r="HE9" s="24">
        <f>SUM('2026:2024'!HE9)</f>
        <v>0</v>
      </c>
      <c r="HF9" s="24">
        <f>SUM('2026:2024'!HF9)</f>
        <v>0</v>
      </c>
      <c r="HG9" s="24">
        <f>SUM('2026:2024'!HG9)</f>
        <v>0</v>
      </c>
      <c r="HH9" s="24">
        <f>SUM('2026:2024'!HH9)</f>
        <v>9100</v>
      </c>
      <c r="HI9" s="24">
        <f>SUM('2026:2024'!HI9)</f>
        <v>0</v>
      </c>
      <c r="HJ9" s="25">
        <f t="shared" si="23"/>
        <v>103700</v>
      </c>
      <c r="HL9" s="25">
        <f>SUM('2026:2024'!HL9)</f>
        <v>588445</v>
      </c>
      <c r="HM9" s="24">
        <f>SUM('2026:2024'!HM9)</f>
        <v>0</v>
      </c>
      <c r="HN9" s="24">
        <f>SUM('2026:2024'!HN9)</f>
        <v>0</v>
      </c>
      <c r="HO9" s="24">
        <f>SUM('2026:2024'!HO9)</f>
        <v>0</v>
      </c>
      <c r="HP9" s="24">
        <f>SUM('2026:2024'!HP9)</f>
        <v>1100</v>
      </c>
      <c r="HQ9" s="24">
        <f>SUM('2026:2024'!HQ9)</f>
        <v>526900</v>
      </c>
      <c r="HR9" s="24">
        <f>SUM('2026:2024'!HR9)</f>
        <v>0</v>
      </c>
      <c r="HS9" s="24">
        <f>SUM('2026:2024'!HS9)</f>
        <v>0</v>
      </c>
      <c r="HT9" s="24">
        <f>SUM('2026:2024'!HT9)</f>
        <v>0</v>
      </c>
      <c r="HU9" s="24">
        <f>SUM('2026:2024'!HU9)</f>
        <v>0</v>
      </c>
      <c r="HV9" s="24">
        <f>SUM('2026:2024'!HV9)</f>
        <v>0</v>
      </c>
      <c r="HW9" s="24">
        <f>SUM('2026:2024'!HW9)</f>
        <v>0</v>
      </c>
      <c r="HX9" s="24">
        <f>SUM('2026:2024'!HX9)</f>
        <v>6600</v>
      </c>
      <c r="HY9" s="24">
        <f>SUM('2026:2024'!HY9)</f>
        <v>0</v>
      </c>
      <c r="HZ9" s="24">
        <f>SUM('2026:2024'!HZ9)</f>
        <v>45253</v>
      </c>
      <c r="IA9" s="24">
        <f>SUM('2026:2024'!IA9)</f>
        <v>0</v>
      </c>
      <c r="IB9" s="25">
        <f t="shared" si="24"/>
        <v>579853</v>
      </c>
    </row>
    <row r="10" spans="1:236" x14ac:dyDescent="0.35">
      <c r="A10" s="5" t="s">
        <v>148</v>
      </c>
      <c r="B10" s="22" t="s">
        <v>148</v>
      </c>
      <c r="D10" s="25">
        <f>SUM('2026:2024'!D10)</f>
        <v>64880</v>
      </c>
      <c r="E10" s="24">
        <f>SUM('2026:2024'!E10)</f>
        <v>0</v>
      </c>
      <c r="F10" s="24">
        <f>SUM('2026:2024'!F10)</f>
        <v>0</v>
      </c>
      <c r="G10" s="24">
        <f>SUM('2026:2024'!G10)</f>
        <v>0</v>
      </c>
      <c r="H10" s="24">
        <f>SUM('2026:2024'!H10)</f>
        <v>0</v>
      </c>
      <c r="I10" s="24">
        <f>SUM('2026:2024'!I10)</f>
        <v>0</v>
      </c>
      <c r="J10" s="24">
        <f>SUM('2026:2024'!J10)</f>
        <v>23818</v>
      </c>
      <c r="K10" s="24">
        <f>SUM('2026:2024'!K10)</f>
        <v>29980</v>
      </c>
      <c r="L10" s="24">
        <f>SUM('2026:2024'!L10)</f>
        <v>0</v>
      </c>
      <c r="M10" s="24">
        <f>SUM('2026:2024'!M10)</f>
        <v>0</v>
      </c>
      <c r="N10" s="24">
        <f>SUM('2026:2024'!N10)</f>
        <v>0</v>
      </c>
      <c r="O10" s="24">
        <f>SUM('2026:2024'!O10)</f>
        <v>0</v>
      </c>
      <c r="P10" s="24">
        <f>SUM('2026:2024'!P10)</f>
        <v>0</v>
      </c>
      <c r="Q10" s="24">
        <f>SUM('2026:2024'!Q10)</f>
        <v>1402</v>
      </c>
      <c r="R10" s="24">
        <f>SUM('2026:2024'!R10)</f>
        <v>6624</v>
      </c>
      <c r="S10" s="24">
        <f>SUM('2026:2024'!S10)</f>
        <v>0</v>
      </c>
      <c r="T10" s="25">
        <f t="shared" si="12"/>
        <v>61824</v>
      </c>
      <c r="V10" s="25">
        <f>SUM('2026:2024'!V10)</f>
        <v>16970</v>
      </c>
      <c r="W10" s="24">
        <f>SUM('2026:2024'!W10)</f>
        <v>0</v>
      </c>
      <c r="X10" s="24">
        <f>SUM('2026:2024'!X10)</f>
        <v>0</v>
      </c>
      <c r="Y10" s="24">
        <f>SUM('2026:2024'!Y10)</f>
        <v>0</v>
      </c>
      <c r="Z10" s="24">
        <f>SUM('2026:2024'!Z10)</f>
        <v>0</v>
      </c>
      <c r="AA10" s="24">
        <f>SUM('2026:2024'!AA10)</f>
        <v>0</v>
      </c>
      <c r="AB10" s="24">
        <f>SUM('2026:2024'!AB10)</f>
        <v>1365</v>
      </c>
      <c r="AC10" s="24">
        <f>SUM('2026:2024'!AC10)</f>
        <v>11705</v>
      </c>
      <c r="AD10" s="24">
        <f>SUM('2026:2024'!AD10)</f>
        <v>0</v>
      </c>
      <c r="AE10" s="24">
        <f>SUM('2026:2024'!AE10)</f>
        <v>0</v>
      </c>
      <c r="AF10" s="24">
        <f>SUM('2026:2024'!AF10)</f>
        <v>0</v>
      </c>
      <c r="AG10" s="24">
        <f>SUM('2026:2024'!AG10)</f>
        <v>0</v>
      </c>
      <c r="AH10" s="24">
        <f>SUM('2026:2024'!AH10)</f>
        <v>0</v>
      </c>
      <c r="AI10" s="24">
        <f>SUM('2026:2024'!AI10)</f>
        <v>0</v>
      </c>
      <c r="AJ10" s="24">
        <f>SUM('2026:2024'!AJ10)</f>
        <v>2040</v>
      </c>
      <c r="AK10" s="24">
        <f>SUM('2026:2024'!AK10)</f>
        <v>0</v>
      </c>
      <c r="AL10" s="25">
        <f t="shared" si="13"/>
        <v>15110</v>
      </c>
      <c r="AN10" s="25">
        <f>SUM('2026:2024'!AN10)</f>
        <v>18500</v>
      </c>
      <c r="AO10" s="24">
        <f>SUM('2026:2024'!AO10)</f>
        <v>0</v>
      </c>
      <c r="AP10" s="24">
        <f>SUM('2026:2024'!AP10)</f>
        <v>0</v>
      </c>
      <c r="AQ10" s="24">
        <f>SUM('2026:2024'!AQ10)</f>
        <v>0</v>
      </c>
      <c r="AR10" s="24">
        <f>SUM('2026:2024'!AR10)</f>
        <v>0</v>
      </c>
      <c r="AS10" s="24">
        <f>SUM('2026:2024'!AS10)</f>
        <v>0</v>
      </c>
      <c r="AT10" s="24">
        <f>SUM('2026:2024'!AT10)</f>
        <v>11550</v>
      </c>
      <c r="AU10" s="24">
        <f>SUM('2026:2024'!AU10)</f>
        <v>4782</v>
      </c>
      <c r="AV10" s="24">
        <f>SUM('2026:2024'!AV10)</f>
        <v>0</v>
      </c>
      <c r="AW10" s="24">
        <f>SUM('2026:2024'!AW10)</f>
        <v>0</v>
      </c>
      <c r="AX10" s="24">
        <f>SUM('2026:2024'!AX10)</f>
        <v>0</v>
      </c>
      <c r="AY10" s="24">
        <f>SUM('2026:2024'!AY10)</f>
        <v>0</v>
      </c>
      <c r="AZ10" s="24">
        <f>SUM('2026:2024'!AZ10)</f>
        <v>0</v>
      </c>
      <c r="BA10" s="24">
        <f>SUM('2026:2024'!BA10)</f>
        <v>0</v>
      </c>
      <c r="BB10" s="24">
        <f>SUM('2026:2024'!BB10)</f>
        <v>1424</v>
      </c>
      <c r="BC10" s="24">
        <f>SUM('2026:2024'!BC10)</f>
        <v>0</v>
      </c>
      <c r="BD10" s="25">
        <f t="shared" si="14"/>
        <v>17756</v>
      </c>
      <c r="BF10" s="25">
        <f>SUM('2026:2024'!BF10)</f>
        <v>8500</v>
      </c>
      <c r="BG10" s="24">
        <f>SUM('2026:2024'!BG10)</f>
        <v>0</v>
      </c>
      <c r="BH10" s="24">
        <f>SUM('2026:2024'!BH10)</f>
        <v>0</v>
      </c>
      <c r="BI10" s="24">
        <f>SUM('2026:2024'!BI10)</f>
        <v>0</v>
      </c>
      <c r="BJ10" s="24">
        <f>SUM('2026:2024'!BJ10)</f>
        <v>0</v>
      </c>
      <c r="BK10" s="24">
        <f>SUM('2026:2024'!BK10)</f>
        <v>0</v>
      </c>
      <c r="BL10" s="24">
        <f>SUM('2026:2024'!BL10)</f>
        <v>4423</v>
      </c>
      <c r="BM10" s="24">
        <f>SUM('2026:2024'!BM10)</f>
        <v>2793</v>
      </c>
      <c r="BN10" s="24">
        <f>SUM('2026:2024'!BN10)</f>
        <v>0</v>
      </c>
      <c r="BO10" s="24">
        <f>SUM('2026:2024'!BO10)</f>
        <v>0</v>
      </c>
      <c r="BP10" s="24">
        <f>SUM('2026:2024'!BP10)</f>
        <v>0</v>
      </c>
      <c r="BQ10" s="24">
        <f>SUM('2026:2024'!BQ10)</f>
        <v>0</v>
      </c>
      <c r="BR10" s="24">
        <f>SUM('2026:2024'!BR10)</f>
        <v>0</v>
      </c>
      <c r="BS10" s="24">
        <f>SUM('2026:2024'!BS10)</f>
        <v>0</v>
      </c>
      <c r="BT10" s="24">
        <f>SUM('2026:2024'!BT10)</f>
        <v>960</v>
      </c>
      <c r="BU10" s="24">
        <f>SUM('2026:2024'!BU10)</f>
        <v>0</v>
      </c>
      <c r="BV10" s="25">
        <f t="shared" si="15"/>
        <v>8176</v>
      </c>
      <c r="BX10" s="25">
        <f>SUM('2026:2024'!BX10)</f>
        <v>1600</v>
      </c>
      <c r="BY10" s="24">
        <f>SUM('2026:2024'!BY10)</f>
        <v>0</v>
      </c>
      <c r="BZ10" s="24">
        <f>SUM('2026:2024'!BZ10)</f>
        <v>0</v>
      </c>
      <c r="CA10" s="24">
        <f>SUM('2026:2024'!CA10)</f>
        <v>0</v>
      </c>
      <c r="CB10" s="24">
        <f>SUM('2026:2024'!CB10)</f>
        <v>0</v>
      </c>
      <c r="CC10" s="24">
        <f>SUM('2026:2024'!CC10)</f>
        <v>0</v>
      </c>
      <c r="CD10" s="24">
        <f>SUM('2026:2024'!CD10)</f>
        <v>0</v>
      </c>
      <c r="CE10" s="24">
        <f>SUM('2026:2024'!CE10)</f>
        <v>0</v>
      </c>
      <c r="CF10" s="24">
        <f>SUM('2026:2024'!CF10)</f>
        <v>0</v>
      </c>
      <c r="CG10" s="24">
        <f>SUM('2026:2024'!CG10)</f>
        <v>0</v>
      </c>
      <c r="CH10" s="24">
        <f>SUM('2026:2024'!CH10)</f>
        <v>0</v>
      </c>
      <c r="CI10" s="24">
        <f>SUM('2026:2024'!CI10)</f>
        <v>0</v>
      </c>
      <c r="CJ10" s="24">
        <f>SUM('2026:2024'!CJ10)</f>
        <v>0</v>
      </c>
      <c r="CK10" s="24">
        <f>SUM('2026:2024'!CK10)</f>
        <v>1402</v>
      </c>
      <c r="CL10" s="24">
        <f>SUM('2026:2024'!CL10)</f>
        <v>120</v>
      </c>
      <c r="CM10" s="24">
        <f>SUM('2026:2024'!CM10)</f>
        <v>0</v>
      </c>
      <c r="CN10" s="25">
        <f t="shared" si="16"/>
        <v>1522</v>
      </c>
      <c r="CP10" s="25">
        <f>SUM('2026:2024'!CP10)</f>
        <v>0</v>
      </c>
      <c r="CQ10" s="24">
        <f>SUM('2026:2024'!CQ10)</f>
        <v>0</v>
      </c>
      <c r="CR10" s="24">
        <f>SUM('2026:2024'!CR10)</f>
        <v>0</v>
      </c>
      <c r="CS10" s="24">
        <f>SUM('2026:2024'!CS10)</f>
        <v>0</v>
      </c>
      <c r="CT10" s="24">
        <f>SUM('2026:2024'!CT10)</f>
        <v>0</v>
      </c>
      <c r="CU10" s="24">
        <f>SUM('2026:2024'!CU10)</f>
        <v>0</v>
      </c>
      <c r="CV10" s="24">
        <f>SUM('2026:2024'!CV10)</f>
        <v>0</v>
      </c>
      <c r="CW10" s="24">
        <f>SUM('2026:2024'!CW10)</f>
        <v>0</v>
      </c>
      <c r="CX10" s="24">
        <f>SUM('2026:2024'!CX10)</f>
        <v>0</v>
      </c>
      <c r="CY10" s="24">
        <f>SUM('2026:2024'!CY10)</f>
        <v>0</v>
      </c>
      <c r="CZ10" s="24">
        <f>SUM('2026:2024'!CZ10)</f>
        <v>0</v>
      </c>
      <c r="DA10" s="24">
        <f>SUM('2026:2024'!DA10)</f>
        <v>0</v>
      </c>
      <c r="DB10" s="24">
        <f>SUM('2026:2024'!DB10)</f>
        <v>0</v>
      </c>
      <c r="DC10" s="24">
        <f>SUM('2026:2024'!DC10)</f>
        <v>0</v>
      </c>
      <c r="DD10" s="24">
        <f>SUM('2026:2024'!DD10)</f>
        <v>0</v>
      </c>
      <c r="DE10" s="24">
        <f>SUM('2026:2024'!DE10)</f>
        <v>0</v>
      </c>
      <c r="DF10" s="25">
        <f t="shared" si="17"/>
        <v>0</v>
      </c>
      <c r="DH10" s="25">
        <f>SUM('2026:2024'!DH10)</f>
        <v>0</v>
      </c>
      <c r="DI10" s="24">
        <f>SUM('2026:2024'!DI10)</f>
        <v>0</v>
      </c>
      <c r="DJ10" s="24">
        <f>SUM('2026:2024'!DJ10)</f>
        <v>0</v>
      </c>
      <c r="DK10" s="24">
        <f>SUM('2026:2024'!DK10)</f>
        <v>0</v>
      </c>
      <c r="DL10" s="24">
        <f>SUM('2026:2024'!DL10)</f>
        <v>0</v>
      </c>
      <c r="DM10" s="24">
        <f>SUM('2026:2024'!DM10)</f>
        <v>0</v>
      </c>
      <c r="DN10" s="24">
        <f>SUM('2026:2024'!DN10)</f>
        <v>0</v>
      </c>
      <c r="DO10" s="24">
        <f>SUM('2026:2024'!DO10)</f>
        <v>0</v>
      </c>
      <c r="DP10" s="24">
        <f>SUM('2026:2024'!DP10)</f>
        <v>0</v>
      </c>
      <c r="DQ10" s="24">
        <f>SUM('2026:2024'!DQ10)</f>
        <v>0</v>
      </c>
      <c r="DR10" s="24">
        <f>SUM('2026:2024'!DR10)</f>
        <v>0</v>
      </c>
      <c r="DS10" s="24">
        <f>SUM('2026:2024'!DS10)</f>
        <v>0</v>
      </c>
      <c r="DT10" s="24">
        <f>SUM('2026:2024'!DT10)</f>
        <v>0</v>
      </c>
      <c r="DU10" s="24">
        <f>SUM('2026:2024'!DU10)</f>
        <v>0</v>
      </c>
      <c r="DV10" s="24">
        <f>SUM('2026:2024'!DV10)</f>
        <v>0</v>
      </c>
      <c r="DW10" s="24">
        <f>SUM('2026:2024'!DW10)</f>
        <v>0</v>
      </c>
      <c r="DX10" s="25">
        <f t="shared" si="18"/>
        <v>0</v>
      </c>
      <c r="DZ10" s="25">
        <f>SUM('2026:2024'!DZ10)</f>
        <v>0</v>
      </c>
      <c r="EA10" s="24">
        <f>SUM('2026:2024'!EA10)</f>
        <v>0</v>
      </c>
      <c r="EB10" s="24">
        <f>SUM('2026:2024'!EB10)</f>
        <v>0</v>
      </c>
      <c r="EC10" s="24">
        <f>SUM('2026:2024'!EC10)</f>
        <v>0</v>
      </c>
      <c r="ED10" s="24">
        <f>SUM('2026:2024'!ED10)</f>
        <v>0</v>
      </c>
      <c r="EE10" s="24">
        <f>SUM('2026:2024'!EE10)</f>
        <v>0</v>
      </c>
      <c r="EF10" s="24">
        <f>SUM('2026:2024'!EF10)</f>
        <v>0</v>
      </c>
      <c r="EG10" s="24">
        <f>SUM('2026:2024'!EG10)</f>
        <v>0</v>
      </c>
      <c r="EH10" s="24">
        <f>SUM('2026:2024'!EH10)</f>
        <v>0</v>
      </c>
      <c r="EI10" s="24">
        <f>SUM('2026:2024'!EI10)</f>
        <v>0</v>
      </c>
      <c r="EJ10" s="24">
        <f>SUM('2026:2024'!EJ10)</f>
        <v>0</v>
      </c>
      <c r="EK10" s="24">
        <f>SUM('2026:2024'!EK10)</f>
        <v>0</v>
      </c>
      <c r="EL10" s="24">
        <f>SUM('2026:2024'!EL10)</f>
        <v>0</v>
      </c>
      <c r="EM10" s="24">
        <f>SUM('2026:2024'!EM10)</f>
        <v>0</v>
      </c>
      <c r="EN10" s="24">
        <f>SUM('2026:2024'!EN10)</f>
        <v>0</v>
      </c>
      <c r="EO10" s="24">
        <f>SUM('2026:2024'!EO10)</f>
        <v>0</v>
      </c>
      <c r="EP10" s="25">
        <f t="shared" si="19"/>
        <v>0</v>
      </c>
      <c r="ER10" s="25">
        <f>SUM('2026:2024'!ER10)</f>
        <v>0</v>
      </c>
      <c r="ES10" s="24">
        <f>SUM('2026:2024'!ES10)</f>
        <v>0</v>
      </c>
      <c r="ET10" s="24">
        <f>SUM('2026:2024'!ET10)</f>
        <v>0</v>
      </c>
      <c r="EU10" s="24">
        <f>SUM('2026:2024'!EU10)</f>
        <v>0</v>
      </c>
      <c r="EV10" s="24">
        <f>SUM('2026:2024'!EV10)</f>
        <v>0</v>
      </c>
      <c r="EW10" s="24">
        <f>SUM('2026:2024'!EW10)</f>
        <v>0</v>
      </c>
      <c r="EX10" s="24">
        <f>SUM('2026:2024'!EX10)</f>
        <v>0</v>
      </c>
      <c r="EY10" s="24">
        <f>SUM('2026:2024'!EY10)</f>
        <v>0</v>
      </c>
      <c r="EZ10" s="24">
        <f>SUM('2026:2024'!EZ10)</f>
        <v>0</v>
      </c>
      <c r="FA10" s="24">
        <f>SUM('2026:2024'!FA10)</f>
        <v>0</v>
      </c>
      <c r="FB10" s="24">
        <f>SUM('2026:2024'!FB10)</f>
        <v>0</v>
      </c>
      <c r="FC10" s="24">
        <f>SUM('2026:2024'!FC10)</f>
        <v>0</v>
      </c>
      <c r="FD10" s="24">
        <f>SUM('2026:2024'!FD10)</f>
        <v>0</v>
      </c>
      <c r="FE10" s="24">
        <f>SUM('2026:2024'!FE10)</f>
        <v>0</v>
      </c>
      <c r="FF10" s="24">
        <f>SUM('2026:2024'!FF10)</f>
        <v>0</v>
      </c>
      <c r="FG10" s="24">
        <f>SUM('2026:2024'!FG10)</f>
        <v>0</v>
      </c>
      <c r="FH10" s="25">
        <f t="shared" si="20"/>
        <v>0</v>
      </c>
      <c r="FJ10" s="25">
        <f>SUM('2026:2024'!FJ10)</f>
        <v>8310</v>
      </c>
      <c r="FK10" s="24">
        <f>SUM('2026:2024'!FK10)</f>
        <v>0</v>
      </c>
      <c r="FL10" s="24">
        <f>SUM('2026:2024'!FL10)</f>
        <v>0</v>
      </c>
      <c r="FM10" s="24">
        <f>SUM('2026:2024'!FM10)</f>
        <v>0</v>
      </c>
      <c r="FN10" s="24">
        <f>SUM('2026:2024'!FN10)</f>
        <v>0</v>
      </c>
      <c r="FO10" s="24">
        <f>SUM('2026:2024'!FO10)</f>
        <v>0</v>
      </c>
      <c r="FP10" s="24">
        <f>SUM('2026:2024'!FP10)</f>
        <v>2200</v>
      </c>
      <c r="FQ10" s="24">
        <f>SUM('2026:2024'!FQ10)</f>
        <v>5450</v>
      </c>
      <c r="FR10" s="24">
        <f>SUM('2026:2024'!FR10)</f>
        <v>0</v>
      </c>
      <c r="FS10" s="24">
        <f>SUM('2026:2024'!FS10)</f>
        <v>0</v>
      </c>
      <c r="FT10" s="24">
        <f>SUM('2026:2024'!FT10)</f>
        <v>0</v>
      </c>
      <c r="FU10" s="24">
        <f>SUM('2026:2024'!FU10)</f>
        <v>0</v>
      </c>
      <c r="FV10" s="24">
        <f>SUM('2026:2024'!FV10)</f>
        <v>0</v>
      </c>
      <c r="FW10" s="24">
        <f>SUM('2026:2024'!FW10)</f>
        <v>0</v>
      </c>
      <c r="FX10" s="24">
        <f>SUM('2026:2024'!FX10)</f>
        <v>660</v>
      </c>
      <c r="FY10" s="24">
        <f>SUM('2026:2024'!FY10)</f>
        <v>0</v>
      </c>
      <c r="FZ10" s="25">
        <f t="shared" si="21"/>
        <v>8310</v>
      </c>
      <c r="GB10" s="25">
        <f>SUM('2026:2024'!GB10)</f>
        <v>0</v>
      </c>
      <c r="GC10" s="24">
        <f>SUM('2026:2024'!GC10)</f>
        <v>0</v>
      </c>
      <c r="GD10" s="24">
        <f>SUM('2026:2024'!GD10)</f>
        <v>0</v>
      </c>
      <c r="GE10" s="24">
        <f>SUM('2026:2024'!GE10)</f>
        <v>0</v>
      </c>
      <c r="GF10" s="24">
        <f>SUM('2026:2024'!GF10)</f>
        <v>0</v>
      </c>
      <c r="GG10" s="24">
        <f>SUM('2026:2024'!GG10)</f>
        <v>0</v>
      </c>
      <c r="GH10" s="24">
        <f>SUM('2026:2024'!GH10)</f>
        <v>0</v>
      </c>
      <c r="GI10" s="24">
        <f>SUM('2026:2024'!GI10)</f>
        <v>0</v>
      </c>
      <c r="GJ10" s="24">
        <f>SUM('2026:2024'!GJ10)</f>
        <v>0</v>
      </c>
      <c r="GK10" s="24">
        <f>SUM('2026:2024'!GK10)</f>
        <v>0</v>
      </c>
      <c r="GL10" s="24">
        <f>SUM('2026:2024'!GL10)</f>
        <v>0</v>
      </c>
      <c r="GM10" s="24">
        <f>SUM('2026:2024'!GM10)</f>
        <v>0</v>
      </c>
      <c r="GN10" s="24">
        <f>SUM('2026:2024'!GN10)</f>
        <v>0</v>
      </c>
      <c r="GO10" s="24">
        <f>SUM('2026:2024'!GO10)</f>
        <v>0</v>
      </c>
      <c r="GP10" s="24">
        <f>SUM('2026:2024'!GP10)</f>
        <v>0</v>
      </c>
      <c r="GQ10" s="24">
        <f>SUM('2026:2024'!GQ10)</f>
        <v>0</v>
      </c>
      <c r="GR10" s="25">
        <f t="shared" si="22"/>
        <v>0</v>
      </c>
      <c r="GT10" s="25">
        <f>SUM('2026:2024'!GT10)</f>
        <v>7499.9999999999991</v>
      </c>
      <c r="GU10" s="24">
        <f>SUM('2026:2024'!GU10)</f>
        <v>0</v>
      </c>
      <c r="GV10" s="24">
        <f>SUM('2026:2024'!GV10)</f>
        <v>0</v>
      </c>
      <c r="GW10" s="24">
        <f>SUM('2026:2024'!GW10)</f>
        <v>0</v>
      </c>
      <c r="GX10" s="24">
        <f>SUM('2026:2024'!GX10)</f>
        <v>0</v>
      </c>
      <c r="GY10" s="24">
        <f>SUM('2026:2024'!GY10)</f>
        <v>0</v>
      </c>
      <c r="GZ10" s="24">
        <f>SUM('2026:2024'!GZ10)</f>
        <v>1850</v>
      </c>
      <c r="HA10" s="24">
        <f>SUM('2026:2024'!HA10)</f>
        <v>5250</v>
      </c>
      <c r="HB10" s="24">
        <f>SUM('2026:2024'!HB10)</f>
        <v>0</v>
      </c>
      <c r="HC10" s="24">
        <f>SUM('2026:2024'!HC10)</f>
        <v>0</v>
      </c>
      <c r="HD10" s="24">
        <f>SUM('2026:2024'!HD10)</f>
        <v>0</v>
      </c>
      <c r="HE10" s="24">
        <f>SUM('2026:2024'!HE10)</f>
        <v>0</v>
      </c>
      <c r="HF10" s="24">
        <f>SUM('2026:2024'!HF10)</f>
        <v>0</v>
      </c>
      <c r="HG10" s="24">
        <f>SUM('2026:2024'!HG10)</f>
        <v>0</v>
      </c>
      <c r="HH10" s="24">
        <f>SUM('2026:2024'!HH10)</f>
        <v>350</v>
      </c>
      <c r="HI10" s="24">
        <f>SUM('2026:2024'!HI10)</f>
        <v>0</v>
      </c>
      <c r="HJ10" s="25">
        <f t="shared" si="23"/>
        <v>7450</v>
      </c>
      <c r="HL10" s="25">
        <f>SUM('2026:2024'!HL10)</f>
        <v>3500</v>
      </c>
      <c r="HM10" s="24">
        <f>SUM('2026:2024'!HM10)</f>
        <v>0</v>
      </c>
      <c r="HN10" s="24">
        <f>SUM('2026:2024'!HN10)</f>
        <v>0</v>
      </c>
      <c r="HO10" s="24">
        <f>SUM('2026:2024'!HO10)</f>
        <v>0</v>
      </c>
      <c r="HP10" s="24">
        <f>SUM('2026:2024'!HP10)</f>
        <v>0</v>
      </c>
      <c r="HQ10" s="24">
        <f>SUM('2026:2024'!HQ10)</f>
        <v>0</v>
      </c>
      <c r="HR10" s="24">
        <f>SUM('2026:2024'!HR10)</f>
        <v>2430</v>
      </c>
      <c r="HS10" s="24">
        <f>SUM('2026:2024'!HS10)</f>
        <v>0</v>
      </c>
      <c r="HT10" s="24">
        <f>SUM('2026:2024'!HT10)</f>
        <v>0</v>
      </c>
      <c r="HU10" s="24">
        <f>SUM('2026:2024'!HU10)</f>
        <v>0</v>
      </c>
      <c r="HV10" s="24">
        <f>SUM('2026:2024'!HV10)</f>
        <v>0</v>
      </c>
      <c r="HW10" s="24">
        <f>SUM('2026:2024'!HW10)</f>
        <v>0</v>
      </c>
      <c r="HX10" s="24">
        <f>SUM('2026:2024'!HX10)</f>
        <v>0</v>
      </c>
      <c r="HY10" s="24">
        <f>SUM('2026:2024'!HY10)</f>
        <v>0</v>
      </c>
      <c r="HZ10" s="24">
        <f>SUM('2026:2024'!HZ10)</f>
        <v>1070</v>
      </c>
      <c r="IA10" s="24">
        <f>SUM('2026:2024'!IA10)</f>
        <v>0</v>
      </c>
      <c r="IB10" s="25">
        <f t="shared" si="24"/>
        <v>3500</v>
      </c>
    </row>
    <row r="11" spans="1:236" x14ac:dyDescent="0.35">
      <c r="A11" s="5" t="s">
        <v>147</v>
      </c>
      <c r="B11" s="22" t="s">
        <v>147</v>
      </c>
      <c r="D11" s="25">
        <f>SUM('2026:2024'!D11)</f>
        <v>3963044</v>
      </c>
      <c r="E11" s="24">
        <f>SUM('2026:2024'!E11)</f>
        <v>0</v>
      </c>
      <c r="F11" s="24">
        <f>SUM('2026:2024'!F11)</f>
        <v>0</v>
      </c>
      <c r="G11" s="24">
        <f>SUM('2026:2024'!G11)</f>
        <v>0</v>
      </c>
      <c r="H11" s="24">
        <f>SUM('2026:2024'!H11)</f>
        <v>0</v>
      </c>
      <c r="I11" s="24">
        <f>SUM('2026:2024'!I11)</f>
        <v>0</v>
      </c>
      <c r="J11" s="24">
        <f>SUM('2026:2024'!J11)</f>
        <v>6300</v>
      </c>
      <c r="K11" s="24">
        <f>SUM('2026:2024'!K11)</f>
        <v>3498076</v>
      </c>
      <c r="L11" s="24">
        <f>SUM('2026:2024'!L11)</f>
        <v>98903.5</v>
      </c>
      <c r="M11" s="24">
        <f>SUM('2026:2024'!M11)</f>
        <v>0</v>
      </c>
      <c r="N11" s="24">
        <f>SUM('2026:2024'!N11)</f>
        <v>0</v>
      </c>
      <c r="O11" s="24">
        <f>SUM('2026:2024'!O11)</f>
        <v>0</v>
      </c>
      <c r="P11" s="24">
        <f>SUM('2026:2024'!P11)</f>
        <v>0</v>
      </c>
      <c r="Q11" s="24">
        <f>SUM('2026:2024'!Q11)</f>
        <v>31260</v>
      </c>
      <c r="R11" s="24">
        <f>SUM('2026:2024'!R11)</f>
        <v>286280</v>
      </c>
      <c r="S11" s="24">
        <f>SUM('2026:2024'!S11)</f>
        <v>0</v>
      </c>
      <c r="T11" s="25">
        <f t="shared" si="12"/>
        <v>3920819.5</v>
      </c>
      <c r="V11" s="25">
        <f>SUM('2026:2024'!V11)</f>
        <v>206381</v>
      </c>
      <c r="W11" s="24">
        <f>SUM('2026:2024'!W11)</f>
        <v>0</v>
      </c>
      <c r="X11" s="24">
        <f>SUM('2026:2024'!X11)</f>
        <v>0</v>
      </c>
      <c r="Y11" s="24">
        <f>SUM('2026:2024'!Y11)</f>
        <v>0</v>
      </c>
      <c r="Z11" s="24">
        <f>SUM('2026:2024'!Z11)</f>
        <v>0</v>
      </c>
      <c r="AA11" s="24">
        <f>SUM('2026:2024'!AA11)</f>
        <v>0</v>
      </c>
      <c r="AB11" s="24">
        <f>SUM('2026:2024'!AB11)</f>
        <v>5250</v>
      </c>
      <c r="AC11" s="24">
        <f>SUM('2026:2024'!AC11)</f>
        <v>142300</v>
      </c>
      <c r="AD11" s="24">
        <f>SUM('2026:2024'!AD11)</f>
        <v>1223.4999999999998</v>
      </c>
      <c r="AE11" s="24">
        <f>SUM('2026:2024'!AE11)</f>
        <v>0</v>
      </c>
      <c r="AF11" s="24">
        <f>SUM('2026:2024'!AF11)</f>
        <v>0</v>
      </c>
      <c r="AG11" s="24">
        <f>SUM('2026:2024'!AG11)</f>
        <v>0</v>
      </c>
      <c r="AH11" s="24">
        <f>SUM('2026:2024'!AH11)</f>
        <v>0</v>
      </c>
      <c r="AI11" s="24">
        <f>SUM('2026:2024'!AI11)</f>
        <v>27300</v>
      </c>
      <c r="AJ11" s="24">
        <f>SUM('2026:2024'!AJ11)</f>
        <v>17182</v>
      </c>
      <c r="AK11" s="24">
        <f>SUM('2026:2024'!AK11)</f>
        <v>0</v>
      </c>
      <c r="AL11" s="25">
        <f t="shared" si="13"/>
        <v>193255.5</v>
      </c>
      <c r="AN11" s="25">
        <f>SUM('2026:2024'!AN11)</f>
        <v>256600</v>
      </c>
      <c r="AO11" s="24">
        <f>SUM('2026:2024'!AO11)</f>
        <v>0</v>
      </c>
      <c r="AP11" s="24">
        <f>SUM('2026:2024'!AP11)</f>
        <v>0</v>
      </c>
      <c r="AQ11" s="24">
        <f>SUM('2026:2024'!AQ11)</f>
        <v>0</v>
      </c>
      <c r="AR11" s="24">
        <f>SUM('2026:2024'!AR11)</f>
        <v>0</v>
      </c>
      <c r="AS11" s="24">
        <f>SUM('2026:2024'!AS11)</f>
        <v>0</v>
      </c>
      <c r="AT11" s="24">
        <f>SUM('2026:2024'!AT11)</f>
        <v>0</v>
      </c>
      <c r="AU11" s="24">
        <f>SUM('2026:2024'!AU11)</f>
        <v>224133</v>
      </c>
      <c r="AV11" s="24">
        <f>SUM('2026:2024'!AV11)</f>
        <v>2100</v>
      </c>
      <c r="AW11" s="24">
        <f>SUM('2026:2024'!AW11)</f>
        <v>0</v>
      </c>
      <c r="AX11" s="24">
        <f>SUM('2026:2024'!AX11)</f>
        <v>0</v>
      </c>
      <c r="AY11" s="24">
        <f>SUM('2026:2024'!AY11)</f>
        <v>0</v>
      </c>
      <c r="AZ11" s="24">
        <f>SUM('2026:2024'!AZ11)</f>
        <v>0</v>
      </c>
      <c r="BA11" s="24">
        <f>SUM('2026:2024'!BA11)</f>
        <v>0</v>
      </c>
      <c r="BB11" s="24">
        <f>SUM('2026:2024'!BB11)</f>
        <v>28787</v>
      </c>
      <c r="BC11" s="24">
        <f>SUM('2026:2024'!BC11)</f>
        <v>0</v>
      </c>
      <c r="BD11" s="25">
        <f t="shared" si="14"/>
        <v>255020</v>
      </c>
      <c r="BF11" s="25">
        <f>SUM('2026:2024'!BF11)</f>
        <v>474791.00000000006</v>
      </c>
      <c r="BG11" s="24">
        <f>SUM('2026:2024'!BG11)</f>
        <v>0</v>
      </c>
      <c r="BH11" s="24">
        <f>SUM('2026:2024'!BH11)</f>
        <v>0</v>
      </c>
      <c r="BI11" s="24">
        <f>SUM('2026:2024'!BI11)</f>
        <v>0</v>
      </c>
      <c r="BJ11" s="24">
        <f>SUM('2026:2024'!BJ11)</f>
        <v>0</v>
      </c>
      <c r="BK11" s="24">
        <f>SUM('2026:2024'!BK11)</f>
        <v>0</v>
      </c>
      <c r="BL11" s="24">
        <f>SUM('2026:2024'!BL11)</f>
        <v>1050</v>
      </c>
      <c r="BM11" s="24">
        <f>SUM('2026:2024'!BM11)</f>
        <v>415989</v>
      </c>
      <c r="BN11" s="24">
        <f>SUM('2026:2024'!BN11)</f>
        <v>0</v>
      </c>
      <c r="BO11" s="24">
        <f>SUM('2026:2024'!BO11)</f>
        <v>0</v>
      </c>
      <c r="BP11" s="24">
        <f>SUM('2026:2024'!BP11)</f>
        <v>0</v>
      </c>
      <c r="BQ11" s="24">
        <f>SUM('2026:2024'!BQ11)</f>
        <v>0</v>
      </c>
      <c r="BR11" s="24">
        <f>SUM('2026:2024'!BR11)</f>
        <v>0</v>
      </c>
      <c r="BS11" s="24">
        <f>SUM('2026:2024'!BS11)</f>
        <v>3505</v>
      </c>
      <c r="BT11" s="24">
        <f>SUM('2026:2024'!BT11)</f>
        <v>51330</v>
      </c>
      <c r="BU11" s="24">
        <f>SUM('2026:2024'!BU11)</f>
        <v>0</v>
      </c>
      <c r="BV11" s="25">
        <f t="shared" si="15"/>
        <v>471874</v>
      </c>
      <c r="BX11" s="25">
        <f>SUM('2026:2024'!BX11)</f>
        <v>194973</v>
      </c>
      <c r="BY11" s="24">
        <f>SUM('2026:2024'!BY11)</f>
        <v>0</v>
      </c>
      <c r="BZ11" s="24">
        <f>SUM('2026:2024'!BZ11)</f>
        <v>0</v>
      </c>
      <c r="CA11" s="24">
        <f>SUM('2026:2024'!CA11)</f>
        <v>0</v>
      </c>
      <c r="CB11" s="24">
        <f>SUM('2026:2024'!CB11)</f>
        <v>0</v>
      </c>
      <c r="CC11" s="24">
        <f>SUM('2026:2024'!CC11)</f>
        <v>0</v>
      </c>
      <c r="CD11" s="24">
        <f>SUM('2026:2024'!CD11)</f>
        <v>0</v>
      </c>
      <c r="CE11" s="24">
        <f>SUM('2026:2024'!CE11)</f>
        <v>176328</v>
      </c>
      <c r="CF11" s="24">
        <f>SUM('2026:2024'!CF11)</f>
        <v>3150</v>
      </c>
      <c r="CG11" s="24">
        <f>SUM('2026:2024'!CG11)</f>
        <v>0</v>
      </c>
      <c r="CH11" s="24">
        <f>SUM('2026:2024'!CH11)</f>
        <v>0</v>
      </c>
      <c r="CI11" s="24">
        <f>SUM('2026:2024'!CI11)</f>
        <v>0</v>
      </c>
      <c r="CJ11" s="24">
        <f>SUM('2026:2024'!CJ11)</f>
        <v>0</v>
      </c>
      <c r="CK11" s="24">
        <f>SUM('2026:2024'!CK11)</f>
        <v>455</v>
      </c>
      <c r="CL11" s="24">
        <f>SUM('2026:2024'!CL11)</f>
        <v>12635</v>
      </c>
      <c r="CM11" s="24">
        <f>SUM('2026:2024'!CM11)</f>
        <v>0</v>
      </c>
      <c r="CN11" s="25">
        <f t="shared" si="16"/>
        <v>192568</v>
      </c>
      <c r="CP11" s="25">
        <f>SUM('2026:2024'!CP11)</f>
        <v>520534</v>
      </c>
      <c r="CQ11" s="24">
        <f>SUM('2026:2024'!CQ11)</f>
        <v>0</v>
      </c>
      <c r="CR11" s="24">
        <f>SUM('2026:2024'!CR11)</f>
        <v>0</v>
      </c>
      <c r="CS11" s="24">
        <f>SUM('2026:2024'!CS11)</f>
        <v>0</v>
      </c>
      <c r="CT11" s="24">
        <f>SUM('2026:2024'!CT11)</f>
        <v>0</v>
      </c>
      <c r="CU11" s="24">
        <f>SUM('2026:2024'!CU11)</f>
        <v>0</v>
      </c>
      <c r="CV11" s="24">
        <f>SUM('2026:2024'!CV11)</f>
        <v>0</v>
      </c>
      <c r="CW11" s="24">
        <f>SUM('2026:2024'!CW11)</f>
        <v>499750</v>
      </c>
      <c r="CX11" s="24">
        <f>SUM('2026:2024'!CX11)</f>
        <v>1050</v>
      </c>
      <c r="CY11" s="24">
        <f>SUM('2026:2024'!CY11)</f>
        <v>0</v>
      </c>
      <c r="CZ11" s="24">
        <f>SUM('2026:2024'!CZ11)</f>
        <v>0</v>
      </c>
      <c r="DA11" s="24">
        <f>SUM('2026:2024'!DA11)</f>
        <v>0</v>
      </c>
      <c r="DB11" s="24">
        <f>SUM('2026:2024'!DB11)</f>
        <v>0</v>
      </c>
      <c r="DC11" s="24">
        <f>SUM('2026:2024'!DC11)</f>
        <v>0</v>
      </c>
      <c r="DD11" s="24">
        <f>SUM('2026:2024'!DD11)</f>
        <v>17660</v>
      </c>
      <c r="DE11" s="24">
        <f>SUM('2026:2024'!DE11)</f>
        <v>0</v>
      </c>
      <c r="DF11" s="25">
        <f t="shared" si="17"/>
        <v>518460</v>
      </c>
      <c r="DH11" s="25">
        <f>SUM('2026:2024'!DH11)</f>
        <v>346396</v>
      </c>
      <c r="DI11" s="24">
        <f>SUM('2026:2024'!DI11)</f>
        <v>0</v>
      </c>
      <c r="DJ11" s="24">
        <f>SUM('2026:2024'!DJ11)</f>
        <v>0</v>
      </c>
      <c r="DK11" s="24">
        <f>SUM('2026:2024'!DK11)</f>
        <v>0</v>
      </c>
      <c r="DL11" s="24">
        <f>SUM('2026:2024'!DL11)</f>
        <v>0</v>
      </c>
      <c r="DM11" s="24">
        <f>SUM('2026:2024'!DM11)</f>
        <v>0</v>
      </c>
      <c r="DN11" s="24">
        <f>SUM('2026:2024'!DN11)</f>
        <v>0</v>
      </c>
      <c r="DO11" s="24">
        <f>SUM('2026:2024'!DO11)</f>
        <v>339408</v>
      </c>
      <c r="DP11" s="24">
        <f>SUM('2026:2024'!DP11)</f>
        <v>0</v>
      </c>
      <c r="DQ11" s="24">
        <f>SUM('2026:2024'!DQ11)</f>
        <v>0</v>
      </c>
      <c r="DR11" s="24">
        <f>SUM('2026:2024'!DR11)</f>
        <v>0</v>
      </c>
      <c r="DS11" s="24">
        <f>SUM('2026:2024'!DS11)</f>
        <v>0</v>
      </c>
      <c r="DT11" s="24">
        <f>SUM('2026:2024'!DT11)</f>
        <v>0</v>
      </c>
      <c r="DU11" s="24">
        <f>SUM('2026:2024'!DU11)</f>
        <v>0</v>
      </c>
      <c r="DV11" s="24">
        <f>SUM('2026:2024'!DV11)</f>
        <v>6156</v>
      </c>
      <c r="DW11" s="24">
        <f>SUM('2026:2024'!DW11)</f>
        <v>0</v>
      </c>
      <c r="DX11" s="25">
        <f t="shared" si="18"/>
        <v>345564</v>
      </c>
      <c r="DZ11" s="25">
        <f>SUM('2026:2024'!DZ11)</f>
        <v>583953</v>
      </c>
      <c r="EA11" s="24">
        <f>SUM('2026:2024'!EA11)</f>
        <v>0</v>
      </c>
      <c r="EB11" s="24">
        <f>SUM('2026:2024'!EB11)</f>
        <v>0</v>
      </c>
      <c r="EC11" s="24">
        <f>SUM('2026:2024'!EC11)</f>
        <v>0</v>
      </c>
      <c r="ED11" s="24">
        <f>SUM('2026:2024'!ED11)</f>
        <v>0</v>
      </c>
      <c r="EE11" s="24">
        <f>SUM('2026:2024'!EE11)</f>
        <v>0</v>
      </c>
      <c r="EF11" s="24">
        <f>SUM('2026:2024'!EF11)</f>
        <v>0</v>
      </c>
      <c r="EG11" s="24">
        <f>SUM('2026:2024'!EG11)</f>
        <v>514889</v>
      </c>
      <c r="EH11" s="24">
        <f>SUM('2026:2024'!EH11)</f>
        <v>17850</v>
      </c>
      <c r="EI11" s="24">
        <f>SUM('2026:2024'!EI11)</f>
        <v>0</v>
      </c>
      <c r="EJ11" s="24">
        <f>SUM('2026:2024'!EJ11)</f>
        <v>0</v>
      </c>
      <c r="EK11" s="24">
        <f>SUM('2026:2024'!EK11)</f>
        <v>0</v>
      </c>
      <c r="EL11" s="24">
        <f>SUM('2026:2024'!EL11)</f>
        <v>0</v>
      </c>
      <c r="EM11" s="24">
        <f>SUM('2026:2024'!EM11)</f>
        <v>0</v>
      </c>
      <c r="EN11" s="24">
        <f>SUM('2026:2024'!EN11)</f>
        <v>47604</v>
      </c>
      <c r="EO11" s="24">
        <f>SUM('2026:2024'!EO11)</f>
        <v>0</v>
      </c>
      <c r="EP11" s="25">
        <f t="shared" si="19"/>
        <v>580343</v>
      </c>
      <c r="ER11" s="25">
        <f>SUM('2026:2024'!ER11)</f>
        <v>326514.00000000006</v>
      </c>
      <c r="ES11" s="24">
        <f>SUM('2026:2024'!ES11)</f>
        <v>0</v>
      </c>
      <c r="ET11" s="24">
        <f>SUM('2026:2024'!ET11)</f>
        <v>0</v>
      </c>
      <c r="EU11" s="24">
        <f>SUM('2026:2024'!EU11)</f>
        <v>0</v>
      </c>
      <c r="EV11" s="24">
        <f>SUM('2026:2024'!EV11)</f>
        <v>0</v>
      </c>
      <c r="EW11" s="24">
        <f>SUM('2026:2024'!EW11)</f>
        <v>0</v>
      </c>
      <c r="EX11" s="24">
        <f>SUM('2026:2024'!EX11)</f>
        <v>0</v>
      </c>
      <c r="EY11" s="24">
        <f>SUM('2026:2024'!EY11)</f>
        <v>290278</v>
      </c>
      <c r="EZ11" s="24">
        <f>SUM('2026:2024'!EZ11)</f>
        <v>2100</v>
      </c>
      <c r="FA11" s="24">
        <f>SUM('2026:2024'!FA11)</f>
        <v>0</v>
      </c>
      <c r="FB11" s="24">
        <f>SUM('2026:2024'!FB11)</f>
        <v>0</v>
      </c>
      <c r="FC11" s="24">
        <f>SUM('2026:2024'!FC11)</f>
        <v>0</v>
      </c>
      <c r="FD11" s="24">
        <f>SUM('2026:2024'!FD11)</f>
        <v>0</v>
      </c>
      <c r="FE11" s="24">
        <f>SUM('2026:2024'!FE11)</f>
        <v>0</v>
      </c>
      <c r="FF11" s="24">
        <f>SUM('2026:2024'!FF11)</f>
        <v>29194</v>
      </c>
      <c r="FG11" s="24">
        <f>SUM('2026:2024'!FG11)</f>
        <v>0</v>
      </c>
      <c r="FH11" s="25">
        <f t="shared" si="20"/>
        <v>321572</v>
      </c>
      <c r="FJ11" s="25">
        <f>SUM('2026:2024'!FJ11)</f>
        <v>350947</v>
      </c>
      <c r="FK11" s="24">
        <f>SUM('2026:2024'!FK11)</f>
        <v>0</v>
      </c>
      <c r="FL11" s="24">
        <f>SUM('2026:2024'!FL11)</f>
        <v>0</v>
      </c>
      <c r="FM11" s="24">
        <f>SUM('2026:2024'!FM11)</f>
        <v>0</v>
      </c>
      <c r="FN11" s="24">
        <f>SUM('2026:2024'!FN11)</f>
        <v>0</v>
      </c>
      <c r="FO11" s="24">
        <f>SUM('2026:2024'!FO11)</f>
        <v>0</v>
      </c>
      <c r="FP11" s="24">
        <f>SUM('2026:2024'!FP11)</f>
        <v>0</v>
      </c>
      <c r="FQ11" s="24">
        <f>SUM('2026:2024'!FQ11)</f>
        <v>309183</v>
      </c>
      <c r="FR11" s="24">
        <f>SUM('2026:2024'!FR11)</f>
        <v>11550</v>
      </c>
      <c r="FS11" s="24">
        <f>SUM('2026:2024'!FS11)</f>
        <v>0</v>
      </c>
      <c r="FT11" s="24">
        <f>SUM('2026:2024'!FT11)</f>
        <v>0</v>
      </c>
      <c r="FU11" s="24">
        <f>SUM('2026:2024'!FU11)</f>
        <v>0</v>
      </c>
      <c r="FV11" s="24">
        <f>SUM('2026:2024'!FV11)</f>
        <v>0</v>
      </c>
      <c r="FW11" s="24">
        <f>SUM('2026:2024'!FW11)</f>
        <v>0</v>
      </c>
      <c r="FX11" s="24">
        <f>SUM('2026:2024'!FX11)</f>
        <v>25670</v>
      </c>
      <c r="FY11" s="24">
        <f>SUM('2026:2024'!FY11)</f>
        <v>0</v>
      </c>
      <c r="FZ11" s="25">
        <f t="shared" si="21"/>
        <v>346403</v>
      </c>
      <c r="GB11" s="25">
        <f>SUM('2026:2024'!GB11)</f>
        <v>351967.99999999994</v>
      </c>
      <c r="GC11" s="24">
        <f>SUM('2026:2024'!GC11)</f>
        <v>0</v>
      </c>
      <c r="GD11" s="24">
        <f>SUM('2026:2024'!GD11)</f>
        <v>0</v>
      </c>
      <c r="GE11" s="24">
        <f>SUM('2026:2024'!GE11)</f>
        <v>0</v>
      </c>
      <c r="GF11" s="24">
        <f>SUM('2026:2024'!GF11)</f>
        <v>0</v>
      </c>
      <c r="GG11" s="24">
        <f>SUM('2026:2024'!GG11)</f>
        <v>0</v>
      </c>
      <c r="GH11" s="24">
        <f>SUM('2026:2024'!GH11)</f>
        <v>0</v>
      </c>
      <c r="GI11" s="24">
        <f>SUM('2026:2024'!GI11)</f>
        <v>285800</v>
      </c>
      <c r="GJ11" s="24">
        <f>SUM('2026:2024'!GJ11)</f>
        <v>44050</v>
      </c>
      <c r="GK11" s="24">
        <f>SUM('2026:2024'!GK11)</f>
        <v>0</v>
      </c>
      <c r="GL11" s="24">
        <f>SUM('2026:2024'!GL11)</f>
        <v>0</v>
      </c>
      <c r="GM11" s="24">
        <f>SUM('2026:2024'!GM11)</f>
        <v>0</v>
      </c>
      <c r="GN11" s="24">
        <f>SUM('2026:2024'!GN11)</f>
        <v>0</v>
      </c>
      <c r="GO11" s="24">
        <f>SUM('2026:2024'!GO11)</f>
        <v>0</v>
      </c>
      <c r="GP11" s="24">
        <f>SUM('2026:2024'!GP11)</f>
        <v>17730</v>
      </c>
      <c r="GQ11" s="24">
        <f>SUM('2026:2024'!GQ11)</f>
        <v>0</v>
      </c>
      <c r="GR11" s="25">
        <f t="shared" si="22"/>
        <v>347580</v>
      </c>
      <c r="GT11" s="25">
        <f>SUM('2026:2024'!GT11)</f>
        <v>187437</v>
      </c>
      <c r="GU11" s="24">
        <f>SUM('2026:2024'!GU11)</f>
        <v>0</v>
      </c>
      <c r="GV11" s="24">
        <f>SUM('2026:2024'!GV11)</f>
        <v>0</v>
      </c>
      <c r="GW11" s="24">
        <f>SUM('2026:2024'!GW11)</f>
        <v>0</v>
      </c>
      <c r="GX11" s="24">
        <f>SUM('2026:2024'!GX11)</f>
        <v>0</v>
      </c>
      <c r="GY11" s="24">
        <f>SUM('2026:2024'!GY11)</f>
        <v>0</v>
      </c>
      <c r="GZ11" s="24">
        <f>SUM('2026:2024'!GZ11)</f>
        <v>0</v>
      </c>
      <c r="HA11" s="24">
        <f>SUM('2026:2024'!HA11)</f>
        <v>163136</v>
      </c>
      <c r="HB11" s="24">
        <f>SUM('2026:2024'!HB11)</f>
        <v>10330</v>
      </c>
      <c r="HC11" s="24">
        <f>SUM('2026:2024'!HC11)</f>
        <v>0</v>
      </c>
      <c r="HD11" s="24">
        <f>SUM('2026:2024'!HD11)</f>
        <v>0</v>
      </c>
      <c r="HE11" s="24">
        <f>SUM('2026:2024'!HE11)</f>
        <v>0</v>
      </c>
      <c r="HF11" s="24">
        <f>SUM('2026:2024'!HF11)</f>
        <v>0</v>
      </c>
      <c r="HG11" s="24">
        <f>SUM('2026:2024'!HG11)</f>
        <v>0</v>
      </c>
      <c r="HH11" s="24">
        <f>SUM('2026:2024'!HH11)</f>
        <v>13496</v>
      </c>
      <c r="HI11" s="24">
        <f>SUM('2026:2024'!HI11)</f>
        <v>0</v>
      </c>
      <c r="HJ11" s="25">
        <f t="shared" si="23"/>
        <v>186962</v>
      </c>
      <c r="HL11" s="25">
        <f>SUM('2026:2024'!HL11)</f>
        <v>162550</v>
      </c>
      <c r="HM11" s="24">
        <f>SUM('2026:2024'!HM11)</f>
        <v>0</v>
      </c>
      <c r="HN11" s="24">
        <f>SUM('2026:2024'!HN11)</f>
        <v>0</v>
      </c>
      <c r="HO11" s="24">
        <f>SUM('2026:2024'!HO11)</f>
        <v>0</v>
      </c>
      <c r="HP11" s="24">
        <f>SUM('2026:2024'!HP11)</f>
        <v>0</v>
      </c>
      <c r="HQ11" s="24">
        <f>SUM('2026:2024'!HQ11)</f>
        <v>0</v>
      </c>
      <c r="HR11" s="24">
        <f>SUM('2026:2024'!HR11)</f>
        <v>0</v>
      </c>
      <c r="HS11" s="24">
        <f>SUM('2026:2024'!HS11)</f>
        <v>136882</v>
      </c>
      <c r="HT11" s="24">
        <f>SUM('2026:2024'!HT11)</f>
        <v>5500</v>
      </c>
      <c r="HU11" s="24">
        <f>SUM('2026:2024'!HU11)</f>
        <v>0</v>
      </c>
      <c r="HV11" s="24">
        <f>SUM('2026:2024'!HV11)</f>
        <v>0</v>
      </c>
      <c r="HW11" s="24">
        <f>SUM('2026:2024'!HW11)</f>
        <v>0</v>
      </c>
      <c r="HX11" s="24">
        <f>SUM('2026:2024'!HX11)</f>
        <v>0</v>
      </c>
      <c r="HY11" s="24">
        <f>SUM('2026:2024'!HY11)</f>
        <v>0</v>
      </c>
      <c r="HZ11" s="24">
        <f>SUM('2026:2024'!HZ11)</f>
        <v>18836</v>
      </c>
      <c r="IA11" s="24">
        <f>SUM('2026:2024'!IA11)</f>
        <v>0</v>
      </c>
      <c r="IB11" s="25">
        <f t="shared" si="24"/>
        <v>161218</v>
      </c>
    </row>
    <row r="12" spans="1:236" ht="15" thickBot="1" x14ac:dyDescent="0.4">
      <c r="A12" s="5" t="s">
        <v>76</v>
      </c>
      <c r="B12" s="23" t="s">
        <v>76</v>
      </c>
      <c r="D12" s="27">
        <f>SUM('2026:2024'!D12)</f>
        <v>30000</v>
      </c>
      <c r="E12" s="26">
        <f>SUM('2026:2024'!E12)</f>
        <v>0</v>
      </c>
      <c r="F12" s="26">
        <f>SUM('2026:2024'!F12)</f>
        <v>0</v>
      </c>
      <c r="G12" s="26">
        <f>SUM('2026:2024'!G12)</f>
        <v>0</v>
      </c>
      <c r="H12" s="26">
        <f>SUM('2026:2024'!H12)</f>
        <v>0</v>
      </c>
      <c r="I12" s="26">
        <f>SUM('2026:2024'!I12)</f>
        <v>0</v>
      </c>
      <c r="J12" s="26">
        <f>SUM('2026:2024'!J12)</f>
        <v>0</v>
      </c>
      <c r="K12" s="26">
        <f>SUM('2026:2024'!K12)</f>
        <v>0</v>
      </c>
      <c r="L12" s="26">
        <f>SUM('2026:2024'!L12)</f>
        <v>0</v>
      </c>
      <c r="M12" s="26">
        <f>SUM('2026:2024'!M12)</f>
        <v>0</v>
      </c>
      <c r="N12" s="26">
        <f>SUM('2026:2024'!N12)</f>
        <v>0</v>
      </c>
      <c r="O12" s="26">
        <f>SUM('2026:2024'!O12)</f>
        <v>0</v>
      </c>
      <c r="P12" s="26">
        <f>SUM('2026:2024'!P12)</f>
        <v>0</v>
      </c>
      <c r="Q12" s="26">
        <f>SUM('2026:2024'!Q12)</f>
        <v>0</v>
      </c>
      <c r="R12" s="26">
        <f>SUM('2026:2024'!R12)</f>
        <v>755</v>
      </c>
      <c r="S12" s="26">
        <f>SUM('2026:2024'!S12)</f>
        <v>28925</v>
      </c>
      <c r="T12" s="27">
        <f t="shared" si="12"/>
        <v>29680</v>
      </c>
      <c r="V12" s="27">
        <f>SUM('2026:2024'!V12)</f>
        <v>6000</v>
      </c>
      <c r="W12" s="26">
        <f>SUM('2026:2024'!W12)</f>
        <v>0</v>
      </c>
      <c r="X12" s="26">
        <f>SUM('2026:2024'!X12)</f>
        <v>0</v>
      </c>
      <c r="Y12" s="26">
        <f>SUM('2026:2024'!Y12)</f>
        <v>0</v>
      </c>
      <c r="Z12" s="26">
        <f>SUM('2026:2024'!Z12)</f>
        <v>0</v>
      </c>
      <c r="AA12" s="26">
        <f>SUM('2026:2024'!AA12)</f>
        <v>0</v>
      </c>
      <c r="AB12" s="26">
        <f>SUM('2026:2024'!AB12)</f>
        <v>0</v>
      </c>
      <c r="AC12" s="26">
        <f>SUM('2026:2024'!AC12)</f>
        <v>0</v>
      </c>
      <c r="AD12" s="26">
        <f>SUM('2026:2024'!AD12)</f>
        <v>0</v>
      </c>
      <c r="AE12" s="26">
        <f>SUM('2026:2024'!AE12)</f>
        <v>0</v>
      </c>
      <c r="AF12" s="26">
        <f>SUM('2026:2024'!AF12)</f>
        <v>0</v>
      </c>
      <c r="AG12" s="26">
        <f>SUM('2026:2024'!AG12)</f>
        <v>0</v>
      </c>
      <c r="AH12" s="26">
        <f>SUM('2026:2024'!AH12)</f>
        <v>0</v>
      </c>
      <c r="AI12" s="26">
        <f>SUM('2026:2024'!AI12)</f>
        <v>0</v>
      </c>
      <c r="AJ12" s="26">
        <f>SUM('2026:2024'!AJ12)</f>
        <v>0</v>
      </c>
      <c r="AK12" s="26">
        <f>SUM('2026:2024'!AK12)</f>
        <v>6000</v>
      </c>
      <c r="AL12" s="27">
        <f t="shared" si="13"/>
        <v>6000</v>
      </c>
      <c r="AN12" s="27">
        <f>SUM('2026:2024'!AN12)</f>
        <v>0</v>
      </c>
      <c r="AO12" s="26">
        <f>SUM('2026:2024'!AO12)</f>
        <v>0</v>
      </c>
      <c r="AP12" s="26">
        <f>SUM('2026:2024'!AP12)</f>
        <v>0</v>
      </c>
      <c r="AQ12" s="26">
        <f>SUM('2026:2024'!AQ12)</f>
        <v>0</v>
      </c>
      <c r="AR12" s="26">
        <f>SUM('2026:2024'!AR12)</f>
        <v>0</v>
      </c>
      <c r="AS12" s="26">
        <f>SUM('2026:2024'!AS12)</f>
        <v>0</v>
      </c>
      <c r="AT12" s="26">
        <f>SUM('2026:2024'!AT12)</f>
        <v>0</v>
      </c>
      <c r="AU12" s="26">
        <f>SUM('2026:2024'!AU12)</f>
        <v>0</v>
      </c>
      <c r="AV12" s="26">
        <f>SUM('2026:2024'!AV12)</f>
        <v>0</v>
      </c>
      <c r="AW12" s="26">
        <f>SUM('2026:2024'!AW12)</f>
        <v>0</v>
      </c>
      <c r="AX12" s="26">
        <f>SUM('2026:2024'!AX12)</f>
        <v>0</v>
      </c>
      <c r="AY12" s="26">
        <f>SUM('2026:2024'!AY12)</f>
        <v>0</v>
      </c>
      <c r="AZ12" s="26">
        <f>SUM('2026:2024'!AZ12)</f>
        <v>0</v>
      </c>
      <c r="BA12" s="26">
        <f>SUM('2026:2024'!BA12)</f>
        <v>0</v>
      </c>
      <c r="BB12" s="26">
        <f>SUM('2026:2024'!BB12)</f>
        <v>0</v>
      </c>
      <c r="BC12" s="26">
        <f>SUM('2026:2024'!BC12)</f>
        <v>0</v>
      </c>
      <c r="BD12" s="27">
        <f t="shared" si="14"/>
        <v>0</v>
      </c>
      <c r="BF12" s="27">
        <f>SUM('2026:2024'!BF12)</f>
        <v>0</v>
      </c>
      <c r="BG12" s="26">
        <f>SUM('2026:2024'!BG12)</f>
        <v>0</v>
      </c>
      <c r="BH12" s="26">
        <f>SUM('2026:2024'!BH12)</f>
        <v>0</v>
      </c>
      <c r="BI12" s="26">
        <f>SUM('2026:2024'!BI12)</f>
        <v>0</v>
      </c>
      <c r="BJ12" s="26">
        <f>SUM('2026:2024'!BJ12)</f>
        <v>0</v>
      </c>
      <c r="BK12" s="26">
        <f>SUM('2026:2024'!BK12)</f>
        <v>0</v>
      </c>
      <c r="BL12" s="26">
        <f>SUM('2026:2024'!BL12)</f>
        <v>0</v>
      </c>
      <c r="BM12" s="26">
        <f>SUM('2026:2024'!BM12)</f>
        <v>0</v>
      </c>
      <c r="BN12" s="26">
        <f>SUM('2026:2024'!BN12)</f>
        <v>0</v>
      </c>
      <c r="BO12" s="26">
        <f>SUM('2026:2024'!BO12)</f>
        <v>0</v>
      </c>
      <c r="BP12" s="26">
        <f>SUM('2026:2024'!BP12)</f>
        <v>0</v>
      </c>
      <c r="BQ12" s="26">
        <f>SUM('2026:2024'!BQ12)</f>
        <v>0</v>
      </c>
      <c r="BR12" s="26">
        <f>SUM('2026:2024'!BR12)</f>
        <v>0</v>
      </c>
      <c r="BS12" s="26">
        <f>SUM('2026:2024'!BS12)</f>
        <v>0</v>
      </c>
      <c r="BT12" s="26">
        <f>SUM('2026:2024'!BT12)</f>
        <v>0</v>
      </c>
      <c r="BU12" s="26">
        <f>SUM('2026:2024'!BU12)</f>
        <v>0</v>
      </c>
      <c r="BV12" s="27">
        <f t="shared" si="15"/>
        <v>0</v>
      </c>
      <c r="BX12" s="27">
        <f>SUM('2026:2024'!BX12)</f>
        <v>0</v>
      </c>
      <c r="BY12" s="26">
        <f>SUM('2026:2024'!BY12)</f>
        <v>0</v>
      </c>
      <c r="BZ12" s="26">
        <f>SUM('2026:2024'!BZ12)</f>
        <v>0</v>
      </c>
      <c r="CA12" s="26">
        <f>SUM('2026:2024'!CA12)</f>
        <v>0</v>
      </c>
      <c r="CB12" s="26">
        <f>SUM('2026:2024'!CB12)</f>
        <v>0</v>
      </c>
      <c r="CC12" s="26">
        <f>SUM('2026:2024'!CC12)</f>
        <v>0</v>
      </c>
      <c r="CD12" s="26">
        <f>SUM('2026:2024'!CD12)</f>
        <v>0</v>
      </c>
      <c r="CE12" s="26">
        <f>SUM('2026:2024'!CE12)</f>
        <v>0</v>
      </c>
      <c r="CF12" s="26">
        <f>SUM('2026:2024'!CF12)</f>
        <v>0</v>
      </c>
      <c r="CG12" s="26">
        <f>SUM('2026:2024'!CG12)</f>
        <v>0</v>
      </c>
      <c r="CH12" s="26">
        <f>SUM('2026:2024'!CH12)</f>
        <v>0</v>
      </c>
      <c r="CI12" s="26">
        <f>SUM('2026:2024'!CI12)</f>
        <v>0</v>
      </c>
      <c r="CJ12" s="26">
        <f>SUM('2026:2024'!CJ12)</f>
        <v>0</v>
      </c>
      <c r="CK12" s="26">
        <f>SUM('2026:2024'!CK12)</f>
        <v>0</v>
      </c>
      <c r="CL12" s="26">
        <f>SUM('2026:2024'!CL12)</f>
        <v>0</v>
      </c>
      <c r="CM12" s="26">
        <f>SUM('2026:2024'!CM12)</f>
        <v>0</v>
      </c>
      <c r="CN12" s="27">
        <f t="shared" si="16"/>
        <v>0</v>
      </c>
      <c r="CP12" s="27">
        <f>SUM('2026:2024'!CP12)</f>
        <v>0</v>
      </c>
      <c r="CQ12" s="26">
        <f>SUM('2026:2024'!CQ12)</f>
        <v>0</v>
      </c>
      <c r="CR12" s="26">
        <f>SUM('2026:2024'!CR12)</f>
        <v>0</v>
      </c>
      <c r="CS12" s="26">
        <f>SUM('2026:2024'!CS12)</f>
        <v>0</v>
      </c>
      <c r="CT12" s="26">
        <f>SUM('2026:2024'!CT12)</f>
        <v>0</v>
      </c>
      <c r="CU12" s="26">
        <f>SUM('2026:2024'!CU12)</f>
        <v>0</v>
      </c>
      <c r="CV12" s="26">
        <f>SUM('2026:2024'!CV12)</f>
        <v>0</v>
      </c>
      <c r="CW12" s="26">
        <f>SUM('2026:2024'!CW12)</f>
        <v>0</v>
      </c>
      <c r="CX12" s="26">
        <f>SUM('2026:2024'!CX12)</f>
        <v>0</v>
      </c>
      <c r="CY12" s="26">
        <f>SUM('2026:2024'!CY12)</f>
        <v>0</v>
      </c>
      <c r="CZ12" s="26">
        <f>SUM('2026:2024'!CZ12)</f>
        <v>0</v>
      </c>
      <c r="DA12" s="26">
        <f>SUM('2026:2024'!DA12)</f>
        <v>0</v>
      </c>
      <c r="DB12" s="26">
        <f>SUM('2026:2024'!DB12)</f>
        <v>0</v>
      </c>
      <c r="DC12" s="26">
        <f>SUM('2026:2024'!DC12)</f>
        <v>0</v>
      </c>
      <c r="DD12" s="26">
        <f>SUM('2026:2024'!DD12)</f>
        <v>0</v>
      </c>
      <c r="DE12" s="26">
        <f>SUM('2026:2024'!DE12)</f>
        <v>0</v>
      </c>
      <c r="DF12" s="27">
        <f t="shared" si="17"/>
        <v>0</v>
      </c>
      <c r="DH12" s="27">
        <f>SUM('2026:2024'!DH12)</f>
        <v>0</v>
      </c>
      <c r="DI12" s="26">
        <f>SUM('2026:2024'!DI12)</f>
        <v>0</v>
      </c>
      <c r="DJ12" s="26">
        <f>SUM('2026:2024'!DJ12)</f>
        <v>0</v>
      </c>
      <c r="DK12" s="26">
        <f>SUM('2026:2024'!DK12)</f>
        <v>0</v>
      </c>
      <c r="DL12" s="26">
        <f>SUM('2026:2024'!DL12)</f>
        <v>0</v>
      </c>
      <c r="DM12" s="26">
        <f>SUM('2026:2024'!DM12)</f>
        <v>0</v>
      </c>
      <c r="DN12" s="26">
        <f>SUM('2026:2024'!DN12)</f>
        <v>0</v>
      </c>
      <c r="DO12" s="26">
        <f>SUM('2026:2024'!DO12)</f>
        <v>0</v>
      </c>
      <c r="DP12" s="26">
        <f>SUM('2026:2024'!DP12)</f>
        <v>0</v>
      </c>
      <c r="DQ12" s="26">
        <f>SUM('2026:2024'!DQ12)</f>
        <v>0</v>
      </c>
      <c r="DR12" s="26">
        <f>SUM('2026:2024'!DR12)</f>
        <v>0</v>
      </c>
      <c r="DS12" s="26">
        <f>SUM('2026:2024'!DS12)</f>
        <v>0</v>
      </c>
      <c r="DT12" s="26">
        <f>SUM('2026:2024'!DT12)</f>
        <v>0</v>
      </c>
      <c r="DU12" s="26">
        <f>SUM('2026:2024'!DU12)</f>
        <v>0</v>
      </c>
      <c r="DV12" s="26">
        <f>SUM('2026:2024'!DV12)</f>
        <v>0</v>
      </c>
      <c r="DW12" s="26">
        <f>SUM('2026:2024'!DW12)</f>
        <v>0</v>
      </c>
      <c r="DX12" s="27">
        <f t="shared" si="18"/>
        <v>0</v>
      </c>
      <c r="DZ12" s="27">
        <f>SUM('2026:2024'!DZ12)</f>
        <v>0</v>
      </c>
      <c r="EA12" s="26">
        <f>SUM('2026:2024'!EA12)</f>
        <v>0</v>
      </c>
      <c r="EB12" s="26">
        <f>SUM('2026:2024'!EB12)</f>
        <v>0</v>
      </c>
      <c r="EC12" s="26">
        <f>SUM('2026:2024'!EC12)</f>
        <v>0</v>
      </c>
      <c r="ED12" s="26">
        <f>SUM('2026:2024'!ED12)</f>
        <v>0</v>
      </c>
      <c r="EE12" s="26">
        <f>SUM('2026:2024'!EE12)</f>
        <v>0</v>
      </c>
      <c r="EF12" s="26">
        <f>SUM('2026:2024'!EF12)</f>
        <v>0</v>
      </c>
      <c r="EG12" s="26">
        <f>SUM('2026:2024'!EG12)</f>
        <v>0</v>
      </c>
      <c r="EH12" s="26">
        <f>SUM('2026:2024'!EH12)</f>
        <v>0</v>
      </c>
      <c r="EI12" s="26">
        <f>SUM('2026:2024'!EI12)</f>
        <v>0</v>
      </c>
      <c r="EJ12" s="26">
        <f>SUM('2026:2024'!EJ12)</f>
        <v>0</v>
      </c>
      <c r="EK12" s="26">
        <f>SUM('2026:2024'!EK12)</f>
        <v>0</v>
      </c>
      <c r="EL12" s="26">
        <f>SUM('2026:2024'!EL12)</f>
        <v>0</v>
      </c>
      <c r="EM12" s="26">
        <f>SUM('2026:2024'!EM12)</f>
        <v>0</v>
      </c>
      <c r="EN12" s="26">
        <f>SUM('2026:2024'!EN12)</f>
        <v>0</v>
      </c>
      <c r="EO12" s="26">
        <f>SUM('2026:2024'!EO12)</f>
        <v>0</v>
      </c>
      <c r="EP12" s="27">
        <f t="shared" si="19"/>
        <v>0</v>
      </c>
      <c r="ER12" s="27">
        <f>SUM('2026:2024'!ER12)</f>
        <v>0</v>
      </c>
      <c r="ES12" s="26">
        <f>SUM('2026:2024'!ES12)</f>
        <v>0</v>
      </c>
      <c r="ET12" s="26">
        <f>SUM('2026:2024'!ET12)</f>
        <v>0</v>
      </c>
      <c r="EU12" s="26">
        <f>SUM('2026:2024'!EU12)</f>
        <v>0</v>
      </c>
      <c r="EV12" s="26">
        <f>SUM('2026:2024'!EV12)</f>
        <v>0</v>
      </c>
      <c r="EW12" s="26">
        <f>SUM('2026:2024'!EW12)</f>
        <v>0</v>
      </c>
      <c r="EX12" s="26">
        <f>SUM('2026:2024'!EX12)</f>
        <v>0</v>
      </c>
      <c r="EY12" s="26">
        <f>SUM('2026:2024'!EY12)</f>
        <v>0</v>
      </c>
      <c r="EZ12" s="26">
        <f>SUM('2026:2024'!EZ12)</f>
        <v>0</v>
      </c>
      <c r="FA12" s="26">
        <f>SUM('2026:2024'!FA12)</f>
        <v>0</v>
      </c>
      <c r="FB12" s="26">
        <f>SUM('2026:2024'!FB12)</f>
        <v>0</v>
      </c>
      <c r="FC12" s="26">
        <f>SUM('2026:2024'!FC12)</f>
        <v>0</v>
      </c>
      <c r="FD12" s="26">
        <f>SUM('2026:2024'!FD12)</f>
        <v>0</v>
      </c>
      <c r="FE12" s="26">
        <f>SUM('2026:2024'!FE12)</f>
        <v>0</v>
      </c>
      <c r="FF12" s="26">
        <f>SUM('2026:2024'!FF12)</f>
        <v>0</v>
      </c>
      <c r="FG12" s="26">
        <f>SUM('2026:2024'!FG12)</f>
        <v>0</v>
      </c>
      <c r="FH12" s="27">
        <f t="shared" si="20"/>
        <v>0</v>
      </c>
      <c r="FJ12" s="27">
        <f>SUM('2026:2024'!FJ12)</f>
        <v>22000</v>
      </c>
      <c r="FK12" s="26">
        <f>SUM('2026:2024'!FK12)</f>
        <v>0</v>
      </c>
      <c r="FL12" s="26">
        <f>SUM('2026:2024'!FL12)</f>
        <v>0</v>
      </c>
      <c r="FM12" s="26">
        <f>SUM('2026:2024'!FM12)</f>
        <v>0</v>
      </c>
      <c r="FN12" s="26">
        <f>SUM('2026:2024'!FN12)</f>
        <v>0</v>
      </c>
      <c r="FO12" s="26">
        <f>SUM('2026:2024'!FO12)</f>
        <v>0</v>
      </c>
      <c r="FP12" s="26">
        <f>SUM('2026:2024'!FP12)</f>
        <v>0</v>
      </c>
      <c r="FQ12" s="26">
        <f>SUM('2026:2024'!FQ12)</f>
        <v>0</v>
      </c>
      <c r="FR12" s="26">
        <f>SUM('2026:2024'!FR12)</f>
        <v>0</v>
      </c>
      <c r="FS12" s="26">
        <f>SUM('2026:2024'!FS12)</f>
        <v>0</v>
      </c>
      <c r="FT12" s="26">
        <f>SUM('2026:2024'!FT12)</f>
        <v>0</v>
      </c>
      <c r="FU12" s="26">
        <f>SUM('2026:2024'!FU12)</f>
        <v>0</v>
      </c>
      <c r="FV12" s="26">
        <f>SUM('2026:2024'!FV12)</f>
        <v>0</v>
      </c>
      <c r="FW12" s="26">
        <f>SUM('2026:2024'!FW12)</f>
        <v>0</v>
      </c>
      <c r="FX12" s="26">
        <f>SUM('2026:2024'!FX12)</f>
        <v>700</v>
      </c>
      <c r="FY12" s="26">
        <f>SUM('2026:2024'!FY12)</f>
        <v>21000</v>
      </c>
      <c r="FZ12" s="27">
        <f t="shared" si="21"/>
        <v>21700</v>
      </c>
      <c r="GB12" s="27">
        <f>SUM('2026:2024'!GB12)</f>
        <v>2000</v>
      </c>
      <c r="GC12" s="26">
        <f>SUM('2026:2024'!GC12)</f>
        <v>0</v>
      </c>
      <c r="GD12" s="26">
        <f>SUM('2026:2024'!GD12)</f>
        <v>0</v>
      </c>
      <c r="GE12" s="26">
        <f>SUM('2026:2024'!GE12)</f>
        <v>0</v>
      </c>
      <c r="GF12" s="26">
        <f>SUM('2026:2024'!GF12)</f>
        <v>0</v>
      </c>
      <c r="GG12" s="26">
        <f>SUM('2026:2024'!GG12)</f>
        <v>0</v>
      </c>
      <c r="GH12" s="26">
        <f>SUM('2026:2024'!GH12)</f>
        <v>0</v>
      </c>
      <c r="GI12" s="26">
        <f>SUM('2026:2024'!GI12)</f>
        <v>0</v>
      </c>
      <c r="GJ12" s="26">
        <f>SUM('2026:2024'!GJ12)</f>
        <v>0</v>
      </c>
      <c r="GK12" s="26">
        <f>SUM('2026:2024'!GK12)</f>
        <v>0</v>
      </c>
      <c r="GL12" s="26">
        <f>SUM('2026:2024'!GL12)</f>
        <v>0</v>
      </c>
      <c r="GM12" s="26">
        <f>SUM('2026:2024'!GM12)</f>
        <v>0</v>
      </c>
      <c r="GN12" s="26">
        <f>SUM('2026:2024'!GN12)</f>
        <v>0</v>
      </c>
      <c r="GO12" s="26">
        <f>SUM('2026:2024'!GO12)</f>
        <v>0</v>
      </c>
      <c r="GP12" s="26">
        <f>SUM('2026:2024'!GP12)</f>
        <v>55</v>
      </c>
      <c r="GQ12" s="26">
        <f>SUM('2026:2024'!GQ12)</f>
        <v>1925</v>
      </c>
      <c r="GR12" s="27">
        <f t="shared" si="22"/>
        <v>1980</v>
      </c>
      <c r="GT12" s="27">
        <f>SUM('2026:2024'!GT12)</f>
        <v>0</v>
      </c>
      <c r="GU12" s="26">
        <f>SUM('2026:2024'!GU12)</f>
        <v>0</v>
      </c>
      <c r="GV12" s="26">
        <f>SUM('2026:2024'!GV12)</f>
        <v>0</v>
      </c>
      <c r="GW12" s="26">
        <f>SUM('2026:2024'!GW12)</f>
        <v>0</v>
      </c>
      <c r="GX12" s="26">
        <f>SUM('2026:2024'!GX12)</f>
        <v>0</v>
      </c>
      <c r="GY12" s="26">
        <f>SUM('2026:2024'!GY12)</f>
        <v>0</v>
      </c>
      <c r="GZ12" s="26">
        <f>SUM('2026:2024'!GZ12)</f>
        <v>0</v>
      </c>
      <c r="HA12" s="26">
        <f>SUM('2026:2024'!HA12)</f>
        <v>0</v>
      </c>
      <c r="HB12" s="26">
        <f>SUM('2026:2024'!HB12)</f>
        <v>0</v>
      </c>
      <c r="HC12" s="26">
        <f>SUM('2026:2024'!HC12)</f>
        <v>0</v>
      </c>
      <c r="HD12" s="26">
        <f>SUM('2026:2024'!HD12)</f>
        <v>0</v>
      </c>
      <c r="HE12" s="26">
        <f>SUM('2026:2024'!HE12)</f>
        <v>0</v>
      </c>
      <c r="HF12" s="26">
        <f>SUM('2026:2024'!HF12)</f>
        <v>0</v>
      </c>
      <c r="HG12" s="26">
        <f>SUM('2026:2024'!HG12)</f>
        <v>0</v>
      </c>
      <c r="HH12" s="26">
        <f>SUM('2026:2024'!HH12)</f>
        <v>0</v>
      </c>
      <c r="HI12" s="26">
        <f>SUM('2026:2024'!HI12)</f>
        <v>0</v>
      </c>
      <c r="HJ12" s="27">
        <f t="shared" si="23"/>
        <v>0</v>
      </c>
      <c r="HL12" s="27">
        <f>SUM('2026:2024'!HL12)</f>
        <v>0</v>
      </c>
      <c r="HM12" s="26">
        <f>SUM('2026:2024'!HM12)</f>
        <v>0</v>
      </c>
      <c r="HN12" s="26">
        <f>SUM('2026:2024'!HN12)</f>
        <v>0</v>
      </c>
      <c r="HO12" s="26">
        <f>SUM('2026:2024'!HO12)</f>
        <v>0</v>
      </c>
      <c r="HP12" s="26">
        <f>SUM('2026:2024'!HP12)</f>
        <v>0</v>
      </c>
      <c r="HQ12" s="26">
        <f>SUM('2026:2024'!HQ12)</f>
        <v>0</v>
      </c>
      <c r="HR12" s="26">
        <f>SUM('2026:2024'!HR12)</f>
        <v>0</v>
      </c>
      <c r="HS12" s="26">
        <f>SUM('2026:2024'!HS12)</f>
        <v>0</v>
      </c>
      <c r="HT12" s="26">
        <f>SUM('2026:2024'!HT12)</f>
        <v>0</v>
      </c>
      <c r="HU12" s="26">
        <f>SUM('2026:2024'!HU12)</f>
        <v>0</v>
      </c>
      <c r="HV12" s="26">
        <f>SUM('2026:2024'!HV12)</f>
        <v>0</v>
      </c>
      <c r="HW12" s="26">
        <f>SUM('2026:2024'!HW12)</f>
        <v>0</v>
      </c>
      <c r="HX12" s="26">
        <f>SUM('2026:2024'!HX12)</f>
        <v>0</v>
      </c>
      <c r="HY12" s="26">
        <f>SUM('2026:2024'!HY12)</f>
        <v>0</v>
      </c>
      <c r="HZ12" s="26">
        <f>SUM('2026:2024'!HZ12)</f>
        <v>0</v>
      </c>
      <c r="IA12" s="26">
        <f>SUM('2026:2024'!IA12)</f>
        <v>0</v>
      </c>
      <c r="IB12" s="27">
        <f t="shared" si="24"/>
        <v>0</v>
      </c>
    </row>
    <row r="13" spans="1:236" s="1" customFormat="1" ht="15" thickBot="1" x14ac:dyDescent="0.4">
      <c r="A13" s="6"/>
      <c r="B13" s="7" t="s">
        <v>78</v>
      </c>
      <c r="D13" s="8">
        <f>SUM(D6:D12)</f>
        <v>96656655.813000023</v>
      </c>
      <c r="E13" s="8">
        <f>SUM(E6:E12)</f>
        <v>13692571</v>
      </c>
      <c r="F13" s="8">
        <f t="shared" ref="F13:T13" si="25">SUM(F6:F12)</f>
        <v>17388097</v>
      </c>
      <c r="G13" s="8">
        <f t="shared" si="25"/>
        <v>48965297</v>
      </c>
      <c r="H13" s="8">
        <f t="shared" si="25"/>
        <v>915344</v>
      </c>
      <c r="I13" s="8">
        <f t="shared" si="25"/>
        <v>5842918.5</v>
      </c>
      <c r="J13" s="8">
        <f t="shared" si="25"/>
        <v>30118</v>
      </c>
      <c r="K13" s="8">
        <f t="shared" si="25"/>
        <v>3535050</v>
      </c>
      <c r="L13" s="8">
        <f t="shared" si="25"/>
        <v>98903.5</v>
      </c>
      <c r="M13" s="8">
        <f t="shared" si="25"/>
        <v>108900</v>
      </c>
      <c r="N13" s="8">
        <f t="shared" si="25"/>
        <v>176000</v>
      </c>
      <c r="O13" s="8">
        <f t="shared" si="25"/>
        <v>599500</v>
      </c>
      <c r="P13" s="8">
        <f t="shared" si="25"/>
        <v>331622.25</v>
      </c>
      <c r="Q13" s="8">
        <f t="shared" si="25"/>
        <v>32662</v>
      </c>
      <c r="R13" s="8">
        <f t="shared" si="25"/>
        <v>4076734.0100000002</v>
      </c>
      <c r="S13" s="8">
        <f t="shared" si="25"/>
        <v>32425</v>
      </c>
      <c r="T13" s="8">
        <f t="shared" si="25"/>
        <v>95826142.25999999</v>
      </c>
      <c r="V13" s="8">
        <f>SUM(V6:V12)</f>
        <v>9545136</v>
      </c>
      <c r="W13" s="8">
        <f>SUM(W6:W12)</f>
        <v>905398</v>
      </c>
      <c r="X13" s="8">
        <f t="shared" ref="X13:AL13" si="26">SUM(X6:X12)</f>
        <v>1010900</v>
      </c>
      <c r="Y13" s="8">
        <f t="shared" si="26"/>
        <v>6365018.9999999991</v>
      </c>
      <c r="Z13" s="8">
        <f t="shared" si="26"/>
        <v>169844</v>
      </c>
      <c r="AA13" s="8">
        <f t="shared" si="26"/>
        <v>471153</v>
      </c>
      <c r="AB13" s="8">
        <f t="shared" si="26"/>
        <v>6615</v>
      </c>
      <c r="AC13" s="8">
        <f t="shared" si="26"/>
        <v>158135</v>
      </c>
      <c r="AD13" s="8">
        <f t="shared" si="26"/>
        <v>1223.4999999999998</v>
      </c>
      <c r="AE13" s="8">
        <f t="shared" si="26"/>
        <v>1100</v>
      </c>
      <c r="AF13" s="8">
        <f t="shared" si="26"/>
        <v>8800</v>
      </c>
      <c r="AG13" s="8">
        <f t="shared" si="26"/>
        <v>18700</v>
      </c>
      <c r="AH13" s="8">
        <f t="shared" si="26"/>
        <v>21972.25</v>
      </c>
      <c r="AI13" s="8">
        <f t="shared" si="26"/>
        <v>27300</v>
      </c>
      <c r="AJ13" s="8">
        <f t="shared" si="26"/>
        <v>285511</v>
      </c>
      <c r="AK13" s="8">
        <f t="shared" si="26"/>
        <v>6000</v>
      </c>
      <c r="AL13" s="8">
        <f t="shared" si="26"/>
        <v>9457670.75</v>
      </c>
      <c r="AN13" s="8">
        <f>SUM(AN6:AN12)</f>
        <v>6873364.8000000007</v>
      </c>
      <c r="AO13" s="8">
        <f>SUM(AO6:AO12)</f>
        <v>1068233</v>
      </c>
      <c r="AP13" s="8">
        <f t="shared" ref="AP13:BD13" si="27">SUM(AP6:AP12)</f>
        <v>1068540</v>
      </c>
      <c r="AQ13" s="8">
        <f t="shared" si="27"/>
        <v>3763282</v>
      </c>
      <c r="AR13" s="8">
        <f t="shared" si="27"/>
        <v>157300</v>
      </c>
      <c r="AS13" s="8">
        <f t="shared" si="27"/>
        <v>104431</v>
      </c>
      <c r="AT13" s="8">
        <f t="shared" si="27"/>
        <v>11550</v>
      </c>
      <c r="AU13" s="8">
        <f t="shared" si="27"/>
        <v>231779</v>
      </c>
      <c r="AV13" s="8">
        <f t="shared" si="27"/>
        <v>2100</v>
      </c>
      <c r="AW13" s="8">
        <f t="shared" si="27"/>
        <v>4400</v>
      </c>
      <c r="AX13" s="8">
        <f t="shared" si="27"/>
        <v>29700</v>
      </c>
      <c r="AY13" s="8">
        <f t="shared" si="27"/>
        <v>51700</v>
      </c>
      <c r="AZ13" s="8">
        <f t="shared" si="27"/>
        <v>20900</v>
      </c>
      <c r="BA13" s="8">
        <f t="shared" si="27"/>
        <v>0</v>
      </c>
      <c r="BB13" s="8">
        <f t="shared" si="27"/>
        <v>315617</v>
      </c>
      <c r="BC13" s="8">
        <f t="shared" si="27"/>
        <v>0</v>
      </c>
      <c r="BD13" s="8">
        <f t="shared" si="27"/>
        <v>6829532</v>
      </c>
      <c r="BF13" s="8">
        <f>SUM(BF6:BF12)</f>
        <v>12118623.000000002</v>
      </c>
      <c r="BG13" s="8">
        <f>SUM(BG6:BG12)</f>
        <v>655600</v>
      </c>
      <c r="BH13" s="8">
        <f t="shared" ref="BH13:BV13" si="28">SUM(BH6:BH12)</f>
        <v>2413400</v>
      </c>
      <c r="BI13" s="8">
        <f t="shared" si="28"/>
        <v>7058628.9999999991</v>
      </c>
      <c r="BJ13" s="8">
        <f t="shared" si="28"/>
        <v>118800</v>
      </c>
      <c r="BK13" s="8">
        <f t="shared" si="28"/>
        <v>737345</v>
      </c>
      <c r="BL13" s="8">
        <f t="shared" si="28"/>
        <v>5473</v>
      </c>
      <c r="BM13" s="8">
        <f t="shared" si="28"/>
        <v>418782</v>
      </c>
      <c r="BN13" s="8">
        <f t="shared" si="28"/>
        <v>0</v>
      </c>
      <c r="BO13" s="8">
        <f t="shared" si="28"/>
        <v>0</v>
      </c>
      <c r="BP13" s="8">
        <f t="shared" si="28"/>
        <v>23100</v>
      </c>
      <c r="BQ13" s="8">
        <f t="shared" si="28"/>
        <v>16500</v>
      </c>
      <c r="BR13" s="8">
        <f t="shared" si="28"/>
        <v>30800</v>
      </c>
      <c r="BS13" s="8">
        <f t="shared" si="28"/>
        <v>3505</v>
      </c>
      <c r="BT13" s="8">
        <f t="shared" si="28"/>
        <v>544250</v>
      </c>
      <c r="BU13" s="8">
        <f t="shared" si="28"/>
        <v>3500</v>
      </c>
      <c r="BV13" s="8">
        <f t="shared" si="28"/>
        <v>12029684</v>
      </c>
      <c r="BX13" s="8">
        <f>SUM(BX6:BX12)</f>
        <v>10755593.399999999</v>
      </c>
      <c r="BY13" s="8">
        <f>SUM(BY6:BY12)</f>
        <v>983400.00000000012</v>
      </c>
      <c r="BZ13" s="8">
        <f t="shared" ref="BZ13:CN13" si="29">SUM(BZ6:BZ12)</f>
        <v>1922037</v>
      </c>
      <c r="CA13" s="8">
        <f t="shared" si="29"/>
        <v>5742000.0000000009</v>
      </c>
      <c r="CB13" s="8">
        <f t="shared" si="29"/>
        <v>47300</v>
      </c>
      <c r="CC13" s="8">
        <f t="shared" si="29"/>
        <v>1233745</v>
      </c>
      <c r="CD13" s="8">
        <f t="shared" si="29"/>
        <v>0</v>
      </c>
      <c r="CE13" s="8">
        <f t="shared" si="29"/>
        <v>176328</v>
      </c>
      <c r="CF13" s="8">
        <f t="shared" si="29"/>
        <v>3150</v>
      </c>
      <c r="CG13" s="8">
        <f t="shared" si="29"/>
        <v>2200</v>
      </c>
      <c r="CH13" s="8">
        <f t="shared" si="29"/>
        <v>35200.000000000015</v>
      </c>
      <c r="CI13" s="8">
        <f t="shared" si="29"/>
        <v>25300</v>
      </c>
      <c r="CJ13" s="8">
        <f t="shared" si="29"/>
        <v>33050</v>
      </c>
      <c r="CK13" s="8">
        <f t="shared" si="29"/>
        <v>1857</v>
      </c>
      <c r="CL13" s="8">
        <f t="shared" si="29"/>
        <v>450671.00000000006</v>
      </c>
      <c r="CM13" s="8">
        <f t="shared" si="29"/>
        <v>0</v>
      </c>
      <c r="CN13" s="8">
        <f t="shared" si="29"/>
        <v>10656238</v>
      </c>
      <c r="CP13" s="8">
        <f>SUM(CP6:CP12)</f>
        <v>8834030.0999999996</v>
      </c>
      <c r="CQ13" s="8">
        <f>SUM(CQ6:CQ12)</f>
        <v>529100</v>
      </c>
      <c r="CR13" s="8">
        <f t="shared" ref="CR13:DF13" si="30">SUM(CR6:CR12)</f>
        <v>2038300</v>
      </c>
      <c r="CS13" s="8">
        <f t="shared" si="30"/>
        <v>4715700</v>
      </c>
      <c r="CT13" s="8">
        <f t="shared" si="30"/>
        <v>243100</v>
      </c>
      <c r="CU13" s="8">
        <f t="shared" si="30"/>
        <v>361899.99999999994</v>
      </c>
      <c r="CV13" s="8">
        <f t="shared" si="30"/>
        <v>0</v>
      </c>
      <c r="CW13" s="8">
        <f t="shared" si="30"/>
        <v>499750</v>
      </c>
      <c r="CX13" s="8">
        <f t="shared" si="30"/>
        <v>1050</v>
      </c>
      <c r="CY13" s="8">
        <f t="shared" si="30"/>
        <v>1100</v>
      </c>
      <c r="CZ13" s="8">
        <f t="shared" si="30"/>
        <v>11000</v>
      </c>
      <c r="DA13" s="8">
        <f t="shared" si="30"/>
        <v>35200</v>
      </c>
      <c r="DB13" s="8">
        <f t="shared" si="30"/>
        <v>7699.9999999999991</v>
      </c>
      <c r="DC13" s="8">
        <f t="shared" si="30"/>
        <v>0</v>
      </c>
      <c r="DD13" s="8">
        <f t="shared" si="30"/>
        <v>318926.69999999995</v>
      </c>
      <c r="DE13" s="8">
        <f t="shared" si="30"/>
        <v>0</v>
      </c>
      <c r="DF13" s="8">
        <f t="shared" si="30"/>
        <v>8762826.6999999993</v>
      </c>
      <c r="DH13" s="8">
        <f>SUM(DH6:DH12)</f>
        <v>8828152.5500000007</v>
      </c>
      <c r="DI13" s="8">
        <f>SUM(DI6:DI12)</f>
        <v>723800</v>
      </c>
      <c r="DJ13" s="8">
        <f t="shared" ref="DJ13:DX13" si="31">SUM(DJ6:DJ12)</f>
        <v>2494800</v>
      </c>
      <c r="DK13" s="8">
        <f t="shared" si="31"/>
        <v>4253699.9999999991</v>
      </c>
      <c r="DL13" s="8">
        <f t="shared" si="31"/>
        <v>105600.00000000001</v>
      </c>
      <c r="DM13" s="8">
        <f t="shared" si="31"/>
        <v>404200</v>
      </c>
      <c r="DN13" s="8">
        <f t="shared" si="31"/>
        <v>0</v>
      </c>
      <c r="DO13" s="8">
        <f t="shared" si="31"/>
        <v>339408</v>
      </c>
      <c r="DP13" s="8">
        <f t="shared" si="31"/>
        <v>0</v>
      </c>
      <c r="DQ13" s="8">
        <f t="shared" si="31"/>
        <v>8800</v>
      </c>
      <c r="DR13" s="8">
        <f t="shared" si="31"/>
        <v>16500</v>
      </c>
      <c r="DS13" s="8">
        <f t="shared" si="31"/>
        <v>31900.000000000004</v>
      </c>
      <c r="DT13" s="8">
        <f t="shared" si="31"/>
        <v>18700</v>
      </c>
      <c r="DU13" s="8">
        <f t="shared" si="31"/>
        <v>0</v>
      </c>
      <c r="DV13" s="8">
        <f t="shared" si="31"/>
        <v>345377.9</v>
      </c>
      <c r="DW13" s="8">
        <f t="shared" si="31"/>
        <v>0</v>
      </c>
      <c r="DX13" s="8">
        <f t="shared" si="31"/>
        <v>8742785.8999999985</v>
      </c>
      <c r="DZ13" s="8">
        <f>SUM(DZ6:DZ12)</f>
        <v>5573613.3790000007</v>
      </c>
      <c r="EA13" s="8">
        <f>SUM(EA6:EA12)</f>
        <v>771100</v>
      </c>
      <c r="EB13" s="8">
        <f t="shared" ref="EB13:EP13" si="32">SUM(EB6:EB12)</f>
        <v>1454200</v>
      </c>
      <c r="EC13" s="8">
        <f t="shared" si="32"/>
        <v>2201200</v>
      </c>
      <c r="ED13" s="8">
        <f t="shared" si="32"/>
        <v>3300</v>
      </c>
      <c r="EE13" s="8">
        <f t="shared" si="32"/>
        <v>97600</v>
      </c>
      <c r="EF13" s="8">
        <f t="shared" si="32"/>
        <v>0</v>
      </c>
      <c r="EG13" s="8">
        <f t="shared" si="32"/>
        <v>514889</v>
      </c>
      <c r="EH13" s="8">
        <f t="shared" si="32"/>
        <v>17850</v>
      </c>
      <c r="EI13" s="8">
        <f t="shared" si="32"/>
        <v>11000</v>
      </c>
      <c r="EJ13" s="8">
        <f t="shared" si="32"/>
        <v>12100</v>
      </c>
      <c r="EK13" s="8">
        <f t="shared" si="32"/>
        <v>113300.00000000001</v>
      </c>
      <c r="EL13" s="8">
        <f t="shared" si="32"/>
        <v>16500</v>
      </c>
      <c r="EM13" s="8">
        <f t="shared" si="32"/>
        <v>0</v>
      </c>
      <c r="EN13" s="8">
        <f t="shared" si="32"/>
        <v>301820.40000000002</v>
      </c>
      <c r="EO13" s="8">
        <f t="shared" si="32"/>
        <v>0</v>
      </c>
      <c r="EP13" s="8">
        <f t="shared" si="32"/>
        <v>5514859.4000000004</v>
      </c>
      <c r="ER13" s="8">
        <f>SUM(ER6:ER12)</f>
        <v>6487850.8779999986</v>
      </c>
      <c r="ES13" s="8">
        <f>SUM(ES6:ES12)</f>
        <v>1213300</v>
      </c>
      <c r="ET13" s="8">
        <f t="shared" ref="ET13:FH13" si="33">SUM(ET6:ET12)</f>
        <v>1365564</v>
      </c>
      <c r="EU13" s="8">
        <f t="shared" si="33"/>
        <v>2906856</v>
      </c>
      <c r="EV13" s="8">
        <f t="shared" si="33"/>
        <v>2200</v>
      </c>
      <c r="EW13" s="8">
        <f t="shared" si="33"/>
        <v>161950</v>
      </c>
      <c r="EX13" s="8">
        <f t="shared" si="33"/>
        <v>0</v>
      </c>
      <c r="EY13" s="8">
        <f t="shared" si="33"/>
        <v>290278</v>
      </c>
      <c r="EZ13" s="8">
        <f t="shared" si="33"/>
        <v>2100</v>
      </c>
      <c r="FA13" s="8">
        <f t="shared" si="33"/>
        <v>0</v>
      </c>
      <c r="FB13" s="8">
        <f t="shared" si="33"/>
        <v>15399.999999999998</v>
      </c>
      <c r="FC13" s="8">
        <f t="shared" si="33"/>
        <v>104500.00000000001</v>
      </c>
      <c r="FD13" s="8">
        <f t="shared" si="33"/>
        <v>28000</v>
      </c>
      <c r="FE13" s="8">
        <f t="shared" si="33"/>
        <v>0</v>
      </c>
      <c r="FF13" s="8">
        <f t="shared" si="33"/>
        <v>325155.16499999998</v>
      </c>
      <c r="FG13" s="8">
        <f t="shared" si="33"/>
        <v>0</v>
      </c>
      <c r="FH13" s="8">
        <f t="shared" si="33"/>
        <v>6415303.165</v>
      </c>
      <c r="FJ13" s="8">
        <f>SUM(FJ6:FJ12)</f>
        <v>6705784.9509999994</v>
      </c>
      <c r="FK13" s="8">
        <f>SUM(FK6:FK12)</f>
        <v>1578500.0000000002</v>
      </c>
      <c r="FL13" s="8">
        <f t="shared" ref="FL13:FZ13" si="34">SUM(FL6:FL12)</f>
        <v>1100355</v>
      </c>
      <c r="FM13" s="8">
        <f t="shared" si="34"/>
        <v>2884201</v>
      </c>
      <c r="FN13" s="8">
        <f t="shared" si="34"/>
        <v>4100</v>
      </c>
      <c r="FO13" s="8">
        <f t="shared" si="34"/>
        <v>426237</v>
      </c>
      <c r="FP13" s="8">
        <f t="shared" si="34"/>
        <v>2200</v>
      </c>
      <c r="FQ13" s="8">
        <f t="shared" si="34"/>
        <v>314633</v>
      </c>
      <c r="FR13" s="8">
        <f t="shared" si="34"/>
        <v>11550</v>
      </c>
      <c r="FS13" s="8">
        <f t="shared" si="34"/>
        <v>0</v>
      </c>
      <c r="FT13" s="8">
        <f t="shared" si="34"/>
        <v>9900</v>
      </c>
      <c r="FU13" s="8">
        <f t="shared" si="34"/>
        <v>24200</v>
      </c>
      <c r="FV13" s="8">
        <f t="shared" si="34"/>
        <v>8800</v>
      </c>
      <c r="FW13" s="8">
        <f t="shared" si="34"/>
        <v>0</v>
      </c>
      <c r="FX13" s="8">
        <f t="shared" si="34"/>
        <v>263937.44500000001</v>
      </c>
      <c r="FY13" s="8">
        <f t="shared" si="34"/>
        <v>21000</v>
      </c>
      <c r="FZ13" s="8">
        <f t="shared" si="34"/>
        <v>6649613.4450000003</v>
      </c>
      <c r="GB13" s="8">
        <f>SUM(GB6:GB12)</f>
        <v>7930183.5</v>
      </c>
      <c r="GC13" s="8">
        <f>SUM(GC6:GC12)</f>
        <v>1460640</v>
      </c>
      <c r="GD13" s="8">
        <f t="shared" ref="GD13:GR13" si="35">SUM(GD6:GD12)</f>
        <v>711700</v>
      </c>
      <c r="GE13" s="8">
        <f t="shared" si="35"/>
        <v>3847509.9999999991</v>
      </c>
      <c r="GF13" s="8">
        <f t="shared" si="35"/>
        <v>53900</v>
      </c>
      <c r="GG13" s="8">
        <f t="shared" si="35"/>
        <v>915922.5</v>
      </c>
      <c r="GH13" s="8">
        <f t="shared" si="35"/>
        <v>0</v>
      </c>
      <c r="GI13" s="8">
        <f t="shared" si="35"/>
        <v>285800</v>
      </c>
      <c r="GJ13" s="8">
        <f t="shared" si="35"/>
        <v>44050</v>
      </c>
      <c r="GK13" s="8">
        <f t="shared" si="35"/>
        <v>59400</v>
      </c>
      <c r="GL13" s="8">
        <f t="shared" si="35"/>
        <v>12100</v>
      </c>
      <c r="GM13" s="8">
        <f t="shared" si="35"/>
        <v>44000</v>
      </c>
      <c r="GN13" s="8">
        <f t="shared" si="35"/>
        <v>86900</v>
      </c>
      <c r="GO13" s="8">
        <f t="shared" si="35"/>
        <v>0</v>
      </c>
      <c r="GP13" s="8">
        <f t="shared" si="35"/>
        <v>337818.4</v>
      </c>
      <c r="GQ13" s="8">
        <f t="shared" si="35"/>
        <v>1925</v>
      </c>
      <c r="GR13" s="8">
        <f t="shared" si="35"/>
        <v>7861665.8999999985</v>
      </c>
      <c r="GT13" s="8">
        <f>SUM(GT6:GT12)</f>
        <v>6362157.7549999999</v>
      </c>
      <c r="GU13" s="8">
        <f>SUM(GU6:GU12)</f>
        <v>1923600</v>
      </c>
      <c r="GV13" s="8">
        <f t="shared" ref="GV13:HJ13" si="36">SUM(GV6:GV12)</f>
        <v>1484901.0000000002</v>
      </c>
      <c r="GW13" s="8">
        <f t="shared" si="36"/>
        <v>2025100</v>
      </c>
      <c r="GX13" s="8">
        <f t="shared" si="36"/>
        <v>6600</v>
      </c>
      <c r="GY13" s="8">
        <f t="shared" si="36"/>
        <v>313535</v>
      </c>
      <c r="GZ13" s="8">
        <f t="shared" si="36"/>
        <v>1850</v>
      </c>
      <c r="HA13" s="8">
        <f t="shared" si="36"/>
        <v>168386</v>
      </c>
      <c r="HB13" s="8">
        <f t="shared" si="36"/>
        <v>10330</v>
      </c>
      <c r="HC13" s="8">
        <f t="shared" si="36"/>
        <v>2200</v>
      </c>
      <c r="HD13" s="8">
        <f t="shared" si="36"/>
        <v>0</v>
      </c>
      <c r="HE13" s="8">
        <f t="shared" si="36"/>
        <v>81400</v>
      </c>
      <c r="HF13" s="8">
        <f t="shared" si="36"/>
        <v>18700</v>
      </c>
      <c r="HG13" s="8">
        <f t="shared" si="36"/>
        <v>0</v>
      </c>
      <c r="HH13" s="8">
        <f t="shared" si="36"/>
        <v>287566</v>
      </c>
      <c r="HI13" s="8">
        <f t="shared" si="36"/>
        <v>0</v>
      </c>
      <c r="HJ13" s="8">
        <f t="shared" si="36"/>
        <v>6324168</v>
      </c>
      <c r="HL13" s="8">
        <f>SUM(HL6:HL12)</f>
        <v>6642165.4999999991</v>
      </c>
      <c r="HM13" s="8">
        <f>SUM(HM6:HM12)</f>
        <v>1879900</v>
      </c>
      <c r="HN13" s="8">
        <f t="shared" ref="HN13:IB13" si="37">SUM(HN6:HN12)</f>
        <v>323400</v>
      </c>
      <c r="HO13" s="8">
        <f t="shared" si="37"/>
        <v>3202100</v>
      </c>
      <c r="HP13" s="8">
        <f t="shared" si="37"/>
        <v>3300</v>
      </c>
      <c r="HQ13" s="8">
        <f t="shared" si="37"/>
        <v>614900</v>
      </c>
      <c r="HR13" s="8">
        <f t="shared" si="37"/>
        <v>2430</v>
      </c>
      <c r="HS13" s="8">
        <f t="shared" si="37"/>
        <v>136882</v>
      </c>
      <c r="HT13" s="8">
        <f t="shared" si="37"/>
        <v>5500</v>
      </c>
      <c r="HU13" s="8">
        <f t="shared" si="37"/>
        <v>18700</v>
      </c>
      <c r="HV13" s="8">
        <f t="shared" si="37"/>
        <v>2199.9999999999995</v>
      </c>
      <c r="HW13" s="8">
        <f t="shared" si="37"/>
        <v>52800</v>
      </c>
      <c r="HX13" s="8">
        <f t="shared" si="37"/>
        <v>39600</v>
      </c>
      <c r="HY13" s="8">
        <f t="shared" si="37"/>
        <v>0</v>
      </c>
      <c r="HZ13" s="8">
        <f t="shared" si="37"/>
        <v>300083</v>
      </c>
      <c r="IA13" s="8">
        <f t="shared" si="37"/>
        <v>0</v>
      </c>
      <c r="IB13" s="8">
        <f t="shared" si="37"/>
        <v>6581795</v>
      </c>
    </row>
    <row r="14" spans="1:236" x14ac:dyDescent="0.35">
      <c r="T14" s="33">
        <f>D13-T13</f>
        <v>830513.5530000329</v>
      </c>
      <c r="AL14" s="33">
        <f>V13-AL13</f>
        <v>87465.25</v>
      </c>
      <c r="BD14" s="33">
        <f>AN13-BD13</f>
        <v>43832.800000000745</v>
      </c>
      <c r="BV14" s="33">
        <f>BF13-BV13</f>
        <v>88939.000000001863</v>
      </c>
      <c r="CN14" s="33">
        <f>BX13-CN13</f>
        <v>99355.39999999851</v>
      </c>
    </row>
    <row r="15" spans="1:236" x14ac:dyDescent="0.35">
      <c r="T15" s="34">
        <f>T14/D13</f>
        <v>8.592409348475839E-3</v>
      </c>
      <c r="AL15" s="34">
        <f>AL14/V13</f>
        <v>9.1633319839549698E-3</v>
      </c>
      <c r="BD15" s="34">
        <f>BD14/AN13</f>
        <v>6.3771967988663627E-3</v>
      </c>
      <c r="BV15" s="34">
        <f>BV14/BF13</f>
        <v>7.3390351362528439E-3</v>
      </c>
      <c r="CN15" s="34">
        <f>CN14/BX13</f>
        <v>9.2375563397551382E-3</v>
      </c>
    </row>
    <row r="16" spans="1:236" s="11" customFormat="1" ht="15" thickBot="1" x14ac:dyDescent="0.4">
      <c r="B16" s="12" t="s">
        <v>82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2:236" s="11" customFormat="1" x14ac:dyDescent="0.35">
      <c r="B17" s="14" t="s">
        <v>68</v>
      </c>
      <c r="C17" s="14"/>
      <c r="D17" s="45">
        <f>IFERROR(D6/T6,0)</f>
        <v>1.0085380961149339</v>
      </c>
      <c r="E17" s="15">
        <f>IFERROR(E6/T6,0)</f>
        <v>0.8446798959691022</v>
      </c>
      <c r="F17" s="16">
        <f t="shared" ref="F17:F24" si="38">IFERROR(F6/T6,0)</f>
        <v>3.8204785990976382E-2</v>
      </c>
      <c r="G17" s="16">
        <f t="shared" ref="G17:G24" si="39">IFERROR(G6/T6,0)</f>
        <v>1.2603717109959809E-2</v>
      </c>
      <c r="H17" s="16">
        <f t="shared" ref="H17:H24" si="40">IFERROR(H6/T6,0)</f>
        <v>1.1143590212813793E-3</v>
      </c>
      <c r="I17" s="16">
        <f t="shared" ref="I17:I24" si="41">IFERROR(I6/T6,0)</f>
        <v>5.0019745856185467E-2</v>
      </c>
      <c r="J17" s="16">
        <f t="shared" ref="J17:J24" si="42">IFERROR(J6/T6,0)</f>
        <v>0</v>
      </c>
      <c r="K17" s="16">
        <f t="shared" ref="K17:K24" si="43">IFERROR(K6/T6,0)</f>
        <v>0</v>
      </c>
      <c r="L17" s="16">
        <f t="shared" ref="L17:L24" si="44">IFERROR(L6/T6,0)</f>
        <v>0</v>
      </c>
      <c r="M17" s="16">
        <f t="shared" ref="M17:M24" si="45">IFERROR(M6/T6,0)</f>
        <v>6.5468592500281036E-3</v>
      </c>
      <c r="N17" s="16">
        <f t="shared" ref="N17:N24" si="46">IFERROR(N6/T6,0)</f>
        <v>1.4625962154318104E-3</v>
      </c>
      <c r="O17" s="16">
        <f t="shared" ref="O17:O24" si="47">IFERROR(O6/T6,0)</f>
        <v>2.5073077978831036E-3</v>
      </c>
      <c r="P17" s="16">
        <f t="shared" ref="P17:P24" si="48">IFERROR(P6/T6,0)</f>
        <v>4.558741450696552E-3</v>
      </c>
      <c r="Q17" s="16">
        <f t="shared" ref="Q17:Q24" si="49">IFERROR(Q6/T6,0)</f>
        <v>0</v>
      </c>
      <c r="R17" s="16">
        <f t="shared" ref="R17:R24" si="50">IFERROR(R6/T6,0)</f>
        <v>3.8301991338455195E-2</v>
      </c>
      <c r="S17" s="16">
        <f t="shared" ref="S17:S24" si="51">IFERROR(S6/T6,0)</f>
        <v>0</v>
      </c>
      <c r="T17" s="48">
        <f t="shared" ref="T17:T24" si="52">IFERROR(T6/T6,0)</f>
        <v>1</v>
      </c>
      <c r="V17" s="45">
        <f>IFERROR(V6/AL6,0)</f>
        <v>1.0067904968982544</v>
      </c>
      <c r="W17" s="15">
        <f t="shared" ref="W17:W24" si="53">IFERROR(W6/AL6,0)</f>
        <v>0.89398359179549847</v>
      </c>
      <c r="X17" s="16">
        <f t="shared" ref="X17:X24" si="54">IFERROR(X6/AL6,0)</f>
        <v>1.7570236020181811E-2</v>
      </c>
      <c r="Y17" s="16">
        <f t="shared" ref="Y17:Y24" si="55">IFERROR(Y6/AL6,0)</f>
        <v>2.1573454567961874E-3</v>
      </c>
      <c r="Z17" s="16">
        <f t="shared" ref="Z17:Z24" si="56">IFERROR(Z6/AL6,0)</f>
        <v>5.4906987563068162E-3</v>
      </c>
      <c r="AA17" s="16">
        <f t="shared" ref="AA17:AA24" si="57">IFERROR(AA6/AL6,0)</f>
        <v>4.392559005045453E-2</v>
      </c>
      <c r="AB17" s="16">
        <f t="shared" ref="AB17:AB24" si="58">IFERROR(AB6/AL6,0)</f>
        <v>0</v>
      </c>
      <c r="AC17" s="16">
        <f t="shared" ref="AC17:AC24" si="59">IFERROR(AC6/AL6,0)</f>
        <v>0</v>
      </c>
      <c r="AD17" s="16">
        <f t="shared" ref="AD17:AD24" si="60">IFERROR(AD6/AL6,0)</f>
        <v>0</v>
      </c>
      <c r="AE17" s="16">
        <f t="shared" ref="AE17:AE24" si="61">IFERROR(AE6/AL6,0)</f>
        <v>1.0981397512613632E-3</v>
      </c>
      <c r="AF17" s="16">
        <f t="shared" ref="AF17:AF24" si="62">IFERROR(AF6/AL6,0)</f>
        <v>2.1962795025227263E-3</v>
      </c>
      <c r="AG17" s="16">
        <f t="shared" ref="AG17:AG24" si="63">IFERROR(AG6/AL6,0)</f>
        <v>0</v>
      </c>
      <c r="AH17" s="16">
        <f t="shared" ref="AH17:AH24" si="64">IFERROR(AH6/AL6,0)</f>
        <v>0</v>
      </c>
      <c r="AI17" s="16">
        <f t="shared" ref="AI17:AI24" si="65">IFERROR(AI6/AL6,0)</f>
        <v>0</v>
      </c>
      <c r="AJ17" s="16">
        <f t="shared" ref="AJ17:AJ24" si="66">IFERROR(AJ6/AL6,0)</f>
        <v>3.3578118666978136E-2</v>
      </c>
      <c r="AK17" s="16">
        <f t="shared" ref="AK17:AK24" si="67">IFERROR(AK6/AL6,0)</f>
        <v>0</v>
      </c>
      <c r="AL17" s="48">
        <f t="shared" ref="AL17:AL24" si="68">IFERROR(AL6/AL6,0)</f>
        <v>1</v>
      </c>
      <c r="AN17" s="45">
        <f>IFERROR(AN6/BD6,0)</f>
        <v>1.007068924390246</v>
      </c>
      <c r="AO17" s="15">
        <f t="shared" ref="AO17:AO24" si="69">IFERROR(AO6/BD6,0)</f>
        <v>0.84568189364755708</v>
      </c>
      <c r="AP17" s="16">
        <f t="shared" ref="AP17:AP24" si="70">IFERROR(AP6/BD6,0)</f>
        <v>5.1431972301228104E-2</v>
      </c>
      <c r="AQ17" s="16">
        <f t="shared" ref="AQ17:AQ24" si="71">IFERROR(AQ6/BD6,0)</f>
        <v>1.743456688177224E-3</v>
      </c>
      <c r="AR17" s="16">
        <f t="shared" ref="AR17:AR24" si="72">IFERROR(AR6/BD6,0)</f>
        <v>5.2303700645316715E-3</v>
      </c>
      <c r="AS17" s="16">
        <f t="shared" ref="AS17:AS24" si="73">IFERROR(AS6/BD6,0)</f>
        <v>4.5329873892607821E-2</v>
      </c>
      <c r="AT17" s="16">
        <f t="shared" ref="AT17:AT24" si="74">IFERROR(AT6/BD6,0)</f>
        <v>0</v>
      </c>
      <c r="AU17" s="16">
        <f t="shared" ref="AU17:AU24" si="75">IFERROR(AU6/BD6,0)</f>
        <v>0</v>
      </c>
      <c r="AV17" s="16">
        <f t="shared" ref="AV17:AV24" si="76">IFERROR(AV6/BD6,0)</f>
        <v>0</v>
      </c>
      <c r="AW17" s="16">
        <f t="shared" ref="AW17:AW24" si="77">IFERROR(AW6/BD6,0)</f>
        <v>3.4869133763544479E-3</v>
      </c>
      <c r="AX17" s="16">
        <f t="shared" ref="AX17:AX24" si="78">IFERROR(AX6/BD6,0)</f>
        <v>3.4869133763544479E-3</v>
      </c>
      <c r="AY17" s="16">
        <f t="shared" ref="AY17:AY24" si="79">IFERROR(AY6/BD6,0)</f>
        <v>0</v>
      </c>
      <c r="AZ17" s="16">
        <f t="shared" ref="AZ17:AZ24" si="80">IFERROR(AZ6/BD6,0)</f>
        <v>3.4869133763544479E-3</v>
      </c>
      <c r="BA17" s="16">
        <f t="shared" ref="BA17:BA24" si="81">IFERROR(BA6/BD6,0)</f>
        <v>0</v>
      </c>
      <c r="BB17" s="16">
        <f t="shared" ref="BB17:BB24" si="82">IFERROR(BB6/BD6,0)</f>
        <v>4.012169327683477E-2</v>
      </c>
      <c r="BC17" s="16">
        <f t="shared" ref="BC17:BC24" si="83">IFERROR(BC6/BD6,0)</f>
        <v>0</v>
      </c>
      <c r="BD17" s="48">
        <f t="shared" ref="BD17:BD24" si="84">IFERROR(BD6/BD6,0)</f>
        <v>1</v>
      </c>
      <c r="BF17" s="45">
        <f>IFERROR(BF6/BV6,0)</f>
        <v>1.0144128657380111</v>
      </c>
      <c r="BG17" s="15">
        <f t="shared" ref="BG17:BG24" si="85">IFERROR(BG6/BV6,0)</f>
        <v>0.91577459386121307</v>
      </c>
      <c r="BH17" s="16">
        <f t="shared" ref="BH17:BH24" si="86">IFERROR(BH6/BV6,0)</f>
        <v>1.5627552796266434E-2</v>
      </c>
      <c r="BI17" s="16">
        <f t="shared" ref="BI17:BI24" si="87">IFERROR(BI6/BV6,0)</f>
        <v>1.5627552796266435E-3</v>
      </c>
      <c r="BJ17" s="16">
        <f t="shared" ref="BJ17:BJ24" si="88">IFERROR(BJ6/BV6,0)</f>
        <v>0</v>
      </c>
      <c r="BK17" s="16">
        <f t="shared" ref="BK17:BK24" si="89">IFERROR(BK6/BV6,0)</f>
        <v>1.5627552796266434E-2</v>
      </c>
      <c r="BL17" s="16">
        <f t="shared" ref="BL17:BL24" si="90">IFERROR(BL6/BV6,0)</f>
        <v>0</v>
      </c>
      <c r="BM17" s="16">
        <f t="shared" ref="BM17:BM24" si="91">IFERROR(BM6/BV6,0)</f>
        <v>0</v>
      </c>
      <c r="BN17" s="16">
        <f t="shared" ref="BN17:BN24" si="92">IFERROR(BN6/BV6,0)</f>
        <v>0</v>
      </c>
      <c r="BO17" s="16">
        <f t="shared" ref="BO17:BO24" si="93">IFERROR(BO6/BV6,0)</f>
        <v>0</v>
      </c>
      <c r="BP17" s="16">
        <f t="shared" ref="BP17:BP24" si="94">IFERROR(BP6/BV6,0)</f>
        <v>9.3765316777598626E-3</v>
      </c>
      <c r="BQ17" s="16">
        <f t="shared" ref="BQ17:BQ24" si="95">IFERROR(BQ6/BV6,0)</f>
        <v>0</v>
      </c>
      <c r="BR17" s="16">
        <f t="shared" ref="BR17:BR24" si="96">IFERROR(BR6/BV6,0)</f>
        <v>0</v>
      </c>
      <c r="BS17" s="16">
        <f t="shared" ref="BS17:BS24" si="97">IFERROR(BS6/BV6,0)</f>
        <v>0</v>
      </c>
      <c r="BT17" s="16">
        <f t="shared" ref="BT17:BT24" si="98">IFERROR(BT6/BV6,0)</f>
        <v>4.2031013588867502E-2</v>
      </c>
      <c r="BU17" s="16">
        <f t="shared" ref="BU17:BU24" si="99">IFERROR(BU6/BV6,0)</f>
        <v>0</v>
      </c>
      <c r="BV17" s="48">
        <f t="shared" ref="BV17:BV24" si="100">IFERROR(BV6/BV6,0)</f>
        <v>1</v>
      </c>
      <c r="BX17" s="45">
        <f>IFERROR(BX6/CN6,0)</f>
        <v>1.0150955221398856</v>
      </c>
      <c r="BY17" s="15">
        <f t="shared" ref="BY17:BY24" si="101">IFERROR(BY6/CN6,0)</f>
        <v>0.89542584574848605</v>
      </c>
      <c r="BZ17" s="16">
        <f t="shared" ref="BZ17:BZ24" si="102">IFERROR(BZ6/CN6,0)</f>
        <v>1.9094378304400934E-2</v>
      </c>
      <c r="CA17" s="16">
        <f t="shared" ref="CA17:CA24" si="103">IFERROR(CA6/CN6,0)</f>
        <v>4.3213593004696849E-2</v>
      </c>
      <c r="CB17" s="16">
        <f t="shared" ref="CB17:CB24" si="104">IFERROR(CB6/CN6,0)</f>
        <v>0</v>
      </c>
      <c r="CC17" s="16">
        <f t="shared" ref="CC17:CC24" si="105">IFERROR(CC6/CN6,0)</f>
        <v>1.3064574629326956E-2</v>
      </c>
      <c r="CD17" s="16">
        <f t="shared" ref="CD17:CD24" si="106">IFERROR(CD6/CN6,0)</f>
        <v>0</v>
      </c>
      <c r="CE17" s="16">
        <f t="shared" ref="CE17:CE24" si="107">IFERROR(CE6/CN6,0)</f>
        <v>0</v>
      </c>
      <c r="CF17" s="16">
        <f t="shared" ref="CF17:CF24" si="108">IFERROR(CF6/CN6,0)</f>
        <v>0</v>
      </c>
      <c r="CG17" s="16">
        <f t="shared" ref="CG17:CG24" si="109">IFERROR(CG6/CN6,0)</f>
        <v>2.0099345583579932E-3</v>
      </c>
      <c r="CH17" s="16">
        <f t="shared" ref="CH17:CH24" si="110">IFERROR(CH6/CN6,0)</f>
        <v>2.0099345583579932E-3</v>
      </c>
      <c r="CI17" s="16">
        <f t="shared" ref="CI17:CI24" si="111">IFERROR(CI6/CN6,0)</f>
        <v>0</v>
      </c>
      <c r="CJ17" s="16">
        <f t="shared" ref="CJ17:CJ24" si="112">IFERROR(CJ6/CN6,0)</f>
        <v>2.0099345583579932E-3</v>
      </c>
      <c r="CK17" s="16">
        <f t="shared" ref="CK17:CK24" si="113">IFERROR(CK6/CN6,0)</f>
        <v>0</v>
      </c>
      <c r="CL17" s="16">
        <f t="shared" ref="CL17:CL24" si="114">IFERROR(CL6/CN6,0)</f>
        <v>2.317180463801535E-2</v>
      </c>
      <c r="CM17" s="16">
        <f t="shared" ref="CM17:CM24" si="115">IFERROR(CM6/CN6,0)</f>
        <v>0</v>
      </c>
      <c r="CN17" s="48">
        <f t="shared" ref="CN17:DF24" si="116">IFERROR(CN6/CN6,0)</f>
        <v>1</v>
      </c>
      <c r="CP17" s="45">
        <f>IFERROR(CP6/DF6,0)</f>
        <v>1.0064496439051449</v>
      </c>
      <c r="CQ17" s="15">
        <f t="shared" ref="CQ17:CQ24" si="117">IFERROR(CQ6/DF6,0)</f>
        <v>0.72435625570092022</v>
      </c>
      <c r="CR17" s="16">
        <f t="shared" ref="CR17:CR24" si="118">IFERROR(CR6/DF6,0)</f>
        <v>0.17844266841901582</v>
      </c>
      <c r="CS17" s="16">
        <f t="shared" ref="CS17:CS24" si="119">IFERROR(CS6/DF6,0)</f>
        <v>0</v>
      </c>
      <c r="CT17" s="16">
        <f t="shared" ref="CT17:CT24" si="120">IFERROR(CT6/DF6,0)</f>
        <v>6.0489040142039261E-3</v>
      </c>
      <c r="CU17" s="16">
        <f t="shared" ref="CU17:CU24" si="121">IFERROR(CU6/DF6,0)</f>
        <v>2.4195616056815705E-2</v>
      </c>
      <c r="CV17" s="16">
        <f t="shared" ref="CV17:CV24" si="122">IFERROR(CV6/DF6,0)</f>
        <v>0</v>
      </c>
      <c r="CW17" s="16">
        <f t="shared" ref="CW17:CW24" si="123">IFERROR(CW6/DF6,0)</f>
        <v>0</v>
      </c>
      <c r="CX17" s="16">
        <f t="shared" ref="CX17:CX24" si="124">IFERROR(CX6/DF6,0)</f>
        <v>0</v>
      </c>
      <c r="CY17" s="16">
        <f t="shared" ref="CY17:CY24" si="125">IFERROR(CY6/DF6,0)</f>
        <v>1.5122260035509815E-3</v>
      </c>
      <c r="CZ17" s="16">
        <f t="shared" ref="CZ17:CZ24" si="126">IFERROR(CZ6/DF6,0)</f>
        <v>0</v>
      </c>
      <c r="DA17" s="16">
        <f t="shared" ref="DA17:DA24" si="127">IFERROR(DA6/DF6,0)</f>
        <v>1.9658938046162762E-2</v>
      </c>
      <c r="DB17" s="16">
        <f t="shared" ref="DB17:DB24" si="128">IFERROR(DB6/DF6,0)</f>
        <v>0</v>
      </c>
      <c r="DC17" s="16">
        <f t="shared" ref="DC17:DC24" si="129">IFERROR(DC6/DF6,0)</f>
        <v>0</v>
      </c>
      <c r="DD17" s="16">
        <f t="shared" ref="DD17:DD24" si="130">IFERROR(DD6/DF6,0)</f>
        <v>4.5785391759330607E-2</v>
      </c>
      <c r="DE17" s="16">
        <f t="shared" ref="DE17:DE24" si="131">IFERROR(DE6/DF6,0)</f>
        <v>0</v>
      </c>
      <c r="DF17" s="48">
        <f t="shared" ref="DF17:DF23" si="132">IFERROR(DF6/DF6,0)</f>
        <v>1</v>
      </c>
      <c r="DH17" s="45">
        <f>IFERROR(DH6/DX6,0)</f>
        <v>1.0136669150683346</v>
      </c>
      <c r="DI17" s="15">
        <f t="shared" ref="DI17:DI24" si="133">IFERROR(DI6/DX6,0)</f>
        <v>0.88122300440611501</v>
      </c>
      <c r="DJ17" s="16">
        <f t="shared" ref="DJ17:DJ24" si="134">IFERROR(DJ6/DX6,0)</f>
        <v>4.0516000202579998E-2</v>
      </c>
      <c r="DK17" s="16">
        <f t="shared" ref="DK17:DK24" si="135">IFERROR(DK6/DX6,0)</f>
        <v>0</v>
      </c>
      <c r="DL17" s="16">
        <f t="shared" ref="DL17:DL24" si="136">IFERROR(DL6/DX6,0)</f>
        <v>0</v>
      </c>
      <c r="DM17" s="16">
        <f t="shared" ref="DM17:DM24" si="137">IFERROR(DM6/DX6,0)</f>
        <v>1.0129000050644999E-2</v>
      </c>
      <c r="DN17" s="16">
        <f t="shared" ref="DN17:DN24" si="138">IFERROR(DN6/DX6,0)</f>
        <v>0</v>
      </c>
      <c r="DO17" s="16">
        <f t="shared" ref="DO17:DO24" si="139">IFERROR(DO6/DX6,0)</f>
        <v>0</v>
      </c>
      <c r="DP17" s="16">
        <f t="shared" ref="DP17:DP24" si="140">IFERROR(DP6/DX6,0)</f>
        <v>0</v>
      </c>
      <c r="DQ17" s="16">
        <f t="shared" ref="DQ17:DQ24" si="141">IFERROR(DQ6/DX6,0)</f>
        <v>8.68200004341E-3</v>
      </c>
      <c r="DR17" s="16">
        <f t="shared" ref="DR17:DR24" si="142">IFERROR(DR6/DX6,0)</f>
        <v>5.7880000289400003E-3</v>
      </c>
      <c r="DS17" s="16">
        <f t="shared" ref="DS17:DS24" si="143">IFERROR(DS6/DX6,0)</f>
        <v>2.8940000144700002E-3</v>
      </c>
      <c r="DT17" s="16">
        <f t="shared" ref="DT17:DT24" si="144">IFERROR(DT6/DX6,0)</f>
        <v>8.68200004341E-3</v>
      </c>
      <c r="DU17" s="16">
        <f t="shared" ref="DU17:DU24" si="145">IFERROR(DU6/DX6,0)</f>
        <v>0</v>
      </c>
      <c r="DV17" s="16">
        <f t="shared" ref="DV17:DV24" si="146">IFERROR(DV6/DX6,0)</f>
        <v>4.2085995210429973E-2</v>
      </c>
      <c r="DW17" s="16">
        <f t="shared" ref="DW17:DW24" si="147">IFERROR(DW6/DX6,0)</f>
        <v>0</v>
      </c>
      <c r="DX17" s="48">
        <f t="shared" ref="DX17:EP24" si="148">IFERROR(DX6/DX6,0)</f>
        <v>1</v>
      </c>
      <c r="DZ17" s="45">
        <f>IFERROR(DZ6/EP6,0)</f>
        <v>1.0065202256718717</v>
      </c>
      <c r="EA17" s="15">
        <f t="shared" ref="EA17:EA24" si="149">IFERROR(EA6/EP6,0)</f>
        <v>0.7803469305246854</v>
      </c>
      <c r="EB17" s="16">
        <f t="shared" ref="EB17:EB24" si="150">IFERROR(EB6/EP6,0)</f>
        <v>8.3515390557825864E-2</v>
      </c>
      <c r="EC17" s="16">
        <f t="shared" ref="EC17:EC24" si="151">IFERROR(EC6/EP6,0)</f>
        <v>9.1344958422622038E-3</v>
      </c>
      <c r="ED17" s="16">
        <f t="shared" ref="ED17:ED24" si="152">IFERROR(ED6/EP6,0)</f>
        <v>0</v>
      </c>
      <c r="EE17" s="16">
        <f t="shared" ref="EE17:EE24" si="153">IFERROR(EE6/EP6,0)</f>
        <v>3.3928127414116757E-2</v>
      </c>
      <c r="EF17" s="16">
        <f t="shared" ref="EF17:EF24" si="154">IFERROR(EF6/EP6,0)</f>
        <v>0</v>
      </c>
      <c r="EG17" s="16">
        <f t="shared" ref="EG17:EG24" si="155">IFERROR(EG6/EP6,0)</f>
        <v>0</v>
      </c>
      <c r="EH17" s="16">
        <f t="shared" ref="EH17:EH24" si="156">IFERROR(EH6/EP6,0)</f>
        <v>0</v>
      </c>
      <c r="EI17" s="16">
        <f t="shared" ref="EI17:EI24" si="157">IFERROR(EI6/EP6,0)</f>
        <v>1.3049279774660291E-2</v>
      </c>
      <c r="EJ17" s="16">
        <f t="shared" ref="EJ17:EJ24" si="158">IFERROR(EJ6/EP6,0)</f>
        <v>0</v>
      </c>
      <c r="EK17" s="16">
        <f t="shared" ref="EK17:EK24" si="159">IFERROR(EK6/EP6,0)</f>
        <v>0</v>
      </c>
      <c r="EL17" s="16">
        <f t="shared" ref="EL17:EL24" si="160">IFERROR(EL6/EP6,0)</f>
        <v>7.829567864796173E-3</v>
      </c>
      <c r="EM17" s="16">
        <f t="shared" ref="EM17:EM24" si="161">IFERROR(EM6/EP6,0)</f>
        <v>0</v>
      </c>
      <c r="EN17" s="16">
        <f t="shared" ref="EN17:EN24" si="162">IFERROR(EN6/EP6,0)</f>
        <v>7.219620802165326E-2</v>
      </c>
      <c r="EO17" s="16">
        <f t="shared" ref="EO17:EO24" si="163">IFERROR(EO6/EP6,0)</f>
        <v>0</v>
      </c>
      <c r="EP17" s="48">
        <f t="shared" ref="EP17:EP23" si="164">IFERROR(EP6/EP6,0)</f>
        <v>1</v>
      </c>
      <c r="ER17" s="45">
        <f>IFERROR(ER6/FH6,0)</f>
        <v>1.0087644178303032</v>
      </c>
      <c r="ES17" s="15">
        <f t="shared" ref="ES17:ES24" si="165">IFERROR(ES6/FH6,0)</f>
        <v>0.86792207147994738</v>
      </c>
      <c r="ET17" s="16">
        <f t="shared" ref="ET17:ET24" si="166">IFERROR(ET6/FH6,0)</f>
        <v>3.4292920211314762E-2</v>
      </c>
      <c r="EU17" s="16">
        <f t="shared" ref="EU17:EU24" si="167">IFERROR(EU6/FH6,0)</f>
        <v>8.5257570872293456E-4</v>
      </c>
      <c r="EV17" s="16">
        <f t="shared" ref="EV17:EV24" si="168">IFERROR(EV6/FH6,0)</f>
        <v>0</v>
      </c>
      <c r="EW17" s="16">
        <f t="shared" ref="EW17:EW24" si="169">IFERROR(EW6/FH6,0)</f>
        <v>4.6038313202212348E-2</v>
      </c>
      <c r="EX17" s="16">
        <f t="shared" ref="EX17:EX24" si="170">IFERROR(EX6/FH6,0)</f>
        <v>0</v>
      </c>
      <c r="EY17" s="16">
        <f t="shared" ref="EY17:EY24" si="171">IFERROR(EY6/FH6,0)</f>
        <v>0</v>
      </c>
      <c r="EZ17" s="16">
        <f t="shared" ref="EZ17:EZ24" si="172">IFERROR(EZ6/FH6,0)</f>
        <v>0</v>
      </c>
      <c r="FA17" s="16">
        <f t="shared" ref="FA17:FA24" si="173">IFERROR(FA6/FH6,0)</f>
        <v>0</v>
      </c>
      <c r="FB17" s="16">
        <f t="shared" ref="FB17:FB24" si="174">IFERROR(FB6/FH6,0)</f>
        <v>8.5257570872293456E-4</v>
      </c>
      <c r="FC17" s="16">
        <f t="shared" ref="FC17:FC24" si="175">IFERROR(FC6/FH6,0)</f>
        <v>5.1154542523376067E-3</v>
      </c>
      <c r="FD17" s="16">
        <f t="shared" ref="FD17:FD24" si="176">IFERROR(FD6/FH6,0)</f>
        <v>8.060715791562291E-3</v>
      </c>
      <c r="FE17" s="16">
        <f t="shared" ref="FE17:FE24" si="177">IFERROR(FE6/FH6,0)</f>
        <v>0</v>
      </c>
      <c r="FF17" s="16">
        <f t="shared" ref="FF17:FF24" si="178">IFERROR(FF6/FH6,0)</f>
        <v>3.6865373645179694E-2</v>
      </c>
      <c r="FG17" s="16">
        <f t="shared" ref="FG17:FG24" si="179">IFERROR(FG6/FH6,0)</f>
        <v>0</v>
      </c>
      <c r="FH17" s="48">
        <f t="shared" ref="FH17:FZ24" si="180">IFERROR(FH6/FH6,0)</f>
        <v>1</v>
      </c>
      <c r="FJ17" s="45">
        <f>IFERROR(FJ6/FZ6,0)</f>
        <v>1.003655485104086</v>
      </c>
      <c r="FK17" s="15">
        <f t="shared" ref="FK17:FK24" si="181">IFERROR(FK6/FZ6,0)</f>
        <v>0.83104902357713262</v>
      </c>
      <c r="FL17" s="16">
        <f t="shared" ref="FL17:FL24" si="182">IFERROR(FL6/FZ6,0)</f>
        <v>4.9724662825342193E-2</v>
      </c>
      <c r="FM17" s="16">
        <f t="shared" ref="FM17:FM24" si="183">IFERROR(FM6/FZ6,0)</f>
        <v>1.7483499794750332E-3</v>
      </c>
      <c r="FN17" s="16">
        <f t="shared" ref="FN17:FN24" si="184">IFERROR(FN6/FZ6,0)</f>
        <v>0</v>
      </c>
      <c r="FO17" s="16">
        <f t="shared" ref="FO17:FO24" si="185">IFERROR(FO6/FZ6,0)</f>
        <v>8.4611927059718317E-2</v>
      </c>
      <c r="FP17" s="16">
        <f t="shared" ref="FP17:FP24" si="186">IFERROR(FP6/FZ6,0)</f>
        <v>0</v>
      </c>
      <c r="FQ17" s="16">
        <f t="shared" ref="FQ17:FQ24" si="187">IFERROR(FQ6/FZ6,0)</f>
        <v>0</v>
      </c>
      <c r="FR17" s="16">
        <f t="shared" ref="FR17:FR24" si="188">IFERROR(FR6/FZ6,0)</f>
        <v>0</v>
      </c>
      <c r="FS17" s="16">
        <f t="shared" ref="FS17:FS24" si="189">IFERROR(FS6/FZ6,0)</f>
        <v>0</v>
      </c>
      <c r="FT17" s="16">
        <f t="shared" ref="FT17:FT24" si="190">IFERROR(FT6/FZ6,0)</f>
        <v>0</v>
      </c>
      <c r="FU17" s="16">
        <f t="shared" ref="FU17:FU24" si="191">IFERROR(FU6/FZ6,0)</f>
        <v>0</v>
      </c>
      <c r="FV17" s="16">
        <f t="shared" ref="FV17:FV24" si="192">IFERROR(FV6/FZ6,0)</f>
        <v>5.8278332649167779E-4</v>
      </c>
      <c r="FW17" s="16">
        <f t="shared" ref="FW17:FW24" si="193">IFERROR(FW6/FZ6,0)</f>
        <v>0</v>
      </c>
      <c r="FX17" s="16">
        <f t="shared" ref="FX17:FX24" si="194">IFERROR(FX6/FZ6,0)</f>
        <v>3.2283253231840163E-2</v>
      </c>
      <c r="FY17" s="16">
        <f t="shared" ref="FY17:FY24" si="195">IFERROR(FY6/FZ6,0)</f>
        <v>0</v>
      </c>
      <c r="FZ17" s="48">
        <f t="shared" ref="FZ17:FZ23" si="196">IFERROR(FZ6/FZ6,0)</f>
        <v>1</v>
      </c>
      <c r="GB17" s="45">
        <f>IFERROR(GB6/GR6,0)</f>
        <v>1.0082963986439768</v>
      </c>
      <c r="GC17" s="15">
        <f t="shared" ref="GC17:GC24" si="197">IFERROR(GC6/GR6,0)</f>
        <v>0.72032049338615745</v>
      </c>
      <c r="GD17" s="16">
        <f t="shared" ref="GD17:GD24" si="198">IFERROR(GD6/GR6,0)</f>
        <v>4.3152780356773911E-2</v>
      </c>
      <c r="GE17" s="16">
        <f t="shared" ref="GE17:GE24" si="199">IFERROR(GE6/GR6,0)</f>
        <v>5.3111114285260198E-2</v>
      </c>
      <c r="GF17" s="16">
        <f t="shared" ref="GF17:GF24" si="200">IFERROR(GF6/GR6,0)</f>
        <v>5.5324077380479377E-4</v>
      </c>
      <c r="GG17" s="16">
        <f t="shared" ref="GG17:GG24" si="201">IFERROR(GG6/GR6,0)</f>
        <v>9.515741309442452E-2</v>
      </c>
      <c r="GH17" s="16">
        <f t="shared" ref="GH17:GH24" si="202">IFERROR(GH6/GR6,0)</f>
        <v>0</v>
      </c>
      <c r="GI17" s="16">
        <f t="shared" ref="GI17:GI24" si="203">IFERROR(GI6/GR6,0)</f>
        <v>0</v>
      </c>
      <c r="GJ17" s="16">
        <f t="shared" ref="GJ17:GJ24" si="204">IFERROR(GJ6/GR6,0)</f>
        <v>0</v>
      </c>
      <c r="GK17" s="16">
        <f t="shared" ref="GK17:GK24" si="205">IFERROR(GK6/GR6,0)</f>
        <v>2.9875001785458863E-2</v>
      </c>
      <c r="GL17" s="16">
        <f t="shared" ref="GL17:GL24" si="206">IFERROR(GL6/GR6,0)</f>
        <v>0</v>
      </c>
      <c r="GM17" s="16">
        <f t="shared" ref="GM17:GM24" si="207">IFERROR(GM6/GR6,0)</f>
        <v>8.2986116070719058E-3</v>
      </c>
      <c r="GN17" s="16">
        <f t="shared" ref="GN17:GN24" si="208">IFERROR(GN6/GR6,0)</f>
        <v>1.0511574702291082E-2</v>
      </c>
      <c r="GO17" s="16">
        <f t="shared" ref="GO17:GO24" si="209">IFERROR(GO6/GR6,0)</f>
        <v>0</v>
      </c>
      <c r="GP17" s="16">
        <f t="shared" ref="GP17:GP24" si="210">IFERROR(GP6/GR6,0)</f>
        <v>3.9019770008757296E-2</v>
      </c>
      <c r="GQ17" s="16">
        <f t="shared" ref="GQ17:GQ24" si="211">IFERROR(GQ6/GR6,0)</f>
        <v>0</v>
      </c>
      <c r="GR17" s="48">
        <f t="shared" ref="GR17:HJ24" si="212">IFERROR(GR6/GR6,0)</f>
        <v>1</v>
      </c>
      <c r="GT17" s="45">
        <f>IFERROR(GT6/HJ6,0)</f>
        <v>1.0089438333957081</v>
      </c>
      <c r="GU17" s="15">
        <f t="shared" ref="GU17:GU24" si="213">IFERROR(GU6/HJ6,0)</f>
        <v>0.87510953756709109</v>
      </c>
      <c r="GV17" s="16">
        <f t="shared" ref="GV17:GV24" si="214">IFERROR(GV6/HJ6,0)</f>
        <v>1.2093222252811559E-2</v>
      </c>
      <c r="GW17" s="16">
        <f t="shared" ref="GW17:GW24" si="215">IFERROR(GW6/HJ6,0)</f>
        <v>5.5427268658719648E-3</v>
      </c>
      <c r="GX17" s="16">
        <f t="shared" ref="GX17:GX24" si="216">IFERROR(GX6/HJ6,0)</f>
        <v>0</v>
      </c>
      <c r="GY17" s="16">
        <f t="shared" ref="GY17:GY24" si="217">IFERROR(GY6/HJ6,0)</f>
        <v>6.7520490911531214E-2</v>
      </c>
      <c r="GZ17" s="16">
        <f t="shared" ref="GZ17:GZ24" si="218">IFERROR(GZ6/HJ6,0)</f>
        <v>0</v>
      </c>
      <c r="HA17" s="16">
        <f t="shared" ref="HA17:HA24" si="219">IFERROR(HA6/HJ6,0)</f>
        <v>0</v>
      </c>
      <c r="HB17" s="16">
        <f t="shared" ref="HB17:HB24" si="220">IFERROR(HB6/HJ6,0)</f>
        <v>0</v>
      </c>
      <c r="HC17" s="16">
        <f t="shared" ref="HC17:HC24" si="221">IFERROR(HC6/HJ6,0)</f>
        <v>1.00776852106763E-3</v>
      </c>
      <c r="HD17" s="16">
        <f t="shared" ref="HD17:HD24" si="222">IFERROR(HD6/HJ6,0)</f>
        <v>0</v>
      </c>
      <c r="HE17" s="16">
        <f t="shared" ref="HE17:HE24" si="223">IFERROR(HE6/HJ6,0)</f>
        <v>0</v>
      </c>
      <c r="HF17" s="16">
        <f t="shared" ref="HF17:HF24" si="224">IFERROR(HF6/HJ6,0)</f>
        <v>3.5271898237367047E-3</v>
      </c>
      <c r="HG17" s="16">
        <f t="shared" ref="HG17:HG24" si="225">IFERROR(HG6/HJ6,0)</f>
        <v>0</v>
      </c>
      <c r="HH17" s="16">
        <f t="shared" ref="HH17:HH24" si="226">IFERROR(HH6/HJ6,0)</f>
        <v>3.5199064057889889E-2</v>
      </c>
      <c r="HI17" s="16">
        <f t="shared" ref="HI17:HI24" si="227">IFERROR(HI6/HJ6,0)</f>
        <v>0</v>
      </c>
      <c r="HJ17" s="48">
        <f t="shared" ref="HJ17:HJ23" si="228">IFERROR(HJ6/HJ6,0)</f>
        <v>1</v>
      </c>
      <c r="HL17" s="45">
        <f>IFERROR(HL6/IB6,0)</f>
        <v>1.0086022825723622</v>
      </c>
      <c r="HM17" s="15">
        <f t="shared" ref="HM17:HM24" si="229">IFERROR(HM6/IB6,0)</f>
        <v>0.91012480959884923</v>
      </c>
      <c r="HN17" s="16">
        <f t="shared" ref="HN17:HN24" si="230">IFERROR(HN6/IB6,0)</f>
        <v>3.7519868475806508E-3</v>
      </c>
      <c r="HO17" s="16">
        <f t="shared" ref="HO17:HO24" si="231">IFERROR(HO6/IB6,0)</f>
        <v>8.0399718162442509E-3</v>
      </c>
      <c r="HP17" s="16">
        <f t="shared" ref="HP17:HP24" si="232">IFERROR(HP6/IB6,0)</f>
        <v>0</v>
      </c>
      <c r="HQ17" s="16">
        <f t="shared" ref="HQ17:HQ24" si="233">IFERROR(HQ6/IB6,0)</f>
        <v>2.6263907933064552E-2</v>
      </c>
      <c r="HR17" s="16">
        <f t="shared" ref="HR17:HR24" si="234">IFERROR(HR6/IB6,0)</f>
        <v>0</v>
      </c>
      <c r="HS17" s="16">
        <f t="shared" ref="HS17:HS24" si="235">IFERROR(HS6/IB6,0)</f>
        <v>0</v>
      </c>
      <c r="HT17" s="16">
        <f t="shared" ref="HT17:HT24" si="236">IFERROR(HT6/IB6,0)</f>
        <v>0</v>
      </c>
      <c r="HU17" s="16">
        <f t="shared" ref="HU17:HU24" si="237">IFERROR(HU6/IB6,0)</f>
        <v>7.5039736951613015E-3</v>
      </c>
      <c r="HV17" s="16">
        <f t="shared" ref="HV17:HV24" si="238">IFERROR(HV6/IB6,0)</f>
        <v>1.0719962421658999E-3</v>
      </c>
      <c r="HW17" s="16">
        <f t="shared" ref="HW17:HW24" si="239">IFERROR(HW6/IB6,0)</f>
        <v>0</v>
      </c>
      <c r="HX17" s="16">
        <f t="shared" ref="HX17:HX24" si="240">IFERROR(HX6/IB6,0)</f>
        <v>5.8959793319124506E-3</v>
      </c>
      <c r="HY17" s="16">
        <f t="shared" ref="HY17:HY24" si="241">IFERROR(HY6/IB6,0)</f>
        <v>0</v>
      </c>
      <c r="HZ17" s="16">
        <f t="shared" ref="HZ17:HZ24" si="242">IFERROR(HZ6/IB6,0)</f>
        <v>3.7347374535021627E-2</v>
      </c>
      <c r="IA17" s="16">
        <f t="shared" ref="IA17:IA24" si="243">IFERROR(IA6/IB6,0)</f>
        <v>0</v>
      </c>
      <c r="IB17" s="48">
        <f t="shared" ref="IB17:IB24" si="244">IFERROR(IB6/IB6,0)</f>
        <v>1</v>
      </c>
    </row>
    <row r="18" spans="2:236" s="11" customFormat="1" x14ac:dyDescent="0.35">
      <c r="B18" s="17" t="s">
        <v>69</v>
      </c>
      <c r="C18" s="17"/>
      <c r="D18" s="45">
        <f t="shared" ref="D18:D24" si="245">IFERROR(D7/T7,0)</f>
        <v>1.0091808749766096</v>
      </c>
      <c r="E18" s="18">
        <f t="shared" ref="E18:E24" si="246">IFERROR(E7/T7,0)</f>
        <v>1.9701853895736924E-2</v>
      </c>
      <c r="F18" s="19">
        <f t="shared" si="38"/>
        <v>0.87190908868807604</v>
      </c>
      <c r="G18" s="18">
        <f t="shared" si="39"/>
        <v>2.9015362369189241E-2</v>
      </c>
      <c r="H18" s="18">
        <f t="shared" si="40"/>
        <v>0</v>
      </c>
      <c r="I18" s="18">
        <f t="shared" si="41"/>
        <v>1.2703970010344316E-2</v>
      </c>
      <c r="J18" s="18">
        <f t="shared" si="42"/>
        <v>0</v>
      </c>
      <c r="K18" s="18">
        <f t="shared" si="43"/>
        <v>0</v>
      </c>
      <c r="L18" s="18">
        <f t="shared" si="44"/>
        <v>0</v>
      </c>
      <c r="M18" s="18">
        <f t="shared" si="45"/>
        <v>2.2149131579533773E-4</v>
      </c>
      <c r="N18" s="18">
        <f t="shared" si="46"/>
        <v>9.5241265791995225E-3</v>
      </c>
      <c r="O18" s="18">
        <f t="shared" si="47"/>
        <v>1.1074565789766886E-3</v>
      </c>
      <c r="P18" s="18">
        <f t="shared" si="48"/>
        <v>1.9229473325867957E-3</v>
      </c>
      <c r="Q18" s="18">
        <f t="shared" si="49"/>
        <v>0</v>
      </c>
      <c r="R18" s="18">
        <f t="shared" si="50"/>
        <v>5.365878819819097E-2</v>
      </c>
      <c r="S18" s="18">
        <f t="shared" si="51"/>
        <v>2.3491503190414608E-4</v>
      </c>
      <c r="T18" s="49">
        <f t="shared" si="52"/>
        <v>1</v>
      </c>
      <c r="V18" s="45">
        <f t="shared" ref="V18:V24" si="247">IFERROR(V7/AL7,0)</f>
        <v>1.0077654449472806</v>
      </c>
      <c r="W18" s="18">
        <f t="shared" si="53"/>
        <v>1.6576328814086112E-2</v>
      </c>
      <c r="X18" s="19">
        <f t="shared" si="54"/>
        <v>0.92827441358882223</v>
      </c>
      <c r="Y18" s="18">
        <f t="shared" si="55"/>
        <v>4.1440822035215281E-3</v>
      </c>
      <c r="Z18" s="18">
        <f t="shared" si="56"/>
        <v>0</v>
      </c>
      <c r="AA18" s="18">
        <f t="shared" si="57"/>
        <v>1.0360205508803819E-2</v>
      </c>
      <c r="AB18" s="18">
        <f t="shared" si="58"/>
        <v>0</v>
      </c>
      <c r="AC18" s="18">
        <f t="shared" si="59"/>
        <v>0</v>
      </c>
      <c r="AD18" s="18">
        <f t="shared" si="60"/>
        <v>0</v>
      </c>
      <c r="AE18" s="18">
        <f t="shared" si="61"/>
        <v>0</v>
      </c>
      <c r="AF18" s="18">
        <f t="shared" si="62"/>
        <v>2.072041101760764E-3</v>
      </c>
      <c r="AG18" s="18">
        <f t="shared" si="63"/>
        <v>0</v>
      </c>
      <c r="AH18" s="18">
        <f t="shared" si="64"/>
        <v>4.1440822035215281E-3</v>
      </c>
      <c r="AI18" s="18">
        <f t="shared" si="65"/>
        <v>0</v>
      </c>
      <c r="AJ18" s="18">
        <f t="shared" si="66"/>
        <v>3.4428846579483967E-2</v>
      </c>
      <c r="AK18" s="18">
        <f t="shared" si="67"/>
        <v>0</v>
      </c>
      <c r="AL18" s="49">
        <f t="shared" si="68"/>
        <v>1</v>
      </c>
      <c r="AN18" s="45">
        <f t="shared" ref="AN18:AN24" si="248">IFERROR(AN7/BD7,0)</f>
        <v>1.0023560099288995</v>
      </c>
      <c r="AO18" s="18">
        <f t="shared" si="69"/>
        <v>1.2855212905698832E-3</v>
      </c>
      <c r="AP18" s="19">
        <f t="shared" si="70"/>
        <v>0.8618134731980498</v>
      </c>
      <c r="AQ18" s="18">
        <f t="shared" si="71"/>
        <v>7.7131277434192994E-3</v>
      </c>
      <c r="AR18" s="18">
        <f t="shared" si="72"/>
        <v>0</v>
      </c>
      <c r="AS18" s="18">
        <f t="shared" si="73"/>
        <v>2.3139383230257899E-2</v>
      </c>
      <c r="AT18" s="18">
        <f t="shared" si="74"/>
        <v>0</v>
      </c>
      <c r="AU18" s="18">
        <f t="shared" si="75"/>
        <v>0</v>
      </c>
      <c r="AV18" s="18">
        <f t="shared" si="76"/>
        <v>0</v>
      </c>
      <c r="AW18" s="18">
        <f t="shared" si="77"/>
        <v>0</v>
      </c>
      <c r="AX18" s="18">
        <f t="shared" si="78"/>
        <v>2.8281468392537434E-2</v>
      </c>
      <c r="AY18" s="18">
        <f t="shared" si="79"/>
        <v>0</v>
      </c>
      <c r="AZ18" s="18">
        <f t="shared" si="80"/>
        <v>6.4276064528494166E-3</v>
      </c>
      <c r="BA18" s="18">
        <f t="shared" si="81"/>
        <v>0</v>
      </c>
      <c r="BB18" s="18">
        <f t="shared" si="82"/>
        <v>7.1339419692316317E-2</v>
      </c>
      <c r="BC18" s="18">
        <f t="shared" si="83"/>
        <v>0</v>
      </c>
      <c r="BD18" s="49">
        <f t="shared" si="84"/>
        <v>1</v>
      </c>
      <c r="BF18" s="45">
        <f t="shared" ref="BF18:BF24" si="249">IFERROR(BF7/BV7,0)</f>
        <v>1.0071034809377217</v>
      </c>
      <c r="BG18" s="18">
        <f t="shared" si="85"/>
        <v>5.2095666587733836E-3</v>
      </c>
      <c r="BH18" s="19">
        <f t="shared" si="86"/>
        <v>0.90698555529244618</v>
      </c>
      <c r="BI18" s="18">
        <f t="shared" si="87"/>
        <v>1.8754439971584182E-2</v>
      </c>
      <c r="BJ18" s="18">
        <f t="shared" si="88"/>
        <v>0</v>
      </c>
      <c r="BK18" s="18">
        <f t="shared" si="89"/>
        <v>1.0899834241060859E-2</v>
      </c>
      <c r="BL18" s="18">
        <f t="shared" si="90"/>
        <v>0</v>
      </c>
      <c r="BM18" s="18">
        <f t="shared" si="91"/>
        <v>0</v>
      </c>
      <c r="BN18" s="18">
        <f t="shared" si="92"/>
        <v>0</v>
      </c>
      <c r="BO18" s="18">
        <f t="shared" si="93"/>
        <v>0</v>
      </c>
      <c r="BP18" s="18">
        <f t="shared" si="94"/>
        <v>6.2514799905280605E-3</v>
      </c>
      <c r="BQ18" s="18">
        <f t="shared" si="95"/>
        <v>5.2095666587733834E-4</v>
      </c>
      <c r="BR18" s="18">
        <f t="shared" si="96"/>
        <v>5.2095666587733834E-4</v>
      </c>
      <c r="BS18" s="18">
        <f t="shared" si="97"/>
        <v>0</v>
      </c>
      <c r="BT18" s="18">
        <f t="shared" si="98"/>
        <v>4.9199621122424819E-2</v>
      </c>
      <c r="BU18" s="18">
        <f t="shared" si="99"/>
        <v>1.6575893914278948E-3</v>
      </c>
      <c r="BV18" s="49">
        <f t="shared" si="100"/>
        <v>1</v>
      </c>
      <c r="BX18" s="45">
        <f t="shared" ref="BX18:BX24" si="250">IFERROR(BX7/CN7,0)</f>
        <v>1.0060154459559458</v>
      </c>
      <c r="BY18" s="18">
        <f t="shared" si="101"/>
        <v>0</v>
      </c>
      <c r="BZ18" s="19">
        <f t="shared" si="102"/>
        <v>0.87023104083601321</v>
      </c>
      <c r="CA18" s="18">
        <f t="shared" si="103"/>
        <v>2.292921935272435E-2</v>
      </c>
      <c r="CB18" s="18">
        <f t="shared" si="104"/>
        <v>0</v>
      </c>
      <c r="CC18" s="18">
        <f t="shared" si="105"/>
        <v>7.3796187032947411E-3</v>
      </c>
      <c r="CD18" s="18">
        <f t="shared" si="106"/>
        <v>0</v>
      </c>
      <c r="CE18" s="18">
        <f t="shared" si="107"/>
        <v>0</v>
      </c>
      <c r="CF18" s="18">
        <f t="shared" si="108"/>
        <v>0</v>
      </c>
      <c r="CG18" s="18">
        <f t="shared" si="109"/>
        <v>0</v>
      </c>
      <c r="CH18" s="18">
        <f t="shared" si="110"/>
        <v>1.9107682793936966E-2</v>
      </c>
      <c r="CI18" s="18">
        <f t="shared" si="111"/>
        <v>4.4584593185852906E-3</v>
      </c>
      <c r="CJ18" s="18">
        <f t="shared" si="112"/>
        <v>7.0351013923131544E-3</v>
      </c>
      <c r="CK18" s="18">
        <f t="shared" si="113"/>
        <v>0</v>
      </c>
      <c r="CL18" s="18">
        <f t="shared" si="114"/>
        <v>6.8858877603132279E-2</v>
      </c>
      <c r="CM18" s="18">
        <f t="shared" si="115"/>
        <v>0</v>
      </c>
      <c r="CN18" s="49">
        <f t="shared" si="116"/>
        <v>1</v>
      </c>
      <c r="CP18" s="45">
        <f t="shared" ref="CP18:CP24" si="251">IFERROR(CP7/DF7,0)</f>
        <v>1.0126124034940556</v>
      </c>
      <c r="CQ18" s="18">
        <f t="shared" si="117"/>
        <v>1.5289446598480369E-3</v>
      </c>
      <c r="CR18" s="19">
        <f t="shared" si="118"/>
        <v>0.91889574056867007</v>
      </c>
      <c r="CS18" s="18">
        <f t="shared" si="119"/>
        <v>1.6053918928404385E-2</v>
      </c>
      <c r="CT18" s="18">
        <f t="shared" si="120"/>
        <v>0</v>
      </c>
      <c r="CU18" s="18">
        <f t="shared" si="121"/>
        <v>1.2996029608708312E-2</v>
      </c>
      <c r="CV18" s="18">
        <f t="shared" si="122"/>
        <v>0</v>
      </c>
      <c r="CW18" s="18">
        <f t="shared" si="123"/>
        <v>0</v>
      </c>
      <c r="CX18" s="18">
        <f t="shared" si="124"/>
        <v>0</v>
      </c>
      <c r="CY18" s="18">
        <f t="shared" si="125"/>
        <v>0</v>
      </c>
      <c r="CZ18" s="18">
        <f t="shared" si="126"/>
        <v>7.6447232992401838E-3</v>
      </c>
      <c r="DA18" s="18">
        <f t="shared" si="127"/>
        <v>1.5289446598480369E-3</v>
      </c>
      <c r="DB18" s="18">
        <f t="shared" si="128"/>
        <v>7.6447232992401843E-4</v>
      </c>
      <c r="DC18" s="18">
        <f t="shared" si="129"/>
        <v>0</v>
      </c>
      <c r="DD18" s="18">
        <f t="shared" si="130"/>
        <v>4.0587225945356908E-2</v>
      </c>
      <c r="DE18" s="18">
        <f t="shared" si="131"/>
        <v>0</v>
      </c>
      <c r="DF18" s="49">
        <f t="shared" si="132"/>
        <v>1</v>
      </c>
      <c r="DH18" s="45">
        <f t="shared" ref="DH18:DH24" si="252">IFERROR(DH7/DX7,0)</f>
        <v>1.0149079603314761</v>
      </c>
      <c r="DI18" s="18">
        <f t="shared" si="133"/>
        <v>1.7943045702472637E-2</v>
      </c>
      <c r="DJ18" s="19">
        <f t="shared" si="134"/>
        <v>0.91403985754948847</v>
      </c>
      <c r="DK18" s="18">
        <f t="shared" si="135"/>
        <v>1.3193415957700469E-2</v>
      </c>
      <c r="DL18" s="18">
        <f t="shared" si="136"/>
        <v>0</v>
      </c>
      <c r="DM18" s="18">
        <f t="shared" si="137"/>
        <v>2.110946553232075E-3</v>
      </c>
      <c r="DN18" s="18">
        <f t="shared" si="138"/>
        <v>0</v>
      </c>
      <c r="DO18" s="18">
        <f t="shared" si="139"/>
        <v>0</v>
      </c>
      <c r="DP18" s="18">
        <f t="shared" si="140"/>
        <v>0</v>
      </c>
      <c r="DQ18" s="18">
        <f t="shared" si="141"/>
        <v>0</v>
      </c>
      <c r="DR18" s="18">
        <f t="shared" si="142"/>
        <v>5.8051030213882061E-3</v>
      </c>
      <c r="DS18" s="18">
        <f t="shared" si="143"/>
        <v>1.0554732766160375E-3</v>
      </c>
      <c r="DT18" s="18">
        <f t="shared" si="144"/>
        <v>2.110946553232075E-3</v>
      </c>
      <c r="DU18" s="18">
        <f t="shared" si="145"/>
        <v>0</v>
      </c>
      <c r="DV18" s="18">
        <f t="shared" si="146"/>
        <v>4.3741211385869998E-2</v>
      </c>
      <c r="DW18" s="18">
        <f t="shared" si="147"/>
        <v>0</v>
      </c>
      <c r="DX18" s="49">
        <f t="shared" si="148"/>
        <v>1</v>
      </c>
      <c r="DZ18" s="45">
        <f t="shared" ref="DZ18:DZ24" si="253">IFERROR(DZ7/EP7,0)</f>
        <v>1.0103885469688367</v>
      </c>
      <c r="EA18" s="18">
        <f t="shared" si="149"/>
        <v>7.0255543581918156E-2</v>
      </c>
      <c r="EB18" s="19">
        <f t="shared" si="150"/>
        <v>0.81758166893859652</v>
      </c>
      <c r="EC18" s="18">
        <f t="shared" si="151"/>
        <v>4.2704350020381622E-2</v>
      </c>
      <c r="ED18" s="18">
        <f t="shared" si="152"/>
        <v>0</v>
      </c>
      <c r="EE18" s="18">
        <f t="shared" si="153"/>
        <v>1.3775596780768269E-2</v>
      </c>
      <c r="EF18" s="18">
        <f t="shared" si="154"/>
        <v>0</v>
      </c>
      <c r="EG18" s="18">
        <f t="shared" si="155"/>
        <v>0</v>
      </c>
      <c r="EH18" s="18">
        <f t="shared" si="156"/>
        <v>0</v>
      </c>
      <c r="EI18" s="18">
        <f t="shared" si="157"/>
        <v>0</v>
      </c>
      <c r="EJ18" s="18">
        <f t="shared" si="158"/>
        <v>7.5765782294225457E-3</v>
      </c>
      <c r="EK18" s="18">
        <f t="shared" si="159"/>
        <v>0</v>
      </c>
      <c r="EL18" s="18">
        <f t="shared" si="160"/>
        <v>0</v>
      </c>
      <c r="EM18" s="18">
        <f t="shared" si="161"/>
        <v>0</v>
      </c>
      <c r="EN18" s="18">
        <f t="shared" si="162"/>
        <v>4.8106262448912883E-2</v>
      </c>
      <c r="EO18" s="18">
        <f t="shared" si="163"/>
        <v>0</v>
      </c>
      <c r="EP18" s="49">
        <f t="shared" si="164"/>
        <v>1</v>
      </c>
      <c r="ER18" s="45">
        <f t="shared" ref="ER18:ER24" si="254">IFERROR(ER7/FH7,0)</f>
        <v>1.0121517086911516</v>
      </c>
      <c r="ES18" s="18">
        <f t="shared" si="165"/>
        <v>6.5858998265160007E-2</v>
      </c>
      <c r="ET18" s="19">
        <f t="shared" si="166"/>
        <v>0.79824279825001176</v>
      </c>
      <c r="EU18" s="18">
        <f t="shared" si="167"/>
        <v>4.9989360128976874E-2</v>
      </c>
      <c r="EV18" s="18">
        <f t="shared" si="168"/>
        <v>0</v>
      </c>
      <c r="EW18" s="18">
        <f t="shared" si="169"/>
        <v>1.0315264788519038E-2</v>
      </c>
      <c r="EX18" s="18">
        <f t="shared" si="170"/>
        <v>0</v>
      </c>
      <c r="EY18" s="18">
        <f t="shared" si="171"/>
        <v>0</v>
      </c>
      <c r="EZ18" s="18">
        <f t="shared" si="172"/>
        <v>0</v>
      </c>
      <c r="FA18" s="18">
        <f t="shared" si="173"/>
        <v>0</v>
      </c>
      <c r="FB18" s="18">
        <f t="shared" si="174"/>
        <v>1.0315264788519038E-2</v>
      </c>
      <c r="FC18" s="18">
        <f t="shared" si="175"/>
        <v>2.3804457204274704E-3</v>
      </c>
      <c r="FD18" s="18">
        <f t="shared" si="176"/>
        <v>1.5869638136183136E-3</v>
      </c>
      <c r="FE18" s="18">
        <f t="shared" si="177"/>
        <v>0</v>
      </c>
      <c r="FF18" s="18">
        <f t="shared" si="178"/>
        <v>6.1310904244767525E-2</v>
      </c>
      <c r="FG18" s="18">
        <f t="shared" si="179"/>
        <v>0</v>
      </c>
      <c r="FH18" s="49">
        <f t="shared" si="180"/>
        <v>1</v>
      </c>
      <c r="FJ18" s="45">
        <f t="shared" ref="FJ18:FJ24" si="255">IFERROR(FJ7/FZ7,0)</f>
        <v>1.0142508641683512</v>
      </c>
      <c r="FK18" s="18">
        <f t="shared" si="181"/>
        <v>0</v>
      </c>
      <c r="FL18" s="19">
        <f t="shared" si="182"/>
        <v>0.89371256853203229</v>
      </c>
      <c r="FM18" s="18">
        <f t="shared" si="183"/>
        <v>4.2944629916474283E-2</v>
      </c>
      <c r="FN18" s="18">
        <f t="shared" si="184"/>
        <v>0</v>
      </c>
      <c r="FO18" s="18">
        <f t="shared" si="185"/>
        <v>1.3927988081018685E-2</v>
      </c>
      <c r="FP18" s="18">
        <f t="shared" si="186"/>
        <v>0</v>
      </c>
      <c r="FQ18" s="18">
        <f t="shared" si="187"/>
        <v>0</v>
      </c>
      <c r="FR18" s="18">
        <f t="shared" si="188"/>
        <v>0</v>
      </c>
      <c r="FS18" s="18">
        <f t="shared" si="189"/>
        <v>0</v>
      </c>
      <c r="FT18" s="18">
        <f t="shared" si="190"/>
        <v>9.2853253873457896E-3</v>
      </c>
      <c r="FU18" s="18">
        <f t="shared" si="191"/>
        <v>0</v>
      </c>
      <c r="FV18" s="18">
        <f t="shared" si="192"/>
        <v>0</v>
      </c>
      <c r="FW18" s="18">
        <f t="shared" si="193"/>
        <v>0</v>
      </c>
      <c r="FX18" s="18">
        <f t="shared" si="194"/>
        <v>4.0129488083128988E-2</v>
      </c>
      <c r="FY18" s="18">
        <f t="shared" si="195"/>
        <v>0</v>
      </c>
      <c r="FZ18" s="49">
        <f t="shared" si="196"/>
        <v>1</v>
      </c>
      <c r="GB18" s="45">
        <f t="shared" ref="GB18:GB24" si="256">IFERROR(GB7/GR7,0)</f>
        <v>1.0052622206779736</v>
      </c>
      <c r="GC18" s="18">
        <f t="shared" si="197"/>
        <v>2.8383678255771025E-2</v>
      </c>
      <c r="GD18" s="19">
        <f t="shared" si="198"/>
        <v>0.84084344936915023</v>
      </c>
      <c r="GE18" s="18">
        <f t="shared" si="199"/>
        <v>1.9110078394753417E-2</v>
      </c>
      <c r="GF18" s="18">
        <f t="shared" si="200"/>
        <v>0</v>
      </c>
      <c r="GG18" s="18">
        <f t="shared" si="201"/>
        <v>2.4003127103737323E-2</v>
      </c>
      <c r="GH18" s="18">
        <f t="shared" si="202"/>
        <v>0</v>
      </c>
      <c r="GI18" s="18">
        <f t="shared" si="203"/>
        <v>0</v>
      </c>
      <c r="GJ18" s="18">
        <f t="shared" si="204"/>
        <v>0</v>
      </c>
      <c r="GK18" s="18">
        <f t="shared" si="205"/>
        <v>0</v>
      </c>
      <c r="GL18" s="18">
        <f t="shared" si="206"/>
        <v>2.1021086234228756E-2</v>
      </c>
      <c r="GM18" s="18">
        <f t="shared" si="207"/>
        <v>0</v>
      </c>
      <c r="GN18" s="18">
        <f t="shared" si="208"/>
        <v>0</v>
      </c>
      <c r="GO18" s="18">
        <f t="shared" si="209"/>
        <v>0</v>
      </c>
      <c r="GP18" s="18">
        <f t="shared" si="210"/>
        <v>6.6638580642359224E-2</v>
      </c>
      <c r="GQ18" s="18">
        <f t="shared" si="211"/>
        <v>0</v>
      </c>
      <c r="GR18" s="49">
        <f t="shared" si="212"/>
        <v>1</v>
      </c>
      <c r="GT18" s="45">
        <f t="shared" ref="GT18:GT24" si="257">IFERROR(GT7/HJ7,0)</f>
        <v>1.0032614067788739</v>
      </c>
      <c r="GU18" s="18">
        <f t="shared" si="213"/>
        <v>9.1499616325472436E-3</v>
      </c>
      <c r="GV18" s="19">
        <f t="shared" si="214"/>
        <v>0.83944035507396564</v>
      </c>
      <c r="GW18" s="18">
        <f t="shared" si="215"/>
        <v>5.7187260203420277E-2</v>
      </c>
      <c r="GX18" s="18">
        <f t="shared" si="216"/>
        <v>0</v>
      </c>
      <c r="GY18" s="18">
        <f t="shared" si="217"/>
        <v>2.8974878503066272E-2</v>
      </c>
      <c r="GZ18" s="18">
        <f t="shared" si="218"/>
        <v>0</v>
      </c>
      <c r="HA18" s="18">
        <f t="shared" si="219"/>
        <v>0</v>
      </c>
      <c r="HB18" s="18">
        <f t="shared" si="220"/>
        <v>0</v>
      </c>
      <c r="HC18" s="18">
        <f t="shared" si="221"/>
        <v>0</v>
      </c>
      <c r="HD18" s="18">
        <f t="shared" si="222"/>
        <v>0</v>
      </c>
      <c r="HE18" s="18">
        <f t="shared" si="223"/>
        <v>0</v>
      </c>
      <c r="HF18" s="18">
        <f t="shared" si="224"/>
        <v>0</v>
      </c>
      <c r="HG18" s="18">
        <f t="shared" si="225"/>
        <v>0</v>
      </c>
      <c r="HH18" s="18">
        <f t="shared" si="226"/>
        <v>6.5247544587000522E-2</v>
      </c>
      <c r="HI18" s="18">
        <f t="shared" si="227"/>
        <v>0</v>
      </c>
      <c r="HJ18" s="49">
        <f t="shared" si="228"/>
        <v>1</v>
      </c>
      <c r="HL18" s="45">
        <f t="shared" ref="HL18:HL24" si="258">IFERROR(HL7/IB7,0)</f>
        <v>1.0067604150626619</v>
      </c>
      <c r="HM18" s="18">
        <f t="shared" si="229"/>
        <v>0</v>
      </c>
      <c r="HN18" s="19">
        <f t="shared" si="230"/>
        <v>0.79773891187617663</v>
      </c>
      <c r="HO18" s="18">
        <f t="shared" si="231"/>
        <v>0.10927930299673652</v>
      </c>
      <c r="HP18" s="18">
        <f t="shared" si="232"/>
        <v>0</v>
      </c>
      <c r="HQ18" s="18">
        <f t="shared" si="233"/>
        <v>0</v>
      </c>
      <c r="HR18" s="18">
        <f t="shared" si="234"/>
        <v>0</v>
      </c>
      <c r="HS18" s="18">
        <f t="shared" si="235"/>
        <v>0</v>
      </c>
      <c r="HT18" s="18">
        <f t="shared" si="236"/>
        <v>0</v>
      </c>
      <c r="HU18" s="18">
        <f t="shared" si="237"/>
        <v>1.6391895449510478E-2</v>
      </c>
      <c r="HV18" s="18">
        <f t="shared" si="238"/>
        <v>0</v>
      </c>
      <c r="HW18" s="18">
        <f t="shared" si="239"/>
        <v>0</v>
      </c>
      <c r="HX18" s="18">
        <f t="shared" si="240"/>
        <v>0</v>
      </c>
      <c r="HY18" s="18">
        <f t="shared" si="241"/>
        <v>0</v>
      </c>
      <c r="HZ18" s="18">
        <f t="shared" si="242"/>
        <v>7.6589889677576378E-2</v>
      </c>
      <c r="IA18" s="18">
        <f t="shared" si="243"/>
        <v>0</v>
      </c>
      <c r="IB18" s="49">
        <f t="shared" si="244"/>
        <v>1</v>
      </c>
    </row>
    <row r="19" spans="2:236" s="11" customFormat="1" x14ac:dyDescent="0.35">
      <c r="B19" s="17" t="s">
        <v>70</v>
      </c>
      <c r="C19" s="17"/>
      <c r="D19" s="45">
        <f t="shared" si="245"/>
        <v>1.00819587927539</v>
      </c>
      <c r="E19" s="18">
        <f t="shared" si="246"/>
        <v>1.009031628968106E-3</v>
      </c>
      <c r="F19" s="18">
        <f t="shared" si="38"/>
        <v>6.5667016879939463E-2</v>
      </c>
      <c r="G19" s="19">
        <f t="shared" si="39"/>
        <v>0.83654322772761891</v>
      </c>
      <c r="H19" s="18">
        <f t="shared" si="40"/>
        <v>1.549969504515632E-2</v>
      </c>
      <c r="I19" s="18">
        <f t="shared" si="41"/>
        <v>3.0733883234323186E-2</v>
      </c>
      <c r="J19" s="18">
        <f t="shared" si="42"/>
        <v>0</v>
      </c>
      <c r="K19" s="18">
        <f t="shared" si="43"/>
        <v>0</v>
      </c>
      <c r="L19" s="18">
        <f t="shared" si="44"/>
        <v>0</v>
      </c>
      <c r="M19" s="18">
        <f t="shared" si="45"/>
        <v>3.8076665244079468E-5</v>
      </c>
      <c r="N19" s="18">
        <f t="shared" si="46"/>
        <v>1.9038332622039737E-4</v>
      </c>
      <c r="O19" s="18">
        <f t="shared" si="47"/>
        <v>9.4049363152876302E-3</v>
      </c>
      <c r="P19" s="18">
        <f t="shared" si="48"/>
        <v>2.7029629471203138E-3</v>
      </c>
      <c r="Q19" s="18">
        <f t="shared" si="49"/>
        <v>0</v>
      </c>
      <c r="R19" s="18">
        <f t="shared" si="50"/>
        <v>3.8210786230121592E-2</v>
      </c>
      <c r="S19" s="18">
        <f t="shared" si="51"/>
        <v>0</v>
      </c>
      <c r="T19" s="49">
        <f t="shared" si="52"/>
        <v>1</v>
      </c>
      <c r="V19" s="45">
        <f t="shared" si="247"/>
        <v>1.0075696884422991</v>
      </c>
      <c r="W19" s="18">
        <f t="shared" si="53"/>
        <v>1.5041402657289403E-4</v>
      </c>
      <c r="X19" s="18">
        <f t="shared" si="54"/>
        <v>6.8438382090666786E-2</v>
      </c>
      <c r="Y19" s="19">
        <f t="shared" si="55"/>
        <v>0.86975652857553709</v>
      </c>
      <c r="Z19" s="18">
        <f t="shared" si="56"/>
        <v>2.2472402530086998E-2</v>
      </c>
      <c r="AA19" s="18">
        <f t="shared" si="57"/>
        <v>6.1385331644639623E-3</v>
      </c>
      <c r="AB19" s="18">
        <f t="shared" si="58"/>
        <v>0</v>
      </c>
      <c r="AC19" s="18">
        <f t="shared" si="59"/>
        <v>0</v>
      </c>
      <c r="AD19" s="18">
        <f t="shared" si="60"/>
        <v>0</v>
      </c>
      <c r="AE19" s="18">
        <f t="shared" si="61"/>
        <v>0</v>
      </c>
      <c r="AF19" s="18">
        <f t="shared" si="62"/>
        <v>7.5207013286447016E-4</v>
      </c>
      <c r="AG19" s="18">
        <f t="shared" si="63"/>
        <v>2.5570384517391983E-3</v>
      </c>
      <c r="AH19" s="18">
        <f t="shared" si="64"/>
        <v>2.4028298894959426E-3</v>
      </c>
      <c r="AI19" s="18">
        <f t="shared" si="65"/>
        <v>0</v>
      </c>
      <c r="AJ19" s="18">
        <f t="shared" si="66"/>
        <v>2.7331801138572653E-2</v>
      </c>
      <c r="AK19" s="18">
        <f t="shared" si="67"/>
        <v>0</v>
      </c>
      <c r="AL19" s="49">
        <f t="shared" si="68"/>
        <v>1</v>
      </c>
      <c r="AN19" s="45">
        <f t="shared" si="248"/>
        <v>1.0068952196700856</v>
      </c>
      <c r="AO19" s="18">
        <f t="shared" si="69"/>
        <v>0</v>
      </c>
      <c r="AP19" s="18">
        <f t="shared" si="70"/>
        <v>6.0135619149512466E-2</v>
      </c>
      <c r="AQ19" s="19">
        <f t="shared" si="71"/>
        <v>0.84815213995379357</v>
      </c>
      <c r="AR19" s="18">
        <f t="shared" si="72"/>
        <v>3.404371827885623E-2</v>
      </c>
      <c r="AS19" s="18">
        <f t="shared" si="73"/>
        <v>4.9542985107736961E-3</v>
      </c>
      <c r="AT19" s="18">
        <f t="shared" si="74"/>
        <v>0</v>
      </c>
      <c r="AU19" s="18">
        <f t="shared" si="75"/>
        <v>0</v>
      </c>
      <c r="AV19" s="18">
        <f t="shared" si="76"/>
        <v>0</v>
      </c>
      <c r="AW19" s="18">
        <f t="shared" si="77"/>
        <v>0</v>
      </c>
      <c r="AX19" s="18">
        <f t="shared" si="78"/>
        <v>2.4849429400624988E-4</v>
      </c>
      <c r="AY19" s="18">
        <f t="shared" si="79"/>
        <v>1.1679231818293744E-2</v>
      </c>
      <c r="AZ19" s="18">
        <f t="shared" si="80"/>
        <v>1.9879543520499991E-3</v>
      </c>
      <c r="BA19" s="18">
        <f t="shared" si="81"/>
        <v>0</v>
      </c>
      <c r="BB19" s="18">
        <f t="shared" si="82"/>
        <v>3.8798543642713998E-2</v>
      </c>
      <c r="BC19" s="18">
        <f t="shared" si="83"/>
        <v>0</v>
      </c>
      <c r="BD19" s="49">
        <f t="shared" si="84"/>
        <v>1</v>
      </c>
      <c r="BF19" s="45">
        <f t="shared" si="249"/>
        <v>1.0068689701366571</v>
      </c>
      <c r="BG19" s="18">
        <f t="shared" si="85"/>
        <v>0</v>
      </c>
      <c r="BH19" s="18">
        <f t="shared" si="86"/>
        <v>6.0714464595106918E-2</v>
      </c>
      <c r="BI19" s="19">
        <f t="shared" si="87"/>
        <v>0.87438908639744317</v>
      </c>
      <c r="BJ19" s="18">
        <f t="shared" si="88"/>
        <v>1.4801720488197624E-2</v>
      </c>
      <c r="BK19" s="18">
        <f t="shared" si="89"/>
        <v>7.8120191465487444E-3</v>
      </c>
      <c r="BL19" s="18">
        <f t="shared" si="90"/>
        <v>0</v>
      </c>
      <c r="BM19" s="18">
        <f t="shared" si="91"/>
        <v>0</v>
      </c>
      <c r="BN19" s="18">
        <f t="shared" si="92"/>
        <v>0</v>
      </c>
      <c r="BO19" s="18">
        <f t="shared" si="93"/>
        <v>0</v>
      </c>
      <c r="BP19" s="18">
        <f t="shared" si="94"/>
        <v>4.1115890244993396E-4</v>
      </c>
      <c r="BQ19" s="18">
        <f t="shared" si="95"/>
        <v>1.9187415447663586E-3</v>
      </c>
      <c r="BR19" s="18">
        <f t="shared" si="96"/>
        <v>8.2231780489986793E-4</v>
      </c>
      <c r="BS19" s="18">
        <f t="shared" si="97"/>
        <v>0</v>
      </c>
      <c r="BT19" s="18">
        <f t="shared" si="98"/>
        <v>3.9130491120587425E-2</v>
      </c>
      <c r="BU19" s="18">
        <f t="shared" si="99"/>
        <v>0</v>
      </c>
      <c r="BV19" s="49">
        <f t="shared" si="100"/>
        <v>1</v>
      </c>
      <c r="BX19" s="45">
        <f t="shared" si="250"/>
        <v>1.0085616018638643</v>
      </c>
      <c r="BY19" s="18">
        <f t="shared" si="101"/>
        <v>5.1065631406415572E-4</v>
      </c>
      <c r="BZ19" s="18">
        <f t="shared" si="102"/>
        <v>6.1619349974745732E-2</v>
      </c>
      <c r="CA19" s="19">
        <f t="shared" si="103"/>
        <v>0.87509470353460828</v>
      </c>
      <c r="CB19" s="18">
        <f t="shared" si="104"/>
        <v>7.3194071682528986E-3</v>
      </c>
      <c r="CC19" s="18">
        <f t="shared" si="105"/>
        <v>1.0723782595347269E-2</v>
      </c>
      <c r="CD19" s="18">
        <f t="shared" si="106"/>
        <v>0</v>
      </c>
      <c r="CE19" s="18">
        <f t="shared" si="107"/>
        <v>0</v>
      </c>
      <c r="CF19" s="18">
        <f t="shared" si="108"/>
        <v>0</v>
      </c>
      <c r="CG19" s="18">
        <f t="shared" si="109"/>
        <v>0</v>
      </c>
      <c r="CH19" s="18">
        <f t="shared" si="110"/>
        <v>0</v>
      </c>
      <c r="CI19" s="18">
        <f t="shared" si="111"/>
        <v>2.7235003416754971E-3</v>
      </c>
      <c r="CJ19" s="18">
        <f t="shared" si="112"/>
        <v>1.7021877135471857E-3</v>
      </c>
      <c r="CK19" s="18">
        <f t="shared" si="113"/>
        <v>0</v>
      </c>
      <c r="CL19" s="18">
        <f t="shared" si="114"/>
        <v>4.030641235775901E-2</v>
      </c>
      <c r="CM19" s="18">
        <f t="shared" si="115"/>
        <v>0</v>
      </c>
      <c r="CN19" s="49">
        <f t="shared" si="116"/>
        <v>1</v>
      </c>
      <c r="CP19" s="45">
        <f t="shared" si="251"/>
        <v>1.0076658437417796</v>
      </c>
      <c r="CQ19" s="18">
        <f t="shared" si="117"/>
        <v>0</v>
      </c>
      <c r="CR19" s="18">
        <f t="shared" si="118"/>
        <v>9.7094272958150332E-2</v>
      </c>
      <c r="CS19" s="19">
        <f t="shared" si="119"/>
        <v>0.77711851489581485</v>
      </c>
      <c r="CT19" s="18">
        <f t="shared" si="120"/>
        <v>3.9529938521423308E-2</v>
      </c>
      <c r="CU19" s="18">
        <f t="shared" si="121"/>
        <v>4.7363059979585516E-2</v>
      </c>
      <c r="CV19" s="18">
        <f t="shared" si="122"/>
        <v>0</v>
      </c>
      <c r="CW19" s="18">
        <f t="shared" si="123"/>
        <v>0</v>
      </c>
      <c r="CX19" s="18">
        <f t="shared" si="124"/>
        <v>0</v>
      </c>
      <c r="CY19" s="18">
        <f t="shared" si="125"/>
        <v>0</v>
      </c>
      <c r="CZ19" s="18">
        <f t="shared" si="126"/>
        <v>0</v>
      </c>
      <c r="DA19" s="18">
        <f t="shared" si="127"/>
        <v>3.0968154602036692E-3</v>
      </c>
      <c r="DB19" s="18">
        <f t="shared" si="128"/>
        <v>1.0929936918365889E-3</v>
      </c>
      <c r="DC19" s="18">
        <f t="shared" si="129"/>
        <v>0</v>
      </c>
      <c r="DD19" s="18">
        <f t="shared" si="130"/>
        <v>3.4704404492985723E-2</v>
      </c>
      <c r="DE19" s="18">
        <f t="shared" si="131"/>
        <v>0</v>
      </c>
      <c r="DF19" s="49">
        <f t="shared" si="132"/>
        <v>1</v>
      </c>
      <c r="DH19" s="45">
        <f t="shared" si="252"/>
        <v>1.0077588575730096</v>
      </c>
      <c r="DI19" s="18">
        <f t="shared" si="133"/>
        <v>2.9723006439228154E-3</v>
      </c>
      <c r="DJ19" s="18">
        <f t="shared" si="134"/>
        <v>0.10066191514085265</v>
      </c>
      <c r="DK19" s="19">
        <f t="shared" si="135"/>
        <v>0.76130527159676342</v>
      </c>
      <c r="DL19" s="18">
        <f t="shared" si="136"/>
        <v>1.9022724121106015E-2</v>
      </c>
      <c r="DM19" s="18">
        <f t="shared" si="137"/>
        <v>7.0380476459432947E-2</v>
      </c>
      <c r="DN19" s="18">
        <f t="shared" si="138"/>
        <v>0</v>
      </c>
      <c r="DO19" s="18">
        <f t="shared" si="139"/>
        <v>0</v>
      </c>
      <c r="DP19" s="18">
        <f t="shared" si="140"/>
        <v>0</v>
      </c>
      <c r="DQ19" s="18">
        <f t="shared" si="141"/>
        <v>3.9630675252304184E-4</v>
      </c>
      <c r="DR19" s="18">
        <f t="shared" si="142"/>
        <v>0</v>
      </c>
      <c r="DS19" s="18">
        <f t="shared" si="143"/>
        <v>4.9538344065380253E-3</v>
      </c>
      <c r="DT19" s="18">
        <f t="shared" si="144"/>
        <v>1.3870736338306472E-3</v>
      </c>
      <c r="DU19" s="18">
        <f t="shared" si="145"/>
        <v>0</v>
      </c>
      <c r="DV19" s="18">
        <f t="shared" si="146"/>
        <v>3.8920097245030386E-2</v>
      </c>
      <c r="DW19" s="18">
        <f t="shared" si="147"/>
        <v>0</v>
      </c>
      <c r="DX19" s="49">
        <f t="shared" si="148"/>
        <v>1</v>
      </c>
      <c r="DZ19" s="45">
        <f t="shared" si="253"/>
        <v>1.0132517535360355</v>
      </c>
      <c r="EA19" s="18">
        <f t="shared" si="149"/>
        <v>4.409646542776979E-4</v>
      </c>
      <c r="EB19" s="18">
        <f t="shared" si="150"/>
        <v>3.1308490453716559E-2</v>
      </c>
      <c r="EC19" s="19">
        <f t="shared" si="151"/>
        <v>0.85198379976035576</v>
      </c>
      <c r="ED19" s="18">
        <f t="shared" si="152"/>
        <v>1.3228939628330938E-3</v>
      </c>
      <c r="EE19" s="18">
        <f t="shared" si="153"/>
        <v>1.884121704641073E-2</v>
      </c>
      <c r="EF19" s="18">
        <f t="shared" si="154"/>
        <v>0</v>
      </c>
      <c r="EG19" s="18">
        <f t="shared" si="155"/>
        <v>0</v>
      </c>
      <c r="EH19" s="18">
        <f t="shared" si="156"/>
        <v>0</v>
      </c>
      <c r="EI19" s="18">
        <f t="shared" si="157"/>
        <v>0</v>
      </c>
      <c r="EJ19" s="18">
        <f t="shared" si="158"/>
        <v>0</v>
      </c>
      <c r="EK19" s="18">
        <f t="shared" si="159"/>
        <v>4.541935939060289E-2</v>
      </c>
      <c r="EL19" s="18">
        <f t="shared" si="160"/>
        <v>3.968681888499281E-3</v>
      </c>
      <c r="EM19" s="18">
        <f t="shared" si="161"/>
        <v>0</v>
      </c>
      <c r="EN19" s="18">
        <f t="shared" si="162"/>
        <v>4.6714592843304009E-2</v>
      </c>
      <c r="EO19" s="18">
        <f t="shared" si="163"/>
        <v>0</v>
      </c>
      <c r="EP19" s="49">
        <f t="shared" si="164"/>
        <v>1</v>
      </c>
      <c r="ER19" s="45">
        <f t="shared" si="254"/>
        <v>1.0115450113644955</v>
      </c>
      <c r="ES19" s="18">
        <f t="shared" si="165"/>
        <v>6.4379663685699485E-4</v>
      </c>
      <c r="ET19" s="18">
        <f t="shared" si="166"/>
        <v>6.2834259122407768E-2</v>
      </c>
      <c r="EU19" s="19">
        <f t="shared" si="167"/>
        <v>0.83004583336038373</v>
      </c>
      <c r="EV19" s="18">
        <f t="shared" si="168"/>
        <v>6.4379663685699485E-4</v>
      </c>
      <c r="EW19" s="18">
        <f t="shared" si="169"/>
        <v>2.5825316817848481E-2</v>
      </c>
      <c r="EX19" s="18">
        <f t="shared" si="170"/>
        <v>0</v>
      </c>
      <c r="EY19" s="18">
        <f t="shared" si="171"/>
        <v>0</v>
      </c>
      <c r="EZ19" s="18">
        <f t="shared" si="172"/>
        <v>0</v>
      </c>
      <c r="FA19" s="18">
        <f t="shared" si="173"/>
        <v>0</v>
      </c>
      <c r="FB19" s="18">
        <f t="shared" si="174"/>
        <v>0</v>
      </c>
      <c r="FC19" s="18">
        <f t="shared" si="175"/>
        <v>2.7683255384850784E-2</v>
      </c>
      <c r="FD19" s="18">
        <f t="shared" si="176"/>
        <v>4.5065764579989643E-3</v>
      </c>
      <c r="FE19" s="18">
        <f t="shared" si="177"/>
        <v>0</v>
      </c>
      <c r="FF19" s="18">
        <f t="shared" si="178"/>
        <v>4.7817165582796251E-2</v>
      </c>
      <c r="FG19" s="18">
        <f t="shared" si="179"/>
        <v>0</v>
      </c>
      <c r="FH19" s="49">
        <f t="shared" si="180"/>
        <v>1</v>
      </c>
      <c r="FJ19" s="45">
        <f t="shared" si="255"/>
        <v>1.0086912743935783</v>
      </c>
      <c r="FK19" s="18">
        <f t="shared" si="181"/>
        <v>3.0252521463629213E-3</v>
      </c>
      <c r="FL19" s="18">
        <f t="shared" si="182"/>
        <v>4.8740173469180394E-2</v>
      </c>
      <c r="FM19" s="19">
        <f t="shared" si="183"/>
        <v>0.86791153245980956</v>
      </c>
      <c r="FN19" s="18">
        <f t="shared" si="184"/>
        <v>1.2528822020290886E-3</v>
      </c>
      <c r="FO19" s="18">
        <f t="shared" si="185"/>
        <v>2.9345709772282548E-2</v>
      </c>
      <c r="FP19" s="18">
        <f t="shared" si="186"/>
        <v>0</v>
      </c>
      <c r="FQ19" s="18">
        <f t="shared" si="187"/>
        <v>0</v>
      </c>
      <c r="FR19" s="18">
        <f t="shared" si="188"/>
        <v>0</v>
      </c>
      <c r="FS19" s="18">
        <f t="shared" si="189"/>
        <v>0</v>
      </c>
      <c r="FT19" s="18">
        <f t="shared" si="190"/>
        <v>3.361391273736579E-4</v>
      </c>
      <c r="FU19" s="18">
        <f t="shared" si="191"/>
        <v>7.3950608022204743E-3</v>
      </c>
      <c r="FV19" s="18">
        <f t="shared" si="192"/>
        <v>2.3529738916156055E-3</v>
      </c>
      <c r="FW19" s="18">
        <f t="shared" si="193"/>
        <v>0</v>
      </c>
      <c r="FX19" s="18">
        <f t="shared" si="194"/>
        <v>3.9640276129125705E-2</v>
      </c>
      <c r="FY19" s="18">
        <f t="shared" si="195"/>
        <v>0</v>
      </c>
      <c r="FZ19" s="49">
        <f t="shared" si="196"/>
        <v>1</v>
      </c>
      <c r="GB19" s="45">
        <f t="shared" si="256"/>
        <v>1.0090828103978722</v>
      </c>
      <c r="GC19" s="18">
        <f t="shared" si="197"/>
        <v>2.5250317246237968E-3</v>
      </c>
      <c r="GD19" s="18">
        <f t="shared" si="198"/>
        <v>2.9611735679679074E-2</v>
      </c>
      <c r="GE19" s="19">
        <f t="shared" si="199"/>
        <v>0.77856744724927007</v>
      </c>
      <c r="GF19" s="18">
        <f t="shared" si="200"/>
        <v>1.101832025290384E-2</v>
      </c>
      <c r="GG19" s="18">
        <f t="shared" si="201"/>
        <v>0.12604415800521662</v>
      </c>
      <c r="GH19" s="18">
        <f t="shared" si="202"/>
        <v>0</v>
      </c>
      <c r="GI19" s="18">
        <f t="shared" si="203"/>
        <v>0</v>
      </c>
      <c r="GJ19" s="18">
        <f t="shared" si="204"/>
        <v>0</v>
      </c>
      <c r="GK19" s="18">
        <f t="shared" si="205"/>
        <v>0</v>
      </c>
      <c r="GL19" s="18">
        <f t="shared" si="206"/>
        <v>0</v>
      </c>
      <c r="GM19" s="18">
        <f t="shared" si="207"/>
        <v>5.7387084650540841E-3</v>
      </c>
      <c r="GN19" s="18">
        <f t="shared" si="208"/>
        <v>6.8864501580649003E-3</v>
      </c>
      <c r="GO19" s="18">
        <f t="shared" si="209"/>
        <v>0</v>
      </c>
      <c r="GP19" s="18">
        <f t="shared" si="210"/>
        <v>3.9608148465187648E-2</v>
      </c>
      <c r="GQ19" s="18">
        <f t="shared" si="211"/>
        <v>0</v>
      </c>
      <c r="GR19" s="49">
        <f t="shared" si="212"/>
        <v>1</v>
      </c>
      <c r="GT19" s="45">
        <f t="shared" si="257"/>
        <v>1.0049721169845183</v>
      </c>
      <c r="GU19" s="18">
        <f t="shared" si="213"/>
        <v>0</v>
      </c>
      <c r="GV19" s="18">
        <f t="shared" si="214"/>
        <v>0.10310841672964265</v>
      </c>
      <c r="GW19" s="19">
        <f t="shared" si="215"/>
        <v>0.80424565049121266</v>
      </c>
      <c r="GX19" s="18">
        <f t="shared" si="216"/>
        <v>2.2912981495476145E-3</v>
      </c>
      <c r="GY19" s="18">
        <f t="shared" si="217"/>
        <v>1.2845850625691034E-2</v>
      </c>
      <c r="GZ19" s="18">
        <f t="shared" si="218"/>
        <v>0</v>
      </c>
      <c r="HA19" s="18">
        <f t="shared" si="219"/>
        <v>0</v>
      </c>
      <c r="HB19" s="18">
        <f t="shared" si="220"/>
        <v>0</v>
      </c>
      <c r="HC19" s="18">
        <f t="shared" si="221"/>
        <v>0</v>
      </c>
      <c r="HD19" s="18">
        <f t="shared" si="222"/>
        <v>0</v>
      </c>
      <c r="HE19" s="18">
        <f t="shared" si="223"/>
        <v>3.3911212613304695E-2</v>
      </c>
      <c r="HF19" s="18">
        <f t="shared" si="224"/>
        <v>4.582596299095229E-3</v>
      </c>
      <c r="HG19" s="18">
        <f t="shared" si="225"/>
        <v>0</v>
      </c>
      <c r="HH19" s="18">
        <f t="shared" si="226"/>
        <v>3.9014975091506116E-2</v>
      </c>
      <c r="HI19" s="18">
        <f t="shared" si="227"/>
        <v>0</v>
      </c>
      <c r="HJ19" s="49">
        <f t="shared" si="228"/>
        <v>1</v>
      </c>
      <c r="HL19" s="45">
        <f t="shared" si="258"/>
        <v>1.0087707842738383</v>
      </c>
      <c r="HM19" s="18">
        <f t="shared" si="229"/>
        <v>3.3764373228591226E-3</v>
      </c>
      <c r="HN19" s="18">
        <f t="shared" si="230"/>
        <v>4.3279787502103297E-2</v>
      </c>
      <c r="HO19" s="19">
        <f t="shared" si="231"/>
        <v>0.88278488550389422</v>
      </c>
      <c r="HP19" s="18">
        <f t="shared" si="232"/>
        <v>6.13897695065295E-4</v>
      </c>
      <c r="HQ19" s="18">
        <f t="shared" si="233"/>
        <v>9.5154142735120722E-3</v>
      </c>
      <c r="HR19" s="18">
        <f t="shared" si="234"/>
        <v>0</v>
      </c>
      <c r="HS19" s="18">
        <f t="shared" si="235"/>
        <v>0</v>
      </c>
      <c r="HT19" s="18">
        <f t="shared" si="236"/>
        <v>0</v>
      </c>
      <c r="HU19" s="18">
        <f t="shared" si="237"/>
        <v>0</v>
      </c>
      <c r="HV19" s="18">
        <f t="shared" si="238"/>
        <v>0</v>
      </c>
      <c r="HW19" s="18">
        <f t="shared" si="239"/>
        <v>1.473354468156708E-2</v>
      </c>
      <c r="HX19" s="18">
        <f t="shared" si="240"/>
        <v>5.8320281031203026E-3</v>
      </c>
      <c r="HY19" s="18">
        <f t="shared" si="241"/>
        <v>0</v>
      </c>
      <c r="HZ19" s="18">
        <f t="shared" si="242"/>
        <v>3.9864004917878629E-2</v>
      </c>
      <c r="IA19" s="18">
        <f t="shared" si="243"/>
        <v>0</v>
      </c>
      <c r="IB19" s="49">
        <f t="shared" si="244"/>
        <v>1</v>
      </c>
    </row>
    <row r="20" spans="2:236" s="11" customFormat="1" x14ac:dyDescent="0.35">
      <c r="B20" s="17" t="s">
        <v>71</v>
      </c>
      <c r="C20" s="17"/>
      <c r="D20" s="45">
        <f t="shared" si="245"/>
        <v>1.0118866954268755</v>
      </c>
      <c r="E20" s="18">
        <f t="shared" si="246"/>
        <v>0</v>
      </c>
      <c r="F20" s="18">
        <f t="shared" si="38"/>
        <v>0</v>
      </c>
      <c r="G20" s="18">
        <f t="shared" si="39"/>
        <v>0</v>
      </c>
      <c r="H20" s="18">
        <f t="shared" si="40"/>
        <v>6.581283487888793E-4</v>
      </c>
      <c r="I20" s="19">
        <f t="shared" si="41"/>
        <v>0.92374027503183698</v>
      </c>
      <c r="J20" s="18">
        <f t="shared" si="42"/>
        <v>0</v>
      </c>
      <c r="K20" s="18">
        <f t="shared" si="43"/>
        <v>2.0922498506497373E-3</v>
      </c>
      <c r="L20" s="18">
        <f t="shared" si="44"/>
        <v>0</v>
      </c>
      <c r="M20" s="18">
        <f t="shared" si="45"/>
        <v>0</v>
      </c>
      <c r="N20" s="18">
        <f t="shared" si="46"/>
        <v>0</v>
      </c>
      <c r="O20" s="18">
        <f t="shared" si="47"/>
        <v>0</v>
      </c>
      <c r="P20" s="18">
        <f t="shared" si="48"/>
        <v>2.2376363858821895E-2</v>
      </c>
      <c r="Q20" s="18">
        <f t="shared" si="49"/>
        <v>0</v>
      </c>
      <c r="R20" s="18">
        <f t="shared" si="50"/>
        <v>5.1132982909902529E-2</v>
      </c>
      <c r="S20" s="18">
        <f t="shared" si="51"/>
        <v>0</v>
      </c>
      <c r="T20" s="49">
        <f t="shared" si="52"/>
        <v>1</v>
      </c>
      <c r="V20" s="45">
        <f t="shared" si="247"/>
        <v>1.0155865649192879</v>
      </c>
      <c r="W20" s="18">
        <f t="shared" si="53"/>
        <v>0</v>
      </c>
      <c r="X20" s="18">
        <f t="shared" si="54"/>
        <v>0</v>
      </c>
      <c r="Y20" s="18">
        <f t="shared" si="55"/>
        <v>0</v>
      </c>
      <c r="Z20" s="18">
        <f t="shared" si="56"/>
        <v>0</v>
      </c>
      <c r="AA20" s="19">
        <f t="shared" si="57"/>
        <v>0.94762139511954646</v>
      </c>
      <c r="AB20" s="18">
        <f t="shared" si="58"/>
        <v>0</v>
      </c>
      <c r="AC20" s="18">
        <f t="shared" si="59"/>
        <v>1.0387689707384063E-2</v>
      </c>
      <c r="AD20" s="18">
        <f t="shared" si="60"/>
        <v>0</v>
      </c>
      <c r="AE20" s="18">
        <f t="shared" si="61"/>
        <v>0</v>
      </c>
      <c r="AF20" s="18">
        <f t="shared" si="62"/>
        <v>0</v>
      </c>
      <c r="AG20" s="18">
        <f t="shared" si="63"/>
        <v>0</v>
      </c>
      <c r="AH20" s="18">
        <f t="shared" si="64"/>
        <v>5.5333940329890894E-3</v>
      </c>
      <c r="AI20" s="18">
        <f t="shared" si="65"/>
        <v>0</v>
      </c>
      <c r="AJ20" s="18">
        <f t="shared" si="66"/>
        <v>3.6457521140080384E-2</v>
      </c>
      <c r="AK20" s="18">
        <f t="shared" si="67"/>
        <v>0</v>
      </c>
      <c r="AL20" s="49">
        <f t="shared" si="68"/>
        <v>1</v>
      </c>
      <c r="AN20" s="45">
        <f t="shared" si="248"/>
        <v>1.0039840637450197</v>
      </c>
      <c r="AO20" s="18">
        <f t="shared" si="69"/>
        <v>0</v>
      </c>
      <c r="AP20" s="18">
        <f t="shared" si="70"/>
        <v>0</v>
      </c>
      <c r="AQ20" s="18">
        <f t="shared" si="71"/>
        <v>0</v>
      </c>
      <c r="AR20" s="18">
        <f t="shared" si="72"/>
        <v>0</v>
      </c>
      <c r="AS20" s="19">
        <f t="shared" si="73"/>
        <v>0.43824701195219123</v>
      </c>
      <c r="AT20" s="18">
        <f t="shared" si="74"/>
        <v>0</v>
      </c>
      <c r="AU20" s="18">
        <f t="shared" si="75"/>
        <v>0.22820717131474103</v>
      </c>
      <c r="AV20" s="18">
        <f t="shared" si="76"/>
        <v>0</v>
      </c>
      <c r="AW20" s="18">
        <f t="shared" si="77"/>
        <v>0</v>
      </c>
      <c r="AX20" s="18">
        <f t="shared" si="78"/>
        <v>0</v>
      </c>
      <c r="AY20" s="18">
        <f t="shared" si="79"/>
        <v>0</v>
      </c>
      <c r="AZ20" s="18">
        <f t="shared" si="80"/>
        <v>0.1752988047808765</v>
      </c>
      <c r="BA20" s="18">
        <f t="shared" si="81"/>
        <v>0</v>
      </c>
      <c r="BB20" s="18">
        <f t="shared" si="82"/>
        <v>0.15824701195219124</v>
      </c>
      <c r="BC20" s="18">
        <f t="shared" si="83"/>
        <v>0</v>
      </c>
      <c r="BD20" s="49">
        <f t="shared" si="84"/>
        <v>1</v>
      </c>
      <c r="BF20" s="45">
        <f t="shared" si="249"/>
        <v>1.0076579279959896</v>
      </c>
      <c r="BG20" s="18">
        <f t="shared" si="85"/>
        <v>0</v>
      </c>
      <c r="BH20" s="18">
        <f t="shared" si="86"/>
        <v>0</v>
      </c>
      <c r="BI20" s="18">
        <f t="shared" si="87"/>
        <v>0</v>
      </c>
      <c r="BJ20" s="18">
        <f t="shared" si="88"/>
        <v>0</v>
      </c>
      <c r="BK20" s="19">
        <f t="shared" si="89"/>
        <v>0.90464658160995826</v>
      </c>
      <c r="BL20" s="18">
        <f t="shared" si="90"/>
        <v>0</v>
      </c>
      <c r="BM20" s="18">
        <f t="shared" si="91"/>
        <v>0</v>
      </c>
      <c r="BN20" s="18">
        <f t="shared" si="92"/>
        <v>0</v>
      </c>
      <c r="BO20" s="18">
        <f t="shared" si="93"/>
        <v>0</v>
      </c>
      <c r="BP20" s="18">
        <f t="shared" si="94"/>
        <v>0</v>
      </c>
      <c r="BQ20" s="18">
        <f t="shared" si="95"/>
        <v>0</v>
      </c>
      <c r="BR20" s="18">
        <f t="shared" si="96"/>
        <v>3.2619977264864333E-2</v>
      </c>
      <c r="BS20" s="18">
        <f t="shared" si="97"/>
        <v>0</v>
      </c>
      <c r="BT20" s="18">
        <f t="shared" si="98"/>
        <v>6.2733441125177397E-2</v>
      </c>
      <c r="BU20" s="18">
        <f t="shared" si="99"/>
        <v>0</v>
      </c>
      <c r="BV20" s="49">
        <f t="shared" si="100"/>
        <v>1</v>
      </c>
      <c r="BX20" s="45">
        <f t="shared" si="250"/>
        <v>1.012419170997209</v>
      </c>
      <c r="BY20" s="18">
        <f t="shared" si="101"/>
        <v>0</v>
      </c>
      <c r="BZ20" s="18">
        <f t="shared" si="102"/>
        <v>0</v>
      </c>
      <c r="CA20" s="18">
        <f t="shared" si="103"/>
        <v>0</v>
      </c>
      <c r="CB20" s="18">
        <f t="shared" si="104"/>
        <v>0</v>
      </c>
      <c r="CC20" s="19">
        <f t="shared" si="105"/>
        <v>0.96532256490296275</v>
      </c>
      <c r="CD20" s="18">
        <f t="shared" si="106"/>
        <v>0</v>
      </c>
      <c r="CE20" s="18">
        <f t="shared" si="107"/>
        <v>0</v>
      </c>
      <c r="CF20" s="18">
        <f t="shared" si="108"/>
        <v>0</v>
      </c>
      <c r="CG20" s="18">
        <f t="shared" si="109"/>
        <v>0</v>
      </c>
      <c r="CH20" s="18">
        <f t="shared" si="110"/>
        <v>0</v>
      </c>
      <c r="CI20" s="18">
        <f t="shared" si="111"/>
        <v>0</v>
      </c>
      <c r="CJ20" s="18">
        <f t="shared" si="112"/>
        <v>6.5350657198459759E-3</v>
      </c>
      <c r="CK20" s="18">
        <f t="shared" si="113"/>
        <v>0</v>
      </c>
      <c r="CL20" s="18">
        <f t="shared" si="114"/>
        <v>2.8142369377191261E-2</v>
      </c>
      <c r="CM20" s="18">
        <f t="shared" si="115"/>
        <v>0</v>
      </c>
      <c r="CN20" s="49">
        <f t="shared" si="116"/>
        <v>1</v>
      </c>
      <c r="CP20" s="45">
        <f t="shared" si="251"/>
        <v>1</v>
      </c>
      <c r="CQ20" s="18">
        <f t="shared" si="117"/>
        <v>0</v>
      </c>
      <c r="CR20" s="18">
        <f t="shared" si="118"/>
        <v>0</v>
      </c>
      <c r="CS20" s="18">
        <f t="shared" si="119"/>
        <v>0</v>
      </c>
      <c r="CT20" s="18">
        <f t="shared" si="120"/>
        <v>0</v>
      </c>
      <c r="CU20" s="19">
        <f t="shared" si="121"/>
        <v>1</v>
      </c>
      <c r="CV20" s="18">
        <f t="shared" si="122"/>
        <v>0</v>
      </c>
      <c r="CW20" s="18">
        <f t="shared" si="123"/>
        <v>0</v>
      </c>
      <c r="CX20" s="18">
        <f t="shared" si="124"/>
        <v>0</v>
      </c>
      <c r="CY20" s="18">
        <f t="shared" si="125"/>
        <v>0</v>
      </c>
      <c r="CZ20" s="18">
        <f t="shared" si="126"/>
        <v>0</v>
      </c>
      <c r="DA20" s="18">
        <f t="shared" si="127"/>
        <v>0</v>
      </c>
      <c r="DB20" s="18">
        <f t="shared" si="128"/>
        <v>0</v>
      </c>
      <c r="DC20" s="18">
        <f t="shared" si="129"/>
        <v>0</v>
      </c>
      <c r="DD20" s="18">
        <f t="shared" si="130"/>
        <v>0</v>
      </c>
      <c r="DE20" s="18">
        <f t="shared" si="131"/>
        <v>0</v>
      </c>
      <c r="DF20" s="49">
        <f t="shared" si="132"/>
        <v>1</v>
      </c>
      <c r="DH20" s="45">
        <f t="shared" si="252"/>
        <v>1</v>
      </c>
      <c r="DI20" s="18">
        <f t="shared" si="133"/>
        <v>0</v>
      </c>
      <c r="DJ20" s="18">
        <f t="shared" si="134"/>
        <v>0</v>
      </c>
      <c r="DK20" s="18">
        <f t="shared" si="135"/>
        <v>0</v>
      </c>
      <c r="DL20" s="18">
        <f t="shared" si="136"/>
        <v>0</v>
      </c>
      <c r="DM20" s="19">
        <f t="shared" si="137"/>
        <v>1</v>
      </c>
      <c r="DN20" s="18">
        <f t="shared" si="138"/>
        <v>0</v>
      </c>
      <c r="DO20" s="18">
        <f t="shared" si="139"/>
        <v>0</v>
      </c>
      <c r="DP20" s="18">
        <f t="shared" si="140"/>
        <v>0</v>
      </c>
      <c r="DQ20" s="18">
        <f t="shared" si="141"/>
        <v>0</v>
      </c>
      <c r="DR20" s="18">
        <f t="shared" si="142"/>
        <v>0</v>
      </c>
      <c r="DS20" s="18">
        <f t="shared" si="143"/>
        <v>0</v>
      </c>
      <c r="DT20" s="18">
        <f t="shared" si="144"/>
        <v>0</v>
      </c>
      <c r="DU20" s="18">
        <f t="shared" si="145"/>
        <v>0</v>
      </c>
      <c r="DV20" s="18">
        <f t="shared" si="146"/>
        <v>0</v>
      </c>
      <c r="DW20" s="18">
        <f t="shared" si="147"/>
        <v>0</v>
      </c>
      <c r="DX20" s="49">
        <f t="shared" si="148"/>
        <v>1</v>
      </c>
      <c r="DZ20" s="45">
        <f t="shared" si="253"/>
        <v>0</v>
      </c>
      <c r="EA20" s="18">
        <f t="shared" si="149"/>
        <v>0</v>
      </c>
      <c r="EB20" s="18">
        <f t="shared" si="150"/>
        <v>0</v>
      </c>
      <c r="EC20" s="18">
        <f t="shared" si="151"/>
        <v>0</v>
      </c>
      <c r="ED20" s="18">
        <f t="shared" si="152"/>
        <v>0</v>
      </c>
      <c r="EE20" s="19">
        <f t="shared" si="153"/>
        <v>0</v>
      </c>
      <c r="EF20" s="18">
        <f t="shared" si="154"/>
        <v>0</v>
      </c>
      <c r="EG20" s="18">
        <f t="shared" si="155"/>
        <v>0</v>
      </c>
      <c r="EH20" s="18">
        <f t="shared" si="156"/>
        <v>0</v>
      </c>
      <c r="EI20" s="18">
        <f t="shared" si="157"/>
        <v>0</v>
      </c>
      <c r="EJ20" s="18">
        <f t="shared" si="158"/>
        <v>0</v>
      </c>
      <c r="EK20" s="18">
        <f t="shared" si="159"/>
        <v>0</v>
      </c>
      <c r="EL20" s="18">
        <f t="shared" si="160"/>
        <v>0</v>
      </c>
      <c r="EM20" s="18">
        <f t="shared" si="161"/>
        <v>0</v>
      </c>
      <c r="EN20" s="18">
        <f t="shared" si="162"/>
        <v>0</v>
      </c>
      <c r="EO20" s="18">
        <f t="shared" si="163"/>
        <v>0</v>
      </c>
      <c r="EP20" s="49">
        <f t="shared" si="164"/>
        <v>0</v>
      </c>
      <c r="ER20" s="45">
        <f t="shared" si="254"/>
        <v>0</v>
      </c>
      <c r="ES20" s="18">
        <f t="shared" si="165"/>
        <v>0</v>
      </c>
      <c r="ET20" s="18">
        <f t="shared" si="166"/>
        <v>0</v>
      </c>
      <c r="EU20" s="18">
        <f t="shared" si="167"/>
        <v>0</v>
      </c>
      <c r="EV20" s="18">
        <f t="shared" si="168"/>
        <v>0</v>
      </c>
      <c r="EW20" s="19">
        <f t="shared" si="169"/>
        <v>0</v>
      </c>
      <c r="EX20" s="18">
        <f t="shared" si="170"/>
        <v>0</v>
      </c>
      <c r="EY20" s="18">
        <f t="shared" si="171"/>
        <v>0</v>
      </c>
      <c r="EZ20" s="18">
        <f t="shared" si="172"/>
        <v>0</v>
      </c>
      <c r="FA20" s="18">
        <f t="shared" si="173"/>
        <v>0</v>
      </c>
      <c r="FB20" s="18">
        <f t="shared" si="174"/>
        <v>0</v>
      </c>
      <c r="FC20" s="18">
        <f t="shared" si="175"/>
        <v>0</v>
      </c>
      <c r="FD20" s="18">
        <f t="shared" si="176"/>
        <v>0</v>
      </c>
      <c r="FE20" s="18">
        <f t="shared" si="177"/>
        <v>0</v>
      </c>
      <c r="FF20" s="18">
        <f t="shared" si="178"/>
        <v>0</v>
      </c>
      <c r="FG20" s="18">
        <f t="shared" si="179"/>
        <v>0</v>
      </c>
      <c r="FH20" s="49">
        <f t="shared" si="180"/>
        <v>0</v>
      </c>
      <c r="FJ20" s="45">
        <f t="shared" si="255"/>
        <v>1.0149830836152731</v>
      </c>
      <c r="FK20" s="18">
        <f t="shared" si="181"/>
        <v>0</v>
      </c>
      <c r="FL20" s="18">
        <f t="shared" si="182"/>
        <v>0</v>
      </c>
      <c r="FM20" s="18">
        <f t="shared" si="183"/>
        <v>0</v>
      </c>
      <c r="FN20" s="18">
        <f t="shared" si="184"/>
        <v>0</v>
      </c>
      <c r="FO20" s="19">
        <f t="shared" si="185"/>
        <v>0.95033832769453841</v>
      </c>
      <c r="FP20" s="18">
        <f t="shared" si="186"/>
        <v>0</v>
      </c>
      <c r="FQ20" s="18">
        <f t="shared" si="187"/>
        <v>0</v>
      </c>
      <c r="FR20" s="18">
        <f t="shared" si="188"/>
        <v>0</v>
      </c>
      <c r="FS20" s="18">
        <f t="shared" si="189"/>
        <v>0</v>
      </c>
      <c r="FT20" s="18">
        <f t="shared" si="190"/>
        <v>0</v>
      </c>
      <c r="FU20" s="18">
        <f t="shared" si="191"/>
        <v>0</v>
      </c>
      <c r="FV20" s="18">
        <f t="shared" si="192"/>
        <v>0</v>
      </c>
      <c r="FW20" s="18">
        <f t="shared" si="193"/>
        <v>0</v>
      </c>
      <c r="FX20" s="18">
        <f t="shared" si="194"/>
        <v>4.9661672305461577E-2</v>
      </c>
      <c r="FY20" s="18">
        <f t="shared" si="195"/>
        <v>0</v>
      </c>
      <c r="FZ20" s="49">
        <f t="shared" si="196"/>
        <v>1</v>
      </c>
      <c r="GB20" s="45">
        <f t="shared" si="256"/>
        <v>1.0067866060567259</v>
      </c>
      <c r="GC20" s="18">
        <f t="shared" si="197"/>
        <v>0</v>
      </c>
      <c r="GD20" s="18">
        <f t="shared" si="198"/>
        <v>0</v>
      </c>
      <c r="GE20" s="18">
        <f t="shared" si="199"/>
        <v>0</v>
      </c>
      <c r="GF20" s="18">
        <f t="shared" si="200"/>
        <v>0</v>
      </c>
      <c r="GG20" s="19">
        <f t="shared" si="201"/>
        <v>0.69722773545041294</v>
      </c>
      <c r="GH20" s="18">
        <f t="shared" si="202"/>
        <v>0</v>
      </c>
      <c r="GI20" s="18">
        <f t="shared" si="203"/>
        <v>0</v>
      </c>
      <c r="GJ20" s="18">
        <f t="shared" si="204"/>
        <v>0</v>
      </c>
      <c r="GK20" s="18">
        <f t="shared" si="205"/>
        <v>0</v>
      </c>
      <c r="GL20" s="18">
        <f t="shared" si="206"/>
        <v>0</v>
      </c>
      <c r="GM20" s="18">
        <f t="shared" si="207"/>
        <v>0</v>
      </c>
      <c r="GN20" s="18">
        <f t="shared" si="208"/>
        <v>0.2112811319546706</v>
      </c>
      <c r="GO20" s="18">
        <f t="shared" si="209"/>
        <v>0</v>
      </c>
      <c r="GP20" s="18">
        <f t="shared" si="210"/>
        <v>9.1491132594916452E-2</v>
      </c>
      <c r="GQ20" s="18">
        <f t="shared" si="211"/>
        <v>0</v>
      </c>
      <c r="GR20" s="49">
        <f t="shared" si="212"/>
        <v>1</v>
      </c>
      <c r="GT20" s="45">
        <f t="shared" si="257"/>
        <v>1.012536162005786</v>
      </c>
      <c r="GU20" s="18">
        <f t="shared" si="213"/>
        <v>0</v>
      </c>
      <c r="GV20" s="18">
        <f t="shared" si="214"/>
        <v>0</v>
      </c>
      <c r="GW20" s="18">
        <f t="shared" si="215"/>
        <v>0</v>
      </c>
      <c r="GX20" s="18">
        <f t="shared" si="216"/>
        <v>1.0607521697203472E-2</v>
      </c>
      <c r="GY20" s="19">
        <f t="shared" si="217"/>
        <v>0.90163934426229508</v>
      </c>
      <c r="GZ20" s="18">
        <f t="shared" si="218"/>
        <v>0</v>
      </c>
      <c r="HA20" s="18">
        <f t="shared" si="219"/>
        <v>0</v>
      </c>
      <c r="HB20" s="18">
        <f t="shared" si="220"/>
        <v>0</v>
      </c>
      <c r="HC20" s="18">
        <f t="shared" si="221"/>
        <v>0</v>
      </c>
      <c r="HD20" s="18">
        <f t="shared" si="222"/>
        <v>0</v>
      </c>
      <c r="HE20" s="18">
        <f t="shared" si="223"/>
        <v>0</v>
      </c>
      <c r="HF20" s="18">
        <f t="shared" si="224"/>
        <v>0</v>
      </c>
      <c r="HG20" s="18">
        <f t="shared" si="225"/>
        <v>0</v>
      </c>
      <c r="HH20" s="18">
        <f t="shared" si="226"/>
        <v>8.7753134040501446E-2</v>
      </c>
      <c r="HI20" s="18">
        <f t="shared" si="227"/>
        <v>0</v>
      </c>
      <c r="HJ20" s="49">
        <f t="shared" si="228"/>
        <v>1</v>
      </c>
      <c r="HL20" s="45">
        <f t="shared" si="258"/>
        <v>1.0148175485855897</v>
      </c>
      <c r="HM20" s="18">
        <f t="shared" si="229"/>
        <v>0</v>
      </c>
      <c r="HN20" s="18">
        <f t="shared" si="230"/>
        <v>0</v>
      </c>
      <c r="HO20" s="18">
        <f t="shared" si="231"/>
        <v>0</v>
      </c>
      <c r="HP20" s="18">
        <f t="shared" si="232"/>
        <v>1.8970325237603323E-3</v>
      </c>
      <c r="HQ20" s="19">
        <f t="shared" si="233"/>
        <v>0.90867857888119918</v>
      </c>
      <c r="HR20" s="18">
        <f t="shared" si="234"/>
        <v>0</v>
      </c>
      <c r="HS20" s="18">
        <f t="shared" si="235"/>
        <v>0</v>
      </c>
      <c r="HT20" s="18">
        <f t="shared" si="236"/>
        <v>0</v>
      </c>
      <c r="HU20" s="18">
        <f t="shared" si="237"/>
        <v>0</v>
      </c>
      <c r="HV20" s="18">
        <f t="shared" si="238"/>
        <v>0</v>
      </c>
      <c r="HW20" s="18">
        <f t="shared" si="239"/>
        <v>0</v>
      </c>
      <c r="HX20" s="18">
        <f t="shared" si="240"/>
        <v>1.1382195142561995E-2</v>
      </c>
      <c r="HY20" s="18">
        <f t="shared" si="241"/>
        <v>0</v>
      </c>
      <c r="HZ20" s="18">
        <f t="shared" si="242"/>
        <v>7.8042193452478467E-2</v>
      </c>
      <c r="IA20" s="18">
        <f t="shared" si="243"/>
        <v>0</v>
      </c>
      <c r="IB20" s="49">
        <f t="shared" si="244"/>
        <v>1</v>
      </c>
    </row>
    <row r="21" spans="2:236" s="11" customFormat="1" x14ac:dyDescent="0.35">
      <c r="B21" s="17" t="s">
        <v>148</v>
      </c>
      <c r="C21" s="17"/>
      <c r="D21" s="45">
        <f t="shared" si="245"/>
        <v>1.0494306418219461</v>
      </c>
      <c r="E21" s="18">
        <f t="shared" si="246"/>
        <v>0</v>
      </c>
      <c r="F21" s="18">
        <f t="shared" si="38"/>
        <v>0</v>
      </c>
      <c r="G21" s="18">
        <f t="shared" si="39"/>
        <v>0</v>
      </c>
      <c r="H21" s="18">
        <f t="shared" si="40"/>
        <v>0</v>
      </c>
      <c r="I21" s="18">
        <f t="shared" si="41"/>
        <v>0</v>
      </c>
      <c r="J21" s="19">
        <f t="shared" si="42"/>
        <v>0.38525491718426502</v>
      </c>
      <c r="K21" s="18">
        <f t="shared" si="43"/>
        <v>0.48492494824016563</v>
      </c>
      <c r="L21" s="18">
        <f t="shared" si="44"/>
        <v>0</v>
      </c>
      <c r="M21" s="18">
        <f t="shared" si="45"/>
        <v>0</v>
      </c>
      <c r="N21" s="18">
        <f t="shared" si="46"/>
        <v>0</v>
      </c>
      <c r="O21" s="18">
        <f t="shared" si="47"/>
        <v>0</v>
      </c>
      <c r="P21" s="18">
        <f t="shared" si="48"/>
        <v>0</v>
      </c>
      <c r="Q21" s="18">
        <f t="shared" si="49"/>
        <v>2.2677277432712216E-2</v>
      </c>
      <c r="R21" s="50">
        <f t="shared" si="50"/>
        <v>0.10714285714285714</v>
      </c>
      <c r="S21" s="18">
        <f t="shared" si="51"/>
        <v>0</v>
      </c>
      <c r="T21" s="49">
        <f t="shared" si="52"/>
        <v>1</v>
      </c>
      <c r="V21" s="45">
        <f t="shared" si="247"/>
        <v>1.1230972865651887</v>
      </c>
      <c r="W21" s="18">
        <f t="shared" si="53"/>
        <v>0</v>
      </c>
      <c r="X21" s="18">
        <f t="shared" si="54"/>
        <v>0</v>
      </c>
      <c r="Y21" s="18">
        <f t="shared" si="55"/>
        <v>0</v>
      </c>
      <c r="Z21" s="18">
        <f t="shared" si="56"/>
        <v>0</v>
      </c>
      <c r="AA21" s="18">
        <f t="shared" si="57"/>
        <v>0</v>
      </c>
      <c r="AB21" s="19">
        <f t="shared" si="58"/>
        <v>9.0337524818001322E-2</v>
      </c>
      <c r="AC21" s="18">
        <f t="shared" si="59"/>
        <v>0.77465254798146921</v>
      </c>
      <c r="AD21" s="18">
        <f t="shared" si="60"/>
        <v>0</v>
      </c>
      <c r="AE21" s="18">
        <f t="shared" si="61"/>
        <v>0</v>
      </c>
      <c r="AF21" s="18">
        <f t="shared" si="62"/>
        <v>0</v>
      </c>
      <c r="AG21" s="18">
        <f t="shared" si="63"/>
        <v>0</v>
      </c>
      <c r="AH21" s="18">
        <f t="shared" si="64"/>
        <v>0</v>
      </c>
      <c r="AI21" s="18">
        <f t="shared" si="65"/>
        <v>0</v>
      </c>
      <c r="AJ21" s="50">
        <f t="shared" si="66"/>
        <v>0.13500992720052946</v>
      </c>
      <c r="AK21" s="18">
        <f t="shared" si="67"/>
        <v>0</v>
      </c>
      <c r="AL21" s="49">
        <f t="shared" si="68"/>
        <v>1</v>
      </c>
      <c r="AN21" s="45">
        <f t="shared" si="248"/>
        <v>1.041901329128182</v>
      </c>
      <c r="AO21" s="18">
        <f t="shared" si="69"/>
        <v>0</v>
      </c>
      <c r="AP21" s="18">
        <f t="shared" si="70"/>
        <v>0</v>
      </c>
      <c r="AQ21" s="18">
        <f t="shared" si="71"/>
        <v>0</v>
      </c>
      <c r="AR21" s="18">
        <f t="shared" si="72"/>
        <v>0</v>
      </c>
      <c r="AS21" s="18">
        <f t="shared" si="73"/>
        <v>0</v>
      </c>
      <c r="AT21" s="19">
        <f t="shared" si="74"/>
        <v>0.6504843433205677</v>
      </c>
      <c r="AU21" s="18">
        <f t="shared" si="75"/>
        <v>0.26931741383194413</v>
      </c>
      <c r="AV21" s="18">
        <f t="shared" si="76"/>
        <v>0</v>
      </c>
      <c r="AW21" s="18">
        <f t="shared" si="77"/>
        <v>0</v>
      </c>
      <c r="AX21" s="18">
        <f t="shared" si="78"/>
        <v>0</v>
      </c>
      <c r="AY21" s="18">
        <f t="shared" si="79"/>
        <v>0</v>
      </c>
      <c r="AZ21" s="18">
        <f t="shared" si="80"/>
        <v>0</v>
      </c>
      <c r="BA21" s="18">
        <f t="shared" si="81"/>
        <v>0</v>
      </c>
      <c r="BB21" s="50">
        <f t="shared" si="82"/>
        <v>8.019824284748818E-2</v>
      </c>
      <c r="BC21" s="18">
        <f t="shared" si="83"/>
        <v>0</v>
      </c>
      <c r="BD21" s="49">
        <f t="shared" si="84"/>
        <v>1</v>
      </c>
      <c r="BF21" s="45">
        <f t="shared" si="249"/>
        <v>1.0396281800391389</v>
      </c>
      <c r="BG21" s="18">
        <f t="shared" si="85"/>
        <v>0</v>
      </c>
      <c r="BH21" s="18">
        <f t="shared" si="86"/>
        <v>0</v>
      </c>
      <c r="BI21" s="18">
        <f t="shared" si="87"/>
        <v>0</v>
      </c>
      <c r="BJ21" s="18">
        <f t="shared" si="88"/>
        <v>0</v>
      </c>
      <c r="BK21" s="18">
        <f t="shared" si="89"/>
        <v>0</v>
      </c>
      <c r="BL21" s="19">
        <f t="shared" si="90"/>
        <v>0.54097358121330719</v>
      </c>
      <c r="BM21" s="18">
        <f t="shared" si="91"/>
        <v>0.3416095890410959</v>
      </c>
      <c r="BN21" s="18">
        <f t="shared" si="92"/>
        <v>0</v>
      </c>
      <c r="BO21" s="18">
        <f t="shared" si="93"/>
        <v>0</v>
      </c>
      <c r="BP21" s="18">
        <f t="shared" si="94"/>
        <v>0</v>
      </c>
      <c r="BQ21" s="18">
        <f t="shared" si="95"/>
        <v>0</v>
      </c>
      <c r="BR21" s="18">
        <f t="shared" si="96"/>
        <v>0</v>
      </c>
      <c r="BS21" s="18">
        <f t="shared" si="97"/>
        <v>0</v>
      </c>
      <c r="BT21" s="50">
        <f t="shared" si="98"/>
        <v>0.11741682974559686</v>
      </c>
      <c r="BU21" s="18">
        <f t="shared" si="99"/>
        <v>0</v>
      </c>
      <c r="BV21" s="49">
        <f t="shared" si="100"/>
        <v>1</v>
      </c>
      <c r="BX21" s="45">
        <f t="shared" si="250"/>
        <v>1.0512483574244416</v>
      </c>
      <c r="BY21" s="18">
        <f t="shared" si="101"/>
        <v>0</v>
      </c>
      <c r="BZ21" s="18">
        <f t="shared" si="102"/>
        <v>0</v>
      </c>
      <c r="CA21" s="18">
        <f t="shared" si="103"/>
        <v>0</v>
      </c>
      <c r="CB21" s="18">
        <f t="shared" si="104"/>
        <v>0</v>
      </c>
      <c r="CC21" s="18">
        <f t="shared" si="105"/>
        <v>0</v>
      </c>
      <c r="CD21" s="19">
        <f t="shared" si="106"/>
        <v>0</v>
      </c>
      <c r="CE21" s="18">
        <f t="shared" si="107"/>
        <v>0</v>
      </c>
      <c r="CF21" s="18">
        <f t="shared" si="108"/>
        <v>0</v>
      </c>
      <c r="CG21" s="18">
        <f t="shared" si="109"/>
        <v>0</v>
      </c>
      <c r="CH21" s="18">
        <f t="shared" si="110"/>
        <v>0</v>
      </c>
      <c r="CI21" s="18">
        <f t="shared" si="111"/>
        <v>0</v>
      </c>
      <c r="CJ21" s="18">
        <f t="shared" si="112"/>
        <v>0</v>
      </c>
      <c r="CK21" s="18">
        <f t="shared" si="113"/>
        <v>0.9211563731931669</v>
      </c>
      <c r="CL21" s="50">
        <f t="shared" si="114"/>
        <v>7.8843626806833114E-2</v>
      </c>
      <c r="CM21" s="18">
        <f t="shared" si="115"/>
        <v>0</v>
      </c>
      <c r="CN21" s="49">
        <f t="shared" si="116"/>
        <v>1</v>
      </c>
      <c r="CP21" s="45">
        <f t="shared" si="251"/>
        <v>0</v>
      </c>
      <c r="CQ21" s="18">
        <f t="shared" si="117"/>
        <v>0</v>
      </c>
      <c r="CR21" s="18">
        <f t="shared" si="118"/>
        <v>0</v>
      </c>
      <c r="CS21" s="18">
        <f t="shared" si="119"/>
        <v>0</v>
      </c>
      <c r="CT21" s="18">
        <f t="shared" si="120"/>
        <v>0</v>
      </c>
      <c r="CU21" s="18">
        <f t="shared" si="121"/>
        <v>0</v>
      </c>
      <c r="CV21" s="19">
        <f t="shared" si="122"/>
        <v>0</v>
      </c>
      <c r="CW21" s="18">
        <f t="shared" si="123"/>
        <v>0</v>
      </c>
      <c r="CX21" s="18">
        <f t="shared" si="124"/>
        <v>0</v>
      </c>
      <c r="CY21" s="18">
        <f t="shared" si="125"/>
        <v>0</v>
      </c>
      <c r="CZ21" s="18">
        <f t="shared" si="126"/>
        <v>0</v>
      </c>
      <c r="DA21" s="18">
        <f t="shared" si="127"/>
        <v>0</v>
      </c>
      <c r="DB21" s="18">
        <f t="shared" si="128"/>
        <v>0</v>
      </c>
      <c r="DC21" s="18">
        <f t="shared" si="129"/>
        <v>0</v>
      </c>
      <c r="DD21" s="18">
        <f t="shared" si="130"/>
        <v>0</v>
      </c>
      <c r="DE21" s="18">
        <f t="shared" si="131"/>
        <v>0</v>
      </c>
      <c r="DF21" s="49">
        <f t="shared" si="132"/>
        <v>0</v>
      </c>
      <c r="DH21" s="45">
        <f t="shared" si="252"/>
        <v>0</v>
      </c>
      <c r="DI21" s="18">
        <f t="shared" si="133"/>
        <v>0</v>
      </c>
      <c r="DJ21" s="18">
        <f t="shared" si="134"/>
        <v>0</v>
      </c>
      <c r="DK21" s="18">
        <f t="shared" si="135"/>
        <v>0</v>
      </c>
      <c r="DL21" s="18">
        <f t="shared" si="136"/>
        <v>0</v>
      </c>
      <c r="DM21" s="18">
        <f t="shared" si="137"/>
        <v>0</v>
      </c>
      <c r="DN21" s="19">
        <f t="shared" si="138"/>
        <v>0</v>
      </c>
      <c r="DO21" s="18">
        <f t="shared" si="139"/>
        <v>0</v>
      </c>
      <c r="DP21" s="18">
        <f t="shared" si="140"/>
        <v>0</v>
      </c>
      <c r="DQ21" s="18">
        <f t="shared" si="141"/>
        <v>0</v>
      </c>
      <c r="DR21" s="18">
        <f t="shared" si="142"/>
        <v>0</v>
      </c>
      <c r="DS21" s="18">
        <f t="shared" si="143"/>
        <v>0</v>
      </c>
      <c r="DT21" s="18">
        <f t="shared" si="144"/>
        <v>0</v>
      </c>
      <c r="DU21" s="18">
        <f t="shared" si="145"/>
        <v>0</v>
      </c>
      <c r="DV21" s="18">
        <f t="shared" si="146"/>
        <v>0</v>
      </c>
      <c r="DW21" s="18">
        <f t="shared" si="147"/>
        <v>0</v>
      </c>
      <c r="DX21" s="49">
        <f t="shared" si="148"/>
        <v>0</v>
      </c>
      <c r="DZ21" s="45">
        <f t="shared" si="253"/>
        <v>0</v>
      </c>
      <c r="EA21" s="18">
        <f t="shared" si="149"/>
        <v>0</v>
      </c>
      <c r="EB21" s="18">
        <f t="shared" si="150"/>
        <v>0</v>
      </c>
      <c r="EC21" s="18">
        <f t="shared" si="151"/>
        <v>0</v>
      </c>
      <c r="ED21" s="18">
        <f t="shared" si="152"/>
        <v>0</v>
      </c>
      <c r="EE21" s="18">
        <f t="shared" si="153"/>
        <v>0</v>
      </c>
      <c r="EF21" s="19">
        <f t="shared" si="154"/>
        <v>0</v>
      </c>
      <c r="EG21" s="18">
        <f t="shared" si="155"/>
        <v>0</v>
      </c>
      <c r="EH21" s="18">
        <f t="shared" si="156"/>
        <v>0</v>
      </c>
      <c r="EI21" s="18">
        <f t="shared" si="157"/>
        <v>0</v>
      </c>
      <c r="EJ21" s="18">
        <f t="shared" si="158"/>
        <v>0</v>
      </c>
      <c r="EK21" s="18">
        <f t="shared" si="159"/>
        <v>0</v>
      </c>
      <c r="EL21" s="18">
        <f t="shared" si="160"/>
        <v>0</v>
      </c>
      <c r="EM21" s="18">
        <f t="shared" si="161"/>
        <v>0</v>
      </c>
      <c r="EN21" s="18">
        <f t="shared" si="162"/>
        <v>0</v>
      </c>
      <c r="EO21" s="18">
        <f t="shared" si="163"/>
        <v>0</v>
      </c>
      <c r="EP21" s="49">
        <f t="shared" si="164"/>
        <v>0</v>
      </c>
      <c r="ER21" s="45">
        <f t="shared" si="254"/>
        <v>0</v>
      </c>
      <c r="ES21" s="18">
        <f t="shared" si="165"/>
        <v>0</v>
      </c>
      <c r="ET21" s="18">
        <f t="shared" si="166"/>
        <v>0</v>
      </c>
      <c r="EU21" s="18">
        <f t="shared" si="167"/>
        <v>0</v>
      </c>
      <c r="EV21" s="18">
        <f t="shared" si="168"/>
        <v>0</v>
      </c>
      <c r="EW21" s="18">
        <f t="shared" si="169"/>
        <v>0</v>
      </c>
      <c r="EX21" s="19">
        <f t="shared" si="170"/>
        <v>0</v>
      </c>
      <c r="EY21" s="18">
        <f t="shared" si="171"/>
        <v>0</v>
      </c>
      <c r="EZ21" s="18">
        <f t="shared" si="172"/>
        <v>0</v>
      </c>
      <c r="FA21" s="18">
        <f t="shared" si="173"/>
        <v>0</v>
      </c>
      <c r="FB21" s="18">
        <f t="shared" si="174"/>
        <v>0</v>
      </c>
      <c r="FC21" s="18">
        <f t="shared" si="175"/>
        <v>0</v>
      </c>
      <c r="FD21" s="18">
        <f t="shared" si="176"/>
        <v>0</v>
      </c>
      <c r="FE21" s="18">
        <f t="shared" si="177"/>
        <v>0</v>
      </c>
      <c r="FF21" s="18">
        <f t="shared" si="178"/>
        <v>0</v>
      </c>
      <c r="FG21" s="18">
        <f t="shared" si="179"/>
        <v>0</v>
      </c>
      <c r="FH21" s="49">
        <f t="shared" si="180"/>
        <v>0</v>
      </c>
      <c r="FJ21" s="45">
        <f t="shared" si="255"/>
        <v>1</v>
      </c>
      <c r="FK21" s="18">
        <f t="shared" si="181"/>
        <v>0</v>
      </c>
      <c r="FL21" s="18">
        <f t="shared" si="182"/>
        <v>0</v>
      </c>
      <c r="FM21" s="18">
        <f t="shared" si="183"/>
        <v>0</v>
      </c>
      <c r="FN21" s="18">
        <f t="shared" si="184"/>
        <v>0</v>
      </c>
      <c r="FO21" s="18">
        <f t="shared" si="185"/>
        <v>0</v>
      </c>
      <c r="FP21" s="19">
        <f t="shared" si="186"/>
        <v>0.26474127557160049</v>
      </c>
      <c r="FQ21" s="18">
        <f t="shared" si="187"/>
        <v>0.65583634175691941</v>
      </c>
      <c r="FR21" s="18">
        <f t="shared" si="188"/>
        <v>0</v>
      </c>
      <c r="FS21" s="18">
        <f t="shared" si="189"/>
        <v>0</v>
      </c>
      <c r="FT21" s="18">
        <f t="shared" si="190"/>
        <v>0</v>
      </c>
      <c r="FU21" s="18">
        <f t="shared" si="191"/>
        <v>0</v>
      </c>
      <c r="FV21" s="18">
        <f t="shared" si="192"/>
        <v>0</v>
      </c>
      <c r="FW21" s="18">
        <f t="shared" si="193"/>
        <v>0</v>
      </c>
      <c r="FX21" s="18">
        <f t="shared" si="194"/>
        <v>7.9422382671480149E-2</v>
      </c>
      <c r="FY21" s="18">
        <f t="shared" si="195"/>
        <v>0</v>
      </c>
      <c r="FZ21" s="49">
        <f t="shared" si="196"/>
        <v>1</v>
      </c>
      <c r="GB21" s="45">
        <f t="shared" si="256"/>
        <v>0</v>
      </c>
      <c r="GC21" s="18">
        <f t="shared" si="197"/>
        <v>0</v>
      </c>
      <c r="GD21" s="18">
        <f t="shared" si="198"/>
        <v>0</v>
      </c>
      <c r="GE21" s="18">
        <f t="shared" si="199"/>
        <v>0</v>
      </c>
      <c r="GF21" s="18">
        <f t="shared" si="200"/>
        <v>0</v>
      </c>
      <c r="GG21" s="18">
        <f t="shared" si="201"/>
        <v>0</v>
      </c>
      <c r="GH21" s="19">
        <f t="shared" si="202"/>
        <v>0</v>
      </c>
      <c r="GI21" s="18">
        <f t="shared" si="203"/>
        <v>0</v>
      </c>
      <c r="GJ21" s="18">
        <f t="shared" si="204"/>
        <v>0</v>
      </c>
      <c r="GK21" s="18">
        <f t="shared" si="205"/>
        <v>0</v>
      </c>
      <c r="GL21" s="18">
        <f t="shared" si="206"/>
        <v>0</v>
      </c>
      <c r="GM21" s="18">
        <f t="shared" si="207"/>
        <v>0</v>
      </c>
      <c r="GN21" s="18">
        <f t="shared" si="208"/>
        <v>0</v>
      </c>
      <c r="GO21" s="18">
        <f t="shared" si="209"/>
        <v>0</v>
      </c>
      <c r="GP21" s="18">
        <f t="shared" si="210"/>
        <v>0</v>
      </c>
      <c r="GQ21" s="18">
        <f t="shared" si="211"/>
        <v>0</v>
      </c>
      <c r="GR21" s="49">
        <f t="shared" si="212"/>
        <v>0</v>
      </c>
      <c r="GT21" s="45">
        <f t="shared" si="257"/>
        <v>1.006711409395973</v>
      </c>
      <c r="GU21" s="18">
        <f t="shared" si="213"/>
        <v>0</v>
      </c>
      <c r="GV21" s="18">
        <f t="shared" si="214"/>
        <v>0</v>
      </c>
      <c r="GW21" s="18">
        <f t="shared" si="215"/>
        <v>0</v>
      </c>
      <c r="GX21" s="18">
        <f t="shared" si="216"/>
        <v>0</v>
      </c>
      <c r="GY21" s="18">
        <f t="shared" si="217"/>
        <v>0</v>
      </c>
      <c r="GZ21" s="19">
        <f t="shared" si="218"/>
        <v>0.24832214765100671</v>
      </c>
      <c r="HA21" s="18">
        <f t="shared" si="219"/>
        <v>0.70469798657718119</v>
      </c>
      <c r="HB21" s="18">
        <f t="shared" si="220"/>
        <v>0</v>
      </c>
      <c r="HC21" s="18">
        <f t="shared" si="221"/>
        <v>0</v>
      </c>
      <c r="HD21" s="18">
        <f t="shared" si="222"/>
        <v>0</v>
      </c>
      <c r="HE21" s="18">
        <f t="shared" si="223"/>
        <v>0</v>
      </c>
      <c r="HF21" s="18">
        <f t="shared" si="224"/>
        <v>0</v>
      </c>
      <c r="HG21" s="18">
        <f t="shared" si="225"/>
        <v>0</v>
      </c>
      <c r="HH21" s="18">
        <f t="shared" si="226"/>
        <v>4.6979865771812082E-2</v>
      </c>
      <c r="HI21" s="18">
        <f t="shared" si="227"/>
        <v>0</v>
      </c>
      <c r="HJ21" s="49">
        <f t="shared" si="228"/>
        <v>1</v>
      </c>
      <c r="HL21" s="45">
        <f t="shared" si="258"/>
        <v>1</v>
      </c>
      <c r="HM21" s="18">
        <f t="shared" si="229"/>
        <v>0</v>
      </c>
      <c r="HN21" s="18">
        <f t="shared" si="230"/>
        <v>0</v>
      </c>
      <c r="HO21" s="18">
        <f t="shared" si="231"/>
        <v>0</v>
      </c>
      <c r="HP21" s="18">
        <f t="shared" si="232"/>
        <v>0</v>
      </c>
      <c r="HQ21" s="18">
        <f t="shared" si="233"/>
        <v>0</v>
      </c>
      <c r="HR21" s="19">
        <f t="shared" si="234"/>
        <v>0.69428571428571428</v>
      </c>
      <c r="HS21" s="18">
        <f t="shared" si="235"/>
        <v>0</v>
      </c>
      <c r="HT21" s="18">
        <f t="shared" si="236"/>
        <v>0</v>
      </c>
      <c r="HU21" s="18">
        <f t="shared" si="237"/>
        <v>0</v>
      </c>
      <c r="HV21" s="18">
        <f t="shared" si="238"/>
        <v>0</v>
      </c>
      <c r="HW21" s="18">
        <f t="shared" si="239"/>
        <v>0</v>
      </c>
      <c r="HX21" s="18">
        <f t="shared" si="240"/>
        <v>0</v>
      </c>
      <c r="HY21" s="18">
        <f t="shared" si="241"/>
        <v>0</v>
      </c>
      <c r="HZ21" s="18">
        <f t="shared" si="242"/>
        <v>0.30571428571428572</v>
      </c>
      <c r="IA21" s="18">
        <f t="shared" si="243"/>
        <v>0</v>
      </c>
      <c r="IB21" s="49">
        <f t="shared" si="244"/>
        <v>1</v>
      </c>
    </row>
    <row r="22" spans="2:236" s="11" customFormat="1" x14ac:dyDescent="0.35">
      <c r="B22" s="17" t="s">
        <v>147</v>
      </c>
      <c r="C22" s="17"/>
      <c r="D22" s="45">
        <f t="shared" si="245"/>
        <v>1.0107693047333599</v>
      </c>
      <c r="E22" s="18">
        <f t="shared" si="246"/>
        <v>0</v>
      </c>
      <c r="F22" s="18">
        <f t="shared" si="38"/>
        <v>0</v>
      </c>
      <c r="G22" s="18">
        <f t="shared" si="39"/>
        <v>0</v>
      </c>
      <c r="H22" s="18">
        <f t="shared" si="40"/>
        <v>0</v>
      </c>
      <c r="I22" s="18">
        <f t="shared" si="41"/>
        <v>0</v>
      </c>
      <c r="J22" s="18">
        <f t="shared" si="42"/>
        <v>1.6068069443135548E-3</v>
      </c>
      <c r="K22" s="19">
        <f t="shared" si="43"/>
        <v>0.8921798108788227</v>
      </c>
      <c r="L22" s="18">
        <f t="shared" si="44"/>
        <v>2.5225211209034235E-2</v>
      </c>
      <c r="M22" s="18">
        <f t="shared" si="45"/>
        <v>0</v>
      </c>
      <c r="N22" s="18">
        <f t="shared" si="46"/>
        <v>0</v>
      </c>
      <c r="O22" s="18">
        <f t="shared" si="47"/>
        <v>0</v>
      </c>
      <c r="P22" s="20">
        <f t="shared" si="48"/>
        <v>0</v>
      </c>
      <c r="Q22" s="20">
        <f t="shared" si="49"/>
        <v>7.9728230284510683E-3</v>
      </c>
      <c r="R22" s="52">
        <f t="shared" si="50"/>
        <v>7.3015347939378486E-2</v>
      </c>
      <c r="S22" s="18">
        <f t="shared" si="51"/>
        <v>0</v>
      </c>
      <c r="T22" s="49">
        <f t="shared" si="52"/>
        <v>1</v>
      </c>
      <c r="V22" s="45">
        <f t="shared" si="247"/>
        <v>1.0679178600350314</v>
      </c>
      <c r="W22" s="18">
        <f t="shared" si="53"/>
        <v>0</v>
      </c>
      <c r="X22" s="18">
        <f t="shared" si="54"/>
        <v>0</v>
      </c>
      <c r="Y22" s="18">
        <f t="shared" si="55"/>
        <v>0</v>
      </c>
      <c r="Z22" s="18">
        <f t="shared" si="56"/>
        <v>0</v>
      </c>
      <c r="AA22" s="18">
        <f t="shared" si="57"/>
        <v>0</v>
      </c>
      <c r="AB22" s="18">
        <f t="shared" si="58"/>
        <v>2.7166109114617695E-2</v>
      </c>
      <c r="AC22" s="19">
        <f t="shared" si="59"/>
        <v>0.73633091943049489</v>
      </c>
      <c r="AD22" s="18">
        <f t="shared" si="60"/>
        <v>6.3309970479494748E-3</v>
      </c>
      <c r="AE22" s="18">
        <f t="shared" si="61"/>
        <v>0</v>
      </c>
      <c r="AF22" s="18">
        <f t="shared" si="62"/>
        <v>0</v>
      </c>
      <c r="AG22" s="18">
        <f t="shared" si="63"/>
        <v>0</v>
      </c>
      <c r="AH22" s="20">
        <f t="shared" si="64"/>
        <v>0</v>
      </c>
      <c r="AI22" s="20">
        <f t="shared" si="65"/>
        <v>0.14126376739601201</v>
      </c>
      <c r="AJ22" s="52">
        <f t="shared" si="66"/>
        <v>8.8908207010925944E-2</v>
      </c>
      <c r="AK22" s="18">
        <f t="shared" si="67"/>
        <v>0</v>
      </c>
      <c r="AL22" s="49">
        <f t="shared" si="68"/>
        <v>1</v>
      </c>
      <c r="AN22" s="45">
        <f t="shared" si="248"/>
        <v>1.0061955925025488</v>
      </c>
      <c r="AO22" s="18">
        <f t="shared" si="69"/>
        <v>0</v>
      </c>
      <c r="AP22" s="18">
        <f t="shared" si="70"/>
        <v>0</v>
      </c>
      <c r="AQ22" s="18">
        <f t="shared" si="71"/>
        <v>0</v>
      </c>
      <c r="AR22" s="18">
        <f t="shared" si="72"/>
        <v>0</v>
      </c>
      <c r="AS22" s="18">
        <f t="shared" si="73"/>
        <v>0</v>
      </c>
      <c r="AT22" s="18">
        <f t="shared" si="74"/>
        <v>0</v>
      </c>
      <c r="AU22" s="19">
        <f t="shared" si="75"/>
        <v>0.87888400909732567</v>
      </c>
      <c r="AV22" s="18">
        <f t="shared" si="76"/>
        <v>8.2346482628813424E-3</v>
      </c>
      <c r="AW22" s="18">
        <f t="shared" si="77"/>
        <v>0</v>
      </c>
      <c r="AX22" s="18">
        <f t="shared" si="78"/>
        <v>0</v>
      </c>
      <c r="AY22" s="18">
        <f t="shared" si="79"/>
        <v>0</v>
      </c>
      <c r="AZ22" s="20">
        <f t="shared" si="80"/>
        <v>0</v>
      </c>
      <c r="BA22" s="20">
        <f t="shared" si="81"/>
        <v>0</v>
      </c>
      <c r="BB22" s="20">
        <f t="shared" si="82"/>
        <v>0.11288134263979296</v>
      </c>
      <c r="BC22" s="18">
        <f t="shared" si="83"/>
        <v>0</v>
      </c>
      <c r="BD22" s="49">
        <f t="shared" si="84"/>
        <v>1</v>
      </c>
      <c r="BF22" s="45">
        <f t="shared" si="249"/>
        <v>1.0061817349546702</v>
      </c>
      <c r="BG22" s="18">
        <f t="shared" si="85"/>
        <v>0</v>
      </c>
      <c r="BH22" s="18">
        <f t="shared" si="86"/>
        <v>0</v>
      </c>
      <c r="BI22" s="18">
        <f t="shared" si="87"/>
        <v>0</v>
      </c>
      <c r="BJ22" s="18">
        <f t="shared" si="88"/>
        <v>0</v>
      </c>
      <c r="BK22" s="18">
        <f t="shared" si="89"/>
        <v>0</v>
      </c>
      <c r="BL22" s="18">
        <f t="shared" si="90"/>
        <v>2.2251702785065506E-3</v>
      </c>
      <c r="BM22" s="19">
        <f t="shared" si="91"/>
        <v>0.88156796093872514</v>
      </c>
      <c r="BN22" s="18">
        <f t="shared" si="92"/>
        <v>0</v>
      </c>
      <c r="BO22" s="18">
        <f t="shared" si="93"/>
        <v>0</v>
      </c>
      <c r="BP22" s="18">
        <f t="shared" si="94"/>
        <v>0</v>
      </c>
      <c r="BQ22" s="18">
        <f t="shared" si="95"/>
        <v>0</v>
      </c>
      <c r="BR22" s="20">
        <f t="shared" si="96"/>
        <v>0</v>
      </c>
      <c r="BS22" s="20">
        <f t="shared" si="97"/>
        <v>7.4278303106337712E-3</v>
      </c>
      <c r="BT22" s="20">
        <f t="shared" si="98"/>
        <v>0.10877903847213451</v>
      </c>
      <c r="BU22" s="18">
        <f t="shared" si="99"/>
        <v>0</v>
      </c>
      <c r="BV22" s="49">
        <f t="shared" si="100"/>
        <v>1</v>
      </c>
      <c r="BX22" s="45">
        <f t="shared" si="250"/>
        <v>1.012489094761331</v>
      </c>
      <c r="BY22" s="18">
        <f t="shared" si="101"/>
        <v>0</v>
      </c>
      <c r="BZ22" s="18">
        <f t="shared" si="102"/>
        <v>0</v>
      </c>
      <c r="CA22" s="18">
        <f t="shared" si="103"/>
        <v>0</v>
      </c>
      <c r="CB22" s="18">
        <f t="shared" si="104"/>
        <v>0</v>
      </c>
      <c r="CC22" s="18">
        <f t="shared" si="105"/>
        <v>0</v>
      </c>
      <c r="CD22" s="18">
        <f t="shared" si="106"/>
        <v>0</v>
      </c>
      <c r="CE22" s="19">
        <f t="shared" si="107"/>
        <v>0.91566615429354825</v>
      </c>
      <c r="CF22" s="18">
        <f t="shared" si="108"/>
        <v>1.635785800340659E-2</v>
      </c>
      <c r="CG22" s="18">
        <f t="shared" si="109"/>
        <v>0</v>
      </c>
      <c r="CH22" s="18">
        <f t="shared" si="110"/>
        <v>0</v>
      </c>
      <c r="CI22" s="18">
        <f t="shared" si="111"/>
        <v>0</v>
      </c>
      <c r="CJ22" s="20">
        <f t="shared" si="112"/>
        <v>0</v>
      </c>
      <c r="CK22" s="20">
        <f t="shared" si="113"/>
        <v>2.3628017116031738E-3</v>
      </c>
      <c r="CL22" s="20">
        <f t="shared" si="114"/>
        <v>6.5613185991441988E-2</v>
      </c>
      <c r="CM22" s="18">
        <f t="shared" si="115"/>
        <v>0</v>
      </c>
      <c r="CN22" s="49">
        <f t="shared" si="116"/>
        <v>1</v>
      </c>
      <c r="CP22" s="45">
        <f t="shared" si="251"/>
        <v>1.004000308606257</v>
      </c>
      <c r="CQ22" s="18">
        <f t="shared" si="117"/>
        <v>0</v>
      </c>
      <c r="CR22" s="18">
        <f t="shared" si="118"/>
        <v>0</v>
      </c>
      <c r="CS22" s="18">
        <f t="shared" si="119"/>
        <v>0</v>
      </c>
      <c r="CT22" s="18">
        <f t="shared" si="120"/>
        <v>0</v>
      </c>
      <c r="CU22" s="18">
        <f t="shared" si="121"/>
        <v>0</v>
      </c>
      <c r="CV22" s="18">
        <f t="shared" si="122"/>
        <v>0</v>
      </c>
      <c r="CW22" s="19">
        <f t="shared" si="123"/>
        <v>0.96391235582301427</v>
      </c>
      <c r="CX22" s="18">
        <f t="shared" si="124"/>
        <v>2.0252285615090845E-3</v>
      </c>
      <c r="CY22" s="18">
        <f t="shared" si="125"/>
        <v>0</v>
      </c>
      <c r="CZ22" s="18">
        <f t="shared" si="126"/>
        <v>0</v>
      </c>
      <c r="DA22" s="18">
        <f t="shared" si="127"/>
        <v>0</v>
      </c>
      <c r="DB22" s="20">
        <f t="shared" si="128"/>
        <v>0</v>
      </c>
      <c r="DC22" s="20">
        <f t="shared" si="129"/>
        <v>0</v>
      </c>
      <c r="DD22" s="20">
        <f t="shared" si="130"/>
        <v>3.4062415615476606E-2</v>
      </c>
      <c r="DE22" s="18">
        <f t="shared" si="131"/>
        <v>0</v>
      </c>
      <c r="DF22" s="49">
        <f t="shared" si="132"/>
        <v>1</v>
      </c>
      <c r="DH22" s="45">
        <f t="shared" si="252"/>
        <v>1.0024076582051371</v>
      </c>
      <c r="DI22" s="18">
        <f t="shared" si="133"/>
        <v>0</v>
      </c>
      <c r="DJ22" s="18">
        <f t="shared" si="134"/>
        <v>0</v>
      </c>
      <c r="DK22" s="18">
        <f t="shared" si="135"/>
        <v>0</v>
      </c>
      <c r="DL22" s="18">
        <f t="shared" si="136"/>
        <v>0</v>
      </c>
      <c r="DM22" s="18">
        <f t="shared" si="137"/>
        <v>0</v>
      </c>
      <c r="DN22" s="18">
        <f t="shared" si="138"/>
        <v>0</v>
      </c>
      <c r="DO22" s="19">
        <f t="shared" si="139"/>
        <v>0.98218564433795186</v>
      </c>
      <c r="DP22" s="18">
        <f t="shared" si="140"/>
        <v>0</v>
      </c>
      <c r="DQ22" s="18">
        <f t="shared" si="141"/>
        <v>0</v>
      </c>
      <c r="DR22" s="18">
        <f t="shared" si="142"/>
        <v>0</v>
      </c>
      <c r="DS22" s="18">
        <f t="shared" si="143"/>
        <v>0</v>
      </c>
      <c r="DT22" s="20">
        <f t="shared" si="144"/>
        <v>0</v>
      </c>
      <c r="DU22" s="20">
        <f t="shared" si="145"/>
        <v>0</v>
      </c>
      <c r="DV22" s="20">
        <f t="shared" si="146"/>
        <v>1.7814355662048129E-2</v>
      </c>
      <c r="DW22" s="18">
        <f t="shared" si="147"/>
        <v>0</v>
      </c>
      <c r="DX22" s="49">
        <f t="shared" si="148"/>
        <v>1</v>
      </c>
      <c r="DZ22" s="45">
        <f t="shared" si="253"/>
        <v>1.0062204592801154</v>
      </c>
      <c r="EA22" s="18">
        <f t="shared" si="149"/>
        <v>0</v>
      </c>
      <c r="EB22" s="18">
        <f t="shared" si="150"/>
        <v>0</v>
      </c>
      <c r="EC22" s="18">
        <f t="shared" si="151"/>
        <v>0</v>
      </c>
      <c r="ED22" s="18">
        <f t="shared" si="152"/>
        <v>0</v>
      </c>
      <c r="EE22" s="18">
        <f t="shared" si="153"/>
        <v>0</v>
      </c>
      <c r="EF22" s="18">
        <f t="shared" si="154"/>
        <v>0</v>
      </c>
      <c r="EG22" s="19">
        <f t="shared" si="155"/>
        <v>0.88721497459261156</v>
      </c>
      <c r="EH22" s="18">
        <f t="shared" si="156"/>
        <v>3.0757672617745022E-2</v>
      </c>
      <c r="EI22" s="18">
        <f t="shared" si="157"/>
        <v>0</v>
      </c>
      <c r="EJ22" s="18">
        <f t="shared" si="158"/>
        <v>0</v>
      </c>
      <c r="EK22" s="18">
        <f t="shared" si="159"/>
        <v>0</v>
      </c>
      <c r="EL22" s="20">
        <f t="shared" si="160"/>
        <v>0</v>
      </c>
      <c r="EM22" s="20">
        <f t="shared" si="161"/>
        <v>0</v>
      </c>
      <c r="EN22" s="20">
        <f t="shared" si="162"/>
        <v>8.2027352789643362E-2</v>
      </c>
      <c r="EO22" s="18">
        <f t="shared" si="163"/>
        <v>0</v>
      </c>
      <c r="EP22" s="49">
        <f t="shared" si="164"/>
        <v>1</v>
      </c>
      <c r="ER22" s="45">
        <f t="shared" si="254"/>
        <v>1.0153682534549029</v>
      </c>
      <c r="ES22" s="18">
        <f t="shared" si="165"/>
        <v>0</v>
      </c>
      <c r="ET22" s="18">
        <f t="shared" si="166"/>
        <v>0</v>
      </c>
      <c r="EU22" s="18">
        <f t="shared" si="167"/>
        <v>0</v>
      </c>
      <c r="EV22" s="18">
        <f t="shared" si="168"/>
        <v>0</v>
      </c>
      <c r="EW22" s="18">
        <f t="shared" si="169"/>
        <v>0</v>
      </c>
      <c r="EX22" s="18">
        <f t="shared" si="170"/>
        <v>0</v>
      </c>
      <c r="EY22" s="19">
        <f t="shared" si="171"/>
        <v>0.90268431331086041</v>
      </c>
      <c r="EZ22" s="18">
        <f t="shared" si="172"/>
        <v>6.5304193151145004E-3</v>
      </c>
      <c r="FA22" s="18">
        <f t="shared" si="173"/>
        <v>0</v>
      </c>
      <c r="FB22" s="18">
        <f t="shared" si="174"/>
        <v>0</v>
      </c>
      <c r="FC22" s="18">
        <f t="shared" si="175"/>
        <v>0</v>
      </c>
      <c r="FD22" s="20">
        <f t="shared" si="176"/>
        <v>0</v>
      </c>
      <c r="FE22" s="20">
        <f t="shared" si="177"/>
        <v>0</v>
      </c>
      <c r="FF22" s="20">
        <f t="shared" si="178"/>
        <v>9.0785267374025105E-2</v>
      </c>
      <c r="FG22" s="18">
        <f t="shared" si="179"/>
        <v>0</v>
      </c>
      <c r="FH22" s="49">
        <f t="shared" si="180"/>
        <v>1</v>
      </c>
      <c r="FJ22" s="45">
        <f t="shared" si="255"/>
        <v>1.0131176693042496</v>
      </c>
      <c r="FK22" s="18">
        <f t="shared" si="181"/>
        <v>0</v>
      </c>
      <c r="FL22" s="18">
        <f t="shared" si="182"/>
        <v>0</v>
      </c>
      <c r="FM22" s="18">
        <f t="shared" si="183"/>
        <v>0</v>
      </c>
      <c r="FN22" s="18">
        <f t="shared" si="184"/>
        <v>0</v>
      </c>
      <c r="FO22" s="18">
        <f t="shared" si="185"/>
        <v>0</v>
      </c>
      <c r="FP22" s="18">
        <f t="shared" si="186"/>
        <v>0</v>
      </c>
      <c r="FQ22" s="19">
        <f t="shared" si="187"/>
        <v>0.89255289359503243</v>
      </c>
      <c r="FR22" s="18">
        <f t="shared" si="188"/>
        <v>3.3342667355652229E-2</v>
      </c>
      <c r="FS22" s="18">
        <f t="shared" si="189"/>
        <v>0</v>
      </c>
      <c r="FT22" s="18">
        <f t="shared" si="190"/>
        <v>0</v>
      </c>
      <c r="FU22" s="18">
        <f t="shared" si="191"/>
        <v>0</v>
      </c>
      <c r="FV22" s="20">
        <f t="shared" si="192"/>
        <v>0</v>
      </c>
      <c r="FW22" s="20">
        <f t="shared" si="193"/>
        <v>0</v>
      </c>
      <c r="FX22" s="20">
        <f t="shared" si="194"/>
        <v>7.4104439049315393E-2</v>
      </c>
      <c r="FY22" s="18">
        <f t="shared" si="195"/>
        <v>0</v>
      </c>
      <c r="FZ22" s="49">
        <f t="shared" si="196"/>
        <v>1</v>
      </c>
      <c r="GB22" s="45">
        <f t="shared" si="256"/>
        <v>1.012624431785488</v>
      </c>
      <c r="GC22" s="18">
        <f t="shared" si="197"/>
        <v>0</v>
      </c>
      <c r="GD22" s="18">
        <f t="shared" si="198"/>
        <v>0</v>
      </c>
      <c r="GE22" s="18">
        <f t="shared" si="199"/>
        <v>0</v>
      </c>
      <c r="GF22" s="18">
        <f t="shared" si="200"/>
        <v>0</v>
      </c>
      <c r="GG22" s="18">
        <f t="shared" si="201"/>
        <v>0</v>
      </c>
      <c r="GH22" s="18">
        <f t="shared" si="202"/>
        <v>0</v>
      </c>
      <c r="GI22" s="19">
        <f t="shared" si="203"/>
        <v>0.82225674664825366</v>
      </c>
      <c r="GJ22" s="18">
        <f t="shared" si="204"/>
        <v>0.12673341389032741</v>
      </c>
      <c r="GK22" s="18">
        <f t="shared" si="205"/>
        <v>0</v>
      </c>
      <c r="GL22" s="18">
        <f t="shared" si="206"/>
        <v>0</v>
      </c>
      <c r="GM22" s="18">
        <f t="shared" si="207"/>
        <v>0</v>
      </c>
      <c r="GN22" s="20">
        <f t="shared" si="208"/>
        <v>0</v>
      </c>
      <c r="GO22" s="20">
        <f t="shared" si="209"/>
        <v>0</v>
      </c>
      <c r="GP22" s="20">
        <f t="shared" si="210"/>
        <v>5.1009839461418953E-2</v>
      </c>
      <c r="GQ22" s="18">
        <f t="shared" si="211"/>
        <v>0</v>
      </c>
      <c r="GR22" s="49">
        <f t="shared" si="212"/>
        <v>1</v>
      </c>
      <c r="GT22" s="45">
        <f t="shared" si="257"/>
        <v>1.0025406232282497</v>
      </c>
      <c r="GU22" s="18">
        <f t="shared" si="213"/>
        <v>0</v>
      </c>
      <c r="GV22" s="18">
        <f t="shared" si="214"/>
        <v>0</v>
      </c>
      <c r="GW22" s="18">
        <f t="shared" si="215"/>
        <v>0</v>
      </c>
      <c r="GX22" s="18">
        <f t="shared" si="216"/>
        <v>0</v>
      </c>
      <c r="GY22" s="18">
        <f t="shared" si="217"/>
        <v>0</v>
      </c>
      <c r="GZ22" s="18">
        <f t="shared" si="218"/>
        <v>0</v>
      </c>
      <c r="HA22" s="19">
        <f t="shared" si="219"/>
        <v>0.87256233887100054</v>
      </c>
      <c r="HB22" s="18">
        <f t="shared" si="220"/>
        <v>5.5251869363827942E-2</v>
      </c>
      <c r="HC22" s="18">
        <f t="shared" si="221"/>
        <v>0</v>
      </c>
      <c r="HD22" s="18">
        <f t="shared" si="222"/>
        <v>0</v>
      </c>
      <c r="HE22" s="18">
        <f t="shared" si="223"/>
        <v>0</v>
      </c>
      <c r="HF22" s="20">
        <f t="shared" si="224"/>
        <v>0</v>
      </c>
      <c r="HG22" s="20">
        <f t="shared" si="225"/>
        <v>0</v>
      </c>
      <c r="HH22" s="20">
        <f t="shared" si="226"/>
        <v>7.2185791765171536E-2</v>
      </c>
      <c r="HI22" s="18">
        <f t="shared" si="227"/>
        <v>0</v>
      </c>
      <c r="HJ22" s="49">
        <f t="shared" si="228"/>
        <v>1</v>
      </c>
      <c r="HL22" s="45">
        <f t="shared" si="258"/>
        <v>1.00826210472776</v>
      </c>
      <c r="HM22" s="18">
        <f t="shared" si="229"/>
        <v>0</v>
      </c>
      <c r="HN22" s="18">
        <f t="shared" si="230"/>
        <v>0</v>
      </c>
      <c r="HO22" s="18">
        <f t="shared" si="231"/>
        <v>0</v>
      </c>
      <c r="HP22" s="18">
        <f t="shared" si="232"/>
        <v>0</v>
      </c>
      <c r="HQ22" s="18">
        <f t="shared" si="233"/>
        <v>0</v>
      </c>
      <c r="HR22" s="18">
        <f t="shared" si="234"/>
        <v>0</v>
      </c>
      <c r="HS22" s="19">
        <f t="shared" si="235"/>
        <v>0.84904911362254831</v>
      </c>
      <c r="HT22" s="18">
        <f t="shared" si="236"/>
        <v>3.4115297299309011E-2</v>
      </c>
      <c r="HU22" s="18">
        <f t="shared" si="237"/>
        <v>0</v>
      </c>
      <c r="HV22" s="18">
        <f t="shared" si="238"/>
        <v>0</v>
      </c>
      <c r="HW22" s="18">
        <f t="shared" si="239"/>
        <v>0</v>
      </c>
      <c r="HX22" s="20">
        <f t="shared" si="240"/>
        <v>0</v>
      </c>
      <c r="HY22" s="20">
        <f t="shared" si="241"/>
        <v>0</v>
      </c>
      <c r="HZ22" s="20">
        <f t="shared" si="242"/>
        <v>0.11683558907814263</v>
      </c>
      <c r="IA22" s="18">
        <f t="shared" si="243"/>
        <v>0</v>
      </c>
      <c r="IB22" s="49">
        <f t="shared" si="244"/>
        <v>1</v>
      </c>
    </row>
    <row r="23" spans="2:236" s="11" customFormat="1" x14ac:dyDescent="0.35">
      <c r="B23" s="17" t="s">
        <v>76</v>
      </c>
      <c r="C23" s="17"/>
      <c r="D23" s="45">
        <f t="shared" si="245"/>
        <v>1.0107816711590296</v>
      </c>
      <c r="E23" s="18">
        <f t="shared" si="246"/>
        <v>0</v>
      </c>
      <c r="F23" s="18">
        <f t="shared" si="38"/>
        <v>0</v>
      </c>
      <c r="G23" s="18">
        <f t="shared" si="39"/>
        <v>0</v>
      </c>
      <c r="H23" s="18">
        <f t="shared" si="40"/>
        <v>0</v>
      </c>
      <c r="I23" s="18">
        <f t="shared" si="41"/>
        <v>0</v>
      </c>
      <c r="J23" s="18">
        <f t="shared" si="42"/>
        <v>0</v>
      </c>
      <c r="K23" s="18">
        <f t="shared" si="43"/>
        <v>0</v>
      </c>
      <c r="L23" s="18">
        <f t="shared" si="44"/>
        <v>0</v>
      </c>
      <c r="M23" s="18">
        <f t="shared" si="45"/>
        <v>0</v>
      </c>
      <c r="N23" s="18">
        <f t="shared" si="46"/>
        <v>0</v>
      </c>
      <c r="O23" s="18">
        <f t="shared" si="47"/>
        <v>0</v>
      </c>
      <c r="P23" s="20">
        <f t="shared" si="48"/>
        <v>0</v>
      </c>
      <c r="Q23" s="20">
        <f t="shared" si="49"/>
        <v>0</v>
      </c>
      <c r="R23" s="20">
        <f t="shared" si="50"/>
        <v>2.5438005390835579E-2</v>
      </c>
      <c r="S23" s="18">
        <f t="shared" si="51"/>
        <v>0.97456199460916437</v>
      </c>
      <c r="T23" s="49">
        <f t="shared" si="52"/>
        <v>1</v>
      </c>
      <c r="V23" s="45">
        <f t="shared" si="247"/>
        <v>1</v>
      </c>
      <c r="W23" s="18">
        <f t="shared" si="53"/>
        <v>0</v>
      </c>
      <c r="X23" s="18">
        <f t="shared" si="54"/>
        <v>0</v>
      </c>
      <c r="Y23" s="18">
        <f t="shared" si="55"/>
        <v>0</v>
      </c>
      <c r="Z23" s="18">
        <f t="shared" si="56"/>
        <v>0</v>
      </c>
      <c r="AA23" s="18">
        <f t="shared" si="57"/>
        <v>0</v>
      </c>
      <c r="AB23" s="18">
        <f t="shared" si="58"/>
        <v>0</v>
      </c>
      <c r="AC23" s="18">
        <f t="shared" si="59"/>
        <v>0</v>
      </c>
      <c r="AD23" s="18">
        <f t="shared" si="60"/>
        <v>0</v>
      </c>
      <c r="AE23" s="18">
        <f t="shared" si="61"/>
        <v>0</v>
      </c>
      <c r="AF23" s="18">
        <f t="shared" si="62"/>
        <v>0</v>
      </c>
      <c r="AG23" s="18">
        <f t="shared" si="63"/>
        <v>0</v>
      </c>
      <c r="AH23" s="20">
        <f t="shared" si="64"/>
        <v>0</v>
      </c>
      <c r="AI23" s="20">
        <f t="shared" si="65"/>
        <v>0</v>
      </c>
      <c r="AJ23" s="20">
        <f t="shared" si="66"/>
        <v>0</v>
      </c>
      <c r="AK23" s="18">
        <f t="shared" si="67"/>
        <v>1</v>
      </c>
      <c r="AL23" s="49">
        <f t="shared" si="68"/>
        <v>1</v>
      </c>
      <c r="AN23" s="45">
        <f t="shared" si="248"/>
        <v>0</v>
      </c>
      <c r="AO23" s="18">
        <f t="shared" si="69"/>
        <v>0</v>
      </c>
      <c r="AP23" s="18">
        <f t="shared" si="70"/>
        <v>0</v>
      </c>
      <c r="AQ23" s="18">
        <f t="shared" si="71"/>
        <v>0</v>
      </c>
      <c r="AR23" s="18">
        <f t="shared" si="72"/>
        <v>0</v>
      </c>
      <c r="AS23" s="18">
        <f t="shared" si="73"/>
        <v>0</v>
      </c>
      <c r="AT23" s="18">
        <f t="shared" si="74"/>
        <v>0</v>
      </c>
      <c r="AU23" s="18">
        <f t="shared" si="75"/>
        <v>0</v>
      </c>
      <c r="AV23" s="18">
        <f t="shared" si="76"/>
        <v>0</v>
      </c>
      <c r="AW23" s="18">
        <f t="shared" si="77"/>
        <v>0</v>
      </c>
      <c r="AX23" s="18">
        <f t="shared" si="78"/>
        <v>0</v>
      </c>
      <c r="AY23" s="18">
        <f t="shared" si="79"/>
        <v>0</v>
      </c>
      <c r="AZ23" s="20">
        <f t="shared" si="80"/>
        <v>0</v>
      </c>
      <c r="BA23" s="20">
        <f t="shared" si="81"/>
        <v>0</v>
      </c>
      <c r="BB23" s="20">
        <f t="shared" si="82"/>
        <v>0</v>
      </c>
      <c r="BC23" s="18">
        <f t="shared" si="83"/>
        <v>0</v>
      </c>
      <c r="BD23" s="49">
        <f t="shared" si="84"/>
        <v>0</v>
      </c>
      <c r="BF23" s="45">
        <f t="shared" si="249"/>
        <v>0</v>
      </c>
      <c r="BG23" s="18">
        <f t="shared" si="85"/>
        <v>0</v>
      </c>
      <c r="BH23" s="18">
        <f t="shared" si="86"/>
        <v>0</v>
      </c>
      <c r="BI23" s="18">
        <f t="shared" si="87"/>
        <v>0</v>
      </c>
      <c r="BJ23" s="18">
        <f t="shared" si="88"/>
        <v>0</v>
      </c>
      <c r="BK23" s="18">
        <f t="shared" si="89"/>
        <v>0</v>
      </c>
      <c r="BL23" s="18">
        <f t="shared" si="90"/>
        <v>0</v>
      </c>
      <c r="BM23" s="18">
        <f t="shared" si="91"/>
        <v>0</v>
      </c>
      <c r="BN23" s="18">
        <f t="shared" si="92"/>
        <v>0</v>
      </c>
      <c r="BO23" s="18">
        <f t="shared" si="93"/>
        <v>0</v>
      </c>
      <c r="BP23" s="18">
        <f t="shared" si="94"/>
        <v>0</v>
      </c>
      <c r="BQ23" s="18">
        <f t="shared" si="95"/>
        <v>0</v>
      </c>
      <c r="BR23" s="20">
        <f t="shared" si="96"/>
        <v>0</v>
      </c>
      <c r="BS23" s="20">
        <f t="shared" si="97"/>
        <v>0</v>
      </c>
      <c r="BT23" s="20">
        <f t="shared" si="98"/>
        <v>0</v>
      </c>
      <c r="BU23" s="18">
        <f t="shared" si="99"/>
        <v>0</v>
      </c>
      <c r="BV23" s="49">
        <f t="shared" si="100"/>
        <v>0</v>
      </c>
      <c r="BX23" s="45">
        <f t="shared" si="250"/>
        <v>0</v>
      </c>
      <c r="BY23" s="18">
        <f t="shared" si="101"/>
        <v>0</v>
      </c>
      <c r="BZ23" s="18">
        <f t="shared" si="102"/>
        <v>0</v>
      </c>
      <c r="CA23" s="18">
        <f t="shared" si="103"/>
        <v>0</v>
      </c>
      <c r="CB23" s="18">
        <f t="shared" si="104"/>
        <v>0</v>
      </c>
      <c r="CC23" s="18">
        <f t="shared" si="105"/>
        <v>0</v>
      </c>
      <c r="CD23" s="18">
        <f t="shared" si="106"/>
        <v>0</v>
      </c>
      <c r="CE23" s="18">
        <f t="shared" si="107"/>
        <v>0</v>
      </c>
      <c r="CF23" s="18">
        <f t="shared" si="108"/>
        <v>0</v>
      </c>
      <c r="CG23" s="18">
        <f t="shared" si="109"/>
        <v>0</v>
      </c>
      <c r="CH23" s="18">
        <f t="shared" si="110"/>
        <v>0</v>
      </c>
      <c r="CI23" s="18">
        <f t="shared" si="111"/>
        <v>0</v>
      </c>
      <c r="CJ23" s="20">
        <f t="shared" si="112"/>
        <v>0</v>
      </c>
      <c r="CK23" s="20">
        <f t="shared" si="113"/>
        <v>0</v>
      </c>
      <c r="CL23" s="20">
        <f t="shared" si="114"/>
        <v>0</v>
      </c>
      <c r="CM23" s="18">
        <f t="shared" si="115"/>
        <v>0</v>
      </c>
      <c r="CN23" s="49">
        <f t="shared" si="116"/>
        <v>0</v>
      </c>
      <c r="CP23" s="45">
        <f t="shared" si="251"/>
        <v>0</v>
      </c>
      <c r="CQ23" s="18">
        <f t="shared" si="117"/>
        <v>0</v>
      </c>
      <c r="CR23" s="18">
        <f t="shared" si="118"/>
        <v>0</v>
      </c>
      <c r="CS23" s="18">
        <f t="shared" si="119"/>
        <v>0</v>
      </c>
      <c r="CT23" s="18">
        <f t="shared" si="120"/>
        <v>0</v>
      </c>
      <c r="CU23" s="18">
        <f t="shared" si="121"/>
        <v>0</v>
      </c>
      <c r="CV23" s="18">
        <f t="shared" si="122"/>
        <v>0</v>
      </c>
      <c r="CW23" s="18">
        <f t="shared" si="123"/>
        <v>0</v>
      </c>
      <c r="CX23" s="18">
        <f t="shared" si="124"/>
        <v>0</v>
      </c>
      <c r="CY23" s="18">
        <f t="shared" si="125"/>
        <v>0</v>
      </c>
      <c r="CZ23" s="18">
        <f t="shared" si="126"/>
        <v>0</v>
      </c>
      <c r="DA23" s="18">
        <f t="shared" si="127"/>
        <v>0</v>
      </c>
      <c r="DB23" s="20">
        <f t="shared" si="128"/>
        <v>0</v>
      </c>
      <c r="DC23" s="20">
        <f t="shared" si="129"/>
        <v>0</v>
      </c>
      <c r="DD23" s="20">
        <f t="shared" si="130"/>
        <v>0</v>
      </c>
      <c r="DE23" s="18">
        <f t="shared" si="131"/>
        <v>0</v>
      </c>
      <c r="DF23" s="49">
        <f t="shared" si="132"/>
        <v>0</v>
      </c>
      <c r="DH23" s="45">
        <f t="shared" si="252"/>
        <v>0</v>
      </c>
      <c r="DI23" s="18">
        <f t="shared" si="133"/>
        <v>0</v>
      </c>
      <c r="DJ23" s="18">
        <f t="shared" si="134"/>
        <v>0</v>
      </c>
      <c r="DK23" s="18">
        <f t="shared" si="135"/>
        <v>0</v>
      </c>
      <c r="DL23" s="18">
        <f t="shared" si="136"/>
        <v>0</v>
      </c>
      <c r="DM23" s="18">
        <f t="shared" si="137"/>
        <v>0</v>
      </c>
      <c r="DN23" s="18">
        <f t="shared" si="138"/>
        <v>0</v>
      </c>
      <c r="DO23" s="18">
        <f t="shared" si="139"/>
        <v>0</v>
      </c>
      <c r="DP23" s="18">
        <f t="shared" si="140"/>
        <v>0</v>
      </c>
      <c r="DQ23" s="18">
        <f t="shared" si="141"/>
        <v>0</v>
      </c>
      <c r="DR23" s="18">
        <f t="shared" si="142"/>
        <v>0</v>
      </c>
      <c r="DS23" s="18">
        <f t="shared" si="143"/>
        <v>0</v>
      </c>
      <c r="DT23" s="20">
        <f t="shared" si="144"/>
        <v>0</v>
      </c>
      <c r="DU23" s="20">
        <f t="shared" si="145"/>
        <v>0</v>
      </c>
      <c r="DV23" s="20">
        <f t="shared" si="146"/>
        <v>0</v>
      </c>
      <c r="DW23" s="18">
        <f t="shared" si="147"/>
        <v>0</v>
      </c>
      <c r="DX23" s="49">
        <f t="shared" si="148"/>
        <v>0</v>
      </c>
      <c r="DZ23" s="45">
        <f t="shared" si="253"/>
        <v>0</v>
      </c>
      <c r="EA23" s="18">
        <f t="shared" si="149"/>
        <v>0</v>
      </c>
      <c r="EB23" s="18">
        <f t="shared" si="150"/>
        <v>0</v>
      </c>
      <c r="EC23" s="18">
        <f t="shared" si="151"/>
        <v>0</v>
      </c>
      <c r="ED23" s="18">
        <f t="shared" si="152"/>
        <v>0</v>
      </c>
      <c r="EE23" s="18">
        <f t="shared" si="153"/>
        <v>0</v>
      </c>
      <c r="EF23" s="18">
        <f t="shared" si="154"/>
        <v>0</v>
      </c>
      <c r="EG23" s="18">
        <f t="shared" si="155"/>
        <v>0</v>
      </c>
      <c r="EH23" s="18">
        <f t="shared" si="156"/>
        <v>0</v>
      </c>
      <c r="EI23" s="18">
        <f t="shared" si="157"/>
        <v>0</v>
      </c>
      <c r="EJ23" s="18">
        <f t="shared" si="158"/>
        <v>0</v>
      </c>
      <c r="EK23" s="18">
        <f t="shared" si="159"/>
        <v>0</v>
      </c>
      <c r="EL23" s="20">
        <f t="shared" si="160"/>
        <v>0</v>
      </c>
      <c r="EM23" s="20">
        <f t="shared" si="161"/>
        <v>0</v>
      </c>
      <c r="EN23" s="20">
        <f t="shared" si="162"/>
        <v>0</v>
      </c>
      <c r="EO23" s="18">
        <f t="shared" si="163"/>
        <v>0</v>
      </c>
      <c r="EP23" s="49">
        <f t="shared" si="164"/>
        <v>0</v>
      </c>
      <c r="ER23" s="45">
        <f t="shared" si="254"/>
        <v>0</v>
      </c>
      <c r="ES23" s="18">
        <f t="shared" si="165"/>
        <v>0</v>
      </c>
      <c r="ET23" s="18">
        <f t="shared" si="166"/>
        <v>0</v>
      </c>
      <c r="EU23" s="18">
        <f t="shared" si="167"/>
        <v>0</v>
      </c>
      <c r="EV23" s="18">
        <f t="shared" si="168"/>
        <v>0</v>
      </c>
      <c r="EW23" s="18">
        <f t="shared" si="169"/>
        <v>0</v>
      </c>
      <c r="EX23" s="18">
        <f t="shared" si="170"/>
        <v>0</v>
      </c>
      <c r="EY23" s="18">
        <f t="shared" si="171"/>
        <v>0</v>
      </c>
      <c r="EZ23" s="18">
        <f t="shared" si="172"/>
        <v>0</v>
      </c>
      <c r="FA23" s="18">
        <f t="shared" si="173"/>
        <v>0</v>
      </c>
      <c r="FB23" s="18">
        <f t="shared" si="174"/>
        <v>0</v>
      </c>
      <c r="FC23" s="18">
        <f t="shared" si="175"/>
        <v>0</v>
      </c>
      <c r="FD23" s="20">
        <f t="shared" si="176"/>
        <v>0</v>
      </c>
      <c r="FE23" s="20">
        <f t="shared" si="177"/>
        <v>0</v>
      </c>
      <c r="FF23" s="20">
        <f t="shared" si="178"/>
        <v>0</v>
      </c>
      <c r="FG23" s="18">
        <f t="shared" si="179"/>
        <v>0</v>
      </c>
      <c r="FH23" s="49">
        <f t="shared" si="180"/>
        <v>0</v>
      </c>
      <c r="FJ23" s="45">
        <f t="shared" si="255"/>
        <v>1.0138248847926268</v>
      </c>
      <c r="FK23" s="18">
        <f t="shared" si="181"/>
        <v>0</v>
      </c>
      <c r="FL23" s="18">
        <f t="shared" si="182"/>
        <v>0</v>
      </c>
      <c r="FM23" s="18">
        <f t="shared" si="183"/>
        <v>0</v>
      </c>
      <c r="FN23" s="18">
        <f t="shared" si="184"/>
        <v>0</v>
      </c>
      <c r="FO23" s="18">
        <f t="shared" si="185"/>
        <v>0</v>
      </c>
      <c r="FP23" s="18">
        <f t="shared" si="186"/>
        <v>0</v>
      </c>
      <c r="FQ23" s="18">
        <f t="shared" si="187"/>
        <v>0</v>
      </c>
      <c r="FR23" s="18">
        <f t="shared" si="188"/>
        <v>0</v>
      </c>
      <c r="FS23" s="18">
        <f t="shared" si="189"/>
        <v>0</v>
      </c>
      <c r="FT23" s="18">
        <f t="shared" si="190"/>
        <v>0</v>
      </c>
      <c r="FU23" s="18">
        <f t="shared" si="191"/>
        <v>0</v>
      </c>
      <c r="FV23" s="20">
        <f t="shared" si="192"/>
        <v>0</v>
      </c>
      <c r="FW23" s="20">
        <f t="shared" si="193"/>
        <v>0</v>
      </c>
      <c r="FX23" s="20">
        <f t="shared" si="194"/>
        <v>3.2258064516129031E-2</v>
      </c>
      <c r="FY23" s="18">
        <f t="shared" si="195"/>
        <v>0.967741935483871</v>
      </c>
      <c r="FZ23" s="49">
        <f t="shared" si="196"/>
        <v>1</v>
      </c>
      <c r="GB23" s="45">
        <f t="shared" si="256"/>
        <v>1.0101010101010102</v>
      </c>
      <c r="GC23" s="18">
        <f t="shared" si="197"/>
        <v>0</v>
      </c>
      <c r="GD23" s="18">
        <f t="shared" si="198"/>
        <v>0</v>
      </c>
      <c r="GE23" s="18">
        <f t="shared" si="199"/>
        <v>0</v>
      </c>
      <c r="GF23" s="18">
        <f t="shared" si="200"/>
        <v>0</v>
      </c>
      <c r="GG23" s="18">
        <f t="shared" si="201"/>
        <v>0</v>
      </c>
      <c r="GH23" s="18">
        <f t="shared" si="202"/>
        <v>0</v>
      </c>
      <c r="GI23" s="18">
        <f t="shared" si="203"/>
        <v>0</v>
      </c>
      <c r="GJ23" s="18">
        <f t="shared" si="204"/>
        <v>0</v>
      </c>
      <c r="GK23" s="18">
        <f t="shared" si="205"/>
        <v>0</v>
      </c>
      <c r="GL23" s="18">
        <f t="shared" si="206"/>
        <v>0</v>
      </c>
      <c r="GM23" s="18">
        <f t="shared" si="207"/>
        <v>0</v>
      </c>
      <c r="GN23" s="20">
        <f t="shared" si="208"/>
        <v>0</v>
      </c>
      <c r="GO23" s="20">
        <f t="shared" si="209"/>
        <v>0</v>
      </c>
      <c r="GP23" s="20">
        <f t="shared" si="210"/>
        <v>2.7777777777777776E-2</v>
      </c>
      <c r="GQ23" s="18">
        <f t="shared" si="211"/>
        <v>0.97222222222222221</v>
      </c>
      <c r="GR23" s="49">
        <f t="shared" si="212"/>
        <v>1</v>
      </c>
      <c r="GT23" s="45">
        <f t="shared" si="257"/>
        <v>0</v>
      </c>
      <c r="GU23" s="18">
        <f t="shared" si="213"/>
        <v>0</v>
      </c>
      <c r="GV23" s="18">
        <f t="shared" si="214"/>
        <v>0</v>
      </c>
      <c r="GW23" s="18">
        <f t="shared" si="215"/>
        <v>0</v>
      </c>
      <c r="GX23" s="18">
        <f t="shared" si="216"/>
        <v>0</v>
      </c>
      <c r="GY23" s="18">
        <f t="shared" si="217"/>
        <v>0</v>
      </c>
      <c r="GZ23" s="18">
        <f t="shared" si="218"/>
        <v>0</v>
      </c>
      <c r="HA23" s="18">
        <f t="shared" si="219"/>
        <v>0</v>
      </c>
      <c r="HB23" s="18">
        <f t="shared" si="220"/>
        <v>0</v>
      </c>
      <c r="HC23" s="18">
        <f t="shared" si="221"/>
        <v>0</v>
      </c>
      <c r="HD23" s="18">
        <f t="shared" si="222"/>
        <v>0</v>
      </c>
      <c r="HE23" s="18">
        <f t="shared" si="223"/>
        <v>0</v>
      </c>
      <c r="HF23" s="20">
        <f t="shared" si="224"/>
        <v>0</v>
      </c>
      <c r="HG23" s="20">
        <f t="shared" si="225"/>
        <v>0</v>
      </c>
      <c r="HH23" s="20">
        <f t="shared" si="226"/>
        <v>0</v>
      </c>
      <c r="HI23" s="18">
        <f t="shared" si="227"/>
        <v>0</v>
      </c>
      <c r="HJ23" s="49">
        <f t="shared" si="228"/>
        <v>0</v>
      </c>
      <c r="HL23" s="45">
        <f t="shared" si="258"/>
        <v>0</v>
      </c>
      <c r="HM23" s="18">
        <f t="shared" si="229"/>
        <v>0</v>
      </c>
      <c r="HN23" s="18">
        <f t="shared" si="230"/>
        <v>0</v>
      </c>
      <c r="HO23" s="18">
        <f t="shared" si="231"/>
        <v>0</v>
      </c>
      <c r="HP23" s="18">
        <f t="shared" si="232"/>
        <v>0</v>
      </c>
      <c r="HQ23" s="18">
        <f t="shared" si="233"/>
        <v>0</v>
      </c>
      <c r="HR23" s="18">
        <f t="shared" si="234"/>
        <v>0</v>
      </c>
      <c r="HS23" s="18">
        <f t="shared" si="235"/>
        <v>0</v>
      </c>
      <c r="HT23" s="18">
        <f t="shared" si="236"/>
        <v>0</v>
      </c>
      <c r="HU23" s="18">
        <f t="shared" si="237"/>
        <v>0</v>
      </c>
      <c r="HV23" s="18">
        <f t="shared" si="238"/>
        <v>0</v>
      </c>
      <c r="HW23" s="18">
        <f t="shared" si="239"/>
        <v>0</v>
      </c>
      <c r="HX23" s="20">
        <f t="shared" si="240"/>
        <v>0</v>
      </c>
      <c r="HY23" s="20">
        <f t="shared" si="241"/>
        <v>0</v>
      </c>
      <c r="HZ23" s="20">
        <f t="shared" si="242"/>
        <v>0</v>
      </c>
      <c r="IA23" s="18">
        <f t="shared" si="243"/>
        <v>0</v>
      </c>
      <c r="IB23" s="49">
        <f t="shared" si="244"/>
        <v>0</v>
      </c>
    </row>
    <row r="24" spans="2:236" s="11" customFormat="1" x14ac:dyDescent="0.35">
      <c r="B24" s="35" t="s">
        <v>158</v>
      </c>
      <c r="C24" s="17"/>
      <c r="D24" s="45">
        <f t="shared" si="245"/>
        <v>1.0086668787181963</v>
      </c>
      <c r="E24" s="36">
        <f t="shared" si="246"/>
        <v>0.1428897237963381</v>
      </c>
      <c r="F24" s="36">
        <f t="shared" si="38"/>
        <v>0.18145462803690665</v>
      </c>
      <c r="G24" s="36">
        <f t="shared" si="39"/>
        <v>0.51098057216103987</v>
      </c>
      <c r="H24" s="36">
        <f t="shared" si="40"/>
        <v>9.5521324182752301E-3</v>
      </c>
      <c r="I24" s="36">
        <f t="shared" si="41"/>
        <v>6.0974159683343188E-2</v>
      </c>
      <c r="J24" s="36">
        <f t="shared" si="42"/>
        <v>3.1429836670542814E-4</v>
      </c>
      <c r="K24" s="36">
        <f t="shared" si="43"/>
        <v>3.6890246404874948E-2</v>
      </c>
      <c r="L24" s="36">
        <f t="shared" si="44"/>
        <v>1.0321139687711771E-3</v>
      </c>
      <c r="M24" s="36">
        <f t="shared" si="45"/>
        <v>1.1364331009436591E-3</v>
      </c>
      <c r="N24" s="36">
        <f t="shared" si="46"/>
        <v>1.8366595570806611E-3</v>
      </c>
      <c r="O24" s="36">
        <f t="shared" si="47"/>
        <v>6.2561216163060018E-3</v>
      </c>
      <c r="P24" s="37">
        <f t="shared" si="48"/>
        <v>3.4606657659266606E-3</v>
      </c>
      <c r="Q24" s="37">
        <f t="shared" si="49"/>
        <v>3.4084644575777586E-4</v>
      </c>
      <c r="R24" s="37">
        <f t="shared" si="50"/>
        <v>4.2543025461035611E-2</v>
      </c>
      <c r="S24" s="36">
        <f t="shared" si="51"/>
        <v>3.3837321669511611E-4</v>
      </c>
      <c r="T24" s="49">
        <f t="shared" si="52"/>
        <v>1</v>
      </c>
      <c r="V24" s="45">
        <f t="shared" si="247"/>
        <v>1.0092480751669219</v>
      </c>
      <c r="W24" s="36">
        <f t="shared" si="53"/>
        <v>9.5731604951462282E-2</v>
      </c>
      <c r="X24" s="36">
        <f t="shared" si="54"/>
        <v>0.1068867828793892</v>
      </c>
      <c r="Y24" s="36">
        <f t="shared" si="55"/>
        <v>0.67300069628666226</v>
      </c>
      <c r="Z24" s="36">
        <f t="shared" si="56"/>
        <v>1.7958332922511602E-2</v>
      </c>
      <c r="AA24" s="36">
        <f t="shared" si="57"/>
        <v>4.9817022864747117E-2</v>
      </c>
      <c r="AB24" s="36">
        <f t="shared" si="58"/>
        <v>6.9943225714428682E-4</v>
      </c>
      <c r="AC24" s="36">
        <f t="shared" si="59"/>
        <v>1.6720290246940561E-2</v>
      </c>
      <c r="AD24" s="36">
        <f t="shared" si="60"/>
        <v>1.2936589064490323E-4</v>
      </c>
      <c r="AE24" s="36">
        <f t="shared" si="61"/>
        <v>1.1630770715929184E-4</v>
      </c>
      <c r="AF24" s="36">
        <f t="shared" si="62"/>
        <v>9.3046165727433473E-4</v>
      </c>
      <c r="AG24" s="36">
        <f t="shared" si="63"/>
        <v>1.9772310217079613E-3</v>
      </c>
      <c r="AH24" s="37">
        <f t="shared" si="64"/>
        <v>2.3232200169370455E-3</v>
      </c>
      <c r="AI24" s="37">
        <f t="shared" si="65"/>
        <v>2.886545823135152E-3</v>
      </c>
      <c r="AJ24" s="37">
        <f t="shared" si="66"/>
        <v>3.0188299798869611E-2</v>
      </c>
      <c r="AK24" s="36">
        <f t="shared" si="67"/>
        <v>6.3440567541431909E-4</v>
      </c>
      <c r="AL24" s="49">
        <f t="shared" si="68"/>
        <v>1</v>
      </c>
      <c r="AN24" s="45">
        <f t="shared" si="248"/>
        <v>1.0064181264543457</v>
      </c>
      <c r="AO24" s="36">
        <f t="shared" si="69"/>
        <v>0.15641379233599023</v>
      </c>
      <c r="AP24" s="36">
        <f t="shared" si="70"/>
        <v>0.15645874417163577</v>
      </c>
      <c r="AQ24" s="36">
        <f t="shared" si="71"/>
        <v>0.55103072948483145</v>
      </c>
      <c r="AR24" s="36">
        <f t="shared" si="72"/>
        <v>2.3032324908939587E-2</v>
      </c>
      <c r="AS24" s="36">
        <f t="shared" si="73"/>
        <v>1.5291091688273809E-2</v>
      </c>
      <c r="AT24" s="36">
        <f t="shared" si="74"/>
        <v>1.6911846961109487E-3</v>
      </c>
      <c r="AU24" s="36">
        <f t="shared" si="75"/>
        <v>3.3937757374883082E-2</v>
      </c>
      <c r="AV24" s="36">
        <f t="shared" si="76"/>
        <v>3.0748812656562703E-4</v>
      </c>
      <c r="AW24" s="36">
        <f t="shared" si="77"/>
        <v>6.4426083661369479E-4</v>
      </c>
      <c r="AX24" s="36">
        <f t="shared" si="78"/>
        <v>4.3487606471424396E-3</v>
      </c>
      <c r="AY24" s="36">
        <f t="shared" si="79"/>
        <v>7.5700648302109135E-3</v>
      </c>
      <c r="AZ24" s="37">
        <f t="shared" si="80"/>
        <v>3.06023897391505E-3</v>
      </c>
      <c r="BA24" s="37">
        <f t="shared" si="81"/>
        <v>0</v>
      </c>
      <c r="BB24" s="37">
        <f t="shared" si="82"/>
        <v>4.6213561924887389E-2</v>
      </c>
      <c r="BC24" s="36">
        <f t="shared" si="83"/>
        <v>0</v>
      </c>
      <c r="BD24" s="49">
        <f t="shared" si="84"/>
        <v>1</v>
      </c>
      <c r="BF24" s="45">
        <f t="shared" si="249"/>
        <v>1.0073932947864634</v>
      </c>
      <c r="BG24" s="36">
        <f t="shared" si="85"/>
        <v>5.4498522155694201E-2</v>
      </c>
      <c r="BH24" s="36">
        <f t="shared" si="86"/>
        <v>0.20062039867381387</v>
      </c>
      <c r="BI24" s="36">
        <f t="shared" si="87"/>
        <v>0.58676761584094805</v>
      </c>
      <c r="BJ24" s="36">
        <f t="shared" si="88"/>
        <v>9.8755711288841842E-3</v>
      </c>
      <c r="BK24" s="36">
        <f t="shared" si="89"/>
        <v>6.1293796246019432E-2</v>
      </c>
      <c r="BL24" s="36">
        <f t="shared" si="90"/>
        <v>4.5495791909413416E-4</v>
      </c>
      <c r="BM24" s="36">
        <f t="shared" si="91"/>
        <v>3.4812385761754008E-2</v>
      </c>
      <c r="BN24" s="36">
        <f t="shared" si="92"/>
        <v>0</v>
      </c>
      <c r="BO24" s="36">
        <f t="shared" si="93"/>
        <v>0</v>
      </c>
      <c r="BP24" s="36">
        <f t="shared" si="94"/>
        <v>1.92024994172748E-3</v>
      </c>
      <c r="BQ24" s="36">
        <f t="shared" si="95"/>
        <v>1.3716071012339144E-3</v>
      </c>
      <c r="BR24" s="37">
        <f t="shared" si="96"/>
        <v>2.56033325563664E-3</v>
      </c>
      <c r="BS24" s="37">
        <f t="shared" si="97"/>
        <v>2.9136259938332545E-4</v>
      </c>
      <c r="BT24" s="37">
        <f t="shared" si="98"/>
        <v>4.5242252414942903E-2</v>
      </c>
      <c r="BU24" s="36">
        <f t="shared" si="99"/>
        <v>2.9094696086780003E-4</v>
      </c>
      <c r="BV24" s="49">
        <f t="shared" si="100"/>
        <v>1</v>
      </c>
      <c r="BX24" s="45">
        <f t="shared" si="250"/>
        <v>1.0093236843996913</v>
      </c>
      <c r="BY24" s="36">
        <f t="shared" si="101"/>
        <v>9.2283974888699008E-2</v>
      </c>
      <c r="BZ24" s="36">
        <f t="shared" si="102"/>
        <v>0.18036731161597555</v>
      </c>
      <c r="CA24" s="36">
        <f t="shared" si="103"/>
        <v>0.53883931646421568</v>
      </c>
      <c r="CB24" s="36">
        <f t="shared" si="104"/>
        <v>4.4387146758546499E-3</v>
      </c>
      <c r="CC24" s="36">
        <f t="shared" si="105"/>
        <v>0.1157767872677018</v>
      </c>
      <c r="CD24" s="36">
        <f t="shared" si="106"/>
        <v>0</v>
      </c>
      <c r="CE24" s="36">
        <f t="shared" si="107"/>
        <v>1.654692772439955E-2</v>
      </c>
      <c r="CF24" s="36">
        <f t="shared" si="108"/>
        <v>2.9560150589729697E-4</v>
      </c>
      <c r="CG24" s="36">
        <f t="shared" si="109"/>
        <v>2.0645184538858836E-4</v>
      </c>
      <c r="CH24" s="36">
        <f t="shared" si="110"/>
        <v>3.3032295262174151E-3</v>
      </c>
      <c r="CI24" s="36">
        <f t="shared" si="111"/>
        <v>2.3741962219687661E-3</v>
      </c>
      <c r="CJ24" s="37">
        <f t="shared" si="112"/>
        <v>3.1014697682240203E-3</v>
      </c>
      <c r="CK24" s="37">
        <f t="shared" si="113"/>
        <v>1.7426412585754936E-4</v>
      </c>
      <c r="CL24" s="37">
        <f t="shared" si="114"/>
        <v>4.2291754369600233E-2</v>
      </c>
      <c r="CM24" s="36">
        <f t="shared" si="115"/>
        <v>0</v>
      </c>
      <c r="CN24" s="49">
        <f t="shared" si="116"/>
        <v>1</v>
      </c>
      <c r="CP24" s="45">
        <f t="shared" si="251"/>
        <v>1.0081256200125468</v>
      </c>
      <c r="CQ24" s="36">
        <f t="shared" si="117"/>
        <v>6.0380059781394518E-2</v>
      </c>
      <c r="CR24" s="36">
        <f t="shared" si="118"/>
        <v>0.23260758996865705</v>
      </c>
      <c r="CS24" s="36">
        <f t="shared" si="119"/>
        <v>0.53814826670028748</v>
      </c>
      <c r="CT24" s="36">
        <f t="shared" si="120"/>
        <v>2.7742189629289375E-2</v>
      </c>
      <c r="CU24" s="36">
        <f t="shared" si="121"/>
        <v>4.129945876939458E-2</v>
      </c>
      <c r="CV24" s="36">
        <f t="shared" si="122"/>
        <v>0</v>
      </c>
      <c r="CW24" s="36">
        <f t="shared" si="123"/>
        <v>5.703068394585506E-2</v>
      </c>
      <c r="CX24" s="36">
        <f t="shared" si="124"/>
        <v>1.1982434846052588E-4</v>
      </c>
      <c r="CY24" s="36">
        <f t="shared" si="125"/>
        <v>1.2553026981578901E-4</v>
      </c>
      <c r="CZ24" s="36">
        <f t="shared" si="126"/>
        <v>1.2553026981578902E-3</v>
      </c>
      <c r="DA24" s="36">
        <f t="shared" si="127"/>
        <v>4.0169686341052484E-3</v>
      </c>
      <c r="DB24" s="37">
        <f t="shared" si="128"/>
        <v>8.7871188871052304E-4</v>
      </c>
      <c r="DC24" s="37">
        <f t="shared" si="129"/>
        <v>0</v>
      </c>
      <c r="DD24" s="37">
        <f t="shared" si="130"/>
        <v>3.6395413365871994E-2</v>
      </c>
      <c r="DE24" s="36">
        <f t="shared" si="131"/>
        <v>0</v>
      </c>
      <c r="DF24" s="49">
        <f t="shared" si="116"/>
        <v>1</v>
      </c>
      <c r="DH24" s="45">
        <f t="shared" si="252"/>
        <v>1.0097642388795089</v>
      </c>
      <c r="DI24" s="36">
        <f t="shared" si="133"/>
        <v>8.2788256315415448E-2</v>
      </c>
      <c r="DJ24" s="36">
        <f t="shared" si="134"/>
        <v>0.28535526644887876</v>
      </c>
      <c r="DK24" s="36">
        <f t="shared" si="135"/>
        <v>0.48653827837646119</v>
      </c>
      <c r="DL24" s="36">
        <f t="shared" si="136"/>
        <v>1.207852979677794E-2</v>
      </c>
      <c r="DM24" s="36">
        <f t="shared" si="137"/>
        <v>4.6232402877439793E-2</v>
      </c>
      <c r="DN24" s="36">
        <f t="shared" si="138"/>
        <v>0</v>
      </c>
      <c r="DO24" s="36">
        <f t="shared" si="139"/>
        <v>3.8821492815007637E-2</v>
      </c>
      <c r="DP24" s="36">
        <f t="shared" si="140"/>
        <v>0</v>
      </c>
      <c r="DQ24" s="36">
        <f t="shared" si="141"/>
        <v>1.0065441497314948E-3</v>
      </c>
      <c r="DR24" s="36">
        <f t="shared" si="142"/>
        <v>1.8872702807465527E-3</v>
      </c>
      <c r="DS24" s="36">
        <f t="shared" si="143"/>
        <v>3.6487225427766692E-3</v>
      </c>
      <c r="DT24" s="37">
        <f t="shared" si="144"/>
        <v>2.1389063181794263E-3</v>
      </c>
      <c r="DU24" s="37">
        <f t="shared" si="145"/>
        <v>0</v>
      </c>
      <c r="DV24" s="37">
        <f t="shared" si="146"/>
        <v>3.9504330078585143E-2</v>
      </c>
      <c r="DW24" s="36">
        <f t="shared" si="147"/>
        <v>0</v>
      </c>
      <c r="DX24" s="49">
        <f t="shared" si="148"/>
        <v>1</v>
      </c>
      <c r="DZ24" s="45">
        <f t="shared" si="253"/>
        <v>1.0106537582807642</v>
      </c>
      <c r="EA24" s="36">
        <f t="shared" si="149"/>
        <v>0.13982224098043189</v>
      </c>
      <c r="EB24" s="36">
        <f t="shared" si="150"/>
        <v>0.26368759283328236</v>
      </c>
      <c r="EC24" s="36">
        <f t="shared" si="151"/>
        <v>0.39913982213218341</v>
      </c>
      <c r="ED24" s="36">
        <f t="shared" si="152"/>
        <v>5.9838334228430189E-4</v>
      </c>
      <c r="EE24" s="36">
        <f t="shared" si="153"/>
        <v>1.769764066877208E-2</v>
      </c>
      <c r="EF24" s="36">
        <f t="shared" si="154"/>
        <v>0</v>
      </c>
      <c r="EG24" s="36">
        <f t="shared" si="155"/>
        <v>9.3363939613764213E-2</v>
      </c>
      <c r="EH24" s="36">
        <f t="shared" si="156"/>
        <v>3.2367098969014511E-3</v>
      </c>
      <c r="EI24" s="36">
        <f t="shared" si="157"/>
        <v>1.9946111409476731E-3</v>
      </c>
      <c r="EJ24" s="36">
        <f t="shared" si="158"/>
        <v>2.1940722550424403E-3</v>
      </c>
      <c r="EK24" s="36">
        <f t="shared" si="159"/>
        <v>2.0544494751761035E-2</v>
      </c>
      <c r="EL24" s="37">
        <f t="shared" si="160"/>
        <v>2.9919167114215097E-3</v>
      </c>
      <c r="EM24" s="37">
        <f t="shared" si="161"/>
        <v>0</v>
      </c>
      <c r="EN24" s="37">
        <f t="shared" si="162"/>
        <v>5.4728575673207554E-2</v>
      </c>
      <c r="EO24" s="36">
        <f t="shared" si="163"/>
        <v>0</v>
      </c>
      <c r="EP24" s="49">
        <f t="shared" si="148"/>
        <v>1</v>
      </c>
      <c r="ER24" s="45">
        <f t="shared" si="254"/>
        <v>1.0113085400851822</v>
      </c>
      <c r="ES24" s="36">
        <f t="shared" si="165"/>
        <v>0.18912590236099933</v>
      </c>
      <c r="ET24" s="36">
        <f t="shared" si="166"/>
        <v>0.21286040033931897</v>
      </c>
      <c r="EU24" s="36">
        <f t="shared" si="167"/>
        <v>0.45311280312658458</v>
      </c>
      <c r="EV24" s="36">
        <f t="shared" si="168"/>
        <v>3.4293001334723361E-4</v>
      </c>
      <c r="EW24" s="36">
        <f t="shared" si="169"/>
        <v>2.5244325300720218E-2</v>
      </c>
      <c r="EX24" s="36">
        <f t="shared" si="170"/>
        <v>0</v>
      </c>
      <c r="EY24" s="36">
        <f t="shared" si="171"/>
        <v>4.5247744733821947E-2</v>
      </c>
      <c r="EZ24" s="36">
        <f t="shared" si="172"/>
        <v>3.2734228546781388E-4</v>
      </c>
      <c r="FA24" s="36">
        <f t="shared" si="173"/>
        <v>0</v>
      </c>
      <c r="FB24" s="36">
        <f t="shared" si="174"/>
        <v>2.400510093430635E-3</v>
      </c>
      <c r="FC24" s="36">
        <f t="shared" si="175"/>
        <v>1.62891756339936E-2</v>
      </c>
      <c r="FD24" s="37">
        <f t="shared" si="176"/>
        <v>4.3645638062375187E-3</v>
      </c>
      <c r="FE24" s="37">
        <f t="shared" si="177"/>
        <v>0</v>
      </c>
      <c r="FF24" s="37">
        <f t="shared" si="178"/>
        <v>5.0684302306078156E-2</v>
      </c>
      <c r="FG24" s="36">
        <f t="shared" si="179"/>
        <v>0</v>
      </c>
      <c r="FH24" s="49">
        <f t="shared" si="180"/>
        <v>1</v>
      </c>
      <c r="FJ24" s="45">
        <f t="shared" si="255"/>
        <v>1.0084473340389788</v>
      </c>
      <c r="FK24" s="36">
        <f t="shared" si="181"/>
        <v>0.23738221974194776</v>
      </c>
      <c r="FL24" s="36">
        <f t="shared" si="182"/>
        <v>0.1654765362078878</v>
      </c>
      <c r="FM24" s="36">
        <f t="shared" si="183"/>
        <v>0.43373964875637966</v>
      </c>
      <c r="FN24" s="36">
        <f t="shared" si="184"/>
        <v>6.1657719413492915E-4</v>
      </c>
      <c r="FO24" s="36">
        <f t="shared" si="185"/>
        <v>6.4099515486948727E-2</v>
      </c>
      <c r="FP24" s="36">
        <f t="shared" si="186"/>
        <v>3.3084629929191318E-4</v>
      </c>
      <c r="FQ24" s="36">
        <f t="shared" si="187"/>
        <v>4.7315983493232967E-2</v>
      </c>
      <c r="FR24" s="36">
        <f t="shared" si="188"/>
        <v>1.7369430712825442E-3</v>
      </c>
      <c r="FS24" s="36">
        <f t="shared" si="189"/>
        <v>0</v>
      </c>
      <c r="FT24" s="36">
        <f t="shared" si="190"/>
        <v>1.4888083468136094E-3</v>
      </c>
      <c r="FU24" s="36">
        <f t="shared" si="191"/>
        <v>3.6393092922110452E-3</v>
      </c>
      <c r="FV24" s="37">
        <f t="shared" si="192"/>
        <v>1.3233851971676527E-3</v>
      </c>
      <c r="FW24" s="37">
        <f t="shared" si="193"/>
        <v>0</v>
      </c>
      <c r="FX24" s="37">
        <f t="shared" si="194"/>
        <v>3.9692148601278579E-2</v>
      </c>
      <c r="FY24" s="36">
        <f t="shared" si="195"/>
        <v>3.1580783114228076E-3</v>
      </c>
      <c r="FZ24" s="49">
        <f t="shared" si="180"/>
        <v>1</v>
      </c>
      <c r="GB24" s="45">
        <f t="shared" si="256"/>
        <v>1.0087154047083076</v>
      </c>
      <c r="GC24" s="36">
        <f t="shared" si="197"/>
        <v>0.18579268294777068</v>
      </c>
      <c r="GD24" s="36">
        <f t="shared" si="198"/>
        <v>9.0527886716732661E-2</v>
      </c>
      <c r="GE24" s="36">
        <f t="shared" si="199"/>
        <v>0.48940136212097235</v>
      </c>
      <c r="GF24" s="36">
        <f t="shared" si="200"/>
        <v>6.856053244389336E-3</v>
      </c>
      <c r="GG24" s="36">
        <f t="shared" si="201"/>
        <v>0.11650488734200727</v>
      </c>
      <c r="GH24" s="36">
        <f t="shared" si="202"/>
        <v>0</v>
      </c>
      <c r="GI24" s="36">
        <f t="shared" si="203"/>
        <v>3.6353618130732325E-2</v>
      </c>
      <c r="GJ24" s="36">
        <f t="shared" si="204"/>
        <v>5.6031381338654965E-3</v>
      </c>
      <c r="GK24" s="36">
        <f t="shared" si="205"/>
        <v>7.5556505142249826E-3</v>
      </c>
      <c r="GL24" s="36">
        <f t="shared" si="206"/>
        <v>1.5391139936384223E-3</v>
      </c>
      <c r="GM24" s="36">
        <f t="shared" si="207"/>
        <v>5.5967781586851719E-3</v>
      </c>
      <c r="GN24" s="37">
        <f t="shared" si="208"/>
        <v>1.1053636863403216E-2</v>
      </c>
      <c r="GO24" s="37">
        <f t="shared" si="209"/>
        <v>0</v>
      </c>
      <c r="GP24" s="37">
        <f t="shared" si="210"/>
        <v>4.2970332789135708E-2</v>
      </c>
      <c r="GQ24" s="36">
        <f t="shared" si="211"/>
        <v>2.4485904444247628E-4</v>
      </c>
      <c r="GR24" s="49">
        <f t="shared" si="212"/>
        <v>1</v>
      </c>
      <c r="GT24" s="45">
        <f t="shared" si="257"/>
        <v>1.0060070755552351</v>
      </c>
      <c r="GU24" s="36">
        <f t="shared" si="213"/>
        <v>0.30416649273074342</v>
      </c>
      <c r="GV24" s="36">
        <f t="shared" si="214"/>
        <v>0.23479784218256064</v>
      </c>
      <c r="GW24" s="36">
        <f t="shared" si="215"/>
        <v>0.32021603474164506</v>
      </c>
      <c r="GX24" s="36">
        <f t="shared" si="216"/>
        <v>1.0436155396251333E-3</v>
      </c>
      <c r="GY24" s="36">
        <f t="shared" si="217"/>
        <v>4.957727245702518E-2</v>
      </c>
      <c r="GZ24" s="36">
        <f t="shared" si="218"/>
        <v>2.9252859822825704E-4</v>
      </c>
      <c r="HA24" s="36">
        <f t="shared" si="219"/>
        <v>2.6625794887169346E-2</v>
      </c>
      <c r="HB24" s="36">
        <f t="shared" si="220"/>
        <v>1.6334164430799436E-3</v>
      </c>
      <c r="HC24" s="36">
        <f t="shared" si="221"/>
        <v>3.4787184654171111E-4</v>
      </c>
      <c r="HD24" s="36">
        <f t="shared" si="222"/>
        <v>0</v>
      </c>
      <c r="HE24" s="36">
        <f t="shared" si="223"/>
        <v>1.287125832204331E-2</v>
      </c>
      <c r="HF24" s="37">
        <f t="shared" si="224"/>
        <v>2.9569106956045445E-3</v>
      </c>
      <c r="HG24" s="37">
        <f t="shared" si="225"/>
        <v>0</v>
      </c>
      <c r="HH24" s="37">
        <f t="shared" si="226"/>
        <v>4.5470961555733498E-2</v>
      </c>
      <c r="HI24" s="36">
        <f t="shared" si="227"/>
        <v>0</v>
      </c>
      <c r="HJ24" s="49">
        <f t="shared" si="212"/>
        <v>1</v>
      </c>
      <c r="HL24" s="45">
        <f t="shared" si="258"/>
        <v>1.0091723458418256</v>
      </c>
      <c r="HM24" s="36">
        <f t="shared" si="229"/>
        <v>0.2856211717320275</v>
      </c>
      <c r="HN24" s="36">
        <f t="shared" si="230"/>
        <v>4.9135532176252827E-2</v>
      </c>
      <c r="HO24" s="36">
        <f t="shared" si="231"/>
        <v>0.48650861960908842</v>
      </c>
      <c r="HP24" s="36">
        <f t="shared" si="232"/>
        <v>5.0138298139033497E-4</v>
      </c>
      <c r="HQ24" s="36">
        <f t="shared" si="233"/>
        <v>9.3424362199065761E-2</v>
      </c>
      <c r="HR24" s="36">
        <f t="shared" si="234"/>
        <v>3.6920019538742849E-4</v>
      </c>
      <c r="HS24" s="36">
        <f t="shared" si="235"/>
        <v>2.0797062199597528E-2</v>
      </c>
      <c r="HT24" s="36">
        <f t="shared" si="236"/>
        <v>8.3563830231722506E-4</v>
      </c>
      <c r="HU24" s="36">
        <f t="shared" si="237"/>
        <v>2.841170227878565E-3</v>
      </c>
      <c r="HV24" s="36">
        <f t="shared" si="238"/>
        <v>3.3425532092688993E-4</v>
      </c>
      <c r="HW24" s="36">
        <f t="shared" si="239"/>
        <v>8.0221277022453595E-3</v>
      </c>
      <c r="HX24" s="37">
        <f t="shared" si="240"/>
        <v>6.0165957766840205E-3</v>
      </c>
      <c r="HY24" s="37">
        <f t="shared" si="241"/>
        <v>0</v>
      </c>
      <c r="HZ24" s="37">
        <f t="shared" si="242"/>
        <v>4.5592881577138152E-2</v>
      </c>
      <c r="IA24" s="36">
        <f t="shared" si="243"/>
        <v>0</v>
      </c>
      <c r="IB24" s="49">
        <f t="shared" si="244"/>
        <v>1</v>
      </c>
    </row>
    <row r="25" spans="2:236" x14ac:dyDescent="0.35">
      <c r="P25" s="2"/>
      <c r="Q25" s="2"/>
      <c r="R25" s="2"/>
    </row>
    <row r="26" spans="2:236" ht="15" thickBot="1" x14ac:dyDescent="0.4">
      <c r="B26" s="12" t="s">
        <v>159</v>
      </c>
      <c r="P26" s="2"/>
      <c r="Q26" s="2"/>
      <c r="R26" s="2"/>
    </row>
    <row r="27" spans="2:236" x14ac:dyDescent="0.35">
      <c r="B27" s="14" t="s">
        <v>68</v>
      </c>
      <c r="D27" s="46">
        <f>IFERROR(D6/D$13,0)</f>
        <v>0.16479653545863357</v>
      </c>
      <c r="E27" s="51">
        <f>IFERROR(E6/E$13,0)</f>
        <v>0.97430446042602226</v>
      </c>
      <c r="F27" s="18">
        <f t="shared" ref="F27:T34" si="259">IFERROR(F6/F$13,0)</f>
        <v>3.4701899811117917E-2</v>
      </c>
      <c r="G27" s="18">
        <f t="shared" si="259"/>
        <v>4.065348567169929E-3</v>
      </c>
      <c r="H27" s="18">
        <f t="shared" si="259"/>
        <v>1.9227743886451432E-2</v>
      </c>
      <c r="I27" s="18">
        <f t="shared" si="259"/>
        <v>0.13520700314406234</v>
      </c>
      <c r="J27" s="18">
        <f t="shared" si="259"/>
        <v>0</v>
      </c>
      <c r="K27" s="18">
        <f t="shared" si="259"/>
        <v>0</v>
      </c>
      <c r="L27" s="18">
        <f t="shared" si="259"/>
        <v>0</v>
      </c>
      <c r="M27" s="50">
        <f t="shared" si="259"/>
        <v>0.9494949494949495</v>
      </c>
      <c r="N27" s="18">
        <f t="shared" si="259"/>
        <v>0.13125000000000001</v>
      </c>
      <c r="O27" s="18">
        <f t="shared" si="259"/>
        <v>6.6055045871559637E-2</v>
      </c>
      <c r="P27" s="18">
        <f t="shared" si="259"/>
        <v>0.21711450302264096</v>
      </c>
      <c r="Q27" s="18">
        <f t="shared" si="259"/>
        <v>0</v>
      </c>
      <c r="R27" s="18">
        <f t="shared" si="259"/>
        <v>0.14838722455674755</v>
      </c>
      <c r="S27" s="18">
        <f t="shared" si="259"/>
        <v>0</v>
      </c>
      <c r="T27" s="40">
        <f t="shared" si="259"/>
        <v>0.16481757871612351</v>
      </c>
      <c r="V27" s="46">
        <f>IFERROR(V6/V$13,0)</f>
        <v>0.10565548777932551</v>
      </c>
      <c r="W27" s="51">
        <f t="shared" ref="W27:AL27" si="260">IFERROR(W6/W$13,0)</f>
        <v>0.98906558220804552</v>
      </c>
      <c r="X27" s="18">
        <f t="shared" si="260"/>
        <v>1.7410228509249184E-2</v>
      </c>
      <c r="Y27" s="18">
        <f t="shared" si="260"/>
        <v>3.3951194803974666E-4</v>
      </c>
      <c r="Z27" s="18">
        <f t="shared" si="260"/>
        <v>3.2382657026447798E-2</v>
      </c>
      <c r="AA27" s="18">
        <f t="shared" si="260"/>
        <v>9.3387922819126695E-2</v>
      </c>
      <c r="AB27" s="18">
        <f t="shared" si="260"/>
        <v>0</v>
      </c>
      <c r="AC27" s="18">
        <f t="shared" si="260"/>
        <v>0</v>
      </c>
      <c r="AD27" s="18">
        <f t="shared" si="260"/>
        <v>0</v>
      </c>
      <c r="AE27" s="18">
        <f t="shared" si="260"/>
        <v>1</v>
      </c>
      <c r="AF27" s="18">
        <f t="shared" si="260"/>
        <v>0.25</v>
      </c>
      <c r="AG27" s="18">
        <f t="shared" si="260"/>
        <v>0</v>
      </c>
      <c r="AH27" s="18">
        <f t="shared" si="260"/>
        <v>0</v>
      </c>
      <c r="AI27" s="18">
        <f t="shared" si="260"/>
        <v>0</v>
      </c>
      <c r="AJ27" s="18">
        <f t="shared" si="260"/>
        <v>0.11780631919610803</v>
      </c>
      <c r="AK27" s="18">
        <f t="shared" si="260"/>
        <v>0</v>
      </c>
      <c r="AL27" s="40">
        <f t="shared" si="260"/>
        <v>0.10591339310474517</v>
      </c>
      <c r="AN27" s="46">
        <f t="shared" ref="AN27:BD27" si="261">IFERROR(AN6/AN$13,0)</f>
        <v>0.18488484708392025</v>
      </c>
      <c r="AO27" s="51">
        <f t="shared" si="261"/>
        <v>0.99897026210573914</v>
      </c>
      <c r="AP27" s="18">
        <f t="shared" si="261"/>
        <v>6.0737080502367716E-2</v>
      </c>
      <c r="AQ27" s="18">
        <f t="shared" si="261"/>
        <v>5.8459610520816667E-4</v>
      </c>
      <c r="AR27" s="18">
        <f t="shared" si="261"/>
        <v>4.195804195804196E-2</v>
      </c>
      <c r="AS27" s="18">
        <f t="shared" si="261"/>
        <v>0.54773008014861491</v>
      </c>
      <c r="AT27" s="18">
        <f t="shared" si="261"/>
        <v>0</v>
      </c>
      <c r="AU27" s="18">
        <f t="shared" si="261"/>
        <v>0</v>
      </c>
      <c r="AV27" s="18">
        <f t="shared" si="261"/>
        <v>0</v>
      </c>
      <c r="AW27" s="18">
        <f t="shared" si="261"/>
        <v>1</v>
      </c>
      <c r="AX27" s="18">
        <f t="shared" si="261"/>
        <v>0.14814814814814814</v>
      </c>
      <c r="AY27" s="18">
        <f t="shared" si="261"/>
        <v>0</v>
      </c>
      <c r="AZ27" s="18">
        <f t="shared" si="261"/>
        <v>0.21052631578947367</v>
      </c>
      <c r="BA27" s="18">
        <f t="shared" si="261"/>
        <v>0</v>
      </c>
      <c r="BB27" s="18">
        <f t="shared" si="261"/>
        <v>0.16040961038220375</v>
      </c>
      <c r="BC27" s="18">
        <f t="shared" si="261"/>
        <v>0</v>
      </c>
      <c r="BD27" s="40">
        <f t="shared" si="261"/>
        <v>0.18476536898868035</v>
      </c>
      <c r="BF27" s="46">
        <f t="shared" ref="BF27:BV27" si="262">IFERROR(BF6/BF$13,0)</f>
        <v>5.8920060472217005E-2</v>
      </c>
      <c r="BG27" s="51">
        <f t="shared" si="262"/>
        <v>0.98322147651006708</v>
      </c>
      <c r="BH27" s="18">
        <f t="shared" si="262"/>
        <v>4.5578851412944391E-3</v>
      </c>
      <c r="BI27" s="18">
        <f t="shared" si="262"/>
        <v>1.5583762795863052E-4</v>
      </c>
      <c r="BJ27" s="18">
        <f t="shared" si="262"/>
        <v>0</v>
      </c>
      <c r="BK27" s="18">
        <f t="shared" si="262"/>
        <v>1.4918389627650557E-2</v>
      </c>
      <c r="BL27" s="18">
        <f t="shared" si="262"/>
        <v>0</v>
      </c>
      <c r="BM27" s="18">
        <f t="shared" si="262"/>
        <v>0</v>
      </c>
      <c r="BN27" s="18">
        <f t="shared" si="262"/>
        <v>0</v>
      </c>
      <c r="BO27" s="18">
        <f t="shared" si="262"/>
        <v>0</v>
      </c>
      <c r="BP27" s="18">
        <f t="shared" si="262"/>
        <v>0.28571428571428575</v>
      </c>
      <c r="BQ27" s="18">
        <f t="shared" si="262"/>
        <v>0</v>
      </c>
      <c r="BR27" s="18">
        <f t="shared" si="262"/>
        <v>0</v>
      </c>
      <c r="BS27" s="18">
        <f t="shared" si="262"/>
        <v>0</v>
      </c>
      <c r="BT27" s="18">
        <f t="shared" si="262"/>
        <v>5.4359209921910887E-2</v>
      </c>
      <c r="BU27" s="18">
        <f t="shared" si="262"/>
        <v>0</v>
      </c>
      <c r="BV27" s="40">
        <f t="shared" si="262"/>
        <v>5.8512343300123261E-2</v>
      </c>
      <c r="BX27" s="46">
        <f t="shared" ref="BX27:CN34" si="263">IFERROR(BX6/BX$13,0)</f>
        <v>0.10330308693149368</v>
      </c>
      <c r="BY27" s="51">
        <f t="shared" si="263"/>
        <v>0.99664429530201337</v>
      </c>
      <c r="BZ27" s="18">
        <f t="shared" si="263"/>
        <v>1.0873880159435016E-2</v>
      </c>
      <c r="CA27" s="18">
        <f t="shared" si="263"/>
        <v>8.2375478927203052E-3</v>
      </c>
      <c r="CB27" s="18">
        <f t="shared" si="263"/>
        <v>0</v>
      </c>
      <c r="CC27" s="18">
        <f t="shared" si="263"/>
        <v>1.1590725798280844E-2</v>
      </c>
      <c r="CD27" s="18">
        <f t="shared" si="263"/>
        <v>0</v>
      </c>
      <c r="CE27" s="18">
        <f t="shared" si="263"/>
        <v>0</v>
      </c>
      <c r="CF27" s="18">
        <f t="shared" si="263"/>
        <v>0</v>
      </c>
      <c r="CG27" s="18">
        <f t="shared" si="263"/>
        <v>1</v>
      </c>
      <c r="CH27" s="18">
        <f t="shared" si="263"/>
        <v>6.2499999999999972E-2</v>
      </c>
      <c r="CI27" s="18">
        <f t="shared" si="263"/>
        <v>0</v>
      </c>
      <c r="CJ27" s="18">
        <f t="shared" si="263"/>
        <v>6.6565809379727683E-2</v>
      </c>
      <c r="CK27" s="18">
        <f t="shared" si="263"/>
        <v>0</v>
      </c>
      <c r="CL27" s="18">
        <f t="shared" si="263"/>
        <v>5.6278305016297908E-2</v>
      </c>
      <c r="CM27" s="18">
        <f t="shared" si="263"/>
        <v>0</v>
      </c>
      <c r="CN27" s="40">
        <f t="shared" si="263"/>
        <v>0.10271570511094065</v>
      </c>
      <c r="CP27" s="46">
        <f t="shared" ref="CP27:DU34" si="264">IFERROR(CP6/CP$13,0)</f>
        <v>8.2872255551857357E-2</v>
      </c>
      <c r="CQ27" s="51">
        <f t="shared" si="264"/>
        <v>0.99584199584199584</v>
      </c>
      <c r="CR27" s="18">
        <f t="shared" si="264"/>
        <v>6.3680518078791146E-2</v>
      </c>
      <c r="CS27" s="18">
        <f t="shared" si="264"/>
        <v>0</v>
      </c>
      <c r="CT27" s="18">
        <f t="shared" si="264"/>
        <v>1.8099547511312219E-2</v>
      </c>
      <c r="CU27" s="18">
        <f t="shared" si="264"/>
        <v>4.8632218844984809E-2</v>
      </c>
      <c r="CV27" s="18">
        <f t="shared" si="264"/>
        <v>0</v>
      </c>
      <c r="CW27" s="18">
        <f t="shared" si="264"/>
        <v>0</v>
      </c>
      <c r="CX27" s="18">
        <f t="shared" si="264"/>
        <v>0</v>
      </c>
      <c r="CY27" s="18">
        <f t="shared" si="264"/>
        <v>1</v>
      </c>
      <c r="CZ27" s="18">
        <f t="shared" si="264"/>
        <v>0</v>
      </c>
      <c r="DA27" s="18">
        <f t="shared" si="264"/>
        <v>0.40625</v>
      </c>
      <c r="DB27" s="18">
        <f t="shared" si="264"/>
        <v>0</v>
      </c>
      <c r="DC27" s="18">
        <f t="shared" si="264"/>
        <v>0</v>
      </c>
      <c r="DD27" s="18">
        <f t="shared" si="264"/>
        <v>0.10442681656944999</v>
      </c>
      <c r="DE27" s="18">
        <f t="shared" si="264"/>
        <v>0</v>
      </c>
      <c r="DF27" s="40">
        <f t="shared" si="264"/>
        <v>8.3010257409290092E-2</v>
      </c>
      <c r="DH27" s="46">
        <f t="shared" ref="DH27:DX34" si="265">IFERROR(DH6/DH$13,0)</f>
        <v>8.7287005478852986E-2</v>
      </c>
      <c r="DI27" s="51">
        <f t="shared" si="265"/>
        <v>0.92553191489361697</v>
      </c>
      <c r="DJ27" s="18">
        <f t="shared" si="265"/>
        <v>1.2345679012345678E-2</v>
      </c>
      <c r="DK27" s="18">
        <f t="shared" si="265"/>
        <v>0</v>
      </c>
      <c r="DL27" s="18">
        <f t="shared" si="265"/>
        <v>0</v>
      </c>
      <c r="DM27" s="18">
        <f t="shared" si="265"/>
        <v>1.9049975259772391E-2</v>
      </c>
      <c r="DN27" s="18">
        <f t="shared" si="265"/>
        <v>0</v>
      </c>
      <c r="DO27" s="18">
        <f t="shared" si="265"/>
        <v>0</v>
      </c>
      <c r="DP27" s="18">
        <f t="shared" si="265"/>
        <v>0</v>
      </c>
      <c r="DQ27" s="18">
        <f t="shared" si="265"/>
        <v>0.75</v>
      </c>
      <c r="DR27" s="18">
        <f t="shared" si="265"/>
        <v>0.26666666666666666</v>
      </c>
      <c r="DS27" s="18">
        <f t="shared" si="265"/>
        <v>6.8965517241379309E-2</v>
      </c>
      <c r="DT27" s="18">
        <f t="shared" si="265"/>
        <v>0.35294117647058826</v>
      </c>
      <c r="DU27" s="18">
        <f t="shared" si="265"/>
        <v>0</v>
      </c>
      <c r="DV27" s="18">
        <f t="shared" si="265"/>
        <v>9.2633315565356089E-2</v>
      </c>
      <c r="DW27" s="18">
        <f t="shared" si="265"/>
        <v>0</v>
      </c>
      <c r="DX27" s="40">
        <f t="shared" si="265"/>
        <v>8.6950945464648766E-2</v>
      </c>
      <c r="DZ27" s="46">
        <f t="shared" ref="DZ27:FE34" si="266">IFERROR(DZ6/DZ$13,0)</f>
        <v>0.15222704219075686</v>
      </c>
      <c r="EA27" s="51">
        <f t="shared" si="266"/>
        <v>0.85306704707560632</v>
      </c>
      <c r="EB27" s="18">
        <f t="shared" si="266"/>
        <v>4.8411497730711045E-2</v>
      </c>
      <c r="EC27" s="18">
        <f t="shared" si="266"/>
        <v>3.4980919498455386E-3</v>
      </c>
      <c r="ED27" s="18">
        <f t="shared" si="266"/>
        <v>0</v>
      </c>
      <c r="EE27" s="18">
        <f t="shared" si="266"/>
        <v>0.29303278688524592</v>
      </c>
      <c r="EF27" s="18">
        <f t="shared" si="266"/>
        <v>0</v>
      </c>
      <c r="EG27" s="18">
        <f t="shared" si="266"/>
        <v>0</v>
      </c>
      <c r="EH27" s="18">
        <f t="shared" si="266"/>
        <v>0</v>
      </c>
      <c r="EI27" s="18">
        <f t="shared" si="266"/>
        <v>1</v>
      </c>
      <c r="EJ27" s="18">
        <f t="shared" si="266"/>
        <v>0</v>
      </c>
      <c r="EK27" s="18">
        <f t="shared" si="266"/>
        <v>0</v>
      </c>
      <c r="EL27" s="18">
        <f t="shared" si="266"/>
        <v>0.39999999999999997</v>
      </c>
      <c r="EM27" s="18">
        <f t="shared" si="266"/>
        <v>0</v>
      </c>
      <c r="EN27" s="18">
        <f t="shared" si="266"/>
        <v>0.20163779519210759</v>
      </c>
      <c r="EO27" s="18">
        <f t="shared" si="266"/>
        <v>0</v>
      </c>
      <c r="EP27" s="40">
        <f t="shared" si="266"/>
        <v>0.15285220145412953</v>
      </c>
      <c r="ER27" s="46">
        <f t="shared" ref="ER27:FH34" si="267">IFERROR(ER6/ER$13,0)</f>
        <v>0.20060817464430014</v>
      </c>
      <c r="ES27" s="51">
        <f t="shared" si="267"/>
        <v>0.92293744333635541</v>
      </c>
      <c r="ET27" s="18">
        <f t="shared" si="267"/>
        <v>3.2400531941380997E-2</v>
      </c>
      <c r="EU27" s="18">
        <f t="shared" si="267"/>
        <v>3.7841571787525767E-4</v>
      </c>
      <c r="EV27" s="18">
        <f t="shared" si="267"/>
        <v>0</v>
      </c>
      <c r="EW27" s="18">
        <f t="shared" si="267"/>
        <v>0.36677369558505707</v>
      </c>
      <c r="EX27" s="18">
        <f t="shared" si="267"/>
        <v>0</v>
      </c>
      <c r="EY27" s="18">
        <f t="shared" si="267"/>
        <v>0</v>
      </c>
      <c r="EZ27" s="18">
        <f t="shared" si="267"/>
        <v>0</v>
      </c>
      <c r="FA27" s="18">
        <f t="shared" si="267"/>
        <v>0</v>
      </c>
      <c r="FB27" s="18">
        <f t="shared" si="267"/>
        <v>7.1428571428571438E-2</v>
      </c>
      <c r="FC27" s="18">
        <f t="shared" si="267"/>
        <v>6.3157894736842093E-2</v>
      </c>
      <c r="FD27" s="18">
        <f t="shared" si="267"/>
        <v>0.37142857142857144</v>
      </c>
      <c r="FE27" s="18">
        <f t="shared" si="267"/>
        <v>0</v>
      </c>
      <c r="FF27" s="18">
        <f t="shared" si="267"/>
        <v>0.14628093021373351</v>
      </c>
      <c r="FG27" s="18">
        <f t="shared" si="267"/>
        <v>0</v>
      </c>
      <c r="FH27" s="40">
        <f t="shared" si="267"/>
        <v>0.20111411211850344</v>
      </c>
      <c r="FJ27" s="46">
        <f t="shared" ref="FJ27:GO34" si="268">IFERROR(FJ6/FJ$13,0)</f>
        <v>0.28250140212407188</v>
      </c>
      <c r="FK27" s="18">
        <f t="shared" si="268"/>
        <v>0.99372822299651564</v>
      </c>
      <c r="FL27" s="18">
        <f t="shared" si="268"/>
        <v>8.5295200185394715E-2</v>
      </c>
      <c r="FM27" s="18">
        <f t="shared" si="268"/>
        <v>1.1441643630246297E-3</v>
      </c>
      <c r="FN27" s="18">
        <f t="shared" si="268"/>
        <v>0</v>
      </c>
      <c r="FO27" s="18">
        <f t="shared" si="268"/>
        <v>0.37468474111820421</v>
      </c>
      <c r="FP27" s="18">
        <f t="shared" si="268"/>
        <v>0</v>
      </c>
      <c r="FQ27" s="18">
        <f t="shared" si="268"/>
        <v>0</v>
      </c>
      <c r="FR27" s="18">
        <f t="shared" si="268"/>
        <v>0</v>
      </c>
      <c r="FS27" s="18">
        <f t="shared" si="268"/>
        <v>0</v>
      </c>
      <c r="FT27" s="18">
        <f t="shared" si="268"/>
        <v>0</v>
      </c>
      <c r="FU27" s="18">
        <f t="shared" si="268"/>
        <v>0</v>
      </c>
      <c r="FV27" s="18">
        <f t="shared" si="268"/>
        <v>0.125</v>
      </c>
      <c r="FW27" s="18">
        <f t="shared" si="268"/>
        <v>0</v>
      </c>
      <c r="FX27" s="18">
        <f t="shared" si="268"/>
        <v>0.23086699577621508</v>
      </c>
      <c r="FY27" s="18">
        <f t="shared" si="268"/>
        <v>0</v>
      </c>
      <c r="FZ27" s="40">
        <f t="shared" si="268"/>
        <v>0.28385017574506549</v>
      </c>
      <c r="GB27" s="46">
        <f t="shared" ref="GB27:GR34" si="269">IFERROR(GB6/GB$13,0)</f>
        <v>0.25280373398673567</v>
      </c>
      <c r="GC27" s="51">
        <f t="shared" si="269"/>
        <v>0.98053045240442549</v>
      </c>
      <c r="GD27" s="18">
        <f t="shared" si="269"/>
        <v>0.12055641421947449</v>
      </c>
      <c r="GE27" s="18">
        <f t="shared" si="269"/>
        <v>2.7446322426712348E-2</v>
      </c>
      <c r="GF27" s="18">
        <f t="shared" si="269"/>
        <v>2.0408163265306121E-2</v>
      </c>
      <c r="GG27" s="18">
        <f t="shared" si="269"/>
        <v>0.20656769541091086</v>
      </c>
      <c r="GH27" s="18">
        <f t="shared" si="269"/>
        <v>0</v>
      </c>
      <c r="GI27" s="18">
        <f t="shared" si="269"/>
        <v>0</v>
      </c>
      <c r="GJ27" s="18">
        <f t="shared" si="269"/>
        <v>0</v>
      </c>
      <c r="GK27" s="18">
        <f t="shared" si="269"/>
        <v>1</v>
      </c>
      <c r="GL27" s="18">
        <f t="shared" si="269"/>
        <v>0</v>
      </c>
      <c r="GM27" s="18">
        <f t="shared" si="269"/>
        <v>0.375</v>
      </c>
      <c r="GN27" s="18">
        <f t="shared" si="269"/>
        <v>0.24050632911392408</v>
      </c>
      <c r="GO27" s="18">
        <f t="shared" si="269"/>
        <v>0</v>
      </c>
      <c r="GP27" s="18">
        <f t="shared" si="269"/>
        <v>0.22965711755191542</v>
      </c>
      <c r="GQ27" s="18">
        <f t="shared" si="269"/>
        <v>0</v>
      </c>
      <c r="GR27" s="40">
        <f t="shared" si="269"/>
        <v>0.2529087887085103</v>
      </c>
      <c r="GT27" s="46">
        <f t="shared" ref="GT27:IB34" si="270">IFERROR(GT6/GT$13,0)</f>
        <v>0.34619791583586723</v>
      </c>
      <c r="GU27" s="51">
        <f t="shared" si="270"/>
        <v>0.99313786650031188</v>
      </c>
      <c r="GV27" s="18">
        <f t="shared" si="270"/>
        <v>1.7778963041980574E-2</v>
      </c>
      <c r="GW27" s="18">
        <f t="shared" si="270"/>
        <v>5.975013579576317E-3</v>
      </c>
      <c r="GX27" s="18">
        <f t="shared" si="270"/>
        <v>0</v>
      </c>
      <c r="GY27" s="18">
        <f t="shared" si="270"/>
        <v>0.47012295278039135</v>
      </c>
      <c r="GZ27" s="18">
        <f t="shared" si="270"/>
        <v>0</v>
      </c>
      <c r="HA27" s="18">
        <f t="shared" si="270"/>
        <v>0</v>
      </c>
      <c r="HB27" s="18">
        <f t="shared" si="270"/>
        <v>0</v>
      </c>
      <c r="HC27" s="18">
        <f t="shared" si="270"/>
        <v>1</v>
      </c>
      <c r="HD27" s="18">
        <f t="shared" si="270"/>
        <v>0</v>
      </c>
      <c r="HE27" s="18">
        <f t="shared" si="270"/>
        <v>0</v>
      </c>
      <c r="HF27" s="18">
        <f t="shared" si="270"/>
        <v>0.41176470588235292</v>
      </c>
      <c r="HG27" s="18">
        <f t="shared" si="270"/>
        <v>0</v>
      </c>
      <c r="HH27" s="18">
        <f t="shared" si="270"/>
        <v>0.26721170096603908</v>
      </c>
      <c r="HI27" s="18">
        <f t="shared" si="270"/>
        <v>0</v>
      </c>
      <c r="HJ27" s="40">
        <f t="shared" si="270"/>
        <v>0.34519022897557433</v>
      </c>
      <c r="HL27" s="46">
        <f t="shared" ref="HL27:IB27" si="271">IFERROR(HL6/HL$13,0)</f>
        <v>0.31163029587263374</v>
      </c>
      <c r="HM27" s="51">
        <f t="shared" si="271"/>
        <v>0.99356348741954359</v>
      </c>
      <c r="HN27" s="18">
        <f t="shared" si="271"/>
        <v>2.3809523809523808E-2</v>
      </c>
      <c r="HO27" s="18">
        <f t="shared" si="271"/>
        <v>5.1528684300927519E-3</v>
      </c>
      <c r="HP27" s="18">
        <f t="shared" si="271"/>
        <v>0</v>
      </c>
      <c r="HQ27" s="18">
        <f t="shared" si="271"/>
        <v>8.7656529516994625E-2</v>
      </c>
      <c r="HR27" s="18">
        <f t="shared" si="271"/>
        <v>0</v>
      </c>
      <c r="HS27" s="18">
        <f t="shared" si="271"/>
        <v>0</v>
      </c>
      <c r="HT27" s="18">
        <f t="shared" si="271"/>
        <v>0</v>
      </c>
      <c r="HU27" s="18">
        <f t="shared" si="271"/>
        <v>0.82352941176470584</v>
      </c>
      <c r="HV27" s="18">
        <f t="shared" si="271"/>
        <v>1</v>
      </c>
      <c r="HW27" s="18">
        <f t="shared" si="271"/>
        <v>0</v>
      </c>
      <c r="HX27" s="18">
        <f t="shared" si="271"/>
        <v>0.30555555555555558</v>
      </c>
      <c r="HY27" s="18">
        <f t="shared" si="271"/>
        <v>0</v>
      </c>
      <c r="HZ27" s="18">
        <f t="shared" si="271"/>
        <v>0.25541600157289818</v>
      </c>
      <c r="IA27" s="18">
        <f t="shared" si="271"/>
        <v>0</v>
      </c>
      <c r="IB27" s="40">
        <f t="shared" si="271"/>
        <v>0.31180642970496653</v>
      </c>
    </row>
    <row r="28" spans="2:236" x14ac:dyDescent="0.35">
      <c r="B28" s="17" t="s">
        <v>69</v>
      </c>
      <c r="D28" s="46">
        <f t="shared" ref="D28:E34" si="272">IFERROR(D7/D$13,0)</f>
        <v>0.15555876381746012</v>
      </c>
      <c r="E28" s="18">
        <f t="shared" si="272"/>
        <v>2.1437756284046292E-2</v>
      </c>
      <c r="F28" s="51">
        <f t="shared" si="259"/>
        <v>0.74709595880446267</v>
      </c>
      <c r="G28" s="18">
        <f t="shared" si="259"/>
        <v>8.8287016823363693E-3</v>
      </c>
      <c r="H28" s="18">
        <f t="shared" si="259"/>
        <v>0</v>
      </c>
      <c r="I28" s="18">
        <f t="shared" si="259"/>
        <v>3.2394170824049662E-2</v>
      </c>
      <c r="J28" s="18">
        <f t="shared" si="259"/>
        <v>0</v>
      </c>
      <c r="K28" s="18">
        <f t="shared" si="259"/>
        <v>0</v>
      </c>
      <c r="L28" s="18">
        <f t="shared" si="259"/>
        <v>0</v>
      </c>
      <c r="M28" s="18">
        <f t="shared" si="259"/>
        <v>3.0303030303030304E-2</v>
      </c>
      <c r="N28" s="50">
        <f t="shared" si="259"/>
        <v>0.80625000000000002</v>
      </c>
      <c r="O28" s="18">
        <f t="shared" si="259"/>
        <v>2.7522935779816515E-2</v>
      </c>
      <c r="P28" s="18">
        <f t="shared" si="259"/>
        <v>8.6393479327759218E-2</v>
      </c>
      <c r="Q28" s="18">
        <f t="shared" si="259"/>
        <v>0</v>
      </c>
      <c r="R28" s="18">
        <f t="shared" si="259"/>
        <v>0.19610366976088292</v>
      </c>
      <c r="S28" s="18">
        <f t="shared" si="259"/>
        <v>0.1079414032382421</v>
      </c>
      <c r="T28" s="40">
        <f t="shared" si="259"/>
        <v>0.15547953458853975</v>
      </c>
      <c r="V28" s="46">
        <f t="shared" ref="V28:CG32" si="273">IFERROR(V7/V$13,0)</f>
        <v>5.6049489499154337E-2</v>
      </c>
      <c r="W28" s="18">
        <f t="shared" si="273"/>
        <v>9.719482481737313E-3</v>
      </c>
      <c r="X28" s="51">
        <f t="shared" si="273"/>
        <v>0.48748639825897716</v>
      </c>
      <c r="Y28" s="18">
        <f t="shared" si="273"/>
        <v>3.4563918819409655E-4</v>
      </c>
      <c r="Z28" s="18">
        <f t="shared" si="273"/>
        <v>0</v>
      </c>
      <c r="AA28" s="18">
        <f t="shared" si="273"/>
        <v>1.1673490352390837E-2</v>
      </c>
      <c r="AB28" s="18">
        <f t="shared" si="273"/>
        <v>0</v>
      </c>
      <c r="AC28" s="18">
        <f t="shared" si="273"/>
        <v>0</v>
      </c>
      <c r="AD28" s="18">
        <f t="shared" si="273"/>
        <v>0</v>
      </c>
      <c r="AE28" s="18">
        <f t="shared" si="273"/>
        <v>0</v>
      </c>
      <c r="AF28" s="18">
        <f t="shared" si="273"/>
        <v>0.125</v>
      </c>
      <c r="AG28" s="18">
        <f t="shared" si="273"/>
        <v>0</v>
      </c>
      <c r="AH28" s="18">
        <f t="shared" si="273"/>
        <v>0.10012629566839991</v>
      </c>
      <c r="AI28" s="18">
        <f t="shared" si="273"/>
        <v>0</v>
      </c>
      <c r="AJ28" s="18">
        <f t="shared" si="273"/>
        <v>6.4016797951742671E-2</v>
      </c>
      <c r="AK28" s="18">
        <f t="shared" si="273"/>
        <v>0</v>
      </c>
      <c r="AL28" s="40">
        <f t="shared" si="273"/>
        <v>5.6131949824960864E-2</v>
      </c>
      <c r="AN28" s="46">
        <f t="shared" si="273"/>
        <v>0.12478604365652181</v>
      </c>
      <c r="AO28" s="18">
        <f t="shared" si="273"/>
        <v>1.0297378942608962E-3</v>
      </c>
      <c r="AP28" s="51">
        <f t="shared" si="273"/>
        <v>0.69013794523368333</v>
      </c>
      <c r="AQ28" s="18">
        <f t="shared" si="273"/>
        <v>1.7537883156245001E-3</v>
      </c>
      <c r="AR28" s="18">
        <f t="shared" si="273"/>
        <v>0</v>
      </c>
      <c r="AS28" s="18">
        <f t="shared" si="273"/>
        <v>0.18959887389759747</v>
      </c>
      <c r="AT28" s="18">
        <f t="shared" si="273"/>
        <v>0</v>
      </c>
      <c r="AU28" s="18">
        <f t="shared" si="273"/>
        <v>0</v>
      </c>
      <c r="AV28" s="18">
        <f t="shared" si="273"/>
        <v>0</v>
      </c>
      <c r="AW28" s="18">
        <f t="shared" si="273"/>
        <v>0</v>
      </c>
      <c r="AX28" s="18">
        <f t="shared" si="273"/>
        <v>0.81481481481481477</v>
      </c>
      <c r="AY28" s="18">
        <f t="shared" si="273"/>
        <v>0</v>
      </c>
      <c r="AZ28" s="18">
        <f t="shared" si="273"/>
        <v>0.26315789473684209</v>
      </c>
      <c r="BA28" s="18">
        <f t="shared" si="273"/>
        <v>0</v>
      </c>
      <c r="BB28" s="18">
        <f t="shared" si="273"/>
        <v>0.19341163498797592</v>
      </c>
      <c r="BC28" s="18">
        <f t="shared" si="273"/>
        <v>0</v>
      </c>
      <c r="BD28" s="40">
        <f t="shared" si="273"/>
        <v>0.12529174766294382</v>
      </c>
      <c r="BF28" s="46">
        <f t="shared" si="273"/>
        <v>0.17547364911013399</v>
      </c>
      <c r="BG28" s="18">
        <f t="shared" si="273"/>
        <v>1.6778523489932886E-2</v>
      </c>
      <c r="BH28" s="51">
        <f t="shared" si="273"/>
        <v>0.79352780309936188</v>
      </c>
      <c r="BI28" s="18">
        <f t="shared" si="273"/>
        <v>5.6101546065106984E-3</v>
      </c>
      <c r="BJ28" s="18">
        <f t="shared" si="273"/>
        <v>0</v>
      </c>
      <c r="BK28" s="18">
        <f t="shared" si="273"/>
        <v>3.1213339752761603E-2</v>
      </c>
      <c r="BL28" s="18">
        <f t="shared" si="273"/>
        <v>0</v>
      </c>
      <c r="BM28" s="18">
        <f t="shared" si="273"/>
        <v>0</v>
      </c>
      <c r="BN28" s="18">
        <f t="shared" si="273"/>
        <v>0</v>
      </c>
      <c r="BO28" s="18">
        <f t="shared" si="273"/>
        <v>0</v>
      </c>
      <c r="BP28" s="18">
        <f t="shared" si="273"/>
        <v>0.5714285714285714</v>
      </c>
      <c r="BQ28" s="18">
        <f t="shared" si="273"/>
        <v>6.6666666666666666E-2</v>
      </c>
      <c r="BR28" s="18">
        <f t="shared" si="273"/>
        <v>3.5714285714285712E-2</v>
      </c>
      <c r="BS28" s="18">
        <f t="shared" si="273"/>
        <v>0</v>
      </c>
      <c r="BT28" s="18">
        <f t="shared" si="273"/>
        <v>0.19087735415709692</v>
      </c>
      <c r="BU28" s="18">
        <f t="shared" si="273"/>
        <v>1</v>
      </c>
      <c r="BV28" s="40">
        <f t="shared" si="273"/>
        <v>0.1755241451063885</v>
      </c>
      <c r="BX28" s="46">
        <f t="shared" si="273"/>
        <v>0.16153855351207311</v>
      </c>
      <c r="BY28" s="18">
        <f t="shared" si="273"/>
        <v>0</v>
      </c>
      <c r="BZ28" s="51">
        <f t="shared" si="273"/>
        <v>0.78194956704787677</v>
      </c>
      <c r="CA28" s="18">
        <f t="shared" si="273"/>
        <v>6.8965517241379301E-3</v>
      </c>
      <c r="CB28" s="18">
        <f t="shared" si="273"/>
        <v>0</v>
      </c>
      <c r="CC28" s="18">
        <f t="shared" si="273"/>
        <v>1.0330335685251001E-2</v>
      </c>
      <c r="CD28" s="18">
        <f t="shared" si="273"/>
        <v>0</v>
      </c>
      <c r="CE28" s="18">
        <f t="shared" si="273"/>
        <v>0</v>
      </c>
      <c r="CF28" s="18">
        <f t="shared" si="273"/>
        <v>0</v>
      </c>
      <c r="CG28" s="18">
        <f t="shared" si="273"/>
        <v>0</v>
      </c>
      <c r="CH28" s="18">
        <f t="shared" si="263"/>
        <v>0.9375</v>
      </c>
      <c r="CI28" s="18">
        <f t="shared" si="263"/>
        <v>0.30434782608695654</v>
      </c>
      <c r="CJ28" s="18">
        <f t="shared" si="263"/>
        <v>0.36762481089258703</v>
      </c>
      <c r="CK28" s="18">
        <f t="shared" si="263"/>
        <v>0</v>
      </c>
      <c r="CL28" s="18">
        <f t="shared" si="263"/>
        <v>0.2638798591433662</v>
      </c>
      <c r="CM28" s="18">
        <f t="shared" si="263"/>
        <v>0</v>
      </c>
      <c r="CN28" s="40">
        <f t="shared" si="263"/>
        <v>0.16206976608442866</v>
      </c>
      <c r="CP28" s="46">
        <f t="shared" si="264"/>
        <v>0.16493593337428181</v>
      </c>
      <c r="CQ28" s="18">
        <f t="shared" si="264"/>
        <v>4.1580041580041582E-3</v>
      </c>
      <c r="CR28" s="51">
        <f t="shared" si="264"/>
        <v>0.64867781975175387</v>
      </c>
      <c r="CS28" s="18">
        <f t="shared" si="264"/>
        <v>4.8985304408677398E-3</v>
      </c>
      <c r="CT28" s="18">
        <f t="shared" si="264"/>
        <v>0</v>
      </c>
      <c r="CU28" s="18">
        <f t="shared" si="264"/>
        <v>5.167173252279636E-2</v>
      </c>
      <c r="CV28" s="18">
        <f t="shared" si="264"/>
        <v>0</v>
      </c>
      <c r="CW28" s="18">
        <f t="shared" si="264"/>
        <v>0</v>
      </c>
      <c r="CX28" s="18">
        <f t="shared" si="264"/>
        <v>0</v>
      </c>
      <c r="CY28" s="18">
        <f t="shared" si="264"/>
        <v>0</v>
      </c>
      <c r="CZ28" s="18">
        <f t="shared" si="264"/>
        <v>1</v>
      </c>
      <c r="DA28" s="18">
        <f t="shared" si="264"/>
        <v>6.25E-2</v>
      </c>
      <c r="DB28" s="18">
        <f t="shared" si="264"/>
        <v>0.14285714285714288</v>
      </c>
      <c r="DC28" s="18">
        <f t="shared" si="264"/>
        <v>0</v>
      </c>
      <c r="DD28" s="18">
        <f t="shared" si="264"/>
        <v>0.18311731190897473</v>
      </c>
      <c r="DE28" s="18">
        <f t="shared" si="264"/>
        <v>0</v>
      </c>
      <c r="DF28" s="40">
        <f t="shared" si="264"/>
        <v>0.16420511888018965</v>
      </c>
      <c r="DH28" s="46">
        <f t="shared" si="264"/>
        <v>0.23962507874878078</v>
      </c>
      <c r="DI28" s="18">
        <f t="shared" si="264"/>
        <v>5.1671732522796353E-2</v>
      </c>
      <c r="DJ28" s="51">
        <f t="shared" si="264"/>
        <v>0.76366843033509701</v>
      </c>
      <c r="DK28" s="18">
        <f t="shared" si="264"/>
        <v>6.4649599172485143E-3</v>
      </c>
      <c r="DL28" s="18">
        <f t="shared" si="264"/>
        <v>0</v>
      </c>
      <c r="DM28" s="18">
        <f t="shared" si="264"/>
        <v>1.0885700148441365E-2</v>
      </c>
      <c r="DN28" s="18">
        <f t="shared" si="264"/>
        <v>0</v>
      </c>
      <c r="DO28" s="18">
        <f t="shared" si="264"/>
        <v>0</v>
      </c>
      <c r="DP28" s="18">
        <f t="shared" si="264"/>
        <v>0</v>
      </c>
      <c r="DQ28" s="18">
        <f t="shared" si="264"/>
        <v>0</v>
      </c>
      <c r="DR28" s="18">
        <f t="shared" si="264"/>
        <v>0.73333333333333328</v>
      </c>
      <c r="DS28" s="18">
        <f t="shared" si="264"/>
        <v>6.8965517241379309E-2</v>
      </c>
      <c r="DT28" s="18">
        <f t="shared" si="264"/>
        <v>0.23529411764705882</v>
      </c>
      <c r="DU28" s="18">
        <f t="shared" si="264"/>
        <v>0</v>
      </c>
      <c r="DV28" s="18">
        <f t="shared" si="265"/>
        <v>0.26398041102224545</v>
      </c>
      <c r="DW28" s="18">
        <f t="shared" si="265"/>
        <v>0</v>
      </c>
      <c r="DX28" s="40">
        <f t="shared" si="265"/>
        <v>0.23841061920548692</v>
      </c>
      <c r="DZ28" s="46">
        <f t="shared" si="266"/>
        <v>0.28951017594433692</v>
      </c>
      <c r="EA28" s="18">
        <f t="shared" si="266"/>
        <v>0.14550641940085593</v>
      </c>
      <c r="EB28" s="51">
        <f t="shared" si="266"/>
        <v>0.89788199697428139</v>
      </c>
      <c r="EC28" s="18">
        <f t="shared" si="266"/>
        <v>3.0983100127203345E-2</v>
      </c>
      <c r="ED28" s="18">
        <f t="shared" si="266"/>
        <v>0</v>
      </c>
      <c r="EE28" s="18">
        <f t="shared" si="266"/>
        <v>0.22540983606557385</v>
      </c>
      <c r="EF28" s="18">
        <f t="shared" si="266"/>
        <v>0</v>
      </c>
      <c r="EG28" s="18">
        <f t="shared" si="266"/>
        <v>0</v>
      </c>
      <c r="EH28" s="18">
        <f t="shared" si="266"/>
        <v>0</v>
      </c>
      <c r="EI28" s="18">
        <f t="shared" si="266"/>
        <v>0</v>
      </c>
      <c r="EJ28" s="18">
        <f t="shared" si="266"/>
        <v>1</v>
      </c>
      <c r="EK28" s="18">
        <f t="shared" si="266"/>
        <v>0</v>
      </c>
      <c r="EL28" s="18">
        <f t="shared" si="266"/>
        <v>0</v>
      </c>
      <c r="EM28" s="18">
        <f t="shared" si="266"/>
        <v>0</v>
      </c>
      <c r="EN28" s="18">
        <f t="shared" si="266"/>
        <v>0.25454541840114187</v>
      </c>
      <c r="EO28" s="18">
        <f t="shared" si="266"/>
        <v>0</v>
      </c>
      <c r="EP28" s="40">
        <f t="shared" si="266"/>
        <v>0.28958616787220359</v>
      </c>
      <c r="ER28" s="46">
        <f t="shared" si="266"/>
        <v>0.21627205670802105</v>
      </c>
      <c r="ES28" s="18">
        <f t="shared" si="266"/>
        <v>7.5249320036264722E-2</v>
      </c>
      <c r="ET28" s="51">
        <f t="shared" si="266"/>
        <v>0.81036114015893801</v>
      </c>
      <c r="EU28" s="18">
        <f t="shared" si="266"/>
        <v>2.3840190226141231E-2</v>
      </c>
      <c r="EV28" s="18">
        <f t="shared" si="266"/>
        <v>0</v>
      </c>
      <c r="EW28" s="18">
        <f t="shared" si="266"/>
        <v>8.829885767212102E-2</v>
      </c>
      <c r="EX28" s="18">
        <f t="shared" si="266"/>
        <v>0</v>
      </c>
      <c r="EY28" s="18">
        <f t="shared" si="266"/>
        <v>0</v>
      </c>
      <c r="EZ28" s="18">
        <f t="shared" si="266"/>
        <v>0</v>
      </c>
      <c r="FA28" s="18">
        <f t="shared" si="266"/>
        <v>0</v>
      </c>
      <c r="FB28" s="18">
        <f t="shared" si="266"/>
        <v>0.9285714285714286</v>
      </c>
      <c r="FC28" s="18">
        <f t="shared" si="266"/>
        <v>3.1578947368421047E-2</v>
      </c>
      <c r="FD28" s="18">
        <f t="shared" si="266"/>
        <v>7.857142857142857E-2</v>
      </c>
      <c r="FE28" s="18">
        <f t="shared" si="266"/>
        <v>0</v>
      </c>
      <c r="FF28" s="18">
        <f t="shared" si="267"/>
        <v>0.26139827734244975</v>
      </c>
      <c r="FG28" s="18">
        <f t="shared" si="267"/>
        <v>0</v>
      </c>
      <c r="FH28" s="40">
        <f t="shared" si="267"/>
        <v>0.21609189220600145</v>
      </c>
      <c r="FJ28" s="46">
        <f t="shared" si="268"/>
        <v>0.1433445908307357</v>
      </c>
      <c r="FK28" s="18">
        <f t="shared" si="268"/>
        <v>0</v>
      </c>
      <c r="FL28" s="18">
        <f t="shared" si="268"/>
        <v>0.76975158017185363</v>
      </c>
      <c r="FM28" s="18">
        <f t="shared" si="268"/>
        <v>1.4111360477303769E-2</v>
      </c>
      <c r="FN28" s="18">
        <f t="shared" si="268"/>
        <v>0</v>
      </c>
      <c r="FO28" s="18">
        <f t="shared" si="268"/>
        <v>3.0968686435011508E-2</v>
      </c>
      <c r="FP28" s="18">
        <f t="shared" si="268"/>
        <v>0</v>
      </c>
      <c r="FQ28" s="18">
        <f t="shared" si="268"/>
        <v>0</v>
      </c>
      <c r="FR28" s="18">
        <f t="shared" si="268"/>
        <v>0</v>
      </c>
      <c r="FS28" s="18">
        <f t="shared" si="268"/>
        <v>0</v>
      </c>
      <c r="FT28" s="18">
        <f t="shared" si="268"/>
        <v>0.88888888888888884</v>
      </c>
      <c r="FU28" s="18">
        <f t="shared" si="268"/>
        <v>0</v>
      </c>
      <c r="FV28" s="18">
        <f t="shared" si="268"/>
        <v>0</v>
      </c>
      <c r="FW28" s="18">
        <f t="shared" si="268"/>
        <v>0</v>
      </c>
      <c r="FX28" s="18">
        <f t="shared" si="268"/>
        <v>0.14409474942064396</v>
      </c>
      <c r="FY28" s="18">
        <f t="shared" si="268"/>
        <v>0</v>
      </c>
      <c r="FZ28" s="40">
        <f t="shared" si="268"/>
        <v>0.1425243749638743</v>
      </c>
      <c r="GB28" s="46">
        <f t="shared" si="268"/>
        <v>7.296697484995146E-2</v>
      </c>
      <c r="GC28" s="18">
        <f t="shared" si="268"/>
        <v>1.1185507722642129E-2</v>
      </c>
      <c r="GD28" s="51">
        <f t="shared" si="268"/>
        <v>0.68006182380216385</v>
      </c>
      <c r="GE28" s="18">
        <f t="shared" si="268"/>
        <v>2.8589919194492029E-3</v>
      </c>
      <c r="GF28" s="18">
        <f t="shared" si="268"/>
        <v>0</v>
      </c>
      <c r="GG28" s="18">
        <f t="shared" si="268"/>
        <v>1.5084791562604914E-2</v>
      </c>
      <c r="GH28" s="18">
        <f t="shared" si="268"/>
        <v>0</v>
      </c>
      <c r="GI28" s="18">
        <f t="shared" si="268"/>
        <v>0</v>
      </c>
      <c r="GJ28" s="18">
        <f t="shared" si="268"/>
        <v>0</v>
      </c>
      <c r="GK28" s="18">
        <f t="shared" si="268"/>
        <v>0</v>
      </c>
      <c r="GL28" s="18">
        <f t="shared" si="268"/>
        <v>1</v>
      </c>
      <c r="GM28" s="18">
        <f t="shared" si="268"/>
        <v>0</v>
      </c>
      <c r="GN28" s="18">
        <f t="shared" si="268"/>
        <v>0</v>
      </c>
      <c r="GO28" s="18">
        <f t="shared" si="268"/>
        <v>0</v>
      </c>
      <c r="GP28" s="18">
        <f t="shared" si="269"/>
        <v>0.11354621299491087</v>
      </c>
      <c r="GQ28" s="18">
        <f t="shared" si="269"/>
        <v>0</v>
      </c>
      <c r="GR28" s="40">
        <f t="shared" si="269"/>
        <v>7.3217624269685658E-2</v>
      </c>
      <c r="GT28" s="46">
        <f t="shared" si="270"/>
        <v>0.2274910581810935</v>
      </c>
      <c r="GU28" s="18">
        <f t="shared" si="270"/>
        <v>6.8621334996880846E-3</v>
      </c>
      <c r="GV28" s="51">
        <f t="shared" si="270"/>
        <v>0.81554325843945152</v>
      </c>
      <c r="GW28" s="18">
        <f t="shared" si="270"/>
        <v>4.0738728951656707E-2</v>
      </c>
      <c r="GX28" s="18">
        <f t="shared" si="270"/>
        <v>0</v>
      </c>
      <c r="GY28" s="18">
        <f t="shared" si="270"/>
        <v>0.13331844929593187</v>
      </c>
      <c r="GZ28" s="18">
        <f t="shared" si="270"/>
        <v>0</v>
      </c>
      <c r="HA28" s="18">
        <f t="shared" si="270"/>
        <v>0</v>
      </c>
      <c r="HB28" s="18">
        <f t="shared" si="270"/>
        <v>0</v>
      </c>
      <c r="HC28" s="18">
        <f t="shared" si="270"/>
        <v>0</v>
      </c>
      <c r="HD28" s="18">
        <f t="shared" si="270"/>
        <v>0</v>
      </c>
      <c r="HE28" s="18">
        <f t="shared" si="270"/>
        <v>0</v>
      </c>
      <c r="HF28" s="18">
        <f t="shared" si="270"/>
        <v>0</v>
      </c>
      <c r="HG28" s="18">
        <f t="shared" si="270"/>
        <v>0</v>
      </c>
      <c r="HH28" s="18">
        <f t="shared" si="270"/>
        <v>0.32732659632919048</v>
      </c>
      <c r="HI28" s="18">
        <f t="shared" si="270"/>
        <v>0</v>
      </c>
      <c r="HJ28" s="40">
        <f t="shared" si="270"/>
        <v>0.22811364277482829</v>
      </c>
      <c r="HL28" s="46">
        <f t="shared" si="270"/>
        <v>3.0514144822196925E-2</v>
      </c>
      <c r="HM28" s="18">
        <f t="shared" si="270"/>
        <v>0</v>
      </c>
      <c r="HN28" s="51">
        <f t="shared" si="270"/>
        <v>0.49659863945578231</v>
      </c>
      <c r="HO28" s="18">
        <f t="shared" si="270"/>
        <v>6.8704912401236686E-3</v>
      </c>
      <c r="HP28" s="18">
        <f t="shared" si="270"/>
        <v>0</v>
      </c>
      <c r="HQ28" s="18">
        <f t="shared" si="270"/>
        <v>0</v>
      </c>
      <c r="HR28" s="18">
        <f t="shared" si="270"/>
        <v>0</v>
      </c>
      <c r="HS28" s="18">
        <f t="shared" si="270"/>
        <v>0</v>
      </c>
      <c r="HT28" s="18">
        <f t="shared" si="270"/>
        <v>0</v>
      </c>
      <c r="HU28" s="18">
        <f t="shared" si="270"/>
        <v>0.17647058823529413</v>
      </c>
      <c r="HV28" s="18">
        <f t="shared" si="270"/>
        <v>0</v>
      </c>
      <c r="HW28" s="18">
        <f t="shared" si="270"/>
        <v>0</v>
      </c>
      <c r="HX28" s="18">
        <f t="shared" si="270"/>
        <v>0</v>
      </c>
      <c r="HY28" s="18">
        <f t="shared" si="270"/>
        <v>0</v>
      </c>
      <c r="HZ28" s="18">
        <f t="shared" si="270"/>
        <v>5.1382450855263377E-2</v>
      </c>
      <c r="IA28" s="18">
        <f t="shared" si="270"/>
        <v>0</v>
      </c>
      <c r="IB28" s="40">
        <f t="shared" si="270"/>
        <v>3.058724861530935E-2</v>
      </c>
    </row>
    <row r="29" spans="2:236" x14ac:dyDescent="0.35">
      <c r="B29" s="17" t="s">
        <v>70</v>
      </c>
      <c r="D29" s="46">
        <f t="shared" si="272"/>
        <v>0.60266632880097371</v>
      </c>
      <c r="E29" s="18">
        <f t="shared" si="272"/>
        <v>4.2577832899314523E-3</v>
      </c>
      <c r="F29" s="18">
        <f t="shared" si="259"/>
        <v>0.21820214138441946</v>
      </c>
      <c r="G29" s="51">
        <f t="shared" si="259"/>
        <v>0.98710594975049371</v>
      </c>
      <c r="H29" s="18">
        <f t="shared" si="259"/>
        <v>0.97836878812774208</v>
      </c>
      <c r="I29" s="18">
        <f t="shared" si="259"/>
        <v>0.30391447356316881</v>
      </c>
      <c r="J29" s="18">
        <f t="shared" si="259"/>
        <v>0</v>
      </c>
      <c r="K29" s="18">
        <f t="shared" si="259"/>
        <v>0</v>
      </c>
      <c r="L29" s="18">
        <f t="shared" si="259"/>
        <v>0</v>
      </c>
      <c r="M29" s="18">
        <f t="shared" si="259"/>
        <v>2.0202020202020197E-2</v>
      </c>
      <c r="N29" s="18">
        <f t="shared" si="259"/>
        <v>6.25E-2</v>
      </c>
      <c r="O29" s="50">
        <f t="shared" si="259"/>
        <v>0.9064220183486239</v>
      </c>
      <c r="P29" s="18">
        <f t="shared" si="259"/>
        <v>0.47093417284274502</v>
      </c>
      <c r="Q29" s="18">
        <f t="shared" si="259"/>
        <v>0</v>
      </c>
      <c r="R29" s="18">
        <f t="shared" si="259"/>
        <v>0.54154851888411526</v>
      </c>
      <c r="S29" s="18">
        <f t="shared" si="259"/>
        <v>0</v>
      </c>
      <c r="T29" s="40">
        <f t="shared" si="259"/>
        <v>0.60294787677284933</v>
      </c>
      <c r="V29" s="46">
        <f t="shared" si="273"/>
        <v>0.77196448536720697</v>
      </c>
      <c r="W29" s="18">
        <f t="shared" si="273"/>
        <v>1.2149353102171641E-3</v>
      </c>
      <c r="X29" s="18">
        <f t="shared" si="273"/>
        <v>0.49510337323177367</v>
      </c>
      <c r="Y29" s="51">
        <f t="shared" si="273"/>
        <v>0.9993148488637662</v>
      </c>
      <c r="Z29" s="18">
        <f>IFERROR(Z8/Z$13,0)</f>
        <v>0.96761734297355217</v>
      </c>
      <c r="AA29" s="18">
        <f t="shared" si="273"/>
        <v>9.5281150709005349E-2</v>
      </c>
      <c r="AB29" s="18">
        <f t="shared" si="273"/>
        <v>0</v>
      </c>
      <c r="AC29" s="18">
        <f t="shared" si="273"/>
        <v>0</v>
      </c>
      <c r="AD29" s="18">
        <f t="shared" si="273"/>
        <v>0</v>
      </c>
      <c r="AE29" s="18">
        <f t="shared" si="273"/>
        <v>0</v>
      </c>
      <c r="AF29" s="18">
        <f t="shared" si="273"/>
        <v>0.625</v>
      </c>
      <c r="AG29" s="18">
        <f t="shared" si="273"/>
        <v>1</v>
      </c>
      <c r="AH29" s="18">
        <f t="shared" si="273"/>
        <v>0.79974740866320015</v>
      </c>
      <c r="AI29" s="18">
        <f t="shared" si="273"/>
        <v>0</v>
      </c>
      <c r="AJ29" s="18">
        <f t="shared" si="273"/>
        <v>0.7000833593101492</v>
      </c>
      <c r="AK29" s="18">
        <f t="shared" si="273"/>
        <v>0</v>
      </c>
      <c r="AL29" s="40">
        <f t="shared" si="273"/>
        <v>0.77325040629057629</v>
      </c>
      <c r="AN29" s="46">
        <f t="shared" si="273"/>
        <v>0.64847188090467722</v>
      </c>
      <c r="AO29" s="18">
        <f t="shared" si="273"/>
        <v>0</v>
      </c>
      <c r="AP29" s="18">
        <f t="shared" si="273"/>
        <v>0.24912497426394895</v>
      </c>
      <c r="AQ29" s="51">
        <f t="shared" si="273"/>
        <v>0.99766161557916733</v>
      </c>
      <c r="AR29" s="18">
        <f t="shared" si="273"/>
        <v>0.95804195804195802</v>
      </c>
      <c r="AS29" s="18">
        <f t="shared" si="273"/>
        <v>0.21000469209334394</v>
      </c>
      <c r="AT29" s="18">
        <f t="shared" si="273"/>
        <v>0</v>
      </c>
      <c r="AU29" s="18">
        <f t="shared" si="273"/>
        <v>0</v>
      </c>
      <c r="AV29" s="18">
        <f t="shared" si="273"/>
        <v>0</v>
      </c>
      <c r="AW29" s="18">
        <f t="shared" si="273"/>
        <v>0</v>
      </c>
      <c r="AX29" s="18">
        <f t="shared" si="273"/>
        <v>3.7037037037037035E-2</v>
      </c>
      <c r="AY29" s="18">
        <f t="shared" si="273"/>
        <v>1</v>
      </c>
      <c r="AZ29" s="18">
        <f t="shared" si="273"/>
        <v>0.42105263157894735</v>
      </c>
      <c r="BA29" s="18">
        <f t="shared" si="273"/>
        <v>0</v>
      </c>
      <c r="BB29" s="18">
        <f t="shared" si="273"/>
        <v>0.54416587192705079</v>
      </c>
      <c r="BC29" s="18">
        <f t="shared" si="273"/>
        <v>0</v>
      </c>
      <c r="BD29" s="40">
        <f t="shared" si="273"/>
        <v>0.6481646180148215</v>
      </c>
      <c r="BF29" s="46">
        <f t="shared" si="273"/>
        <v>0.66684350193912301</v>
      </c>
      <c r="BG29" s="18">
        <f t="shared" si="273"/>
        <v>0</v>
      </c>
      <c r="BH29" s="18">
        <f t="shared" si="273"/>
        <v>0.20191431175934366</v>
      </c>
      <c r="BI29" s="51">
        <f t="shared" si="273"/>
        <v>0.99423400776553073</v>
      </c>
      <c r="BJ29" s="18">
        <f t="shared" si="273"/>
        <v>1</v>
      </c>
      <c r="BK29" s="18">
        <f t="shared" si="273"/>
        <v>8.5034820877608164E-2</v>
      </c>
      <c r="BL29" s="18">
        <f t="shared" si="273"/>
        <v>0</v>
      </c>
      <c r="BM29" s="18">
        <f t="shared" si="273"/>
        <v>0</v>
      </c>
      <c r="BN29" s="18">
        <f t="shared" si="273"/>
        <v>0</v>
      </c>
      <c r="BO29" s="18">
        <f t="shared" si="273"/>
        <v>0</v>
      </c>
      <c r="BP29" s="18">
        <f t="shared" si="273"/>
        <v>0.14285714285714285</v>
      </c>
      <c r="BQ29" s="18">
        <f t="shared" si="273"/>
        <v>0.93333333333333335</v>
      </c>
      <c r="BR29" s="18">
        <f t="shared" si="273"/>
        <v>0.21428571428571427</v>
      </c>
      <c r="BS29" s="18">
        <f t="shared" si="273"/>
        <v>0</v>
      </c>
      <c r="BT29" s="18">
        <f t="shared" si="273"/>
        <v>0.57706017455213598</v>
      </c>
      <c r="BU29" s="18">
        <f t="shared" si="273"/>
        <v>0</v>
      </c>
      <c r="BV29" s="40">
        <f t="shared" si="273"/>
        <v>0.66719075912550974</v>
      </c>
      <c r="BX29" s="46">
        <f t="shared" si="273"/>
        <v>0.60597301865278774</v>
      </c>
      <c r="BY29" s="18">
        <f t="shared" si="273"/>
        <v>3.3557046979865767E-3</v>
      </c>
      <c r="BZ29" s="18">
        <f t="shared" si="273"/>
        <v>0.20717655279268823</v>
      </c>
      <c r="CA29" s="51">
        <f t="shared" si="273"/>
        <v>0.98486590038314181</v>
      </c>
      <c r="CB29" s="18">
        <f t="shared" si="273"/>
        <v>1</v>
      </c>
      <c r="CC29" s="18">
        <f t="shared" si="273"/>
        <v>5.6170440407053324E-2</v>
      </c>
      <c r="CD29" s="18">
        <f t="shared" si="273"/>
        <v>0</v>
      </c>
      <c r="CE29" s="18">
        <f t="shared" si="273"/>
        <v>0</v>
      </c>
      <c r="CF29" s="18">
        <f t="shared" si="273"/>
        <v>0</v>
      </c>
      <c r="CG29" s="18">
        <f t="shared" si="273"/>
        <v>0</v>
      </c>
      <c r="CH29" s="18">
        <f t="shared" si="263"/>
        <v>0</v>
      </c>
      <c r="CI29" s="18">
        <f t="shared" si="263"/>
        <v>0.69565217391304346</v>
      </c>
      <c r="CJ29" s="18">
        <f t="shared" si="263"/>
        <v>0.3328290468986384</v>
      </c>
      <c r="CK29" s="18">
        <f t="shared" si="263"/>
        <v>0</v>
      </c>
      <c r="CL29" s="18">
        <f t="shared" si="263"/>
        <v>0.57796263793321523</v>
      </c>
      <c r="CM29" s="18">
        <f t="shared" si="263"/>
        <v>0</v>
      </c>
      <c r="CN29" s="40">
        <f t="shared" si="263"/>
        <v>0.60643089991045629</v>
      </c>
      <c r="CP29" s="46">
        <f t="shared" si="264"/>
        <v>0.68878541629601198</v>
      </c>
      <c r="CQ29" s="18">
        <f t="shared" si="264"/>
        <v>0</v>
      </c>
      <c r="CR29" s="18">
        <f t="shared" si="264"/>
        <v>0.28764166216945491</v>
      </c>
      <c r="CS29" s="51">
        <f t="shared" si="264"/>
        <v>0.99510146955913226</v>
      </c>
      <c r="CT29" s="18">
        <f t="shared" si="264"/>
        <v>0.98190045248868774</v>
      </c>
      <c r="CU29" s="18">
        <f t="shared" si="264"/>
        <v>0.79027355623100304</v>
      </c>
      <c r="CV29" s="18">
        <f t="shared" si="264"/>
        <v>0</v>
      </c>
      <c r="CW29" s="18">
        <f t="shared" si="264"/>
        <v>0</v>
      </c>
      <c r="CX29" s="18">
        <f t="shared" si="264"/>
        <v>0</v>
      </c>
      <c r="CY29" s="18">
        <f t="shared" si="264"/>
        <v>0</v>
      </c>
      <c r="CZ29" s="18">
        <f t="shared" si="264"/>
        <v>0</v>
      </c>
      <c r="DA29" s="18">
        <f t="shared" si="264"/>
        <v>0.53125</v>
      </c>
      <c r="DB29" s="18">
        <f t="shared" si="264"/>
        <v>0.8571428571428571</v>
      </c>
      <c r="DC29" s="18">
        <f t="shared" si="264"/>
        <v>0</v>
      </c>
      <c r="DD29" s="18">
        <f t="shared" si="264"/>
        <v>0.65708264626323232</v>
      </c>
      <c r="DE29" s="18">
        <f t="shared" si="264"/>
        <v>0</v>
      </c>
      <c r="DF29" s="40">
        <f t="shared" si="264"/>
        <v>0.68909969428015738</v>
      </c>
      <c r="DH29" s="46">
        <f t="shared" si="264"/>
        <v>0.63369167765457335</v>
      </c>
      <c r="DI29" s="18">
        <f t="shared" si="264"/>
        <v>2.2796352583586633E-2</v>
      </c>
      <c r="DJ29" s="18">
        <f t="shared" si="264"/>
        <v>0.22398589065255731</v>
      </c>
      <c r="DK29" s="51">
        <f t="shared" si="264"/>
        <v>0.99353504008275151</v>
      </c>
      <c r="DL29" s="18">
        <f t="shared" si="264"/>
        <v>1</v>
      </c>
      <c r="DM29" s="18">
        <f t="shared" si="264"/>
        <v>0.96660069272637306</v>
      </c>
      <c r="DN29" s="18">
        <f t="shared" si="264"/>
        <v>0</v>
      </c>
      <c r="DO29" s="18">
        <f t="shared" si="264"/>
        <v>0</v>
      </c>
      <c r="DP29" s="18">
        <f t="shared" si="264"/>
        <v>0</v>
      </c>
      <c r="DQ29" s="18">
        <f t="shared" si="264"/>
        <v>0.24999999999999994</v>
      </c>
      <c r="DR29" s="18">
        <f t="shared" si="264"/>
        <v>0</v>
      </c>
      <c r="DS29" s="18">
        <f t="shared" si="264"/>
        <v>0.86206896551724144</v>
      </c>
      <c r="DT29" s="18">
        <f t="shared" si="264"/>
        <v>0.41176470588235303</v>
      </c>
      <c r="DU29" s="18">
        <f t="shared" si="264"/>
        <v>0</v>
      </c>
      <c r="DV29" s="18">
        <f t="shared" si="265"/>
        <v>0.62556231883974045</v>
      </c>
      <c r="DW29" s="18">
        <f t="shared" si="265"/>
        <v>0</v>
      </c>
      <c r="DX29" s="40">
        <f t="shared" si="265"/>
        <v>0.63495268710629182</v>
      </c>
      <c r="DZ29" s="46">
        <f t="shared" si="266"/>
        <v>0.45349179035692133</v>
      </c>
      <c r="EA29" s="18">
        <f t="shared" si="266"/>
        <v>1.4265335235378032E-3</v>
      </c>
      <c r="EB29" s="18">
        <f t="shared" si="266"/>
        <v>5.3706505295007576E-2</v>
      </c>
      <c r="EC29" s="51">
        <f t="shared" si="266"/>
        <v>0.96551880792295108</v>
      </c>
      <c r="ED29" s="18">
        <f t="shared" si="266"/>
        <v>1</v>
      </c>
      <c r="EE29" s="18">
        <f t="shared" si="266"/>
        <v>0.48155737704918034</v>
      </c>
      <c r="EF29" s="18">
        <f t="shared" si="266"/>
        <v>0</v>
      </c>
      <c r="EG29" s="18">
        <f t="shared" si="266"/>
        <v>0</v>
      </c>
      <c r="EH29" s="18">
        <f t="shared" si="266"/>
        <v>0</v>
      </c>
      <c r="EI29" s="18">
        <f t="shared" si="266"/>
        <v>0</v>
      </c>
      <c r="EJ29" s="18">
        <f t="shared" si="266"/>
        <v>0</v>
      </c>
      <c r="EK29" s="18">
        <f t="shared" si="266"/>
        <v>1</v>
      </c>
      <c r="EL29" s="18">
        <f t="shared" si="266"/>
        <v>0.6</v>
      </c>
      <c r="EM29" s="18">
        <f t="shared" si="266"/>
        <v>0</v>
      </c>
      <c r="EN29" s="18">
        <f t="shared" si="266"/>
        <v>0.38609384918978301</v>
      </c>
      <c r="EO29" s="18">
        <f t="shared" si="266"/>
        <v>0</v>
      </c>
      <c r="EP29" s="40">
        <f t="shared" si="266"/>
        <v>0.45232902945812181</v>
      </c>
      <c r="ER29" s="46">
        <f t="shared" si="266"/>
        <v>0.53279277961234295</v>
      </c>
      <c r="ES29" s="18">
        <f t="shared" si="266"/>
        <v>1.8132366273798731E-3</v>
      </c>
      <c r="ET29" s="18">
        <f t="shared" si="266"/>
        <v>0.15723832789968101</v>
      </c>
      <c r="EU29" s="51">
        <f t="shared" si="266"/>
        <v>0.97578139405598352</v>
      </c>
      <c r="EV29" s="18">
        <f t="shared" si="266"/>
        <v>1</v>
      </c>
      <c r="EW29" s="18">
        <f t="shared" si="266"/>
        <v>0.5449274467428219</v>
      </c>
      <c r="EX29" s="18">
        <f t="shared" si="266"/>
        <v>0</v>
      </c>
      <c r="EY29" s="18">
        <f t="shared" si="266"/>
        <v>0</v>
      </c>
      <c r="EZ29" s="18">
        <f t="shared" si="266"/>
        <v>0</v>
      </c>
      <c r="FA29" s="18">
        <f t="shared" si="266"/>
        <v>0</v>
      </c>
      <c r="FB29" s="18">
        <f t="shared" si="266"/>
        <v>0</v>
      </c>
      <c r="FC29" s="18">
        <f t="shared" si="266"/>
        <v>0.90526315789473688</v>
      </c>
      <c r="FD29" s="18">
        <f t="shared" si="266"/>
        <v>0.55000000000000004</v>
      </c>
      <c r="FE29" s="18">
        <f t="shared" si="266"/>
        <v>0</v>
      </c>
      <c r="FF29" s="18">
        <f t="shared" si="267"/>
        <v>0.50253596617479535</v>
      </c>
      <c r="FG29" s="18">
        <f t="shared" si="267"/>
        <v>0</v>
      </c>
      <c r="FH29" s="40">
        <f t="shared" si="267"/>
        <v>0.53266822737908759</v>
      </c>
      <c r="FJ29" s="46">
        <f t="shared" si="268"/>
        <v>0.49224607173061136</v>
      </c>
      <c r="FK29" s="18">
        <f t="shared" si="268"/>
        <v>6.2717770034843197E-3</v>
      </c>
      <c r="FL29" s="18">
        <f t="shared" si="268"/>
        <v>0.14495321964275165</v>
      </c>
      <c r="FM29" s="18">
        <f t="shared" si="268"/>
        <v>0.98474447515967156</v>
      </c>
      <c r="FN29" s="18">
        <f t="shared" si="268"/>
        <v>1</v>
      </c>
      <c r="FO29" s="18">
        <f t="shared" si="268"/>
        <v>0.2253030590962305</v>
      </c>
      <c r="FP29" s="18">
        <f t="shared" si="268"/>
        <v>0</v>
      </c>
      <c r="FQ29" s="18">
        <f t="shared" si="268"/>
        <v>0</v>
      </c>
      <c r="FR29" s="18">
        <f t="shared" si="268"/>
        <v>0</v>
      </c>
      <c r="FS29" s="18">
        <f t="shared" si="268"/>
        <v>0</v>
      </c>
      <c r="FT29" s="18">
        <f t="shared" si="268"/>
        <v>0.1111111111111111</v>
      </c>
      <c r="FU29" s="18">
        <f t="shared" si="268"/>
        <v>1</v>
      </c>
      <c r="FV29" s="18">
        <f t="shared" si="268"/>
        <v>0.87500000000000011</v>
      </c>
      <c r="FW29" s="18">
        <f t="shared" si="268"/>
        <v>0</v>
      </c>
      <c r="FX29" s="18">
        <f t="shared" si="268"/>
        <v>0.4914838817205342</v>
      </c>
      <c r="FY29" s="18">
        <f t="shared" si="268"/>
        <v>0</v>
      </c>
      <c r="FZ29" s="40">
        <f t="shared" si="268"/>
        <v>0.4921270276937128</v>
      </c>
      <c r="GB29" s="46">
        <f t="shared" si="268"/>
        <v>0.60976445248713351</v>
      </c>
      <c r="GC29" s="18">
        <f t="shared" si="268"/>
        <v>8.2840398729324138E-3</v>
      </c>
      <c r="GD29" s="18">
        <f t="shared" si="268"/>
        <v>0.19938176197836166</v>
      </c>
      <c r="GE29" s="51">
        <f t="shared" si="268"/>
        <v>0.96969468565383843</v>
      </c>
      <c r="GF29" s="18">
        <f t="shared" si="268"/>
        <v>0.97959183673469385</v>
      </c>
      <c r="GG29" s="18">
        <f t="shared" si="268"/>
        <v>0.6594509906678786</v>
      </c>
      <c r="GH29" s="18">
        <f t="shared" si="268"/>
        <v>0</v>
      </c>
      <c r="GI29" s="18">
        <f t="shared" si="268"/>
        <v>0</v>
      </c>
      <c r="GJ29" s="18">
        <f t="shared" si="268"/>
        <v>0</v>
      </c>
      <c r="GK29" s="18">
        <f t="shared" si="268"/>
        <v>0</v>
      </c>
      <c r="GL29" s="18">
        <f t="shared" si="268"/>
        <v>0</v>
      </c>
      <c r="GM29" s="18">
        <f t="shared" si="268"/>
        <v>0.62500000000000011</v>
      </c>
      <c r="GN29" s="18">
        <f t="shared" si="268"/>
        <v>0.379746835443038</v>
      </c>
      <c r="GO29" s="18">
        <f t="shared" si="268"/>
        <v>0</v>
      </c>
      <c r="GP29" s="18">
        <f t="shared" si="269"/>
        <v>0.56184920655594839</v>
      </c>
      <c r="GQ29" s="18">
        <f t="shared" si="269"/>
        <v>0</v>
      </c>
      <c r="GR29" s="40">
        <f t="shared" si="269"/>
        <v>0.60954243807282626</v>
      </c>
      <c r="GT29" s="46">
        <f t="shared" si="270"/>
        <v>0.37916711482109422</v>
      </c>
      <c r="GU29" s="18">
        <f t="shared" si="270"/>
        <v>0</v>
      </c>
      <c r="GV29" s="18">
        <f t="shared" si="270"/>
        <v>0.16667777851856788</v>
      </c>
      <c r="GW29" s="51">
        <f t="shared" si="270"/>
        <v>0.95328625746876694</v>
      </c>
      <c r="GX29" s="18">
        <f t="shared" si="270"/>
        <v>0.83333333333333337</v>
      </c>
      <c r="GY29" s="18">
        <f t="shared" si="270"/>
        <v>9.834627713014496E-2</v>
      </c>
      <c r="GZ29" s="18">
        <f t="shared" si="270"/>
        <v>0</v>
      </c>
      <c r="HA29" s="18">
        <f t="shared" si="270"/>
        <v>0</v>
      </c>
      <c r="HB29" s="18">
        <f t="shared" si="270"/>
        <v>0</v>
      </c>
      <c r="HC29" s="18">
        <f t="shared" si="270"/>
        <v>0</v>
      </c>
      <c r="HD29" s="18">
        <f t="shared" si="270"/>
        <v>0</v>
      </c>
      <c r="HE29" s="18">
        <f t="shared" si="270"/>
        <v>1</v>
      </c>
      <c r="HF29" s="18">
        <f t="shared" si="270"/>
        <v>0.58823529411764708</v>
      </c>
      <c r="HG29" s="18">
        <f t="shared" si="270"/>
        <v>0</v>
      </c>
      <c r="HH29" s="18">
        <f t="shared" si="270"/>
        <v>0.32566784668563042</v>
      </c>
      <c r="HI29" s="18">
        <f t="shared" si="270"/>
        <v>0</v>
      </c>
      <c r="HJ29" s="40">
        <f t="shared" si="270"/>
        <v>0.37955759556039625</v>
      </c>
      <c r="HL29" s="46">
        <f t="shared" si="270"/>
        <v>0.54426383985764881</v>
      </c>
      <c r="HM29" s="18">
        <f t="shared" si="270"/>
        <v>6.436512580456407E-3</v>
      </c>
      <c r="HN29" s="18">
        <f t="shared" si="270"/>
        <v>0.47959183673469385</v>
      </c>
      <c r="HO29" s="51">
        <f t="shared" si="270"/>
        <v>0.98797664032978361</v>
      </c>
      <c r="HP29" s="18">
        <f t="shared" si="270"/>
        <v>0.66666666666666663</v>
      </c>
      <c r="HQ29" s="18">
        <f t="shared" si="270"/>
        <v>5.5456171735241505E-2</v>
      </c>
      <c r="HR29" s="18">
        <f t="shared" si="270"/>
        <v>0</v>
      </c>
      <c r="HS29" s="18">
        <f t="shared" si="270"/>
        <v>0</v>
      </c>
      <c r="HT29" s="18">
        <f t="shared" si="270"/>
        <v>0</v>
      </c>
      <c r="HU29" s="18">
        <f t="shared" si="270"/>
        <v>0</v>
      </c>
      <c r="HV29" s="18">
        <f t="shared" si="270"/>
        <v>0</v>
      </c>
      <c r="HW29" s="18">
        <f t="shared" si="270"/>
        <v>1</v>
      </c>
      <c r="HX29" s="18">
        <f t="shared" si="270"/>
        <v>0.52777777777777779</v>
      </c>
      <c r="HY29" s="18">
        <f t="shared" si="270"/>
        <v>0</v>
      </c>
      <c r="HZ29" s="18">
        <f t="shared" si="270"/>
        <v>0.47606495536234977</v>
      </c>
      <c r="IA29" s="18">
        <f t="shared" si="270"/>
        <v>0</v>
      </c>
      <c r="IB29" s="40">
        <f t="shared" si="270"/>
        <v>0.54448049506251717</v>
      </c>
    </row>
    <row r="30" spans="2:236" x14ac:dyDescent="0.35">
      <c r="B30" s="17" t="s">
        <v>71</v>
      </c>
      <c r="D30" s="46">
        <f t="shared" si="272"/>
        <v>3.4995500015479096E-2</v>
      </c>
      <c r="E30" s="18">
        <f t="shared" si="272"/>
        <v>0</v>
      </c>
      <c r="F30" s="18">
        <f t="shared" si="259"/>
        <v>0</v>
      </c>
      <c r="G30" s="18">
        <f t="shared" si="259"/>
        <v>0</v>
      </c>
      <c r="H30" s="18">
        <f t="shared" si="259"/>
        <v>2.403467985806429E-3</v>
      </c>
      <c r="I30" s="51">
        <f t="shared" si="259"/>
        <v>0.52848435246871917</v>
      </c>
      <c r="J30" s="18">
        <f t="shared" si="259"/>
        <v>0</v>
      </c>
      <c r="K30" s="18">
        <f t="shared" si="259"/>
        <v>1.9784727231580883E-3</v>
      </c>
      <c r="L30" s="18">
        <f t="shared" si="259"/>
        <v>0</v>
      </c>
      <c r="M30" s="18">
        <f t="shared" si="259"/>
        <v>0</v>
      </c>
      <c r="N30" s="18">
        <f t="shared" si="259"/>
        <v>0</v>
      </c>
      <c r="O30" s="18">
        <f t="shared" si="259"/>
        <v>0</v>
      </c>
      <c r="P30" s="50">
        <f t="shared" si="259"/>
        <v>0.22555784480685478</v>
      </c>
      <c r="Q30" s="18">
        <f t="shared" si="259"/>
        <v>0</v>
      </c>
      <c r="R30" s="18">
        <f t="shared" si="259"/>
        <v>4.1927680241272351E-2</v>
      </c>
      <c r="S30" s="18">
        <f t="shared" si="259"/>
        <v>0</v>
      </c>
      <c r="T30" s="40">
        <f t="shared" si="259"/>
        <v>3.488414456808793E-2</v>
      </c>
      <c r="V30" s="46">
        <f t="shared" si="273"/>
        <v>4.2302487884929039E-2</v>
      </c>
      <c r="W30" s="18">
        <f t="shared" si="273"/>
        <v>0</v>
      </c>
      <c r="X30" s="18">
        <f t="shared" si="273"/>
        <v>0</v>
      </c>
      <c r="Y30" s="18">
        <f t="shared" si="273"/>
        <v>0</v>
      </c>
      <c r="Z30" s="18">
        <f t="shared" si="273"/>
        <v>0</v>
      </c>
      <c r="AA30" s="51">
        <f t="shared" si="273"/>
        <v>0.79965743611947715</v>
      </c>
      <c r="AB30" s="18">
        <f t="shared" si="273"/>
        <v>0</v>
      </c>
      <c r="AC30" s="18">
        <f t="shared" si="273"/>
        <v>2.6116925411831662E-2</v>
      </c>
      <c r="AD30" s="18">
        <f t="shared" si="273"/>
        <v>0</v>
      </c>
      <c r="AE30" s="18">
        <f t="shared" si="273"/>
        <v>0</v>
      </c>
      <c r="AF30" s="18">
        <f t="shared" si="273"/>
        <v>0</v>
      </c>
      <c r="AG30" s="18">
        <f t="shared" si="273"/>
        <v>0</v>
      </c>
      <c r="AH30" s="18">
        <f t="shared" si="273"/>
        <v>0.10012629566839991</v>
      </c>
      <c r="AI30" s="18">
        <f t="shared" si="273"/>
        <v>0</v>
      </c>
      <c r="AJ30" s="18">
        <f t="shared" si="273"/>
        <v>5.0768621874463682E-2</v>
      </c>
      <c r="AK30" s="18">
        <f t="shared" si="273"/>
        <v>0</v>
      </c>
      <c r="AL30" s="40">
        <f t="shared" si="273"/>
        <v>4.2038469144212914E-2</v>
      </c>
      <c r="AN30" s="46">
        <f t="shared" si="273"/>
        <v>1.8331632856152197E-3</v>
      </c>
      <c r="AO30" s="18">
        <f t="shared" si="273"/>
        <v>0</v>
      </c>
      <c r="AP30" s="18">
        <f t="shared" si="273"/>
        <v>0</v>
      </c>
      <c r="AQ30" s="18">
        <f t="shared" si="273"/>
        <v>0</v>
      </c>
      <c r="AR30" s="18">
        <f t="shared" si="273"/>
        <v>0</v>
      </c>
      <c r="AS30" s="51">
        <f t="shared" si="273"/>
        <v>5.2666353860443736E-2</v>
      </c>
      <c r="AT30" s="18">
        <f t="shared" si="273"/>
        <v>0</v>
      </c>
      <c r="AU30" s="18">
        <f t="shared" si="273"/>
        <v>1.2356598311322424E-2</v>
      </c>
      <c r="AV30" s="18">
        <f t="shared" si="273"/>
        <v>0</v>
      </c>
      <c r="AW30" s="18">
        <f t="shared" si="273"/>
        <v>0</v>
      </c>
      <c r="AX30" s="18">
        <f t="shared" si="273"/>
        <v>0</v>
      </c>
      <c r="AY30" s="18">
        <f t="shared" si="273"/>
        <v>0</v>
      </c>
      <c r="AZ30" s="18">
        <f t="shared" si="273"/>
        <v>0.10526315789473684</v>
      </c>
      <c r="BA30" s="18">
        <f t="shared" si="273"/>
        <v>0</v>
      </c>
      <c r="BB30" s="18">
        <f t="shared" si="273"/>
        <v>6.2924367191881303E-3</v>
      </c>
      <c r="BC30" s="18">
        <f t="shared" si="273"/>
        <v>0</v>
      </c>
      <c r="BD30" s="40">
        <f t="shared" si="273"/>
        <v>1.8376076135231522E-3</v>
      </c>
      <c r="BF30" s="46">
        <f t="shared" si="273"/>
        <v>5.8882762505278026E-2</v>
      </c>
      <c r="BG30" s="18">
        <f t="shared" si="273"/>
        <v>0</v>
      </c>
      <c r="BH30" s="18">
        <f t="shared" si="273"/>
        <v>0</v>
      </c>
      <c r="BI30" s="18">
        <f t="shared" si="273"/>
        <v>0</v>
      </c>
      <c r="BJ30" s="18">
        <f t="shared" si="273"/>
        <v>0</v>
      </c>
      <c r="BK30" s="51">
        <f t="shared" si="273"/>
        <v>0.86883344974197962</v>
      </c>
      <c r="BL30" s="18">
        <f t="shared" si="273"/>
        <v>0</v>
      </c>
      <c r="BM30" s="18">
        <f t="shared" si="273"/>
        <v>0</v>
      </c>
      <c r="BN30" s="18">
        <f t="shared" si="273"/>
        <v>0</v>
      </c>
      <c r="BO30" s="18">
        <f t="shared" si="273"/>
        <v>0</v>
      </c>
      <c r="BP30" s="18">
        <f t="shared" si="273"/>
        <v>0</v>
      </c>
      <c r="BQ30" s="18">
        <f t="shared" si="273"/>
        <v>0</v>
      </c>
      <c r="BR30" s="18">
        <f t="shared" si="273"/>
        <v>0.75</v>
      </c>
      <c r="BS30" s="18">
        <f t="shared" si="273"/>
        <v>0</v>
      </c>
      <c r="BT30" s="18">
        <f t="shared" si="273"/>
        <v>8.16260909508498E-2</v>
      </c>
      <c r="BU30" s="18">
        <f t="shared" si="273"/>
        <v>0</v>
      </c>
      <c r="BV30" s="40">
        <f t="shared" si="273"/>
        <v>5.8867298592381975E-2</v>
      </c>
      <c r="BX30" s="46">
        <f t="shared" si="273"/>
        <v>0.11090898992146733</v>
      </c>
      <c r="BY30" s="18">
        <f t="shared" si="273"/>
        <v>0</v>
      </c>
      <c r="BZ30" s="18">
        <f t="shared" si="273"/>
        <v>0</v>
      </c>
      <c r="CA30" s="18">
        <f t="shared" si="273"/>
        <v>0</v>
      </c>
      <c r="CB30" s="18">
        <f t="shared" si="273"/>
        <v>0</v>
      </c>
      <c r="CC30" s="51">
        <f t="shared" si="273"/>
        <v>0.92190849810941478</v>
      </c>
      <c r="CD30" s="18">
        <f t="shared" si="273"/>
        <v>0</v>
      </c>
      <c r="CE30" s="18">
        <f t="shared" si="273"/>
        <v>0</v>
      </c>
      <c r="CF30" s="18">
        <f t="shared" si="273"/>
        <v>0</v>
      </c>
      <c r="CG30" s="18">
        <f t="shared" si="273"/>
        <v>0</v>
      </c>
      <c r="CH30" s="18">
        <f t="shared" si="263"/>
        <v>0</v>
      </c>
      <c r="CI30" s="18">
        <f t="shared" si="263"/>
        <v>0</v>
      </c>
      <c r="CJ30" s="18">
        <f t="shared" si="263"/>
        <v>0.2329803328290469</v>
      </c>
      <c r="CK30" s="18">
        <f t="shared" si="263"/>
        <v>0</v>
      </c>
      <c r="CL30" s="18">
        <f t="shared" si="263"/>
        <v>7.3576955251169918E-2</v>
      </c>
      <c r="CM30" s="18">
        <f t="shared" si="263"/>
        <v>0</v>
      </c>
      <c r="CN30" s="40">
        <f t="shared" si="263"/>
        <v>0.11056988404350579</v>
      </c>
      <c r="CP30" s="46">
        <f t="shared" si="264"/>
        <v>4.4826652786704906E-3</v>
      </c>
      <c r="CQ30" s="18">
        <f t="shared" si="264"/>
        <v>0</v>
      </c>
      <c r="CR30" s="18">
        <f t="shared" si="264"/>
        <v>0</v>
      </c>
      <c r="CS30" s="18">
        <f t="shared" si="264"/>
        <v>0</v>
      </c>
      <c r="CT30" s="18">
        <f t="shared" si="264"/>
        <v>0</v>
      </c>
      <c r="CU30" s="51">
        <f t="shared" si="264"/>
        <v>0.10942249240121582</v>
      </c>
      <c r="CV30" s="18">
        <f t="shared" si="264"/>
        <v>0</v>
      </c>
      <c r="CW30" s="18">
        <f t="shared" si="264"/>
        <v>0</v>
      </c>
      <c r="CX30" s="18">
        <f t="shared" si="264"/>
        <v>0</v>
      </c>
      <c r="CY30" s="18">
        <f t="shared" si="264"/>
        <v>0</v>
      </c>
      <c r="CZ30" s="18">
        <f t="shared" si="264"/>
        <v>0</v>
      </c>
      <c r="DA30" s="18">
        <f t="shared" si="264"/>
        <v>0</v>
      </c>
      <c r="DB30" s="18">
        <f t="shared" si="264"/>
        <v>0</v>
      </c>
      <c r="DC30" s="18">
        <f t="shared" si="264"/>
        <v>0</v>
      </c>
      <c r="DD30" s="18">
        <f t="shared" si="264"/>
        <v>0</v>
      </c>
      <c r="DE30" s="18">
        <f t="shared" si="264"/>
        <v>0</v>
      </c>
      <c r="DF30" s="40">
        <f t="shared" si="264"/>
        <v>4.5190897133684047E-3</v>
      </c>
      <c r="DH30" s="46">
        <f t="shared" si="264"/>
        <v>1.5858357590343178E-4</v>
      </c>
      <c r="DI30" s="18">
        <f t="shared" si="264"/>
        <v>0</v>
      </c>
      <c r="DJ30" s="18">
        <f t="shared" si="264"/>
        <v>0</v>
      </c>
      <c r="DK30" s="18">
        <f t="shared" si="264"/>
        <v>0</v>
      </c>
      <c r="DL30" s="18">
        <f t="shared" si="264"/>
        <v>0</v>
      </c>
      <c r="DM30" s="51">
        <f t="shared" si="264"/>
        <v>3.4636318654131617E-3</v>
      </c>
      <c r="DN30" s="18">
        <f t="shared" si="264"/>
        <v>0</v>
      </c>
      <c r="DO30" s="18">
        <f t="shared" si="264"/>
        <v>0</v>
      </c>
      <c r="DP30" s="18">
        <f t="shared" si="264"/>
        <v>0</v>
      </c>
      <c r="DQ30" s="18">
        <f t="shared" si="264"/>
        <v>0</v>
      </c>
      <c r="DR30" s="18">
        <f t="shared" si="264"/>
        <v>0</v>
      </c>
      <c r="DS30" s="18">
        <f t="shared" si="264"/>
        <v>0</v>
      </c>
      <c r="DT30" s="18">
        <f t="shared" si="264"/>
        <v>0</v>
      </c>
      <c r="DU30" s="18">
        <f t="shared" si="264"/>
        <v>0</v>
      </c>
      <c r="DV30" s="18">
        <f t="shared" si="265"/>
        <v>0</v>
      </c>
      <c r="DW30" s="18">
        <f t="shared" si="265"/>
        <v>0</v>
      </c>
      <c r="DX30" s="40">
        <f t="shared" si="265"/>
        <v>1.6013202382091963E-4</v>
      </c>
      <c r="DZ30" s="46">
        <f t="shared" si="266"/>
        <v>0</v>
      </c>
      <c r="EA30" s="18">
        <f t="shared" si="266"/>
        <v>0</v>
      </c>
      <c r="EB30" s="18">
        <f t="shared" si="266"/>
        <v>0</v>
      </c>
      <c r="EC30" s="18">
        <f t="shared" si="266"/>
        <v>0</v>
      </c>
      <c r="ED30" s="18">
        <f t="shared" si="266"/>
        <v>0</v>
      </c>
      <c r="EE30" s="51">
        <f t="shared" si="266"/>
        <v>0</v>
      </c>
      <c r="EF30" s="18">
        <f t="shared" si="266"/>
        <v>0</v>
      </c>
      <c r="EG30" s="18">
        <f t="shared" si="266"/>
        <v>0</v>
      </c>
      <c r="EH30" s="18">
        <f t="shared" si="266"/>
        <v>0</v>
      </c>
      <c r="EI30" s="18">
        <f t="shared" si="266"/>
        <v>0</v>
      </c>
      <c r="EJ30" s="18">
        <f t="shared" si="266"/>
        <v>0</v>
      </c>
      <c r="EK30" s="18">
        <f t="shared" si="266"/>
        <v>0</v>
      </c>
      <c r="EL30" s="18">
        <f t="shared" si="266"/>
        <v>0</v>
      </c>
      <c r="EM30" s="18">
        <f t="shared" si="266"/>
        <v>0</v>
      </c>
      <c r="EN30" s="18">
        <f t="shared" si="266"/>
        <v>0</v>
      </c>
      <c r="EO30" s="18">
        <f t="shared" si="266"/>
        <v>0</v>
      </c>
      <c r="EP30" s="40">
        <f t="shared" si="266"/>
        <v>0</v>
      </c>
      <c r="ER30" s="46">
        <f t="shared" si="266"/>
        <v>0</v>
      </c>
      <c r="ES30" s="18">
        <f t="shared" si="266"/>
        <v>0</v>
      </c>
      <c r="ET30" s="18">
        <f t="shared" si="266"/>
        <v>0</v>
      </c>
      <c r="EU30" s="18">
        <f t="shared" si="266"/>
        <v>0</v>
      </c>
      <c r="EV30" s="18">
        <f t="shared" si="266"/>
        <v>0</v>
      </c>
      <c r="EW30" s="51">
        <f t="shared" si="266"/>
        <v>0</v>
      </c>
      <c r="EX30" s="18">
        <f t="shared" si="266"/>
        <v>0</v>
      </c>
      <c r="EY30" s="18">
        <f t="shared" si="266"/>
        <v>0</v>
      </c>
      <c r="EZ30" s="18">
        <f t="shared" si="266"/>
        <v>0</v>
      </c>
      <c r="FA30" s="18">
        <f t="shared" si="266"/>
        <v>0</v>
      </c>
      <c r="FB30" s="18">
        <f t="shared" si="266"/>
        <v>0</v>
      </c>
      <c r="FC30" s="18">
        <f t="shared" si="266"/>
        <v>0</v>
      </c>
      <c r="FD30" s="18">
        <f t="shared" si="266"/>
        <v>0</v>
      </c>
      <c r="FE30" s="18">
        <f t="shared" si="266"/>
        <v>0</v>
      </c>
      <c r="FF30" s="18">
        <f t="shared" si="267"/>
        <v>0</v>
      </c>
      <c r="FG30" s="18">
        <f t="shared" si="267"/>
        <v>0</v>
      </c>
      <c r="FH30" s="40">
        <f t="shared" si="267"/>
        <v>0</v>
      </c>
      <c r="FJ30" s="46">
        <f t="shared" si="268"/>
        <v>2.5052995469970599E-2</v>
      </c>
      <c r="FK30" s="18">
        <f t="shared" si="268"/>
        <v>0</v>
      </c>
      <c r="FL30" s="18">
        <f t="shared" si="268"/>
        <v>0</v>
      </c>
      <c r="FM30" s="18">
        <f t="shared" si="268"/>
        <v>0</v>
      </c>
      <c r="FN30" s="18">
        <f t="shared" si="268"/>
        <v>0</v>
      </c>
      <c r="FO30" s="18">
        <f t="shared" si="268"/>
        <v>0.3690435133505538</v>
      </c>
      <c r="FP30" s="18">
        <f t="shared" si="268"/>
        <v>0</v>
      </c>
      <c r="FQ30" s="18">
        <f t="shared" si="268"/>
        <v>0</v>
      </c>
      <c r="FR30" s="18">
        <f t="shared" si="268"/>
        <v>0</v>
      </c>
      <c r="FS30" s="18">
        <f t="shared" si="268"/>
        <v>0</v>
      </c>
      <c r="FT30" s="18">
        <f t="shared" si="268"/>
        <v>0</v>
      </c>
      <c r="FU30" s="18">
        <f t="shared" si="268"/>
        <v>0</v>
      </c>
      <c r="FV30" s="18">
        <f t="shared" si="268"/>
        <v>0</v>
      </c>
      <c r="FW30" s="18">
        <f t="shared" si="268"/>
        <v>0</v>
      </c>
      <c r="FX30" s="18">
        <f t="shared" si="268"/>
        <v>3.114374316990149E-2</v>
      </c>
      <c r="FY30" s="18">
        <f t="shared" si="268"/>
        <v>0</v>
      </c>
      <c r="FZ30" s="40">
        <f t="shared" si="268"/>
        <v>2.4891672481271578E-2</v>
      </c>
      <c r="GB30" s="46">
        <f t="shared" si="268"/>
        <v>1.9829301553993043E-2</v>
      </c>
      <c r="GC30" s="18">
        <f t="shared" si="268"/>
        <v>0</v>
      </c>
      <c r="GD30" s="18">
        <f t="shared" si="268"/>
        <v>0</v>
      </c>
      <c r="GE30" s="18">
        <f t="shared" si="268"/>
        <v>0</v>
      </c>
      <c r="GF30" s="18">
        <f t="shared" si="268"/>
        <v>0</v>
      </c>
      <c r="GG30" s="51">
        <f t="shared" si="268"/>
        <v>0.11889652235860566</v>
      </c>
      <c r="GH30" s="18">
        <f t="shared" si="268"/>
        <v>0</v>
      </c>
      <c r="GI30" s="18">
        <f t="shared" si="268"/>
        <v>0</v>
      </c>
      <c r="GJ30" s="18">
        <f t="shared" si="268"/>
        <v>0</v>
      </c>
      <c r="GK30" s="18">
        <f t="shared" si="268"/>
        <v>0</v>
      </c>
      <c r="GL30" s="18">
        <f t="shared" si="268"/>
        <v>0</v>
      </c>
      <c r="GM30" s="18">
        <f t="shared" si="268"/>
        <v>0</v>
      </c>
      <c r="GN30" s="18">
        <f t="shared" si="268"/>
        <v>0.379746835443038</v>
      </c>
      <c r="GO30" s="18">
        <f t="shared" si="268"/>
        <v>0</v>
      </c>
      <c r="GP30" s="18">
        <f t="shared" si="269"/>
        <v>4.2300833820774708E-2</v>
      </c>
      <c r="GQ30" s="18">
        <f t="shared" si="269"/>
        <v>0</v>
      </c>
      <c r="GR30" s="40">
        <f t="shared" si="269"/>
        <v>1.9867290468296297E-2</v>
      </c>
      <c r="GT30" s="46">
        <f t="shared" si="270"/>
        <v>1.6503834711970294E-2</v>
      </c>
      <c r="GU30" s="18">
        <f t="shared" si="270"/>
        <v>0</v>
      </c>
      <c r="GV30" s="18">
        <f t="shared" si="270"/>
        <v>0</v>
      </c>
      <c r="GW30" s="18">
        <f t="shared" si="270"/>
        <v>0</v>
      </c>
      <c r="GX30" s="18">
        <f t="shared" si="270"/>
        <v>0.16666666666666666</v>
      </c>
      <c r="GY30" s="51">
        <f t="shared" si="270"/>
        <v>0.29821232079353183</v>
      </c>
      <c r="GZ30" s="18">
        <f t="shared" si="270"/>
        <v>0</v>
      </c>
      <c r="HA30" s="18">
        <f t="shared" si="270"/>
        <v>0</v>
      </c>
      <c r="HB30" s="18">
        <f t="shared" si="270"/>
        <v>0</v>
      </c>
      <c r="HC30" s="18">
        <f t="shared" si="270"/>
        <v>0</v>
      </c>
      <c r="HD30" s="18">
        <f t="shared" si="270"/>
        <v>0</v>
      </c>
      <c r="HE30" s="18">
        <f t="shared" si="270"/>
        <v>0</v>
      </c>
      <c r="HF30" s="18">
        <f t="shared" si="270"/>
        <v>0</v>
      </c>
      <c r="HG30" s="18">
        <f t="shared" si="270"/>
        <v>0</v>
      </c>
      <c r="HH30" s="18">
        <f t="shared" si="270"/>
        <v>3.1644909342550931E-2</v>
      </c>
      <c r="HI30" s="18">
        <f t="shared" si="270"/>
        <v>0</v>
      </c>
      <c r="HJ30" s="40">
        <f t="shared" si="270"/>
        <v>1.6397413857443383E-2</v>
      </c>
      <c r="HL30" s="46">
        <f t="shared" si="270"/>
        <v>8.8592342361839688E-2</v>
      </c>
      <c r="HM30" s="18">
        <f t="shared" si="270"/>
        <v>0</v>
      </c>
      <c r="HN30" s="18">
        <f t="shared" si="270"/>
        <v>0</v>
      </c>
      <c r="HO30" s="18">
        <f t="shared" si="270"/>
        <v>0</v>
      </c>
      <c r="HP30" s="18">
        <f t="shared" si="270"/>
        <v>0.33333333333333331</v>
      </c>
      <c r="HQ30" s="51">
        <f t="shared" si="270"/>
        <v>0.85688729874776381</v>
      </c>
      <c r="HR30" s="18">
        <f t="shared" si="270"/>
        <v>0</v>
      </c>
      <c r="HS30" s="18">
        <f t="shared" si="270"/>
        <v>0</v>
      </c>
      <c r="HT30" s="18">
        <f t="shared" si="270"/>
        <v>0</v>
      </c>
      <c r="HU30" s="18">
        <f t="shared" si="270"/>
        <v>0</v>
      </c>
      <c r="HV30" s="18">
        <f t="shared" si="270"/>
        <v>0</v>
      </c>
      <c r="HW30" s="18">
        <f t="shared" si="270"/>
        <v>0</v>
      </c>
      <c r="HX30" s="18">
        <f t="shared" si="270"/>
        <v>0.16666666666666666</v>
      </c>
      <c r="HY30" s="18">
        <f t="shared" si="270"/>
        <v>0</v>
      </c>
      <c r="HZ30" s="18">
        <f t="shared" si="270"/>
        <v>0.15080161155413668</v>
      </c>
      <c r="IA30" s="18">
        <f t="shared" si="270"/>
        <v>0</v>
      </c>
      <c r="IB30" s="40">
        <f t="shared" si="270"/>
        <v>8.8099523002463612E-2</v>
      </c>
    </row>
    <row r="31" spans="2:236" x14ac:dyDescent="0.35">
      <c r="B31" s="17" t="s">
        <v>148</v>
      </c>
      <c r="D31" s="46">
        <f t="shared" si="272"/>
        <v>6.7124192797981988E-4</v>
      </c>
      <c r="E31" s="18">
        <f t="shared" si="272"/>
        <v>0</v>
      </c>
      <c r="F31" s="18">
        <f t="shared" si="259"/>
        <v>0</v>
      </c>
      <c r="G31" s="18">
        <f t="shared" si="259"/>
        <v>0</v>
      </c>
      <c r="H31" s="18">
        <f t="shared" si="259"/>
        <v>0</v>
      </c>
      <c r="I31" s="18">
        <f t="shared" si="259"/>
        <v>0</v>
      </c>
      <c r="J31" s="51">
        <f t="shared" si="259"/>
        <v>0.79082276379573679</v>
      </c>
      <c r="K31" s="18">
        <f t="shared" si="259"/>
        <v>8.4807852788503692E-3</v>
      </c>
      <c r="L31" s="18">
        <f t="shared" si="259"/>
        <v>0</v>
      </c>
      <c r="M31" s="18">
        <f t="shared" si="259"/>
        <v>0</v>
      </c>
      <c r="N31" s="18">
        <f t="shared" si="259"/>
        <v>0</v>
      </c>
      <c r="O31" s="18">
        <f t="shared" si="259"/>
        <v>0</v>
      </c>
      <c r="P31" s="18">
        <f t="shared" si="259"/>
        <v>0</v>
      </c>
      <c r="Q31" s="18">
        <f t="shared" si="259"/>
        <v>4.2924499418284245E-2</v>
      </c>
      <c r="R31" s="18">
        <f t="shared" si="259"/>
        <v>1.6248300683222646E-3</v>
      </c>
      <c r="S31" s="18">
        <f t="shared" si="259"/>
        <v>0</v>
      </c>
      <c r="T31" s="40">
        <f t="shared" si="259"/>
        <v>6.4516841168724311E-4</v>
      </c>
      <c r="V31" s="46">
        <f t="shared" si="273"/>
        <v>1.7778688538329888E-3</v>
      </c>
      <c r="W31" s="18">
        <f t="shared" si="273"/>
        <v>0</v>
      </c>
      <c r="X31" s="18">
        <f t="shared" si="273"/>
        <v>0</v>
      </c>
      <c r="Y31" s="18">
        <f t="shared" si="273"/>
        <v>0</v>
      </c>
      <c r="Z31" s="18">
        <f t="shared" si="273"/>
        <v>0</v>
      </c>
      <c r="AA31" s="18">
        <f t="shared" si="273"/>
        <v>0</v>
      </c>
      <c r="AB31" s="51">
        <f t="shared" si="273"/>
        <v>0.20634920634920634</v>
      </c>
      <c r="AC31" s="18">
        <f t="shared" si="273"/>
        <v>7.401903436936795E-2</v>
      </c>
      <c r="AD31" s="18">
        <f t="shared" si="273"/>
        <v>0</v>
      </c>
      <c r="AE31" s="18">
        <f t="shared" si="273"/>
        <v>0</v>
      </c>
      <c r="AF31" s="18">
        <f t="shared" si="273"/>
        <v>0</v>
      </c>
      <c r="AG31" s="18">
        <f t="shared" si="273"/>
        <v>0</v>
      </c>
      <c r="AH31" s="18">
        <f t="shared" si="273"/>
        <v>0</v>
      </c>
      <c r="AI31" s="18">
        <f t="shared" si="273"/>
        <v>0</v>
      </c>
      <c r="AJ31" s="18">
        <f t="shared" si="273"/>
        <v>7.1450837270718116E-3</v>
      </c>
      <c r="AK31" s="18">
        <f t="shared" si="273"/>
        <v>0</v>
      </c>
      <c r="AL31" s="40">
        <f t="shared" si="273"/>
        <v>1.5976449592517269E-3</v>
      </c>
      <c r="AN31" s="46">
        <f t="shared" si="273"/>
        <v>2.6915492685620291E-3</v>
      </c>
      <c r="AO31" s="18">
        <f t="shared" si="273"/>
        <v>0</v>
      </c>
      <c r="AP31" s="18">
        <f t="shared" si="273"/>
        <v>0</v>
      </c>
      <c r="AQ31" s="18">
        <f t="shared" si="273"/>
        <v>0</v>
      </c>
      <c r="AR31" s="18">
        <f t="shared" si="273"/>
        <v>0</v>
      </c>
      <c r="AS31" s="18">
        <f t="shared" si="273"/>
        <v>0</v>
      </c>
      <c r="AT31" s="51">
        <f t="shared" si="273"/>
        <v>1</v>
      </c>
      <c r="AU31" s="18">
        <f t="shared" si="273"/>
        <v>2.0631722459756925E-2</v>
      </c>
      <c r="AV31" s="18">
        <f t="shared" si="273"/>
        <v>0</v>
      </c>
      <c r="AW31" s="18">
        <f t="shared" si="273"/>
        <v>0</v>
      </c>
      <c r="AX31" s="18">
        <f t="shared" si="273"/>
        <v>0</v>
      </c>
      <c r="AY31" s="18">
        <f t="shared" si="273"/>
        <v>0</v>
      </c>
      <c r="AZ31" s="18">
        <f t="shared" si="273"/>
        <v>0</v>
      </c>
      <c r="BA31" s="18">
        <f t="shared" si="273"/>
        <v>0</v>
      </c>
      <c r="BB31" s="18">
        <f t="shared" si="273"/>
        <v>4.5117975267491926E-3</v>
      </c>
      <c r="BC31" s="18">
        <f t="shared" si="273"/>
        <v>0</v>
      </c>
      <c r="BD31" s="40">
        <f t="shared" si="273"/>
        <v>2.5998853215710828E-3</v>
      </c>
      <c r="BF31" s="46">
        <f t="shared" si="273"/>
        <v>7.0139982075521272E-4</v>
      </c>
      <c r="BG31" s="18">
        <f t="shared" si="273"/>
        <v>0</v>
      </c>
      <c r="BH31" s="18">
        <f t="shared" si="273"/>
        <v>0</v>
      </c>
      <c r="BI31" s="18">
        <f t="shared" si="273"/>
        <v>0</v>
      </c>
      <c r="BJ31" s="18">
        <f t="shared" si="273"/>
        <v>0</v>
      </c>
      <c r="BK31" s="18">
        <f t="shared" si="273"/>
        <v>0</v>
      </c>
      <c r="BL31" s="51">
        <f t="shared" si="273"/>
        <v>0.8081490955600219</v>
      </c>
      <c r="BM31" s="18">
        <f t="shared" si="273"/>
        <v>6.6693410891585595E-3</v>
      </c>
      <c r="BN31" s="18">
        <f t="shared" si="273"/>
        <v>0</v>
      </c>
      <c r="BO31" s="18">
        <f t="shared" si="273"/>
        <v>0</v>
      </c>
      <c r="BP31" s="18">
        <f t="shared" si="273"/>
        <v>0</v>
      </c>
      <c r="BQ31" s="18">
        <f t="shared" si="273"/>
        <v>0</v>
      </c>
      <c r="BR31" s="18">
        <f t="shared" si="273"/>
        <v>0</v>
      </c>
      <c r="BS31" s="18">
        <f t="shared" si="273"/>
        <v>0</v>
      </c>
      <c r="BT31" s="18">
        <f t="shared" si="273"/>
        <v>1.7638952687184198E-3</v>
      </c>
      <c r="BU31" s="18">
        <f t="shared" si="273"/>
        <v>0</v>
      </c>
      <c r="BV31" s="40">
        <f t="shared" si="273"/>
        <v>6.7965210058718083E-4</v>
      </c>
      <c r="BX31" s="46">
        <f t="shared" si="273"/>
        <v>1.4875980715299263E-4</v>
      </c>
      <c r="BY31" s="18">
        <f t="shared" si="273"/>
        <v>0</v>
      </c>
      <c r="BZ31" s="18">
        <f t="shared" si="273"/>
        <v>0</v>
      </c>
      <c r="CA31" s="18">
        <f t="shared" si="273"/>
        <v>0</v>
      </c>
      <c r="CB31" s="18">
        <f t="shared" si="273"/>
        <v>0</v>
      </c>
      <c r="CC31" s="18">
        <f t="shared" si="273"/>
        <v>0</v>
      </c>
      <c r="CD31" s="51">
        <f t="shared" si="273"/>
        <v>0</v>
      </c>
      <c r="CE31" s="18">
        <f t="shared" si="273"/>
        <v>0</v>
      </c>
      <c r="CF31" s="18">
        <f t="shared" si="273"/>
        <v>0</v>
      </c>
      <c r="CG31" s="18">
        <f t="shared" si="273"/>
        <v>0</v>
      </c>
      <c r="CH31" s="18">
        <f t="shared" si="263"/>
        <v>0</v>
      </c>
      <c r="CI31" s="18">
        <f t="shared" si="263"/>
        <v>0</v>
      </c>
      <c r="CJ31" s="18">
        <f t="shared" si="263"/>
        <v>0</v>
      </c>
      <c r="CK31" s="18">
        <f t="shared" si="263"/>
        <v>0.75498115239633823</v>
      </c>
      <c r="CL31" s="18">
        <f t="shared" si="263"/>
        <v>2.6626962906421757E-4</v>
      </c>
      <c r="CM31" s="18">
        <f t="shared" si="263"/>
        <v>0</v>
      </c>
      <c r="CN31" s="40">
        <f t="shared" si="263"/>
        <v>1.4282714030974157E-4</v>
      </c>
      <c r="CP31" s="46">
        <f t="shared" si="264"/>
        <v>0</v>
      </c>
      <c r="CQ31" s="18">
        <f t="shared" si="264"/>
        <v>0</v>
      </c>
      <c r="CR31" s="18">
        <f t="shared" si="264"/>
        <v>0</v>
      </c>
      <c r="CS31" s="18">
        <f t="shared" si="264"/>
        <v>0</v>
      </c>
      <c r="CT31" s="18">
        <f t="shared" si="264"/>
        <v>0</v>
      </c>
      <c r="CU31" s="18">
        <f t="shared" si="264"/>
        <v>0</v>
      </c>
      <c r="CV31" s="51">
        <f t="shared" si="264"/>
        <v>0</v>
      </c>
      <c r="CW31" s="18">
        <f t="shared" si="264"/>
        <v>0</v>
      </c>
      <c r="CX31" s="18">
        <f t="shared" si="264"/>
        <v>0</v>
      </c>
      <c r="CY31" s="18">
        <f t="shared" si="264"/>
        <v>0</v>
      </c>
      <c r="CZ31" s="18">
        <f t="shared" si="264"/>
        <v>0</v>
      </c>
      <c r="DA31" s="18">
        <f t="shared" si="264"/>
        <v>0</v>
      </c>
      <c r="DB31" s="18">
        <f t="shared" si="264"/>
        <v>0</v>
      </c>
      <c r="DC31" s="18">
        <f t="shared" si="264"/>
        <v>0</v>
      </c>
      <c r="DD31" s="18">
        <f t="shared" si="264"/>
        <v>0</v>
      </c>
      <c r="DE31" s="18">
        <f t="shared" si="264"/>
        <v>0</v>
      </c>
      <c r="DF31" s="40">
        <f t="shared" si="264"/>
        <v>0</v>
      </c>
      <c r="DH31" s="46">
        <f t="shared" si="264"/>
        <v>0</v>
      </c>
      <c r="DI31" s="18">
        <f t="shared" si="264"/>
        <v>0</v>
      </c>
      <c r="DJ31" s="18">
        <f t="shared" si="264"/>
        <v>0</v>
      </c>
      <c r="DK31" s="18">
        <f t="shared" si="264"/>
        <v>0</v>
      </c>
      <c r="DL31" s="18">
        <f t="shared" si="264"/>
        <v>0</v>
      </c>
      <c r="DM31" s="18">
        <f t="shared" si="264"/>
        <v>0</v>
      </c>
      <c r="DN31" s="51">
        <f t="shared" si="264"/>
        <v>0</v>
      </c>
      <c r="DO31" s="18">
        <f t="shared" si="264"/>
        <v>0</v>
      </c>
      <c r="DP31" s="18">
        <f t="shared" si="264"/>
        <v>0</v>
      </c>
      <c r="DQ31" s="18">
        <f t="shared" si="264"/>
        <v>0</v>
      </c>
      <c r="DR31" s="18">
        <f t="shared" si="264"/>
        <v>0</v>
      </c>
      <c r="DS31" s="18">
        <f t="shared" si="264"/>
        <v>0</v>
      </c>
      <c r="DT31" s="18">
        <f t="shared" si="264"/>
        <v>0</v>
      </c>
      <c r="DU31" s="18">
        <f t="shared" si="264"/>
        <v>0</v>
      </c>
      <c r="DV31" s="18">
        <f t="shared" si="265"/>
        <v>0</v>
      </c>
      <c r="DW31" s="18">
        <f t="shared" si="265"/>
        <v>0</v>
      </c>
      <c r="DX31" s="40">
        <f t="shared" si="265"/>
        <v>0</v>
      </c>
      <c r="DZ31" s="46">
        <f t="shared" si="266"/>
        <v>0</v>
      </c>
      <c r="EA31" s="18">
        <f t="shared" si="266"/>
        <v>0</v>
      </c>
      <c r="EB31" s="18">
        <f t="shared" si="266"/>
        <v>0</v>
      </c>
      <c r="EC31" s="18">
        <f t="shared" si="266"/>
        <v>0</v>
      </c>
      <c r="ED31" s="18">
        <f t="shared" si="266"/>
        <v>0</v>
      </c>
      <c r="EE31" s="18">
        <f t="shared" si="266"/>
        <v>0</v>
      </c>
      <c r="EF31" s="51">
        <f t="shared" si="266"/>
        <v>0</v>
      </c>
      <c r="EG31" s="18">
        <f t="shared" si="266"/>
        <v>0</v>
      </c>
      <c r="EH31" s="18">
        <f t="shared" si="266"/>
        <v>0</v>
      </c>
      <c r="EI31" s="18">
        <f t="shared" si="266"/>
        <v>0</v>
      </c>
      <c r="EJ31" s="18">
        <f t="shared" si="266"/>
        <v>0</v>
      </c>
      <c r="EK31" s="18">
        <f t="shared" si="266"/>
        <v>0</v>
      </c>
      <c r="EL31" s="18">
        <f t="shared" si="266"/>
        <v>0</v>
      </c>
      <c r="EM31" s="18">
        <f t="shared" si="266"/>
        <v>0</v>
      </c>
      <c r="EN31" s="18">
        <f t="shared" si="266"/>
        <v>0</v>
      </c>
      <c r="EO31" s="18">
        <f t="shared" si="266"/>
        <v>0</v>
      </c>
      <c r="EP31" s="40">
        <f t="shared" si="266"/>
        <v>0</v>
      </c>
      <c r="ER31" s="46">
        <f t="shared" si="266"/>
        <v>0</v>
      </c>
      <c r="ES31" s="18">
        <f t="shared" si="266"/>
        <v>0</v>
      </c>
      <c r="ET31" s="18">
        <f t="shared" si="266"/>
        <v>0</v>
      </c>
      <c r="EU31" s="18">
        <f t="shared" si="266"/>
        <v>0</v>
      </c>
      <c r="EV31" s="18">
        <f t="shared" si="266"/>
        <v>0</v>
      </c>
      <c r="EW31" s="18">
        <f t="shared" si="266"/>
        <v>0</v>
      </c>
      <c r="EX31" s="51">
        <f t="shared" si="266"/>
        <v>0</v>
      </c>
      <c r="EY31" s="18">
        <f t="shared" si="266"/>
        <v>0</v>
      </c>
      <c r="EZ31" s="18">
        <f t="shared" si="266"/>
        <v>0</v>
      </c>
      <c r="FA31" s="18">
        <f t="shared" si="266"/>
        <v>0</v>
      </c>
      <c r="FB31" s="18">
        <f t="shared" si="266"/>
        <v>0</v>
      </c>
      <c r="FC31" s="18">
        <f t="shared" si="266"/>
        <v>0</v>
      </c>
      <c r="FD31" s="18">
        <f t="shared" si="266"/>
        <v>0</v>
      </c>
      <c r="FE31" s="18">
        <f t="shared" si="266"/>
        <v>0</v>
      </c>
      <c r="FF31" s="18">
        <f t="shared" si="267"/>
        <v>0</v>
      </c>
      <c r="FG31" s="18">
        <f t="shared" si="267"/>
        <v>0</v>
      </c>
      <c r="FH31" s="40">
        <f t="shared" si="267"/>
        <v>0</v>
      </c>
      <c r="FJ31" s="46">
        <f t="shared" si="268"/>
        <v>1.2392285259253315E-3</v>
      </c>
      <c r="FK31" s="18">
        <f t="shared" si="268"/>
        <v>0</v>
      </c>
      <c r="FL31" s="18">
        <f t="shared" si="268"/>
        <v>0</v>
      </c>
      <c r="FM31" s="18">
        <f t="shared" si="268"/>
        <v>0</v>
      </c>
      <c r="FN31" s="18">
        <f t="shared" si="268"/>
        <v>0</v>
      </c>
      <c r="FO31" s="18">
        <f t="shared" si="268"/>
        <v>0</v>
      </c>
      <c r="FP31" s="18">
        <f t="shared" si="268"/>
        <v>1</v>
      </c>
      <c r="FQ31" s="18">
        <f t="shared" si="268"/>
        <v>1.7321768536676063E-2</v>
      </c>
      <c r="FR31" s="18">
        <f t="shared" si="268"/>
        <v>0</v>
      </c>
      <c r="FS31" s="18">
        <f t="shared" si="268"/>
        <v>0</v>
      </c>
      <c r="FT31" s="18">
        <f t="shared" si="268"/>
        <v>0</v>
      </c>
      <c r="FU31" s="18">
        <f t="shared" si="268"/>
        <v>0</v>
      </c>
      <c r="FV31" s="18">
        <f t="shared" si="268"/>
        <v>0</v>
      </c>
      <c r="FW31" s="18">
        <f t="shared" si="268"/>
        <v>0</v>
      </c>
      <c r="FX31" s="18">
        <f t="shared" si="268"/>
        <v>2.5005925172913602E-3</v>
      </c>
      <c r="FY31" s="18">
        <f t="shared" si="268"/>
        <v>0</v>
      </c>
      <c r="FZ31" s="40">
        <f t="shared" si="268"/>
        <v>1.249696703234454E-3</v>
      </c>
      <c r="GB31" s="46">
        <f t="shared" si="268"/>
        <v>0</v>
      </c>
      <c r="GC31" s="18">
        <f t="shared" si="268"/>
        <v>0</v>
      </c>
      <c r="GD31" s="18">
        <f t="shared" si="268"/>
        <v>0</v>
      </c>
      <c r="GE31" s="18">
        <f t="shared" si="268"/>
        <v>0</v>
      </c>
      <c r="GF31" s="18">
        <f t="shared" si="268"/>
        <v>0</v>
      </c>
      <c r="GG31" s="18">
        <f t="shared" si="268"/>
        <v>0</v>
      </c>
      <c r="GH31" s="51">
        <f t="shared" si="268"/>
        <v>0</v>
      </c>
      <c r="GI31" s="18">
        <f t="shared" si="268"/>
        <v>0</v>
      </c>
      <c r="GJ31" s="18">
        <f t="shared" si="268"/>
        <v>0</v>
      </c>
      <c r="GK31" s="18">
        <f t="shared" si="268"/>
        <v>0</v>
      </c>
      <c r="GL31" s="18">
        <f t="shared" si="268"/>
        <v>0</v>
      </c>
      <c r="GM31" s="18">
        <f t="shared" si="268"/>
        <v>0</v>
      </c>
      <c r="GN31" s="18">
        <f t="shared" si="268"/>
        <v>0</v>
      </c>
      <c r="GO31" s="18">
        <f t="shared" si="268"/>
        <v>0</v>
      </c>
      <c r="GP31" s="18">
        <f t="shared" si="269"/>
        <v>0</v>
      </c>
      <c r="GQ31" s="18">
        <f t="shared" si="269"/>
        <v>0</v>
      </c>
      <c r="GR31" s="40">
        <f t="shared" si="269"/>
        <v>0</v>
      </c>
      <c r="GT31" s="46">
        <f t="shared" si="270"/>
        <v>1.1788453365693067E-3</v>
      </c>
      <c r="GU31" s="18">
        <f t="shared" si="270"/>
        <v>0</v>
      </c>
      <c r="GV31" s="18">
        <f t="shared" si="270"/>
        <v>0</v>
      </c>
      <c r="GW31" s="18">
        <f t="shared" si="270"/>
        <v>0</v>
      </c>
      <c r="GX31" s="18">
        <f t="shared" si="270"/>
        <v>0</v>
      </c>
      <c r="GY31" s="18">
        <f t="shared" si="270"/>
        <v>0</v>
      </c>
      <c r="GZ31" s="51">
        <f t="shared" si="270"/>
        <v>1</v>
      </c>
      <c r="HA31" s="18">
        <f t="shared" si="270"/>
        <v>3.1178363997006877E-2</v>
      </c>
      <c r="HB31" s="18">
        <f t="shared" si="270"/>
        <v>0</v>
      </c>
      <c r="HC31" s="18">
        <f t="shared" si="270"/>
        <v>0</v>
      </c>
      <c r="HD31" s="18">
        <f t="shared" si="270"/>
        <v>0</v>
      </c>
      <c r="HE31" s="18">
        <f t="shared" si="270"/>
        <v>0</v>
      </c>
      <c r="HF31" s="18">
        <f t="shared" si="270"/>
        <v>0</v>
      </c>
      <c r="HG31" s="18">
        <f t="shared" si="270"/>
        <v>0</v>
      </c>
      <c r="HH31" s="18">
        <f t="shared" si="270"/>
        <v>1.2171118977904202E-3</v>
      </c>
      <c r="HI31" s="18">
        <f t="shared" si="270"/>
        <v>0</v>
      </c>
      <c r="HJ31" s="40">
        <f t="shared" si="270"/>
        <v>1.1780205712435218E-3</v>
      </c>
      <c r="HL31" s="46">
        <f t="shared" si="270"/>
        <v>5.2693658416069289E-4</v>
      </c>
      <c r="HM31" s="18">
        <f t="shared" si="270"/>
        <v>0</v>
      </c>
      <c r="HN31" s="18">
        <f t="shared" si="270"/>
        <v>0</v>
      </c>
      <c r="HO31" s="18">
        <f t="shared" si="270"/>
        <v>0</v>
      </c>
      <c r="HP31" s="18">
        <f t="shared" si="270"/>
        <v>0</v>
      </c>
      <c r="HQ31" s="18">
        <f t="shared" si="270"/>
        <v>0</v>
      </c>
      <c r="HR31" s="51">
        <f t="shared" si="270"/>
        <v>1</v>
      </c>
      <c r="HS31" s="18">
        <f t="shared" si="270"/>
        <v>0</v>
      </c>
      <c r="HT31" s="18">
        <f t="shared" si="270"/>
        <v>0</v>
      </c>
      <c r="HU31" s="18">
        <f t="shared" si="270"/>
        <v>0</v>
      </c>
      <c r="HV31" s="18">
        <f t="shared" si="270"/>
        <v>0</v>
      </c>
      <c r="HW31" s="18">
        <f t="shared" si="270"/>
        <v>0</v>
      </c>
      <c r="HX31" s="18">
        <f t="shared" si="270"/>
        <v>0</v>
      </c>
      <c r="HY31" s="18">
        <f t="shared" si="270"/>
        <v>0</v>
      </c>
      <c r="HZ31" s="18">
        <f t="shared" si="270"/>
        <v>3.5656801618218961E-3</v>
      </c>
      <c r="IA31" s="18">
        <f t="shared" si="270"/>
        <v>0</v>
      </c>
      <c r="IB31" s="40">
        <f t="shared" si="270"/>
        <v>5.3176982874732497E-4</v>
      </c>
    </row>
    <row r="32" spans="2:236" x14ac:dyDescent="0.35">
      <c r="B32" s="17" t="s">
        <v>147</v>
      </c>
      <c r="D32" s="46">
        <f t="shared" si="272"/>
        <v>4.1001253009076095E-2</v>
      </c>
      <c r="E32" s="18">
        <f t="shared" si="272"/>
        <v>0</v>
      </c>
      <c r="F32" s="18">
        <f t="shared" si="259"/>
        <v>0</v>
      </c>
      <c r="G32" s="18">
        <f t="shared" si="259"/>
        <v>0</v>
      </c>
      <c r="H32" s="18">
        <f t="shared" si="259"/>
        <v>0</v>
      </c>
      <c r="I32" s="18">
        <f t="shared" si="259"/>
        <v>0</v>
      </c>
      <c r="J32" s="18">
        <f t="shared" si="259"/>
        <v>0.20917723620426323</v>
      </c>
      <c r="K32" s="51">
        <f t="shared" si="259"/>
        <v>0.98954074199799158</v>
      </c>
      <c r="L32" s="18">
        <f t="shared" si="259"/>
        <v>1</v>
      </c>
      <c r="M32" s="18">
        <f t="shared" si="259"/>
        <v>0</v>
      </c>
      <c r="N32" s="18">
        <f t="shared" si="259"/>
        <v>0</v>
      </c>
      <c r="O32" s="18">
        <f t="shared" si="259"/>
        <v>0</v>
      </c>
      <c r="P32" s="18">
        <f t="shared" si="259"/>
        <v>0</v>
      </c>
      <c r="Q32" s="50">
        <f t="shared" si="259"/>
        <v>0.95707550058171575</v>
      </c>
      <c r="R32" s="18">
        <f t="shared" si="259"/>
        <v>7.0222879220908502E-2</v>
      </c>
      <c r="S32" s="18">
        <f t="shared" si="259"/>
        <v>0</v>
      </c>
      <c r="T32" s="40">
        <f t="shared" si="259"/>
        <v>4.0915969353768289E-2</v>
      </c>
      <c r="V32" s="46">
        <f t="shared" si="273"/>
        <v>2.1621588209953215E-2</v>
      </c>
      <c r="W32" s="18">
        <f t="shared" si="273"/>
        <v>0</v>
      </c>
      <c r="X32" s="18">
        <f t="shared" si="273"/>
        <v>0</v>
      </c>
      <c r="Y32" s="18">
        <f t="shared" si="273"/>
        <v>0</v>
      </c>
      <c r="Z32" s="18">
        <f t="shared" si="273"/>
        <v>0</v>
      </c>
      <c r="AA32" s="18">
        <f t="shared" si="273"/>
        <v>0</v>
      </c>
      <c r="AB32" s="18">
        <f t="shared" si="273"/>
        <v>0.79365079365079361</v>
      </c>
      <c r="AC32" s="51">
        <f t="shared" si="273"/>
        <v>0.8998640402188004</v>
      </c>
      <c r="AD32" s="18">
        <f t="shared" si="273"/>
        <v>1</v>
      </c>
      <c r="AE32" s="18">
        <f t="shared" si="273"/>
        <v>0</v>
      </c>
      <c r="AF32" s="18">
        <f t="shared" si="273"/>
        <v>0</v>
      </c>
      <c r="AG32" s="18">
        <f t="shared" si="273"/>
        <v>0</v>
      </c>
      <c r="AH32" s="18">
        <f t="shared" ref="AH32:CG32" si="274">IFERROR(AH11/AH$13,0)</f>
        <v>0</v>
      </c>
      <c r="AI32" s="18">
        <f t="shared" si="274"/>
        <v>1</v>
      </c>
      <c r="AJ32" s="18">
        <f t="shared" si="274"/>
        <v>6.017981794046464E-2</v>
      </c>
      <c r="AK32" s="18">
        <f t="shared" si="274"/>
        <v>0</v>
      </c>
      <c r="AL32" s="40">
        <f t="shared" si="274"/>
        <v>2.0433731000838659E-2</v>
      </c>
      <c r="AN32" s="46">
        <f t="shared" si="274"/>
        <v>3.7332515800703604E-2</v>
      </c>
      <c r="AO32" s="18">
        <f t="shared" si="274"/>
        <v>0</v>
      </c>
      <c r="AP32" s="18">
        <f t="shared" si="274"/>
        <v>0</v>
      </c>
      <c r="AQ32" s="18">
        <f t="shared" si="274"/>
        <v>0</v>
      </c>
      <c r="AR32" s="18">
        <f t="shared" si="274"/>
        <v>0</v>
      </c>
      <c r="AS32" s="18">
        <f t="shared" si="274"/>
        <v>0</v>
      </c>
      <c r="AT32" s="18">
        <f t="shared" si="274"/>
        <v>0</v>
      </c>
      <c r="AU32" s="51">
        <f t="shared" si="274"/>
        <v>0.96701167922892062</v>
      </c>
      <c r="AV32" s="18">
        <f t="shared" si="274"/>
        <v>1</v>
      </c>
      <c r="AW32" s="18">
        <f t="shared" si="274"/>
        <v>0</v>
      </c>
      <c r="AX32" s="18">
        <f t="shared" si="274"/>
        <v>0</v>
      </c>
      <c r="AY32" s="18">
        <f t="shared" si="274"/>
        <v>0</v>
      </c>
      <c r="AZ32" s="18">
        <f t="shared" si="274"/>
        <v>0</v>
      </c>
      <c r="BA32" s="18">
        <f t="shared" si="274"/>
        <v>0</v>
      </c>
      <c r="BB32" s="18">
        <f t="shared" si="274"/>
        <v>9.1208648456832173E-2</v>
      </c>
      <c r="BC32" s="18">
        <f t="shared" si="274"/>
        <v>0</v>
      </c>
      <c r="BD32" s="40">
        <f t="shared" si="274"/>
        <v>3.7340772398460099E-2</v>
      </c>
      <c r="BF32" s="46">
        <f t="shared" si="274"/>
        <v>3.9178626152492735E-2</v>
      </c>
      <c r="BG32" s="18">
        <f t="shared" si="274"/>
        <v>0</v>
      </c>
      <c r="BH32" s="18">
        <f t="shared" si="274"/>
        <v>0</v>
      </c>
      <c r="BI32" s="18">
        <f t="shared" si="274"/>
        <v>0</v>
      </c>
      <c r="BJ32" s="18">
        <f t="shared" si="274"/>
        <v>0</v>
      </c>
      <c r="BK32" s="18">
        <f t="shared" si="274"/>
        <v>0</v>
      </c>
      <c r="BL32" s="18">
        <f t="shared" si="274"/>
        <v>0.19185090443997807</v>
      </c>
      <c r="BM32" s="51">
        <f t="shared" si="274"/>
        <v>0.99333065891084149</v>
      </c>
      <c r="BN32" s="18">
        <f t="shared" si="274"/>
        <v>0</v>
      </c>
      <c r="BO32" s="18">
        <f t="shared" si="274"/>
        <v>0</v>
      </c>
      <c r="BP32" s="18">
        <f t="shared" si="274"/>
        <v>0</v>
      </c>
      <c r="BQ32" s="18">
        <f t="shared" si="274"/>
        <v>0</v>
      </c>
      <c r="BR32" s="18">
        <f t="shared" si="274"/>
        <v>0</v>
      </c>
      <c r="BS32" s="18">
        <f t="shared" si="274"/>
        <v>1</v>
      </c>
      <c r="BT32" s="18">
        <f t="shared" si="274"/>
        <v>9.4313275149288014E-2</v>
      </c>
      <c r="BU32" s="18">
        <f t="shared" si="274"/>
        <v>0</v>
      </c>
      <c r="BV32" s="40">
        <f t="shared" si="274"/>
        <v>3.9225801775009221E-2</v>
      </c>
      <c r="BX32" s="46">
        <f t="shared" si="274"/>
        <v>1.8127591175025271E-2</v>
      </c>
      <c r="BY32" s="18">
        <f t="shared" si="274"/>
        <v>0</v>
      </c>
      <c r="BZ32" s="18">
        <f t="shared" si="274"/>
        <v>0</v>
      </c>
      <c r="CA32" s="18">
        <f t="shared" si="274"/>
        <v>0</v>
      </c>
      <c r="CB32" s="18">
        <f t="shared" si="274"/>
        <v>0</v>
      </c>
      <c r="CC32" s="18">
        <f t="shared" si="274"/>
        <v>0</v>
      </c>
      <c r="CD32" s="18">
        <f t="shared" si="274"/>
        <v>0</v>
      </c>
      <c r="CE32" s="51">
        <f t="shared" si="274"/>
        <v>1</v>
      </c>
      <c r="CF32" s="18">
        <f t="shared" si="274"/>
        <v>1</v>
      </c>
      <c r="CG32" s="18">
        <f t="shared" si="274"/>
        <v>0</v>
      </c>
      <c r="CH32" s="18">
        <f t="shared" si="263"/>
        <v>0</v>
      </c>
      <c r="CI32" s="18">
        <f t="shared" si="263"/>
        <v>0</v>
      </c>
      <c r="CJ32" s="18">
        <f t="shared" si="263"/>
        <v>0</v>
      </c>
      <c r="CK32" s="18">
        <f t="shared" si="263"/>
        <v>0.24501884760366183</v>
      </c>
      <c r="CL32" s="18">
        <f t="shared" si="263"/>
        <v>2.8035973026886572E-2</v>
      </c>
      <c r="CM32" s="18">
        <f t="shared" si="263"/>
        <v>0</v>
      </c>
      <c r="CN32" s="40">
        <f t="shared" si="263"/>
        <v>1.8070917710358948E-2</v>
      </c>
      <c r="CP32" s="46">
        <f t="shared" si="264"/>
        <v>5.8923729499178415E-2</v>
      </c>
      <c r="CQ32" s="18">
        <f t="shared" si="264"/>
        <v>0</v>
      </c>
      <c r="CR32" s="18">
        <f t="shared" si="264"/>
        <v>0</v>
      </c>
      <c r="CS32" s="18">
        <f t="shared" si="264"/>
        <v>0</v>
      </c>
      <c r="CT32" s="18">
        <f t="shared" si="264"/>
        <v>0</v>
      </c>
      <c r="CU32" s="18">
        <f t="shared" si="264"/>
        <v>0</v>
      </c>
      <c r="CV32" s="18">
        <f t="shared" si="264"/>
        <v>0</v>
      </c>
      <c r="CW32" s="51">
        <f t="shared" si="264"/>
        <v>1</v>
      </c>
      <c r="CX32" s="18">
        <f t="shared" si="264"/>
        <v>1</v>
      </c>
      <c r="CY32" s="18">
        <f t="shared" si="264"/>
        <v>0</v>
      </c>
      <c r="CZ32" s="18">
        <f t="shared" si="264"/>
        <v>0</v>
      </c>
      <c r="DA32" s="18">
        <f t="shared" si="264"/>
        <v>0</v>
      </c>
      <c r="DB32" s="18">
        <f t="shared" si="264"/>
        <v>0</v>
      </c>
      <c r="DC32" s="18">
        <f t="shared" si="264"/>
        <v>0</v>
      </c>
      <c r="DD32" s="18">
        <f t="shared" si="264"/>
        <v>5.5373225258343067E-2</v>
      </c>
      <c r="DE32" s="18">
        <f t="shared" si="264"/>
        <v>0</v>
      </c>
      <c r="DF32" s="40">
        <f t="shared" si="264"/>
        <v>5.9165839716994524E-2</v>
      </c>
      <c r="DH32" s="46">
        <f t="shared" si="264"/>
        <v>3.9237654541889398E-2</v>
      </c>
      <c r="DI32" s="18">
        <f t="shared" si="264"/>
        <v>0</v>
      </c>
      <c r="DJ32" s="18">
        <f t="shared" si="264"/>
        <v>0</v>
      </c>
      <c r="DK32" s="18">
        <f t="shared" si="264"/>
        <v>0</v>
      </c>
      <c r="DL32" s="18">
        <f t="shared" si="264"/>
        <v>0</v>
      </c>
      <c r="DM32" s="18">
        <f t="shared" si="264"/>
        <v>0</v>
      </c>
      <c r="DN32" s="18">
        <f t="shared" si="264"/>
        <v>0</v>
      </c>
      <c r="DO32" s="51">
        <f t="shared" si="264"/>
        <v>1</v>
      </c>
      <c r="DP32" s="18">
        <f t="shared" si="264"/>
        <v>0</v>
      </c>
      <c r="DQ32" s="18">
        <f t="shared" si="264"/>
        <v>0</v>
      </c>
      <c r="DR32" s="18">
        <f t="shared" si="264"/>
        <v>0</v>
      </c>
      <c r="DS32" s="18">
        <f t="shared" si="264"/>
        <v>0</v>
      </c>
      <c r="DT32" s="18">
        <f t="shared" si="264"/>
        <v>0</v>
      </c>
      <c r="DU32" s="18">
        <f t="shared" si="264"/>
        <v>0</v>
      </c>
      <c r="DV32" s="18">
        <f t="shared" si="265"/>
        <v>1.7823954572657948E-2</v>
      </c>
      <c r="DW32" s="18">
        <f t="shared" si="265"/>
        <v>0</v>
      </c>
      <c r="DX32" s="40">
        <f t="shared" si="265"/>
        <v>3.9525616199751624E-2</v>
      </c>
      <c r="DZ32" s="46">
        <f t="shared" si="266"/>
        <v>0.10477099150798488</v>
      </c>
      <c r="EA32" s="18">
        <f t="shared" si="266"/>
        <v>0</v>
      </c>
      <c r="EB32" s="18">
        <f t="shared" si="266"/>
        <v>0</v>
      </c>
      <c r="EC32" s="18">
        <f t="shared" si="266"/>
        <v>0</v>
      </c>
      <c r="ED32" s="18">
        <f t="shared" si="266"/>
        <v>0</v>
      </c>
      <c r="EE32" s="18">
        <f t="shared" si="266"/>
        <v>0</v>
      </c>
      <c r="EF32" s="18">
        <f t="shared" si="266"/>
        <v>0</v>
      </c>
      <c r="EG32" s="51">
        <f t="shared" si="266"/>
        <v>1</v>
      </c>
      <c r="EH32" s="18">
        <f t="shared" si="266"/>
        <v>1</v>
      </c>
      <c r="EI32" s="18">
        <f t="shared" si="266"/>
        <v>0</v>
      </c>
      <c r="EJ32" s="18">
        <f t="shared" si="266"/>
        <v>0</v>
      </c>
      <c r="EK32" s="18">
        <f t="shared" si="266"/>
        <v>0</v>
      </c>
      <c r="EL32" s="18">
        <f t="shared" si="266"/>
        <v>0</v>
      </c>
      <c r="EM32" s="18">
        <f t="shared" si="266"/>
        <v>0</v>
      </c>
      <c r="EN32" s="18">
        <f t="shared" si="266"/>
        <v>0.15772293721696742</v>
      </c>
      <c r="EO32" s="18">
        <f t="shared" si="266"/>
        <v>0</v>
      </c>
      <c r="EP32" s="40">
        <f t="shared" si="266"/>
        <v>0.10523260121554504</v>
      </c>
      <c r="ER32" s="46">
        <f t="shared" si="266"/>
        <v>5.0326989035335862E-2</v>
      </c>
      <c r="ES32" s="18">
        <f t="shared" si="266"/>
        <v>0</v>
      </c>
      <c r="ET32" s="18">
        <f t="shared" si="266"/>
        <v>0</v>
      </c>
      <c r="EU32" s="18">
        <f t="shared" si="266"/>
        <v>0</v>
      </c>
      <c r="EV32" s="18">
        <f t="shared" si="266"/>
        <v>0</v>
      </c>
      <c r="EW32" s="18">
        <f t="shared" si="266"/>
        <v>0</v>
      </c>
      <c r="EX32" s="18">
        <f t="shared" si="266"/>
        <v>0</v>
      </c>
      <c r="EY32" s="51">
        <f t="shared" si="266"/>
        <v>1</v>
      </c>
      <c r="EZ32" s="18">
        <f t="shared" si="266"/>
        <v>1</v>
      </c>
      <c r="FA32" s="18">
        <f t="shared" si="266"/>
        <v>0</v>
      </c>
      <c r="FB32" s="18">
        <f t="shared" si="266"/>
        <v>0</v>
      </c>
      <c r="FC32" s="18">
        <f t="shared" si="266"/>
        <v>0</v>
      </c>
      <c r="FD32" s="18">
        <f t="shared" si="266"/>
        <v>0</v>
      </c>
      <c r="FE32" s="18">
        <f t="shared" si="266"/>
        <v>0</v>
      </c>
      <c r="FF32" s="18">
        <f t="shared" si="267"/>
        <v>8.9784826269021442E-2</v>
      </c>
      <c r="FG32" s="18">
        <f t="shared" si="267"/>
        <v>0</v>
      </c>
      <c r="FH32" s="40">
        <f t="shared" si="267"/>
        <v>5.0125768296407545E-2</v>
      </c>
      <c r="FJ32" s="46">
        <f t="shared" si="268"/>
        <v>5.2334961911903406E-2</v>
      </c>
      <c r="FK32" s="18">
        <f t="shared" si="268"/>
        <v>0</v>
      </c>
      <c r="FL32" s="18">
        <f t="shared" si="268"/>
        <v>0</v>
      </c>
      <c r="FM32" s="18">
        <f t="shared" si="268"/>
        <v>0</v>
      </c>
      <c r="FN32" s="18">
        <f t="shared" si="268"/>
        <v>0</v>
      </c>
      <c r="FO32" s="18">
        <f t="shared" si="268"/>
        <v>0</v>
      </c>
      <c r="FP32" s="18">
        <f t="shared" si="268"/>
        <v>0</v>
      </c>
      <c r="FQ32" s="18">
        <f t="shared" si="268"/>
        <v>0.98267823146332389</v>
      </c>
      <c r="FR32" s="18">
        <f t="shared" si="268"/>
        <v>1</v>
      </c>
      <c r="FS32" s="18">
        <f t="shared" si="268"/>
        <v>0</v>
      </c>
      <c r="FT32" s="18">
        <f t="shared" si="268"/>
        <v>0</v>
      </c>
      <c r="FU32" s="18">
        <f t="shared" si="268"/>
        <v>0</v>
      </c>
      <c r="FV32" s="18">
        <f t="shared" si="268"/>
        <v>0</v>
      </c>
      <c r="FW32" s="18">
        <f t="shared" si="268"/>
        <v>0</v>
      </c>
      <c r="FX32" s="18">
        <f t="shared" si="268"/>
        <v>9.7257893816468516E-2</v>
      </c>
      <c r="FY32" s="18">
        <f t="shared" si="268"/>
        <v>0</v>
      </c>
      <c r="FZ32" s="40">
        <f t="shared" si="268"/>
        <v>5.209370482437118E-2</v>
      </c>
      <c r="GB32" s="46">
        <f t="shared" si="268"/>
        <v>4.4383336148526693E-2</v>
      </c>
      <c r="GC32" s="18">
        <f t="shared" si="268"/>
        <v>0</v>
      </c>
      <c r="GD32" s="18">
        <f t="shared" si="268"/>
        <v>0</v>
      </c>
      <c r="GE32" s="18">
        <f t="shared" si="268"/>
        <v>0</v>
      </c>
      <c r="GF32" s="18">
        <f t="shared" si="268"/>
        <v>0</v>
      </c>
      <c r="GG32" s="18">
        <f t="shared" si="268"/>
        <v>0</v>
      </c>
      <c r="GH32" s="18">
        <f t="shared" si="268"/>
        <v>0</v>
      </c>
      <c r="GI32" s="51">
        <f t="shared" si="268"/>
        <v>1</v>
      </c>
      <c r="GJ32" s="18">
        <f t="shared" si="268"/>
        <v>1</v>
      </c>
      <c r="GK32" s="18">
        <f t="shared" si="268"/>
        <v>0</v>
      </c>
      <c r="GL32" s="18">
        <f t="shared" si="268"/>
        <v>0</v>
      </c>
      <c r="GM32" s="18">
        <f t="shared" si="268"/>
        <v>0</v>
      </c>
      <c r="GN32" s="18">
        <f t="shared" si="268"/>
        <v>0</v>
      </c>
      <c r="GO32" s="18">
        <f t="shared" si="268"/>
        <v>0</v>
      </c>
      <c r="GP32" s="18">
        <f t="shared" si="269"/>
        <v>5.2483819709050777E-2</v>
      </c>
      <c r="GQ32" s="18">
        <f t="shared" si="269"/>
        <v>0</v>
      </c>
      <c r="GR32" s="40">
        <f t="shared" si="269"/>
        <v>4.4212003463540733E-2</v>
      </c>
      <c r="GT32" s="46">
        <f t="shared" si="270"/>
        <v>2.9461231113405487E-2</v>
      </c>
      <c r="GU32" s="18">
        <f t="shared" si="270"/>
        <v>0</v>
      </c>
      <c r="GV32" s="18">
        <f t="shared" si="270"/>
        <v>0</v>
      </c>
      <c r="GW32" s="18">
        <f t="shared" si="270"/>
        <v>0</v>
      </c>
      <c r="GX32" s="18">
        <f t="shared" si="270"/>
        <v>0</v>
      </c>
      <c r="GY32" s="18">
        <f t="shared" si="270"/>
        <v>0</v>
      </c>
      <c r="GZ32" s="18">
        <f t="shared" si="270"/>
        <v>0</v>
      </c>
      <c r="HA32" s="51">
        <f t="shared" si="270"/>
        <v>0.96882163600299309</v>
      </c>
      <c r="HB32" s="18">
        <f t="shared" si="270"/>
        <v>1</v>
      </c>
      <c r="HC32" s="18">
        <f t="shared" si="270"/>
        <v>0</v>
      </c>
      <c r="HD32" s="18">
        <f t="shared" si="270"/>
        <v>0</v>
      </c>
      <c r="HE32" s="18">
        <f t="shared" si="270"/>
        <v>0</v>
      </c>
      <c r="HF32" s="18">
        <f t="shared" si="270"/>
        <v>0</v>
      </c>
      <c r="HG32" s="18">
        <f t="shared" si="270"/>
        <v>0</v>
      </c>
      <c r="HH32" s="18">
        <f t="shared" si="270"/>
        <v>4.6931834778798608E-2</v>
      </c>
      <c r="HI32" s="18">
        <f t="shared" si="270"/>
        <v>0</v>
      </c>
      <c r="HJ32" s="40">
        <f t="shared" si="270"/>
        <v>2.9563098260514269E-2</v>
      </c>
      <c r="HL32" s="46">
        <f t="shared" si="270"/>
        <v>2.4472440501520178E-2</v>
      </c>
      <c r="HM32" s="18">
        <f t="shared" si="270"/>
        <v>0</v>
      </c>
      <c r="HN32" s="18">
        <f t="shared" si="270"/>
        <v>0</v>
      </c>
      <c r="HO32" s="18">
        <f t="shared" si="270"/>
        <v>0</v>
      </c>
      <c r="HP32" s="18">
        <f t="shared" si="270"/>
        <v>0</v>
      </c>
      <c r="HQ32" s="18">
        <f t="shared" si="270"/>
        <v>0</v>
      </c>
      <c r="HR32" s="18">
        <f t="shared" si="270"/>
        <v>0</v>
      </c>
      <c r="HS32" s="51">
        <f t="shared" si="270"/>
        <v>1</v>
      </c>
      <c r="HT32" s="18">
        <f t="shared" si="270"/>
        <v>1</v>
      </c>
      <c r="HU32" s="18">
        <f t="shared" si="270"/>
        <v>0</v>
      </c>
      <c r="HV32" s="18">
        <f t="shared" si="270"/>
        <v>0</v>
      </c>
      <c r="HW32" s="18">
        <f t="shared" si="270"/>
        <v>0</v>
      </c>
      <c r="HX32" s="18">
        <f t="shared" si="270"/>
        <v>0</v>
      </c>
      <c r="HY32" s="18">
        <f t="shared" si="270"/>
        <v>0</v>
      </c>
      <c r="HZ32" s="18">
        <f t="shared" si="270"/>
        <v>6.276930049353012E-2</v>
      </c>
      <c r="IA32" s="18">
        <f t="shared" si="270"/>
        <v>0</v>
      </c>
      <c r="IB32" s="40">
        <f t="shared" si="270"/>
        <v>2.4494533785996069E-2</v>
      </c>
    </row>
    <row r="33" spans="1:236" x14ac:dyDescent="0.35">
      <c r="B33" s="17" t="s">
        <v>76</v>
      </c>
      <c r="D33" s="46">
        <f t="shared" si="272"/>
        <v>3.1037697039757394E-4</v>
      </c>
      <c r="E33" s="18">
        <f t="shared" si="272"/>
        <v>0</v>
      </c>
      <c r="F33" s="18">
        <f t="shared" si="259"/>
        <v>0</v>
      </c>
      <c r="G33" s="18">
        <f t="shared" si="259"/>
        <v>0</v>
      </c>
      <c r="H33" s="18">
        <f t="shared" si="259"/>
        <v>0</v>
      </c>
      <c r="I33" s="18">
        <f t="shared" si="259"/>
        <v>0</v>
      </c>
      <c r="J33" s="18">
        <f t="shared" si="259"/>
        <v>0</v>
      </c>
      <c r="K33" s="18">
        <f t="shared" si="259"/>
        <v>0</v>
      </c>
      <c r="L33" s="18">
        <f t="shared" si="259"/>
        <v>0</v>
      </c>
      <c r="M33" s="18">
        <f t="shared" si="259"/>
        <v>0</v>
      </c>
      <c r="N33" s="18">
        <f t="shared" si="259"/>
        <v>0</v>
      </c>
      <c r="O33" s="18">
        <f t="shared" si="259"/>
        <v>0</v>
      </c>
      <c r="P33" s="18">
        <f t="shared" si="259"/>
        <v>0</v>
      </c>
      <c r="Q33" s="18">
        <f t="shared" si="259"/>
        <v>0</v>
      </c>
      <c r="R33" s="18">
        <f t="shared" si="259"/>
        <v>1.8519726775110352E-4</v>
      </c>
      <c r="S33" s="18">
        <f t="shared" si="259"/>
        <v>0.89205859676175792</v>
      </c>
      <c r="T33" s="40">
        <f t="shared" si="259"/>
        <v>3.0972758894405692E-4</v>
      </c>
      <c r="V33" s="46">
        <f t="shared" ref="V33:CG34" si="275">IFERROR(V12/V$13,0)</f>
        <v>6.2859240559799256E-4</v>
      </c>
      <c r="W33" s="18">
        <f t="shared" si="275"/>
        <v>0</v>
      </c>
      <c r="X33" s="18">
        <f t="shared" si="275"/>
        <v>0</v>
      </c>
      <c r="Y33" s="18">
        <f t="shared" si="275"/>
        <v>0</v>
      </c>
      <c r="Z33" s="18">
        <f t="shared" si="275"/>
        <v>0</v>
      </c>
      <c r="AA33" s="18">
        <f t="shared" si="275"/>
        <v>0</v>
      </c>
      <c r="AB33" s="18">
        <f t="shared" si="275"/>
        <v>0</v>
      </c>
      <c r="AC33" s="18">
        <f t="shared" si="275"/>
        <v>0</v>
      </c>
      <c r="AD33" s="18">
        <f t="shared" si="275"/>
        <v>0</v>
      </c>
      <c r="AE33" s="18">
        <f t="shared" si="275"/>
        <v>0</v>
      </c>
      <c r="AF33" s="18">
        <f t="shared" si="275"/>
        <v>0</v>
      </c>
      <c r="AG33" s="18">
        <f t="shared" si="275"/>
        <v>0</v>
      </c>
      <c r="AH33" s="18">
        <f t="shared" si="275"/>
        <v>0</v>
      </c>
      <c r="AI33" s="18">
        <f t="shared" si="275"/>
        <v>0</v>
      </c>
      <c r="AJ33" s="18">
        <f t="shared" si="275"/>
        <v>0</v>
      </c>
      <c r="AK33" s="18">
        <f t="shared" si="275"/>
        <v>1</v>
      </c>
      <c r="AL33" s="40">
        <f t="shared" si="275"/>
        <v>6.3440567541431909E-4</v>
      </c>
      <c r="AN33" s="46">
        <f t="shared" si="275"/>
        <v>0</v>
      </c>
      <c r="AO33" s="18">
        <f t="shared" si="275"/>
        <v>0</v>
      </c>
      <c r="AP33" s="18">
        <f t="shared" si="275"/>
        <v>0</v>
      </c>
      <c r="AQ33" s="18">
        <f t="shared" si="275"/>
        <v>0</v>
      </c>
      <c r="AR33" s="18">
        <f t="shared" si="275"/>
        <v>0</v>
      </c>
      <c r="AS33" s="18">
        <f t="shared" si="275"/>
        <v>0</v>
      </c>
      <c r="AT33" s="18">
        <f t="shared" si="275"/>
        <v>0</v>
      </c>
      <c r="AU33" s="18">
        <f t="shared" si="275"/>
        <v>0</v>
      </c>
      <c r="AV33" s="18">
        <f t="shared" si="275"/>
        <v>0</v>
      </c>
      <c r="AW33" s="18">
        <f t="shared" si="275"/>
        <v>0</v>
      </c>
      <c r="AX33" s="18">
        <f t="shared" si="275"/>
        <v>0</v>
      </c>
      <c r="AY33" s="18">
        <f t="shared" si="275"/>
        <v>0</v>
      </c>
      <c r="AZ33" s="18">
        <f t="shared" si="275"/>
        <v>0</v>
      </c>
      <c r="BA33" s="18">
        <f t="shared" si="275"/>
        <v>0</v>
      </c>
      <c r="BB33" s="18">
        <f t="shared" si="275"/>
        <v>0</v>
      </c>
      <c r="BC33" s="18">
        <f t="shared" si="275"/>
        <v>0</v>
      </c>
      <c r="BD33" s="40">
        <f t="shared" si="275"/>
        <v>0</v>
      </c>
      <c r="BF33" s="46">
        <f t="shared" si="275"/>
        <v>0</v>
      </c>
      <c r="BG33" s="18">
        <f t="shared" si="275"/>
        <v>0</v>
      </c>
      <c r="BH33" s="18">
        <f t="shared" si="275"/>
        <v>0</v>
      </c>
      <c r="BI33" s="18">
        <f t="shared" si="275"/>
        <v>0</v>
      </c>
      <c r="BJ33" s="18">
        <f t="shared" si="275"/>
        <v>0</v>
      </c>
      <c r="BK33" s="18">
        <f t="shared" si="275"/>
        <v>0</v>
      </c>
      <c r="BL33" s="18">
        <f t="shared" si="275"/>
        <v>0</v>
      </c>
      <c r="BM33" s="18">
        <f t="shared" si="275"/>
        <v>0</v>
      </c>
      <c r="BN33" s="18">
        <f t="shared" si="275"/>
        <v>0</v>
      </c>
      <c r="BO33" s="18">
        <f t="shared" si="275"/>
        <v>0</v>
      </c>
      <c r="BP33" s="18">
        <f t="shared" si="275"/>
        <v>0</v>
      </c>
      <c r="BQ33" s="18">
        <f t="shared" si="275"/>
        <v>0</v>
      </c>
      <c r="BR33" s="18">
        <f t="shared" si="275"/>
        <v>0</v>
      </c>
      <c r="BS33" s="18">
        <f t="shared" si="275"/>
        <v>0</v>
      </c>
      <c r="BT33" s="18">
        <f t="shared" si="275"/>
        <v>0</v>
      </c>
      <c r="BU33" s="18">
        <f t="shared" si="275"/>
        <v>0</v>
      </c>
      <c r="BV33" s="40">
        <f t="shared" si="275"/>
        <v>0</v>
      </c>
      <c r="BX33" s="46">
        <f t="shared" si="275"/>
        <v>0</v>
      </c>
      <c r="BY33" s="18">
        <f t="shared" si="275"/>
        <v>0</v>
      </c>
      <c r="BZ33" s="18">
        <f t="shared" si="275"/>
        <v>0</v>
      </c>
      <c r="CA33" s="18">
        <f t="shared" si="275"/>
        <v>0</v>
      </c>
      <c r="CB33" s="18">
        <f t="shared" si="275"/>
        <v>0</v>
      </c>
      <c r="CC33" s="18">
        <f t="shared" si="275"/>
        <v>0</v>
      </c>
      <c r="CD33" s="18">
        <f t="shared" si="275"/>
        <v>0</v>
      </c>
      <c r="CE33" s="18">
        <f t="shared" si="275"/>
        <v>0</v>
      </c>
      <c r="CF33" s="18">
        <f t="shared" si="275"/>
        <v>0</v>
      </c>
      <c r="CG33" s="18">
        <f t="shared" si="275"/>
        <v>0</v>
      </c>
      <c r="CH33" s="18">
        <f t="shared" si="263"/>
        <v>0</v>
      </c>
      <c r="CI33" s="18">
        <f t="shared" si="263"/>
        <v>0</v>
      </c>
      <c r="CJ33" s="18">
        <f t="shared" si="263"/>
        <v>0</v>
      </c>
      <c r="CK33" s="18">
        <f t="shared" si="263"/>
        <v>0</v>
      </c>
      <c r="CL33" s="18">
        <f t="shared" si="263"/>
        <v>0</v>
      </c>
      <c r="CM33" s="18">
        <f t="shared" si="263"/>
        <v>0</v>
      </c>
      <c r="CN33" s="40">
        <f t="shared" si="263"/>
        <v>0</v>
      </c>
      <c r="CP33" s="46">
        <f t="shared" si="264"/>
        <v>0</v>
      </c>
      <c r="CQ33" s="18">
        <f t="shared" si="264"/>
        <v>0</v>
      </c>
      <c r="CR33" s="18">
        <f t="shared" si="264"/>
        <v>0</v>
      </c>
      <c r="CS33" s="18">
        <f t="shared" si="264"/>
        <v>0</v>
      </c>
      <c r="CT33" s="18">
        <f t="shared" si="264"/>
        <v>0</v>
      </c>
      <c r="CU33" s="18">
        <f t="shared" si="264"/>
        <v>0</v>
      </c>
      <c r="CV33" s="18">
        <f t="shared" si="264"/>
        <v>0</v>
      </c>
      <c r="CW33" s="18">
        <f t="shared" si="264"/>
        <v>0</v>
      </c>
      <c r="CX33" s="18">
        <f t="shared" si="264"/>
        <v>0</v>
      </c>
      <c r="CY33" s="18">
        <f t="shared" si="264"/>
        <v>0</v>
      </c>
      <c r="CZ33" s="18">
        <f t="shared" si="264"/>
        <v>0</v>
      </c>
      <c r="DA33" s="18">
        <f t="shared" si="264"/>
        <v>0</v>
      </c>
      <c r="DB33" s="18">
        <f t="shared" si="264"/>
        <v>0</v>
      </c>
      <c r="DC33" s="18">
        <f t="shared" si="264"/>
        <v>0</v>
      </c>
      <c r="DD33" s="18">
        <f t="shared" si="264"/>
        <v>0</v>
      </c>
      <c r="DE33" s="18">
        <f t="shared" si="264"/>
        <v>0</v>
      </c>
      <c r="DF33" s="40">
        <f t="shared" si="264"/>
        <v>0</v>
      </c>
      <c r="DH33" s="46">
        <f t="shared" si="264"/>
        <v>0</v>
      </c>
      <c r="DI33" s="18">
        <f t="shared" si="264"/>
        <v>0</v>
      </c>
      <c r="DJ33" s="18">
        <f t="shared" si="264"/>
        <v>0</v>
      </c>
      <c r="DK33" s="18">
        <f t="shared" si="264"/>
        <v>0</v>
      </c>
      <c r="DL33" s="18">
        <f t="shared" si="264"/>
        <v>0</v>
      </c>
      <c r="DM33" s="18">
        <f t="shared" si="264"/>
        <v>0</v>
      </c>
      <c r="DN33" s="18">
        <f t="shared" si="264"/>
        <v>0</v>
      </c>
      <c r="DO33" s="18">
        <f t="shared" si="264"/>
        <v>0</v>
      </c>
      <c r="DP33" s="18">
        <f t="shared" si="264"/>
        <v>0</v>
      </c>
      <c r="DQ33" s="18">
        <f t="shared" si="264"/>
        <v>0</v>
      </c>
      <c r="DR33" s="18">
        <f t="shared" si="264"/>
        <v>0</v>
      </c>
      <c r="DS33" s="18">
        <f t="shared" si="264"/>
        <v>0</v>
      </c>
      <c r="DT33" s="18">
        <f t="shared" si="264"/>
        <v>0</v>
      </c>
      <c r="DU33" s="18">
        <f t="shared" si="264"/>
        <v>0</v>
      </c>
      <c r="DV33" s="18">
        <f t="shared" si="265"/>
        <v>0</v>
      </c>
      <c r="DW33" s="18">
        <f t="shared" si="265"/>
        <v>0</v>
      </c>
      <c r="DX33" s="40">
        <f t="shared" si="265"/>
        <v>0</v>
      </c>
      <c r="DZ33" s="46">
        <f t="shared" si="266"/>
        <v>0</v>
      </c>
      <c r="EA33" s="18">
        <f t="shared" si="266"/>
        <v>0</v>
      </c>
      <c r="EB33" s="18">
        <f t="shared" si="266"/>
        <v>0</v>
      </c>
      <c r="EC33" s="18">
        <f t="shared" si="266"/>
        <v>0</v>
      </c>
      <c r="ED33" s="18">
        <f t="shared" si="266"/>
        <v>0</v>
      </c>
      <c r="EE33" s="18">
        <f t="shared" si="266"/>
        <v>0</v>
      </c>
      <c r="EF33" s="18">
        <f t="shared" si="266"/>
        <v>0</v>
      </c>
      <c r="EG33" s="18">
        <f t="shared" si="266"/>
        <v>0</v>
      </c>
      <c r="EH33" s="18">
        <f t="shared" si="266"/>
        <v>0</v>
      </c>
      <c r="EI33" s="18">
        <f t="shared" si="266"/>
        <v>0</v>
      </c>
      <c r="EJ33" s="18">
        <f t="shared" si="266"/>
        <v>0</v>
      </c>
      <c r="EK33" s="18">
        <f t="shared" si="266"/>
        <v>0</v>
      </c>
      <c r="EL33" s="18">
        <f t="shared" si="266"/>
        <v>0</v>
      </c>
      <c r="EM33" s="18">
        <f t="shared" si="266"/>
        <v>0</v>
      </c>
      <c r="EN33" s="18">
        <f t="shared" si="266"/>
        <v>0</v>
      </c>
      <c r="EO33" s="18">
        <f t="shared" si="266"/>
        <v>0</v>
      </c>
      <c r="EP33" s="40">
        <f t="shared" si="266"/>
        <v>0</v>
      </c>
      <c r="ER33" s="46">
        <f t="shared" si="266"/>
        <v>0</v>
      </c>
      <c r="ES33" s="18">
        <f t="shared" si="266"/>
        <v>0</v>
      </c>
      <c r="ET33" s="18">
        <f t="shared" si="266"/>
        <v>0</v>
      </c>
      <c r="EU33" s="18">
        <f t="shared" si="266"/>
        <v>0</v>
      </c>
      <c r="EV33" s="18">
        <f t="shared" si="266"/>
        <v>0</v>
      </c>
      <c r="EW33" s="18">
        <f t="shared" si="266"/>
        <v>0</v>
      </c>
      <c r="EX33" s="18">
        <f t="shared" si="266"/>
        <v>0</v>
      </c>
      <c r="EY33" s="18">
        <f t="shared" si="266"/>
        <v>0</v>
      </c>
      <c r="EZ33" s="18">
        <f t="shared" si="266"/>
        <v>0</v>
      </c>
      <c r="FA33" s="18">
        <f t="shared" si="266"/>
        <v>0</v>
      </c>
      <c r="FB33" s="18">
        <f t="shared" si="266"/>
        <v>0</v>
      </c>
      <c r="FC33" s="18">
        <f t="shared" si="266"/>
        <v>0</v>
      </c>
      <c r="FD33" s="18">
        <f t="shared" si="266"/>
        <v>0</v>
      </c>
      <c r="FE33" s="18">
        <f t="shared" si="266"/>
        <v>0</v>
      </c>
      <c r="FF33" s="18">
        <f t="shared" si="267"/>
        <v>0</v>
      </c>
      <c r="FG33" s="18">
        <f t="shared" si="267"/>
        <v>0</v>
      </c>
      <c r="FH33" s="40">
        <f t="shared" si="267"/>
        <v>0</v>
      </c>
      <c r="FJ33" s="46">
        <f t="shared" si="268"/>
        <v>3.2807494067818642E-3</v>
      </c>
      <c r="FK33" s="18">
        <f t="shared" si="268"/>
        <v>0</v>
      </c>
      <c r="FL33" s="18">
        <f t="shared" si="268"/>
        <v>0</v>
      </c>
      <c r="FM33" s="18">
        <f t="shared" si="268"/>
        <v>0</v>
      </c>
      <c r="FN33" s="18">
        <f t="shared" si="268"/>
        <v>0</v>
      </c>
      <c r="FO33" s="18">
        <f t="shared" si="268"/>
        <v>0</v>
      </c>
      <c r="FP33" s="18">
        <f t="shared" si="268"/>
        <v>0</v>
      </c>
      <c r="FQ33" s="18">
        <f t="shared" si="268"/>
        <v>0</v>
      </c>
      <c r="FR33" s="18">
        <f t="shared" si="268"/>
        <v>0</v>
      </c>
      <c r="FS33" s="18">
        <f t="shared" si="268"/>
        <v>0</v>
      </c>
      <c r="FT33" s="18">
        <f t="shared" si="268"/>
        <v>0</v>
      </c>
      <c r="FU33" s="18">
        <f t="shared" si="268"/>
        <v>0</v>
      </c>
      <c r="FV33" s="18">
        <f t="shared" si="268"/>
        <v>0</v>
      </c>
      <c r="FW33" s="18">
        <f t="shared" si="268"/>
        <v>0</v>
      </c>
      <c r="FX33" s="18">
        <f t="shared" si="268"/>
        <v>2.6521435789453821E-3</v>
      </c>
      <c r="FY33" s="18">
        <f t="shared" si="268"/>
        <v>1</v>
      </c>
      <c r="FZ33" s="40">
        <f t="shared" si="268"/>
        <v>3.2633475884702346E-3</v>
      </c>
      <c r="GB33" s="46">
        <f t="shared" si="268"/>
        <v>2.5220097365968896E-4</v>
      </c>
      <c r="GC33" s="18">
        <f t="shared" si="268"/>
        <v>0</v>
      </c>
      <c r="GD33" s="18">
        <f t="shared" si="268"/>
        <v>0</v>
      </c>
      <c r="GE33" s="18">
        <f t="shared" si="268"/>
        <v>0</v>
      </c>
      <c r="GF33" s="18">
        <f t="shared" si="268"/>
        <v>0</v>
      </c>
      <c r="GG33" s="18">
        <f t="shared" si="268"/>
        <v>0</v>
      </c>
      <c r="GH33" s="18">
        <f t="shared" si="268"/>
        <v>0</v>
      </c>
      <c r="GI33" s="18">
        <f t="shared" si="268"/>
        <v>0</v>
      </c>
      <c r="GJ33" s="18">
        <f t="shared" si="268"/>
        <v>0</v>
      </c>
      <c r="GK33" s="18">
        <f t="shared" si="268"/>
        <v>0</v>
      </c>
      <c r="GL33" s="18">
        <f t="shared" si="268"/>
        <v>0</v>
      </c>
      <c r="GM33" s="18">
        <f t="shared" si="268"/>
        <v>0</v>
      </c>
      <c r="GN33" s="18">
        <f t="shared" si="268"/>
        <v>0</v>
      </c>
      <c r="GO33" s="18">
        <f t="shared" si="268"/>
        <v>0</v>
      </c>
      <c r="GP33" s="18">
        <f t="shared" si="269"/>
        <v>1.6280936739976269E-4</v>
      </c>
      <c r="GQ33" s="18">
        <f t="shared" si="269"/>
        <v>1</v>
      </c>
      <c r="GR33" s="40">
        <f t="shared" si="269"/>
        <v>2.5185501714083275E-4</v>
      </c>
      <c r="GT33" s="46">
        <f t="shared" si="270"/>
        <v>0</v>
      </c>
      <c r="GU33" s="18">
        <f t="shared" si="270"/>
        <v>0</v>
      </c>
      <c r="GV33" s="18">
        <f t="shared" si="270"/>
        <v>0</v>
      </c>
      <c r="GW33" s="18">
        <f t="shared" si="270"/>
        <v>0</v>
      </c>
      <c r="GX33" s="18">
        <f t="shared" si="270"/>
        <v>0</v>
      </c>
      <c r="GY33" s="18">
        <f t="shared" si="270"/>
        <v>0</v>
      </c>
      <c r="GZ33" s="18">
        <f t="shared" si="270"/>
        <v>0</v>
      </c>
      <c r="HA33" s="18">
        <f t="shared" si="270"/>
        <v>0</v>
      </c>
      <c r="HB33" s="18">
        <f t="shared" si="270"/>
        <v>0</v>
      </c>
      <c r="HC33" s="18">
        <f t="shared" si="270"/>
        <v>0</v>
      </c>
      <c r="HD33" s="18">
        <f t="shared" si="270"/>
        <v>0</v>
      </c>
      <c r="HE33" s="18">
        <f t="shared" si="270"/>
        <v>0</v>
      </c>
      <c r="HF33" s="18">
        <f t="shared" si="270"/>
        <v>0</v>
      </c>
      <c r="HG33" s="18">
        <f t="shared" si="270"/>
        <v>0</v>
      </c>
      <c r="HH33" s="18">
        <f t="shared" si="270"/>
        <v>0</v>
      </c>
      <c r="HI33" s="18">
        <f t="shared" si="270"/>
        <v>0</v>
      </c>
      <c r="HJ33" s="40">
        <f t="shared" si="270"/>
        <v>0</v>
      </c>
      <c r="HL33" s="46">
        <f t="shared" si="270"/>
        <v>0</v>
      </c>
      <c r="HM33" s="18">
        <f t="shared" si="270"/>
        <v>0</v>
      </c>
      <c r="HN33" s="18">
        <f t="shared" si="270"/>
        <v>0</v>
      </c>
      <c r="HO33" s="18">
        <f t="shared" si="270"/>
        <v>0</v>
      </c>
      <c r="HP33" s="18">
        <f t="shared" si="270"/>
        <v>0</v>
      </c>
      <c r="HQ33" s="18">
        <f t="shared" si="270"/>
        <v>0</v>
      </c>
      <c r="HR33" s="18">
        <f t="shared" si="270"/>
        <v>0</v>
      </c>
      <c r="HS33" s="18">
        <f t="shared" si="270"/>
        <v>0</v>
      </c>
      <c r="HT33" s="18">
        <f t="shared" si="270"/>
        <v>0</v>
      </c>
      <c r="HU33" s="18">
        <f t="shared" si="270"/>
        <v>0</v>
      </c>
      <c r="HV33" s="18">
        <f t="shared" si="270"/>
        <v>0</v>
      </c>
      <c r="HW33" s="18">
        <f t="shared" si="270"/>
        <v>0</v>
      </c>
      <c r="HX33" s="18">
        <f t="shared" si="270"/>
        <v>0</v>
      </c>
      <c r="HY33" s="18">
        <f t="shared" si="270"/>
        <v>0</v>
      </c>
      <c r="HZ33" s="18">
        <f t="shared" si="270"/>
        <v>0</v>
      </c>
      <c r="IA33" s="18">
        <f t="shared" si="270"/>
        <v>0</v>
      </c>
      <c r="IB33" s="40">
        <f t="shared" si="270"/>
        <v>0</v>
      </c>
    </row>
    <row r="34" spans="1:236" s="1" customFormat="1" x14ac:dyDescent="0.35">
      <c r="A34" s="6"/>
      <c r="B34" s="35" t="s">
        <v>158</v>
      </c>
      <c r="D34" s="47">
        <f t="shared" si="272"/>
        <v>1</v>
      </c>
      <c r="E34" s="38">
        <f t="shared" si="272"/>
        <v>1</v>
      </c>
      <c r="F34" s="38">
        <f t="shared" si="259"/>
        <v>1</v>
      </c>
      <c r="G34" s="38">
        <f t="shared" si="259"/>
        <v>1</v>
      </c>
      <c r="H34" s="38">
        <f t="shared" si="259"/>
        <v>1</v>
      </c>
      <c r="I34" s="38">
        <f t="shared" si="259"/>
        <v>1</v>
      </c>
      <c r="J34" s="38">
        <f t="shared" si="259"/>
        <v>1</v>
      </c>
      <c r="K34" s="38">
        <f t="shared" si="259"/>
        <v>1</v>
      </c>
      <c r="L34" s="38">
        <f t="shared" si="259"/>
        <v>1</v>
      </c>
      <c r="M34" s="38">
        <f t="shared" si="259"/>
        <v>1</v>
      </c>
      <c r="N34" s="38">
        <f t="shared" si="259"/>
        <v>1</v>
      </c>
      <c r="O34" s="38">
        <f t="shared" si="259"/>
        <v>1</v>
      </c>
      <c r="P34" s="38">
        <f t="shared" si="259"/>
        <v>1</v>
      </c>
      <c r="Q34" s="38">
        <f t="shared" si="259"/>
        <v>1</v>
      </c>
      <c r="R34" s="38">
        <f t="shared" si="259"/>
        <v>1</v>
      </c>
      <c r="S34" s="38">
        <f t="shared" si="259"/>
        <v>1</v>
      </c>
      <c r="T34" s="39">
        <f t="shared" si="259"/>
        <v>1</v>
      </c>
      <c r="V34" s="47">
        <f t="shared" si="275"/>
        <v>1</v>
      </c>
      <c r="W34" s="38">
        <f t="shared" si="275"/>
        <v>1</v>
      </c>
      <c r="X34" s="38">
        <f t="shared" si="275"/>
        <v>1</v>
      </c>
      <c r="Y34" s="38">
        <f t="shared" si="275"/>
        <v>1</v>
      </c>
      <c r="Z34" s="38">
        <f t="shared" si="275"/>
        <v>1</v>
      </c>
      <c r="AA34" s="38">
        <f t="shared" si="275"/>
        <v>1</v>
      </c>
      <c r="AB34" s="38">
        <f t="shared" si="275"/>
        <v>1</v>
      </c>
      <c r="AC34" s="38">
        <f t="shared" si="275"/>
        <v>1</v>
      </c>
      <c r="AD34" s="38">
        <f t="shared" si="275"/>
        <v>1</v>
      </c>
      <c r="AE34" s="38">
        <f t="shared" si="275"/>
        <v>1</v>
      </c>
      <c r="AF34" s="38">
        <f t="shared" si="275"/>
        <v>1</v>
      </c>
      <c r="AG34" s="38">
        <f t="shared" si="275"/>
        <v>1</v>
      </c>
      <c r="AH34" s="38">
        <f t="shared" si="275"/>
        <v>1</v>
      </c>
      <c r="AI34" s="38">
        <f t="shared" si="275"/>
        <v>1</v>
      </c>
      <c r="AJ34" s="38">
        <f t="shared" si="275"/>
        <v>1</v>
      </c>
      <c r="AK34" s="38">
        <f t="shared" si="275"/>
        <v>1</v>
      </c>
      <c r="AL34" s="39">
        <f t="shared" si="275"/>
        <v>1</v>
      </c>
      <c r="AN34" s="47">
        <f t="shared" si="275"/>
        <v>1</v>
      </c>
      <c r="AO34" s="38">
        <f t="shared" si="275"/>
        <v>1</v>
      </c>
      <c r="AP34" s="38">
        <f t="shared" si="275"/>
        <v>1</v>
      </c>
      <c r="AQ34" s="38">
        <f t="shared" si="275"/>
        <v>1</v>
      </c>
      <c r="AR34" s="38">
        <f t="shared" si="275"/>
        <v>1</v>
      </c>
      <c r="AS34" s="38">
        <f t="shared" si="275"/>
        <v>1</v>
      </c>
      <c r="AT34" s="38">
        <f t="shared" si="275"/>
        <v>1</v>
      </c>
      <c r="AU34" s="38">
        <f t="shared" si="275"/>
        <v>1</v>
      </c>
      <c r="AV34" s="38">
        <f t="shared" si="275"/>
        <v>1</v>
      </c>
      <c r="AW34" s="38">
        <f t="shared" si="275"/>
        <v>1</v>
      </c>
      <c r="AX34" s="38">
        <f t="shared" si="275"/>
        <v>1</v>
      </c>
      <c r="AY34" s="38">
        <f t="shared" si="275"/>
        <v>1</v>
      </c>
      <c r="AZ34" s="38">
        <f t="shared" si="275"/>
        <v>1</v>
      </c>
      <c r="BA34" s="38">
        <f t="shared" si="275"/>
        <v>0</v>
      </c>
      <c r="BB34" s="38">
        <f t="shared" si="275"/>
        <v>1</v>
      </c>
      <c r="BC34" s="38">
        <f t="shared" si="275"/>
        <v>0</v>
      </c>
      <c r="BD34" s="39">
        <f t="shared" si="275"/>
        <v>1</v>
      </c>
      <c r="BF34" s="47">
        <f t="shared" si="275"/>
        <v>1</v>
      </c>
      <c r="BG34" s="38">
        <f t="shared" si="275"/>
        <v>1</v>
      </c>
      <c r="BH34" s="38">
        <f t="shared" si="275"/>
        <v>1</v>
      </c>
      <c r="BI34" s="38">
        <f t="shared" si="275"/>
        <v>1</v>
      </c>
      <c r="BJ34" s="38">
        <f t="shared" si="275"/>
        <v>1</v>
      </c>
      <c r="BK34" s="38">
        <f t="shared" si="275"/>
        <v>1</v>
      </c>
      <c r="BL34" s="38">
        <f t="shared" si="275"/>
        <v>1</v>
      </c>
      <c r="BM34" s="38">
        <f t="shared" si="275"/>
        <v>1</v>
      </c>
      <c r="BN34" s="38">
        <f t="shared" si="275"/>
        <v>0</v>
      </c>
      <c r="BO34" s="38">
        <f t="shared" si="275"/>
        <v>0</v>
      </c>
      <c r="BP34" s="38">
        <f t="shared" si="275"/>
        <v>1</v>
      </c>
      <c r="BQ34" s="38">
        <f t="shared" si="275"/>
        <v>1</v>
      </c>
      <c r="BR34" s="38">
        <f t="shared" si="275"/>
        <v>1</v>
      </c>
      <c r="BS34" s="38">
        <f t="shared" si="275"/>
        <v>1</v>
      </c>
      <c r="BT34" s="38">
        <f t="shared" si="275"/>
        <v>1</v>
      </c>
      <c r="BU34" s="38">
        <f t="shared" si="275"/>
        <v>1</v>
      </c>
      <c r="BV34" s="39">
        <f t="shared" si="275"/>
        <v>1</v>
      </c>
      <c r="BX34" s="47">
        <f t="shared" si="275"/>
        <v>1</v>
      </c>
      <c r="BY34" s="38">
        <f t="shared" si="275"/>
        <v>1</v>
      </c>
      <c r="BZ34" s="38">
        <f t="shared" si="275"/>
        <v>1</v>
      </c>
      <c r="CA34" s="38">
        <f t="shared" si="275"/>
        <v>1</v>
      </c>
      <c r="CB34" s="38">
        <f t="shared" si="275"/>
        <v>1</v>
      </c>
      <c r="CC34" s="38">
        <f t="shared" si="275"/>
        <v>1</v>
      </c>
      <c r="CD34" s="38">
        <f t="shared" si="275"/>
        <v>0</v>
      </c>
      <c r="CE34" s="38">
        <f t="shared" si="275"/>
        <v>1</v>
      </c>
      <c r="CF34" s="38">
        <f t="shared" si="275"/>
        <v>1</v>
      </c>
      <c r="CG34" s="38">
        <f t="shared" si="275"/>
        <v>1</v>
      </c>
      <c r="CH34" s="38">
        <f t="shared" si="263"/>
        <v>1</v>
      </c>
      <c r="CI34" s="38">
        <f t="shared" si="263"/>
        <v>1</v>
      </c>
      <c r="CJ34" s="38">
        <f t="shared" si="263"/>
        <v>1</v>
      </c>
      <c r="CK34" s="38">
        <f t="shared" si="263"/>
        <v>1</v>
      </c>
      <c r="CL34" s="38">
        <f t="shared" si="263"/>
        <v>1</v>
      </c>
      <c r="CM34" s="38">
        <f t="shared" si="263"/>
        <v>0</v>
      </c>
      <c r="CN34" s="39">
        <f t="shared" si="263"/>
        <v>1</v>
      </c>
      <c r="CP34" s="47">
        <f t="shared" si="264"/>
        <v>1</v>
      </c>
      <c r="CQ34" s="38">
        <f t="shared" si="264"/>
        <v>1</v>
      </c>
      <c r="CR34" s="38">
        <f t="shared" si="264"/>
        <v>1</v>
      </c>
      <c r="CS34" s="38">
        <f t="shared" si="264"/>
        <v>1</v>
      </c>
      <c r="CT34" s="38">
        <f t="shared" si="264"/>
        <v>1</v>
      </c>
      <c r="CU34" s="38">
        <f t="shared" si="264"/>
        <v>1</v>
      </c>
      <c r="CV34" s="38">
        <f t="shared" si="264"/>
        <v>0</v>
      </c>
      <c r="CW34" s="38">
        <f t="shared" si="264"/>
        <v>1</v>
      </c>
      <c r="CX34" s="38">
        <f t="shared" si="264"/>
        <v>1</v>
      </c>
      <c r="CY34" s="38">
        <f t="shared" si="264"/>
        <v>1</v>
      </c>
      <c r="CZ34" s="38">
        <f t="shared" si="264"/>
        <v>1</v>
      </c>
      <c r="DA34" s="38">
        <f t="shared" si="264"/>
        <v>1</v>
      </c>
      <c r="DB34" s="38">
        <f t="shared" si="264"/>
        <v>1</v>
      </c>
      <c r="DC34" s="38">
        <f t="shared" si="264"/>
        <v>0</v>
      </c>
      <c r="DD34" s="38">
        <f t="shared" si="264"/>
        <v>1</v>
      </c>
      <c r="DE34" s="38">
        <f t="shared" si="264"/>
        <v>0</v>
      </c>
      <c r="DF34" s="39">
        <f t="shared" si="264"/>
        <v>1</v>
      </c>
      <c r="DH34" s="47">
        <f t="shared" si="264"/>
        <v>1</v>
      </c>
      <c r="DI34" s="38">
        <f t="shared" si="264"/>
        <v>1</v>
      </c>
      <c r="DJ34" s="38">
        <f t="shared" si="264"/>
        <v>1</v>
      </c>
      <c r="DK34" s="38">
        <f t="shared" si="264"/>
        <v>1</v>
      </c>
      <c r="DL34" s="38">
        <f t="shared" si="264"/>
        <v>1</v>
      </c>
      <c r="DM34" s="38">
        <f t="shared" si="264"/>
        <v>1</v>
      </c>
      <c r="DN34" s="38">
        <f t="shared" si="264"/>
        <v>0</v>
      </c>
      <c r="DO34" s="38">
        <f t="shared" si="264"/>
        <v>1</v>
      </c>
      <c r="DP34" s="38">
        <f t="shared" si="264"/>
        <v>0</v>
      </c>
      <c r="DQ34" s="38">
        <f t="shared" si="264"/>
        <v>1</v>
      </c>
      <c r="DR34" s="38">
        <f t="shared" si="264"/>
        <v>1</v>
      </c>
      <c r="DS34" s="38">
        <f t="shared" si="264"/>
        <v>1</v>
      </c>
      <c r="DT34" s="38">
        <f t="shared" si="264"/>
        <v>1</v>
      </c>
      <c r="DU34" s="38">
        <f t="shared" si="264"/>
        <v>0</v>
      </c>
      <c r="DV34" s="38">
        <f t="shared" si="265"/>
        <v>1</v>
      </c>
      <c r="DW34" s="38">
        <f t="shared" si="265"/>
        <v>0</v>
      </c>
      <c r="DX34" s="39">
        <f t="shared" si="265"/>
        <v>1</v>
      </c>
      <c r="DZ34" s="47">
        <f t="shared" si="266"/>
        <v>1</v>
      </c>
      <c r="EA34" s="38">
        <f t="shared" si="266"/>
        <v>1</v>
      </c>
      <c r="EB34" s="38">
        <f t="shared" si="266"/>
        <v>1</v>
      </c>
      <c r="EC34" s="38">
        <f t="shared" si="266"/>
        <v>1</v>
      </c>
      <c r="ED34" s="38">
        <f t="shared" si="266"/>
        <v>1</v>
      </c>
      <c r="EE34" s="38">
        <f t="shared" si="266"/>
        <v>1</v>
      </c>
      <c r="EF34" s="38">
        <f t="shared" si="266"/>
        <v>0</v>
      </c>
      <c r="EG34" s="38">
        <f t="shared" si="266"/>
        <v>1</v>
      </c>
      <c r="EH34" s="38">
        <f t="shared" si="266"/>
        <v>1</v>
      </c>
      <c r="EI34" s="38">
        <f t="shared" si="266"/>
        <v>1</v>
      </c>
      <c r="EJ34" s="38">
        <f t="shared" si="266"/>
        <v>1</v>
      </c>
      <c r="EK34" s="38">
        <f t="shared" si="266"/>
        <v>1</v>
      </c>
      <c r="EL34" s="38">
        <f t="shared" si="266"/>
        <v>1</v>
      </c>
      <c r="EM34" s="38">
        <f t="shared" si="266"/>
        <v>0</v>
      </c>
      <c r="EN34" s="38">
        <f t="shared" si="266"/>
        <v>1</v>
      </c>
      <c r="EO34" s="38">
        <f t="shared" si="266"/>
        <v>0</v>
      </c>
      <c r="EP34" s="39">
        <f t="shared" si="266"/>
        <v>1</v>
      </c>
      <c r="ER34" s="47">
        <f t="shared" si="266"/>
        <v>1</v>
      </c>
      <c r="ES34" s="38">
        <f t="shared" si="266"/>
        <v>1</v>
      </c>
      <c r="ET34" s="38">
        <f t="shared" si="266"/>
        <v>1</v>
      </c>
      <c r="EU34" s="38">
        <f t="shared" si="266"/>
        <v>1</v>
      </c>
      <c r="EV34" s="38">
        <f t="shared" si="266"/>
        <v>1</v>
      </c>
      <c r="EW34" s="38">
        <f t="shared" si="266"/>
        <v>1</v>
      </c>
      <c r="EX34" s="38">
        <f t="shared" si="266"/>
        <v>0</v>
      </c>
      <c r="EY34" s="38">
        <f t="shared" si="266"/>
        <v>1</v>
      </c>
      <c r="EZ34" s="38">
        <f t="shared" si="266"/>
        <v>1</v>
      </c>
      <c r="FA34" s="38">
        <f t="shared" si="266"/>
        <v>0</v>
      </c>
      <c r="FB34" s="38">
        <f t="shared" si="266"/>
        <v>1</v>
      </c>
      <c r="FC34" s="38">
        <f t="shared" si="266"/>
        <v>1</v>
      </c>
      <c r="FD34" s="38">
        <f t="shared" si="266"/>
        <v>1</v>
      </c>
      <c r="FE34" s="38">
        <f t="shared" si="266"/>
        <v>0</v>
      </c>
      <c r="FF34" s="38">
        <f t="shared" si="267"/>
        <v>1</v>
      </c>
      <c r="FG34" s="38">
        <f t="shared" si="267"/>
        <v>0</v>
      </c>
      <c r="FH34" s="39">
        <f t="shared" si="267"/>
        <v>1</v>
      </c>
      <c r="FJ34" s="47">
        <f t="shared" si="268"/>
        <v>1</v>
      </c>
      <c r="FK34" s="38">
        <f t="shared" si="268"/>
        <v>1</v>
      </c>
      <c r="FL34" s="38">
        <f t="shared" si="268"/>
        <v>1</v>
      </c>
      <c r="FM34" s="38">
        <f t="shared" si="268"/>
        <v>1</v>
      </c>
      <c r="FN34" s="38">
        <f t="shared" si="268"/>
        <v>1</v>
      </c>
      <c r="FO34" s="38">
        <f t="shared" si="268"/>
        <v>1</v>
      </c>
      <c r="FP34" s="38">
        <f t="shared" si="268"/>
        <v>1</v>
      </c>
      <c r="FQ34" s="38">
        <f t="shared" si="268"/>
        <v>1</v>
      </c>
      <c r="FR34" s="38">
        <f t="shared" si="268"/>
        <v>1</v>
      </c>
      <c r="FS34" s="38">
        <f t="shared" si="268"/>
        <v>0</v>
      </c>
      <c r="FT34" s="38">
        <f t="shared" si="268"/>
        <v>1</v>
      </c>
      <c r="FU34" s="38">
        <f t="shared" si="268"/>
        <v>1</v>
      </c>
      <c r="FV34" s="38">
        <f t="shared" si="268"/>
        <v>1</v>
      </c>
      <c r="FW34" s="38">
        <f t="shared" si="268"/>
        <v>0</v>
      </c>
      <c r="FX34" s="38">
        <f t="shared" si="268"/>
        <v>1</v>
      </c>
      <c r="FY34" s="38">
        <f t="shared" si="268"/>
        <v>1</v>
      </c>
      <c r="FZ34" s="39">
        <f t="shared" si="268"/>
        <v>1</v>
      </c>
      <c r="GB34" s="47">
        <f t="shared" si="268"/>
        <v>1</v>
      </c>
      <c r="GC34" s="38">
        <f t="shared" si="268"/>
        <v>1</v>
      </c>
      <c r="GD34" s="38">
        <f t="shared" si="268"/>
        <v>1</v>
      </c>
      <c r="GE34" s="38">
        <f t="shared" si="268"/>
        <v>1</v>
      </c>
      <c r="GF34" s="38">
        <f t="shared" si="268"/>
        <v>1</v>
      </c>
      <c r="GG34" s="38">
        <f t="shared" si="268"/>
        <v>1</v>
      </c>
      <c r="GH34" s="38">
        <f t="shared" si="268"/>
        <v>0</v>
      </c>
      <c r="GI34" s="38">
        <f t="shared" si="268"/>
        <v>1</v>
      </c>
      <c r="GJ34" s="38">
        <f t="shared" si="268"/>
        <v>1</v>
      </c>
      <c r="GK34" s="38">
        <f t="shared" si="268"/>
        <v>1</v>
      </c>
      <c r="GL34" s="38">
        <f t="shared" si="268"/>
        <v>1</v>
      </c>
      <c r="GM34" s="38">
        <f t="shared" si="268"/>
        <v>1</v>
      </c>
      <c r="GN34" s="38">
        <f t="shared" si="268"/>
        <v>1</v>
      </c>
      <c r="GO34" s="38">
        <f t="shared" si="268"/>
        <v>0</v>
      </c>
      <c r="GP34" s="38">
        <f t="shared" si="269"/>
        <v>1</v>
      </c>
      <c r="GQ34" s="38">
        <f t="shared" si="269"/>
        <v>1</v>
      </c>
      <c r="GR34" s="39">
        <f t="shared" si="269"/>
        <v>1</v>
      </c>
      <c r="GT34" s="47">
        <f t="shared" si="270"/>
        <v>1</v>
      </c>
      <c r="GU34" s="38">
        <f t="shared" si="270"/>
        <v>1</v>
      </c>
      <c r="GV34" s="38">
        <f t="shared" si="270"/>
        <v>1</v>
      </c>
      <c r="GW34" s="38">
        <f t="shared" si="270"/>
        <v>1</v>
      </c>
      <c r="GX34" s="38">
        <f t="shared" si="270"/>
        <v>1</v>
      </c>
      <c r="GY34" s="38">
        <f t="shared" si="270"/>
        <v>1</v>
      </c>
      <c r="GZ34" s="38">
        <f t="shared" si="270"/>
        <v>1</v>
      </c>
      <c r="HA34" s="38">
        <f t="shared" si="270"/>
        <v>1</v>
      </c>
      <c r="HB34" s="38">
        <f t="shared" si="270"/>
        <v>1</v>
      </c>
      <c r="HC34" s="38">
        <f t="shared" si="270"/>
        <v>1</v>
      </c>
      <c r="HD34" s="38">
        <f t="shared" si="270"/>
        <v>0</v>
      </c>
      <c r="HE34" s="38">
        <f t="shared" si="270"/>
        <v>1</v>
      </c>
      <c r="HF34" s="38">
        <f t="shared" si="270"/>
        <v>1</v>
      </c>
      <c r="HG34" s="38">
        <f t="shared" si="270"/>
        <v>0</v>
      </c>
      <c r="HH34" s="38">
        <f t="shared" si="270"/>
        <v>1</v>
      </c>
      <c r="HI34" s="38">
        <f t="shared" si="270"/>
        <v>0</v>
      </c>
      <c r="HJ34" s="39">
        <f t="shared" si="270"/>
        <v>1</v>
      </c>
      <c r="HL34" s="47">
        <f t="shared" si="270"/>
        <v>1</v>
      </c>
      <c r="HM34" s="38">
        <f t="shared" si="270"/>
        <v>1</v>
      </c>
      <c r="HN34" s="38">
        <f t="shared" si="270"/>
        <v>1</v>
      </c>
      <c r="HO34" s="38">
        <f t="shared" si="270"/>
        <v>1</v>
      </c>
      <c r="HP34" s="38">
        <f t="shared" si="270"/>
        <v>1</v>
      </c>
      <c r="HQ34" s="38">
        <f t="shared" si="270"/>
        <v>1</v>
      </c>
      <c r="HR34" s="38">
        <f t="shared" si="270"/>
        <v>1</v>
      </c>
      <c r="HS34" s="38">
        <f t="shared" si="270"/>
        <v>1</v>
      </c>
      <c r="HT34" s="38">
        <f t="shared" si="270"/>
        <v>1</v>
      </c>
      <c r="HU34" s="38">
        <f t="shared" si="270"/>
        <v>1</v>
      </c>
      <c r="HV34" s="38">
        <f t="shared" si="270"/>
        <v>1</v>
      </c>
      <c r="HW34" s="38">
        <f t="shared" si="270"/>
        <v>1</v>
      </c>
      <c r="HX34" s="38">
        <f t="shared" si="270"/>
        <v>1</v>
      </c>
      <c r="HY34" s="38">
        <f t="shared" si="270"/>
        <v>0</v>
      </c>
      <c r="HZ34" s="38">
        <f t="shared" si="270"/>
        <v>1</v>
      </c>
      <c r="IA34" s="38">
        <f t="shared" si="270"/>
        <v>0</v>
      </c>
      <c r="IB34" s="39">
        <f t="shared" si="270"/>
        <v>1</v>
      </c>
    </row>
    <row r="35" spans="1:236" x14ac:dyDescent="0.35">
      <c r="P35" s="2"/>
      <c r="Q35" s="2"/>
      <c r="R35" s="2"/>
    </row>
    <row r="36" spans="1:236" x14ac:dyDescent="0.35">
      <c r="P36" s="2"/>
      <c r="Q36" s="2"/>
      <c r="R36" s="2"/>
    </row>
    <row r="37" spans="1:236" x14ac:dyDescent="0.35">
      <c r="P37" s="2"/>
      <c r="Q37" s="2"/>
      <c r="R37" s="2"/>
    </row>
    <row r="38" spans="1:236" x14ac:dyDescent="0.35">
      <c r="P38" s="2"/>
      <c r="Q38" s="2"/>
      <c r="R38" s="2"/>
    </row>
    <row r="39" spans="1:236" x14ac:dyDescent="0.35">
      <c r="P39" s="2"/>
      <c r="Q39" s="2"/>
      <c r="R39" s="2"/>
    </row>
    <row r="40" spans="1:236" x14ac:dyDescent="0.35">
      <c r="P40" s="2"/>
      <c r="Q40" s="2"/>
      <c r="R40" s="2"/>
    </row>
    <row r="41" spans="1:236" x14ac:dyDescent="0.35">
      <c r="P41" s="2"/>
      <c r="Q41" s="2"/>
      <c r="R41" s="2"/>
    </row>
    <row r="42" spans="1:236" x14ac:dyDescent="0.35">
      <c r="P42" s="2"/>
      <c r="Q42" s="2"/>
      <c r="R42" s="2"/>
    </row>
    <row r="43" spans="1:236" x14ac:dyDescent="0.35">
      <c r="P43" s="2"/>
      <c r="Q43" s="2"/>
      <c r="R43" s="2"/>
    </row>
    <row r="44" spans="1:236" x14ac:dyDescent="0.35">
      <c r="P44" s="2"/>
      <c r="Q44" s="2"/>
      <c r="R44" s="2"/>
    </row>
  </sheetData>
  <mergeCells count="14">
    <mergeCell ref="GT4:HJ4"/>
    <mergeCell ref="HL4:IB4"/>
    <mergeCell ref="CP4:DF4"/>
    <mergeCell ref="DH4:DX4"/>
    <mergeCell ref="DZ4:EP4"/>
    <mergeCell ref="ER4:FH4"/>
    <mergeCell ref="FJ4:FZ4"/>
    <mergeCell ref="GB4:GR4"/>
    <mergeCell ref="BX4:CN4"/>
    <mergeCell ref="B4:B5"/>
    <mergeCell ref="D4:T4"/>
    <mergeCell ref="V4:AL4"/>
    <mergeCell ref="AN4:BD4"/>
    <mergeCell ref="BF4:BV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7BFC-FE14-4BA0-8E58-B711DA8A9363}">
  <sheetPr>
    <tabColor rgb="FF00B0F0"/>
  </sheetPr>
  <dimension ref="A1:IB44"/>
  <sheetViews>
    <sheetView showGridLines="0" zoomScaleNormal="100" workbookViewId="0">
      <pane xSplit="2" ySplit="5" topLeftCell="C9" activePane="bottomRight" state="frozen"/>
      <selection pane="topRight" activeCell="C1" sqref="C1"/>
      <selection pane="bottomLeft" activeCell="A4" sqref="A4"/>
      <selection pane="bottomRight" activeCell="D20" sqref="D20"/>
    </sheetView>
  </sheetViews>
  <sheetFormatPr defaultRowHeight="14.5" outlineLevelRow="1" outlineLevelCol="1" x14ac:dyDescent="0.35"/>
  <cols>
    <col min="1" max="1" width="3.08203125" style="5" hidden="1" customWidth="1" outlineLevel="1"/>
    <col min="2" max="2" width="14.9140625" customWidth="1" collapsed="1"/>
    <col min="3" max="3" width="0.75" customWidth="1"/>
    <col min="4" max="4" width="10.5" bestFit="1" customWidth="1"/>
    <col min="5" max="5" width="8.33203125" hidden="1" customWidth="1" outlineLevel="1"/>
    <col min="6" max="6" width="5.6640625" hidden="1" customWidth="1" outlineLevel="1"/>
    <col min="7" max="11" width="6.58203125" hidden="1" customWidth="1" outlineLevel="1"/>
    <col min="12" max="12" width="6.6640625" hidden="1" customWidth="1" outlineLevel="1"/>
    <col min="13" max="13" width="11" hidden="1" customWidth="1" outlineLevel="1"/>
    <col min="14" max="14" width="8" hidden="1" customWidth="1" outlineLevel="1"/>
    <col min="15" max="16" width="9.25" hidden="1" customWidth="1" outlineLevel="1"/>
    <col min="17" max="17" width="8.9140625" hidden="1" customWidth="1" outlineLevel="1"/>
    <col min="18" max="18" width="7" hidden="1" customWidth="1" outlineLevel="1"/>
    <col min="19" max="19" width="6.6640625" hidden="1" customWidth="1" outlineLevel="1"/>
    <col min="20" max="20" width="10.83203125" bestFit="1" customWidth="1" collapsed="1"/>
    <col min="21" max="21" width="0.75" customWidth="1"/>
    <col min="22" max="22" width="10.5" bestFit="1" customWidth="1"/>
    <col min="23" max="23" width="8.33203125" hidden="1" customWidth="1" outlineLevel="1"/>
    <col min="24" max="25" width="6.6640625" hidden="1" customWidth="1" outlineLevel="1"/>
    <col min="26" max="29" width="6.58203125" hidden="1" customWidth="1" outlineLevel="1"/>
    <col min="30" max="30" width="6.6640625" hidden="1" customWidth="1" outlineLevel="1"/>
    <col min="31" max="31" width="11" hidden="1" customWidth="1" outlineLevel="1"/>
    <col min="32" max="32" width="8" hidden="1" customWidth="1" outlineLevel="1"/>
    <col min="33" max="34" width="9.25" hidden="1" customWidth="1" outlineLevel="1"/>
    <col min="35" max="35" width="8.9140625" hidden="1" customWidth="1" outlineLevel="1"/>
    <col min="36" max="36" width="7" hidden="1" customWidth="1" outlineLevel="1"/>
    <col min="37" max="37" width="6.6640625" hidden="1" customWidth="1" outlineLevel="1"/>
    <col min="38" max="38" width="12.25" bestFit="1" customWidth="1" collapsed="1"/>
    <col min="39" max="39" width="0.75" customWidth="1"/>
    <col min="40" max="40" width="11.33203125" bestFit="1" customWidth="1"/>
    <col min="41" max="41" width="8.33203125" hidden="1" customWidth="1" outlineLevel="1"/>
    <col min="42" max="42" width="5.6640625" hidden="1" customWidth="1" outlineLevel="1"/>
    <col min="43" max="43" width="6.6640625" hidden="1" customWidth="1" outlineLevel="1"/>
    <col min="44" max="45" width="6.58203125" hidden="1" customWidth="1" outlineLevel="1"/>
    <col min="46" max="47" width="6.6640625" hidden="1" customWidth="1" outlineLevel="1"/>
    <col min="48" max="48" width="6.58203125" hidden="1" customWidth="1" outlineLevel="1"/>
    <col min="49" max="49" width="11" hidden="1" customWidth="1" outlineLevel="1"/>
    <col min="50" max="50" width="8" hidden="1" customWidth="1" outlineLevel="1"/>
    <col min="51" max="52" width="9.25" hidden="1" customWidth="1" outlineLevel="1"/>
    <col min="53" max="53" width="8.9140625" hidden="1" customWidth="1" outlineLevel="1"/>
    <col min="54" max="54" width="7" hidden="1" customWidth="1" outlineLevel="1"/>
    <col min="55" max="55" width="4.75" hidden="1" customWidth="1" outlineLevel="1"/>
    <col min="56" max="56" width="12.25" bestFit="1" customWidth="1" collapsed="1"/>
    <col min="57" max="57" width="0.75" customWidth="1"/>
    <col min="58" max="58" width="11.33203125" bestFit="1" customWidth="1"/>
    <col min="59" max="59" width="8.33203125" hidden="1" customWidth="1" outlineLevel="1"/>
    <col min="60" max="60" width="5.6640625" hidden="1" customWidth="1" outlineLevel="1"/>
    <col min="61" max="66" width="6.58203125" hidden="1" customWidth="1" outlineLevel="1"/>
    <col min="67" max="67" width="11" hidden="1" customWidth="1" outlineLevel="1"/>
    <col min="68" max="68" width="8" hidden="1" customWidth="1" outlineLevel="1"/>
    <col min="69" max="70" width="9.25" hidden="1" customWidth="1" outlineLevel="1"/>
    <col min="71" max="71" width="8.9140625" hidden="1" customWidth="1" outlineLevel="1"/>
    <col min="72" max="72" width="7" hidden="1" customWidth="1" outlineLevel="1"/>
    <col min="73" max="73" width="6.6640625" hidden="1" customWidth="1" outlineLevel="1"/>
    <col min="74" max="74" width="12.25" bestFit="1" customWidth="1" collapsed="1"/>
    <col min="75" max="75" width="0.75" customWidth="1"/>
    <col min="76" max="76" width="11.33203125" bestFit="1" customWidth="1"/>
    <col min="77" max="77" width="8.33203125" hidden="1" customWidth="1" outlineLevel="1"/>
    <col min="78" max="78" width="5.6640625" hidden="1" customWidth="1" outlineLevel="1"/>
    <col min="79" max="82" width="6.58203125" hidden="1" customWidth="1" outlineLevel="1"/>
    <col min="83" max="83" width="6.6640625" hidden="1" customWidth="1" outlineLevel="1"/>
    <col min="84" max="84" width="6.58203125" hidden="1" customWidth="1" outlineLevel="1"/>
    <col min="85" max="85" width="11" hidden="1" customWidth="1" outlineLevel="1"/>
    <col min="86" max="86" width="8" hidden="1" customWidth="1" outlineLevel="1"/>
    <col min="87" max="88" width="9.25" hidden="1" customWidth="1" outlineLevel="1"/>
    <col min="89" max="89" width="8.9140625" hidden="1" customWidth="1" outlineLevel="1"/>
    <col min="90" max="90" width="7" hidden="1" customWidth="1" outlineLevel="1"/>
    <col min="91" max="91" width="4.75" hidden="1" customWidth="1" outlineLevel="1"/>
    <col min="92" max="92" width="12.25" bestFit="1" customWidth="1" collapsed="1"/>
    <col min="93" max="93" width="0.75" customWidth="1"/>
    <col min="94" max="94" width="11.33203125" bestFit="1" customWidth="1"/>
    <col min="95" max="95" width="8.33203125" hidden="1" customWidth="1" outlineLevel="1"/>
    <col min="96" max="96" width="5.33203125" hidden="1" customWidth="1" outlineLevel="1"/>
    <col min="97" max="102" width="6.58203125" hidden="1" customWidth="1" outlineLevel="1"/>
    <col min="103" max="103" width="11" hidden="1" customWidth="1" outlineLevel="1"/>
    <col min="104" max="104" width="8" hidden="1" customWidth="1" outlineLevel="1"/>
    <col min="105" max="106" width="9.25" hidden="1" customWidth="1" outlineLevel="1"/>
    <col min="107" max="107" width="8.9140625" hidden="1" customWidth="1" outlineLevel="1"/>
    <col min="108" max="108" width="7" hidden="1" customWidth="1" outlineLevel="1"/>
    <col min="109" max="109" width="4.75" hidden="1" customWidth="1" outlineLevel="1"/>
    <col min="110" max="110" width="12.25" bestFit="1" customWidth="1" collapsed="1"/>
    <col min="111" max="111" width="0.75" customWidth="1"/>
    <col min="112" max="112" width="11.33203125" bestFit="1" customWidth="1"/>
    <col min="113" max="113" width="8.33203125" hidden="1" customWidth="1" outlineLevel="1"/>
    <col min="114" max="114" width="5.33203125" hidden="1" customWidth="1" outlineLevel="1"/>
    <col min="115" max="120" width="6.58203125" hidden="1" customWidth="1" outlineLevel="1"/>
    <col min="121" max="121" width="11" hidden="1" customWidth="1" outlineLevel="1"/>
    <col min="122" max="122" width="8" hidden="1" customWidth="1" outlineLevel="1"/>
    <col min="123" max="124" width="9.25" hidden="1" customWidth="1" outlineLevel="1"/>
    <col min="125" max="125" width="8.9140625" hidden="1" customWidth="1" outlineLevel="1"/>
    <col min="126" max="126" width="7" hidden="1" customWidth="1" outlineLevel="1"/>
    <col min="127" max="127" width="4.75" hidden="1" customWidth="1" outlineLevel="1"/>
    <col min="128" max="128" width="12.25" bestFit="1" customWidth="1" collapsed="1"/>
    <col min="129" max="129" width="0.75" customWidth="1"/>
    <col min="130" max="130" width="11.33203125" bestFit="1" customWidth="1"/>
    <col min="131" max="131" width="8.33203125" hidden="1" customWidth="1" outlineLevel="1"/>
    <col min="132" max="132" width="5.33203125" hidden="1" customWidth="1" outlineLevel="1"/>
    <col min="133" max="138" width="6.58203125" hidden="1" customWidth="1" outlineLevel="1"/>
    <col min="139" max="139" width="11" hidden="1" customWidth="1" outlineLevel="1"/>
    <col min="140" max="140" width="8" hidden="1" customWidth="1" outlineLevel="1"/>
    <col min="141" max="142" width="9.25" hidden="1" customWidth="1" outlineLevel="1"/>
    <col min="143" max="143" width="8.9140625" hidden="1" customWidth="1" outlineLevel="1"/>
    <col min="144" max="144" width="7" hidden="1" customWidth="1" outlineLevel="1"/>
    <col min="145" max="145" width="4.75" hidden="1" customWidth="1" outlineLevel="1"/>
    <col min="146" max="146" width="12.25" bestFit="1" customWidth="1" collapsed="1"/>
    <col min="147" max="147" width="0.75" customWidth="1"/>
    <col min="148" max="148" width="11.33203125" bestFit="1" customWidth="1"/>
    <col min="149" max="149" width="8.33203125" hidden="1" customWidth="1" outlineLevel="1"/>
    <col min="150" max="150" width="5.33203125" hidden="1" customWidth="1" outlineLevel="1"/>
    <col min="151" max="156" width="6.58203125" hidden="1" customWidth="1" outlineLevel="1"/>
    <col min="157" max="157" width="11" hidden="1" customWidth="1" outlineLevel="1"/>
    <col min="158" max="158" width="8" hidden="1" customWidth="1" outlineLevel="1"/>
    <col min="159" max="160" width="9.25" hidden="1" customWidth="1" outlineLevel="1"/>
    <col min="161" max="161" width="8.9140625" hidden="1" customWidth="1" outlineLevel="1"/>
    <col min="162" max="162" width="7" hidden="1" customWidth="1" outlineLevel="1"/>
    <col min="163" max="163" width="4.75" hidden="1" customWidth="1" outlineLevel="1"/>
    <col min="164" max="164" width="12.25" bestFit="1" customWidth="1" collapsed="1"/>
    <col min="165" max="165" width="0.75" customWidth="1"/>
    <col min="166" max="166" width="11.33203125" bestFit="1" customWidth="1"/>
    <col min="167" max="176" width="11.25" hidden="1" customWidth="1" outlineLevel="1"/>
    <col min="177" max="181" width="13" hidden="1" customWidth="1" outlineLevel="1"/>
    <col min="182" max="182" width="12.25" bestFit="1" customWidth="1" collapsed="1"/>
    <col min="183" max="183" width="0.75" customWidth="1"/>
    <col min="184" max="184" width="11.33203125" bestFit="1" customWidth="1"/>
    <col min="185" max="194" width="11.25" hidden="1" customWidth="1" outlineLevel="1"/>
    <col min="195" max="199" width="13" hidden="1" customWidth="1" outlineLevel="1"/>
    <col min="200" max="200" width="12.25" bestFit="1" customWidth="1" collapsed="1"/>
    <col min="201" max="201" width="0.75" customWidth="1"/>
    <col min="202" max="202" width="11.33203125" bestFit="1" customWidth="1"/>
    <col min="203" max="212" width="11.25" hidden="1" customWidth="1" outlineLevel="1"/>
    <col min="213" max="217" width="13" hidden="1" customWidth="1" outlineLevel="1"/>
    <col min="218" max="218" width="12.25" bestFit="1" customWidth="1" collapsed="1"/>
    <col min="219" max="219" width="0.75" customWidth="1"/>
    <col min="220" max="220" width="11.33203125" bestFit="1" customWidth="1"/>
    <col min="221" max="230" width="11.25" hidden="1" customWidth="1" outlineLevel="1"/>
    <col min="231" max="235" width="13" hidden="1" customWidth="1" outlineLevel="1"/>
    <col min="236" max="236" width="12.25" bestFit="1" customWidth="1" collapsed="1"/>
  </cols>
  <sheetData>
    <row r="1" spans="1:236" s="5" customFormat="1" x14ac:dyDescent="0.35">
      <c r="D1" s="5">
        <v>2026</v>
      </c>
      <c r="E1" s="5">
        <v>2026</v>
      </c>
      <c r="F1" s="5">
        <v>2026</v>
      </c>
      <c r="G1" s="5">
        <v>2026</v>
      </c>
      <c r="H1" s="5">
        <v>2026</v>
      </c>
      <c r="I1" s="5">
        <v>2026</v>
      </c>
      <c r="J1" s="5">
        <v>2026</v>
      </c>
      <c r="K1" s="5">
        <v>2026</v>
      </c>
      <c r="L1" s="5">
        <v>2026</v>
      </c>
      <c r="M1" s="5">
        <v>2026</v>
      </c>
      <c r="N1" s="5">
        <v>2026</v>
      </c>
      <c r="O1" s="5">
        <v>2026</v>
      </c>
      <c r="P1" s="5">
        <v>2026</v>
      </c>
      <c r="Q1" s="5">
        <v>2026</v>
      </c>
      <c r="R1" s="5">
        <v>2026</v>
      </c>
      <c r="S1" s="5">
        <v>2026</v>
      </c>
      <c r="T1" s="5">
        <v>2026</v>
      </c>
      <c r="V1" s="5">
        <v>2026</v>
      </c>
      <c r="W1" s="5">
        <v>2026</v>
      </c>
      <c r="X1" s="5">
        <v>2026</v>
      </c>
      <c r="Y1" s="5">
        <v>2026</v>
      </c>
      <c r="Z1" s="5">
        <v>2026</v>
      </c>
      <c r="AA1" s="5">
        <v>2026</v>
      </c>
      <c r="AB1" s="5">
        <v>2026</v>
      </c>
      <c r="AC1" s="5">
        <v>2026</v>
      </c>
      <c r="AD1" s="5">
        <v>2026</v>
      </c>
      <c r="AE1" s="5">
        <v>2026</v>
      </c>
      <c r="AF1" s="5">
        <v>2026</v>
      </c>
      <c r="AG1" s="5">
        <v>2026</v>
      </c>
      <c r="AH1" s="5">
        <v>2026</v>
      </c>
      <c r="AI1" s="5">
        <v>2026</v>
      </c>
      <c r="AJ1" s="5">
        <v>2026</v>
      </c>
      <c r="AK1" s="5">
        <v>2026</v>
      </c>
      <c r="AN1" s="5">
        <v>2026</v>
      </c>
      <c r="AO1" s="5">
        <v>2026</v>
      </c>
      <c r="AP1" s="5">
        <v>2026</v>
      </c>
      <c r="AQ1" s="5">
        <v>2026</v>
      </c>
      <c r="AR1" s="5">
        <v>2026</v>
      </c>
      <c r="AS1" s="5">
        <v>2026</v>
      </c>
      <c r="AT1" s="5">
        <v>2026</v>
      </c>
      <c r="AU1" s="5">
        <v>2026</v>
      </c>
      <c r="AV1" s="5">
        <v>2026</v>
      </c>
      <c r="AW1" s="5">
        <v>2026</v>
      </c>
      <c r="AX1" s="5">
        <v>2026</v>
      </c>
      <c r="AY1" s="5">
        <v>2026</v>
      </c>
      <c r="AZ1" s="5">
        <v>2026</v>
      </c>
      <c r="BA1" s="5">
        <v>2026</v>
      </c>
      <c r="BB1" s="5">
        <v>2026</v>
      </c>
      <c r="BC1" s="5">
        <v>2026</v>
      </c>
      <c r="BF1" s="5">
        <v>2026</v>
      </c>
      <c r="BG1" s="5">
        <v>2026</v>
      </c>
      <c r="BH1" s="5">
        <v>2026</v>
      </c>
      <c r="BI1" s="5">
        <v>2026</v>
      </c>
      <c r="BJ1" s="5">
        <v>2026</v>
      </c>
      <c r="BK1" s="5">
        <v>2026</v>
      </c>
      <c r="BL1" s="5">
        <v>2026</v>
      </c>
      <c r="BM1" s="5">
        <v>2026</v>
      </c>
      <c r="BN1" s="5">
        <v>2026</v>
      </c>
      <c r="BO1" s="5">
        <v>2026</v>
      </c>
      <c r="BP1" s="5">
        <v>2026</v>
      </c>
      <c r="BQ1" s="5">
        <v>2026</v>
      </c>
      <c r="BR1" s="5">
        <v>2026</v>
      </c>
      <c r="BS1" s="5">
        <v>2026</v>
      </c>
      <c r="BT1" s="5">
        <v>2026</v>
      </c>
      <c r="BU1" s="5">
        <v>2026</v>
      </c>
      <c r="BX1" s="5">
        <v>2026</v>
      </c>
      <c r="BY1" s="5">
        <v>2026</v>
      </c>
      <c r="BZ1" s="5">
        <v>2026</v>
      </c>
      <c r="CA1" s="5">
        <v>2026</v>
      </c>
      <c r="CB1" s="5">
        <v>2026</v>
      </c>
      <c r="CC1" s="5">
        <v>2026</v>
      </c>
      <c r="CD1" s="5">
        <v>2026</v>
      </c>
      <c r="CE1" s="5">
        <v>2026</v>
      </c>
      <c r="CF1" s="5">
        <v>2026</v>
      </c>
      <c r="CG1" s="5">
        <v>2026</v>
      </c>
      <c r="CH1" s="5">
        <v>2026</v>
      </c>
      <c r="CI1" s="5">
        <v>2026</v>
      </c>
      <c r="CJ1" s="5">
        <v>2026</v>
      </c>
      <c r="CK1" s="5">
        <v>2026</v>
      </c>
      <c r="CL1" s="5">
        <v>2026</v>
      </c>
      <c r="CM1" s="5">
        <v>2026</v>
      </c>
      <c r="CP1" s="5">
        <v>2026</v>
      </c>
      <c r="CQ1" s="5">
        <v>2026</v>
      </c>
      <c r="CR1" s="5">
        <v>2026</v>
      </c>
      <c r="CS1" s="5">
        <v>2026</v>
      </c>
      <c r="CT1" s="5">
        <v>2026</v>
      </c>
      <c r="CU1" s="5">
        <v>2026</v>
      </c>
      <c r="CV1" s="5">
        <v>2026</v>
      </c>
      <c r="CW1" s="5">
        <v>2026</v>
      </c>
      <c r="CX1" s="5">
        <v>2026</v>
      </c>
      <c r="CY1" s="5">
        <v>2026</v>
      </c>
      <c r="CZ1" s="5">
        <v>2026</v>
      </c>
      <c r="DA1" s="5">
        <v>2026</v>
      </c>
      <c r="DB1" s="5">
        <v>2026</v>
      </c>
      <c r="DC1" s="5">
        <v>2026</v>
      </c>
      <c r="DD1" s="5">
        <v>2026</v>
      </c>
      <c r="DE1" s="5">
        <v>2026</v>
      </c>
      <c r="DH1" s="5">
        <v>2026</v>
      </c>
      <c r="DI1" s="5">
        <v>2026</v>
      </c>
      <c r="DJ1" s="5">
        <v>2026</v>
      </c>
      <c r="DK1" s="5">
        <v>2026</v>
      </c>
      <c r="DL1" s="5">
        <v>2026</v>
      </c>
      <c r="DM1" s="5">
        <v>2026</v>
      </c>
      <c r="DN1" s="5">
        <v>2026</v>
      </c>
      <c r="DO1" s="5">
        <v>2026</v>
      </c>
      <c r="DP1" s="5">
        <v>2026</v>
      </c>
      <c r="DQ1" s="5">
        <v>2026</v>
      </c>
      <c r="DR1" s="5">
        <v>2026</v>
      </c>
      <c r="DS1" s="5">
        <v>2026</v>
      </c>
      <c r="DT1" s="5">
        <v>2026</v>
      </c>
      <c r="DU1" s="5">
        <v>2026</v>
      </c>
      <c r="DV1" s="5">
        <v>2026</v>
      </c>
      <c r="DW1" s="5">
        <v>2026</v>
      </c>
      <c r="DZ1" s="5">
        <v>2026</v>
      </c>
      <c r="EA1" s="5">
        <v>2026</v>
      </c>
      <c r="EB1" s="5">
        <v>2026</v>
      </c>
      <c r="EC1" s="5">
        <v>2026</v>
      </c>
      <c r="ED1" s="5">
        <v>2026</v>
      </c>
      <c r="EE1" s="5">
        <v>2026</v>
      </c>
      <c r="EF1" s="5">
        <v>2026</v>
      </c>
      <c r="EG1" s="5">
        <v>2026</v>
      </c>
      <c r="EH1" s="5">
        <v>2026</v>
      </c>
      <c r="EI1" s="5">
        <v>2026</v>
      </c>
      <c r="EJ1" s="5">
        <v>2026</v>
      </c>
      <c r="EK1" s="5">
        <v>2026</v>
      </c>
      <c r="EL1" s="5">
        <v>2026</v>
      </c>
      <c r="EM1" s="5">
        <v>2026</v>
      </c>
      <c r="EN1" s="5">
        <v>2026</v>
      </c>
      <c r="EO1" s="5">
        <v>2026</v>
      </c>
      <c r="ER1" s="5">
        <v>2026</v>
      </c>
      <c r="ES1" s="5">
        <v>2026</v>
      </c>
      <c r="ET1" s="5">
        <v>2026</v>
      </c>
      <c r="EU1" s="5">
        <v>2026</v>
      </c>
      <c r="EV1" s="5">
        <v>2026</v>
      </c>
      <c r="EW1" s="5">
        <v>2026</v>
      </c>
      <c r="EX1" s="5">
        <v>2026</v>
      </c>
      <c r="EY1" s="5">
        <v>2026</v>
      </c>
      <c r="EZ1" s="5">
        <v>2026</v>
      </c>
      <c r="FA1" s="5">
        <v>2026</v>
      </c>
      <c r="FB1" s="5">
        <v>2026</v>
      </c>
      <c r="FC1" s="5">
        <v>2026</v>
      </c>
      <c r="FD1" s="5">
        <v>2026</v>
      </c>
      <c r="FE1" s="5">
        <v>2026</v>
      </c>
      <c r="FF1" s="5">
        <v>2026</v>
      </c>
      <c r="FG1" s="5">
        <v>2026</v>
      </c>
      <c r="FJ1" s="5">
        <v>2026</v>
      </c>
      <c r="FK1" s="5">
        <v>2026</v>
      </c>
      <c r="FL1" s="5">
        <v>2026</v>
      </c>
      <c r="FM1" s="5">
        <v>2026</v>
      </c>
      <c r="FN1" s="5">
        <v>2026</v>
      </c>
      <c r="FO1" s="5">
        <v>2026</v>
      </c>
      <c r="FP1" s="5">
        <v>2026</v>
      </c>
      <c r="FQ1" s="5">
        <v>2026</v>
      </c>
      <c r="FR1" s="5">
        <v>2026</v>
      </c>
      <c r="FS1" s="5">
        <v>2026</v>
      </c>
      <c r="FT1" s="5">
        <v>2026</v>
      </c>
      <c r="FU1" s="5">
        <v>2026</v>
      </c>
      <c r="FV1" s="5">
        <v>2026</v>
      </c>
      <c r="FW1" s="5">
        <v>2026</v>
      </c>
      <c r="FX1" s="5">
        <v>2026</v>
      </c>
      <c r="FY1" s="5">
        <v>2026</v>
      </c>
      <c r="GB1" s="5">
        <v>2026</v>
      </c>
      <c r="GC1" s="5">
        <v>2026</v>
      </c>
      <c r="GD1" s="5">
        <v>2026</v>
      </c>
      <c r="GE1" s="5">
        <v>2026</v>
      </c>
      <c r="GF1" s="5">
        <v>2026</v>
      </c>
      <c r="GG1" s="5">
        <v>2026</v>
      </c>
      <c r="GH1" s="5">
        <v>2026</v>
      </c>
      <c r="GI1" s="5">
        <v>2026</v>
      </c>
      <c r="GJ1" s="5">
        <v>2026</v>
      </c>
      <c r="GK1" s="5">
        <v>2026</v>
      </c>
      <c r="GL1" s="5">
        <v>2026</v>
      </c>
      <c r="GM1" s="5">
        <v>2026</v>
      </c>
      <c r="GN1" s="5">
        <v>2026</v>
      </c>
      <c r="GO1" s="5">
        <v>2026</v>
      </c>
      <c r="GP1" s="5">
        <v>2026</v>
      </c>
      <c r="GQ1" s="5">
        <v>2026</v>
      </c>
      <c r="GT1" s="5">
        <v>2026</v>
      </c>
      <c r="GU1" s="5">
        <v>2026</v>
      </c>
      <c r="GV1" s="5">
        <v>2026</v>
      </c>
      <c r="GW1" s="5">
        <v>2026</v>
      </c>
      <c r="GX1" s="5">
        <v>2026</v>
      </c>
      <c r="GY1" s="5">
        <v>2026</v>
      </c>
      <c r="GZ1" s="5">
        <v>2026</v>
      </c>
      <c r="HA1" s="5">
        <v>2026</v>
      </c>
      <c r="HB1" s="5">
        <v>2026</v>
      </c>
      <c r="HC1" s="5">
        <v>2026</v>
      </c>
      <c r="HD1" s="5">
        <v>2026</v>
      </c>
      <c r="HE1" s="5">
        <v>2026</v>
      </c>
      <c r="HF1" s="5">
        <v>2026</v>
      </c>
      <c r="HG1" s="5">
        <v>2026</v>
      </c>
      <c r="HH1" s="5">
        <v>2026</v>
      </c>
      <c r="HI1" s="5">
        <v>2026</v>
      </c>
      <c r="HL1" s="5">
        <v>2026</v>
      </c>
      <c r="HM1" s="5">
        <v>2026</v>
      </c>
      <c r="HN1" s="5">
        <v>2026</v>
      </c>
      <c r="HO1" s="5">
        <v>2026</v>
      </c>
      <c r="HP1" s="5">
        <v>2026</v>
      </c>
      <c r="HQ1" s="5">
        <v>2026</v>
      </c>
      <c r="HR1" s="5">
        <v>2026</v>
      </c>
      <c r="HS1" s="5">
        <v>2026</v>
      </c>
      <c r="HT1" s="5">
        <v>2026</v>
      </c>
      <c r="HU1" s="5">
        <v>2026</v>
      </c>
      <c r="HV1" s="5">
        <v>2026</v>
      </c>
      <c r="HW1" s="5">
        <v>2026</v>
      </c>
      <c r="HX1" s="5">
        <v>2026</v>
      </c>
      <c r="HY1" s="5">
        <v>2026</v>
      </c>
      <c r="HZ1" s="5">
        <v>2026</v>
      </c>
      <c r="IA1" s="5">
        <v>2026</v>
      </c>
    </row>
    <row r="2" spans="1:236" s="5" customFormat="1" hidden="1" outlineLevel="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 t="s">
        <v>80</v>
      </c>
      <c r="S2" s="5" t="s">
        <v>80</v>
      </c>
      <c r="T2" s="5" t="s">
        <v>80</v>
      </c>
      <c r="V2" s="5">
        <v>1</v>
      </c>
      <c r="W2" s="5">
        <v>1</v>
      </c>
      <c r="X2" s="5">
        <f>W2</f>
        <v>1</v>
      </c>
      <c r="Y2" s="5">
        <f t="shared" ref="Y2:AK2" si="0">X2</f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>
        <f t="shared" si="0"/>
        <v>1</v>
      </c>
      <c r="AH2" s="5">
        <f t="shared" si="0"/>
        <v>1</v>
      </c>
      <c r="AI2" s="5">
        <f t="shared" si="0"/>
        <v>1</v>
      </c>
      <c r="AJ2" s="5">
        <f t="shared" si="0"/>
        <v>1</v>
      </c>
      <c r="AK2" s="5">
        <f t="shared" si="0"/>
        <v>1</v>
      </c>
      <c r="AN2" s="5">
        <f>V2+1</f>
        <v>2</v>
      </c>
      <c r="AO2" s="5">
        <f>AN2</f>
        <v>2</v>
      </c>
      <c r="AP2" s="5">
        <f t="shared" ref="AP2:BC2" si="1">AO2</f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>
        <f t="shared" si="1"/>
        <v>2</v>
      </c>
      <c r="AW2" s="5">
        <f t="shared" si="1"/>
        <v>2</v>
      </c>
      <c r="AX2" s="5">
        <f t="shared" si="1"/>
        <v>2</v>
      </c>
      <c r="AY2" s="5">
        <f t="shared" si="1"/>
        <v>2</v>
      </c>
      <c r="AZ2" s="5">
        <f t="shared" si="1"/>
        <v>2</v>
      </c>
      <c r="BA2" s="5">
        <f t="shared" si="1"/>
        <v>2</v>
      </c>
      <c r="BB2" s="5">
        <f t="shared" si="1"/>
        <v>2</v>
      </c>
      <c r="BC2" s="5">
        <f t="shared" si="1"/>
        <v>2</v>
      </c>
      <c r="BF2" s="5">
        <f>AN2+1</f>
        <v>3</v>
      </c>
      <c r="BG2" s="5">
        <f>BF2</f>
        <v>3</v>
      </c>
      <c r="BH2" s="5">
        <f t="shared" ref="BH2:BU2" si="2">BG2</f>
        <v>3</v>
      </c>
      <c r="BI2" s="5">
        <f t="shared" si="2"/>
        <v>3</v>
      </c>
      <c r="BJ2" s="5">
        <f t="shared" si="2"/>
        <v>3</v>
      </c>
      <c r="BK2" s="5">
        <f t="shared" si="2"/>
        <v>3</v>
      </c>
      <c r="BL2" s="5">
        <f t="shared" si="2"/>
        <v>3</v>
      </c>
      <c r="BM2" s="5">
        <f t="shared" si="2"/>
        <v>3</v>
      </c>
      <c r="BN2" s="5">
        <f t="shared" si="2"/>
        <v>3</v>
      </c>
      <c r="BO2" s="5">
        <f t="shared" si="2"/>
        <v>3</v>
      </c>
      <c r="BP2" s="5">
        <f t="shared" si="2"/>
        <v>3</v>
      </c>
      <c r="BQ2" s="5">
        <f t="shared" si="2"/>
        <v>3</v>
      </c>
      <c r="BR2" s="5">
        <f t="shared" si="2"/>
        <v>3</v>
      </c>
      <c r="BS2" s="5">
        <f t="shared" si="2"/>
        <v>3</v>
      </c>
      <c r="BT2" s="5">
        <f t="shared" si="2"/>
        <v>3</v>
      </c>
      <c r="BU2" s="5">
        <f t="shared" si="2"/>
        <v>3</v>
      </c>
      <c r="BX2" s="5">
        <f>BF2+1</f>
        <v>4</v>
      </c>
      <c r="BY2" s="5">
        <f>BX2</f>
        <v>4</v>
      </c>
      <c r="BZ2" s="5">
        <f t="shared" ref="BZ2:CM2" si="3">BY2</f>
        <v>4</v>
      </c>
      <c r="CA2" s="5">
        <f t="shared" si="3"/>
        <v>4</v>
      </c>
      <c r="CB2" s="5">
        <f t="shared" si="3"/>
        <v>4</v>
      </c>
      <c r="CC2" s="5">
        <f t="shared" si="3"/>
        <v>4</v>
      </c>
      <c r="CD2" s="5">
        <f t="shared" si="3"/>
        <v>4</v>
      </c>
      <c r="CE2" s="5">
        <f t="shared" si="3"/>
        <v>4</v>
      </c>
      <c r="CF2" s="5">
        <f t="shared" si="3"/>
        <v>4</v>
      </c>
      <c r="CG2" s="5">
        <f t="shared" si="3"/>
        <v>4</v>
      </c>
      <c r="CH2" s="5">
        <f t="shared" si="3"/>
        <v>4</v>
      </c>
      <c r="CI2" s="5">
        <f t="shared" si="3"/>
        <v>4</v>
      </c>
      <c r="CJ2" s="5">
        <f t="shared" si="3"/>
        <v>4</v>
      </c>
      <c r="CK2" s="5">
        <f t="shared" si="3"/>
        <v>4</v>
      </c>
      <c r="CL2" s="5">
        <f t="shared" si="3"/>
        <v>4</v>
      </c>
      <c r="CM2" s="5">
        <f t="shared" si="3"/>
        <v>4</v>
      </c>
      <c r="CP2" s="5">
        <f>BX2+1</f>
        <v>5</v>
      </c>
      <c r="CQ2" s="5">
        <f>CP2</f>
        <v>5</v>
      </c>
      <c r="CR2" s="5">
        <f t="shared" ref="CR2:DE2" si="4">CQ2</f>
        <v>5</v>
      </c>
      <c r="CS2" s="5">
        <f t="shared" si="4"/>
        <v>5</v>
      </c>
      <c r="CT2" s="5">
        <f t="shared" si="4"/>
        <v>5</v>
      </c>
      <c r="CU2" s="5">
        <f t="shared" si="4"/>
        <v>5</v>
      </c>
      <c r="CV2" s="5">
        <f t="shared" si="4"/>
        <v>5</v>
      </c>
      <c r="CW2" s="5">
        <f t="shared" si="4"/>
        <v>5</v>
      </c>
      <c r="CX2" s="5">
        <f t="shared" si="4"/>
        <v>5</v>
      </c>
      <c r="CY2" s="5">
        <f t="shared" si="4"/>
        <v>5</v>
      </c>
      <c r="CZ2" s="5">
        <f t="shared" si="4"/>
        <v>5</v>
      </c>
      <c r="DA2" s="5">
        <f t="shared" si="4"/>
        <v>5</v>
      </c>
      <c r="DB2" s="5">
        <f t="shared" si="4"/>
        <v>5</v>
      </c>
      <c r="DC2" s="5">
        <f t="shared" si="4"/>
        <v>5</v>
      </c>
      <c r="DD2" s="5">
        <f t="shared" si="4"/>
        <v>5</v>
      </c>
      <c r="DE2" s="5">
        <f t="shared" si="4"/>
        <v>5</v>
      </c>
      <c r="DH2" s="5">
        <f>CP2+1</f>
        <v>6</v>
      </c>
      <c r="DI2" s="5">
        <f>DH2</f>
        <v>6</v>
      </c>
      <c r="DJ2" s="5">
        <f t="shared" ref="DJ2:DW2" si="5">DI2</f>
        <v>6</v>
      </c>
      <c r="DK2" s="5">
        <f t="shared" si="5"/>
        <v>6</v>
      </c>
      <c r="DL2" s="5">
        <f t="shared" si="5"/>
        <v>6</v>
      </c>
      <c r="DM2" s="5">
        <f t="shared" si="5"/>
        <v>6</v>
      </c>
      <c r="DN2" s="5">
        <f t="shared" si="5"/>
        <v>6</v>
      </c>
      <c r="DO2" s="5">
        <f t="shared" si="5"/>
        <v>6</v>
      </c>
      <c r="DP2" s="5">
        <f t="shared" si="5"/>
        <v>6</v>
      </c>
      <c r="DQ2" s="5">
        <f t="shared" si="5"/>
        <v>6</v>
      </c>
      <c r="DR2" s="5">
        <f t="shared" si="5"/>
        <v>6</v>
      </c>
      <c r="DS2" s="5">
        <f t="shared" si="5"/>
        <v>6</v>
      </c>
      <c r="DT2" s="5">
        <f t="shared" si="5"/>
        <v>6</v>
      </c>
      <c r="DU2" s="5">
        <f t="shared" si="5"/>
        <v>6</v>
      </c>
      <c r="DV2" s="5">
        <f t="shared" si="5"/>
        <v>6</v>
      </c>
      <c r="DW2" s="5">
        <f t="shared" si="5"/>
        <v>6</v>
      </c>
      <c r="DZ2" s="5">
        <f>DH2+1</f>
        <v>7</v>
      </c>
      <c r="EA2" s="5">
        <f>DZ2</f>
        <v>7</v>
      </c>
      <c r="EB2" s="5">
        <f t="shared" ref="EB2:EO2" si="6">EA2</f>
        <v>7</v>
      </c>
      <c r="EC2" s="5">
        <f t="shared" si="6"/>
        <v>7</v>
      </c>
      <c r="ED2" s="5">
        <f t="shared" si="6"/>
        <v>7</v>
      </c>
      <c r="EE2" s="5">
        <f t="shared" si="6"/>
        <v>7</v>
      </c>
      <c r="EF2" s="5">
        <f t="shared" si="6"/>
        <v>7</v>
      </c>
      <c r="EG2" s="5">
        <f t="shared" si="6"/>
        <v>7</v>
      </c>
      <c r="EH2" s="5">
        <f t="shared" si="6"/>
        <v>7</v>
      </c>
      <c r="EI2" s="5">
        <f t="shared" si="6"/>
        <v>7</v>
      </c>
      <c r="EJ2" s="5">
        <f t="shared" si="6"/>
        <v>7</v>
      </c>
      <c r="EK2" s="5">
        <f t="shared" si="6"/>
        <v>7</v>
      </c>
      <c r="EL2" s="5">
        <f t="shared" si="6"/>
        <v>7</v>
      </c>
      <c r="EM2" s="5">
        <f t="shared" si="6"/>
        <v>7</v>
      </c>
      <c r="EN2" s="5">
        <f t="shared" si="6"/>
        <v>7</v>
      </c>
      <c r="EO2" s="5">
        <f t="shared" si="6"/>
        <v>7</v>
      </c>
      <c r="ER2" s="5">
        <f>DZ2+1</f>
        <v>8</v>
      </c>
      <c r="ES2" s="5">
        <f>ER2</f>
        <v>8</v>
      </c>
      <c r="ET2" s="5">
        <f t="shared" ref="ET2:FG2" si="7">ES2</f>
        <v>8</v>
      </c>
      <c r="EU2" s="5">
        <f t="shared" si="7"/>
        <v>8</v>
      </c>
      <c r="EV2" s="5">
        <f t="shared" si="7"/>
        <v>8</v>
      </c>
      <c r="EW2" s="5">
        <f t="shared" si="7"/>
        <v>8</v>
      </c>
      <c r="EX2" s="5">
        <f t="shared" si="7"/>
        <v>8</v>
      </c>
      <c r="EY2" s="5">
        <f t="shared" si="7"/>
        <v>8</v>
      </c>
      <c r="EZ2" s="5">
        <f t="shared" si="7"/>
        <v>8</v>
      </c>
      <c r="FA2" s="5">
        <f t="shared" si="7"/>
        <v>8</v>
      </c>
      <c r="FB2" s="5">
        <f t="shared" si="7"/>
        <v>8</v>
      </c>
      <c r="FC2" s="5">
        <f t="shared" si="7"/>
        <v>8</v>
      </c>
      <c r="FD2" s="5">
        <f t="shared" si="7"/>
        <v>8</v>
      </c>
      <c r="FE2" s="5">
        <f t="shared" si="7"/>
        <v>8</v>
      </c>
      <c r="FF2" s="5">
        <f t="shared" si="7"/>
        <v>8</v>
      </c>
      <c r="FG2" s="5">
        <f t="shared" si="7"/>
        <v>8</v>
      </c>
      <c r="FJ2" s="5">
        <f>ER2+1</f>
        <v>9</v>
      </c>
      <c r="FK2" s="5">
        <f>FJ2</f>
        <v>9</v>
      </c>
      <c r="FL2" s="5">
        <f t="shared" ref="FL2:FY2" si="8">FK2</f>
        <v>9</v>
      </c>
      <c r="FM2" s="5">
        <f t="shared" si="8"/>
        <v>9</v>
      </c>
      <c r="FN2" s="5">
        <f t="shared" si="8"/>
        <v>9</v>
      </c>
      <c r="FO2" s="5">
        <f t="shared" si="8"/>
        <v>9</v>
      </c>
      <c r="FP2" s="5">
        <f t="shared" si="8"/>
        <v>9</v>
      </c>
      <c r="FQ2" s="5">
        <f t="shared" si="8"/>
        <v>9</v>
      </c>
      <c r="FR2" s="5">
        <f t="shared" si="8"/>
        <v>9</v>
      </c>
      <c r="FS2" s="5">
        <f t="shared" si="8"/>
        <v>9</v>
      </c>
      <c r="FT2" s="5">
        <f t="shared" si="8"/>
        <v>9</v>
      </c>
      <c r="FU2" s="5">
        <f t="shared" si="8"/>
        <v>9</v>
      </c>
      <c r="FV2" s="5">
        <f t="shared" si="8"/>
        <v>9</v>
      </c>
      <c r="FW2" s="5">
        <f t="shared" si="8"/>
        <v>9</v>
      </c>
      <c r="FX2" s="5">
        <f t="shared" si="8"/>
        <v>9</v>
      </c>
      <c r="FY2" s="5">
        <f t="shared" si="8"/>
        <v>9</v>
      </c>
      <c r="GB2" s="5">
        <f>FJ2+1</f>
        <v>10</v>
      </c>
      <c r="GC2" s="5">
        <f>GB2</f>
        <v>10</v>
      </c>
      <c r="GD2" s="5">
        <f t="shared" ref="GD2:GQ2" si="9">GC2</f>
        <v>10</v>
      </c>
      <c r="GE2" s="5">
        <f t="shared" si="9"/>
        <v>10</v>
      </c>
      <c r="GF2" s="5">
        <f t="shared" si="9"/>
        <v>10</v>
      </c>
      <c r="GG2" s="5">
        <f t="shared" si="9"/>
        <v>10</v>
      </c>
      <c r="GH2" s="5">
        <f t="shared" si="9"/>
        <v>10</v>
      </c>
      <c r="GI2" s="5">
        <f t="shared" si="9"/>
        <v>10</v>
      </c>
      <c r="GJ2" s="5">
        <f t="shared" si="9"/>
        <v>10</v>
      </c>
      <c r="GK2" s="5">
        <f t="shared" si="9"/>
        <v>10</v>
      </c>
      <c r="GL2" s="5">
        <f t="shared" si="9"/>
        <v>10</v>
      </c>
      <c r="GM2" s="5">
        <f t="shared" si="9"/>
        <v>10</v>
      </c>
      <c r="GN2" s="5">
        <f t="shared" si="9"/>
        <v>10</v>
      </c>
      <c r="GO2" s="5">
        <f t="shared" si="9"/>
        <v>10</v>
      </c>
      <c r="GP2" s="5">
        <f t="shared" si="9"/>
        <v>10</v>
      </c>
      <c r="GQ2" s="5">
        <f t="shared" si="9"/>
        <v>10</v>
      </c>
      <c r="GT2" s="5">
        <f>GB2+1</f>
        <v>11</v>
      </c>
      <c r="GU2" s="5">
        <f>GT2</f>
        <v>11</v>
      </c>
      <c r="GV2" s="5">
        <f t="shared" ref="GV2:HI2" si="10">GU2</f>
        <v>11</v>
      </c>
      <c r="GW2" s="5">
        <f t="shared" si="10"/>
        <v>11</v>
      </c>
      <c r="GX2" s="5">
        <f t="shared" si="10"/>
        <v>11</v>
      </c>
      <c r="GY2" s="5">
        <f t="shared" si="10"/>
        <v>11</v>
      </c>
      <c r="GZ2" s="5">
        <f t="shared" si="10"/>
        <v>11</v>
      </c>
      <c r="HA2" s="5">
        <f t="shared" si="10"/>
        <v>11</v>
      </c>
      <c r="HB2" s="5">
        <f t="shared" si="10"/>
        <v>11</v>
      </c>
      <c r="HC2" s="5">
        <f t="shared" si="10"/>
        <v>11</v>
      </c>
      <c r="HD2" s="5">
        <f t="shared" si="10"/>
        <v>11</v>
      </c>
      <c r="HE2" s="5">
        <f t="shared" si="10"/>
        <v>11</v>
      </c>
      <c r="HF2" s="5">
        <f t="shared" si="10"/>
        <v>11</v>
      </c>
      <c r="HG2" s="5">
        <f t="shared" si="10"/>
        <v>11</v>
      </c>
      <c r="HH2" s="5">
        <f t="shared" si="10"/>
        <v>11</v>
      </c>
      <c r="HI2" s="5">
        <f t="shared" si="10"/>
        <v>11</v>
      </c>
      <c r="HL2" s="5">
        <f>GT2+1</f>
        <v>12</v>
      </c>
      <c r="HM2" s="5">
        <f>HL2</f>
        <v>12</v>
      </c>
      <c r="HN2" s="5">
        <f t="shared" ref="HN2:IA2" si="11">HM2</f>
        <v>12</v>
      </c>
      <c r="HO2" s="5">
        <f t="shared" si="11"/>
        <v>12</v>
      </c>
      <c r="HP2" s="5">
        <f t="shared" si="11"/>
        <v>12</v>
      </c>
      <c r="HQ2" s="5">
        <f t="shared" si="11"/>
        <v>12</v>
      </c>
      <c r="HR2" s="5">
        <f t="shared" si="11"/>
        <v>12</v>
      </c>
      <c r="HS2" s="5">
        <f t="shared" si="11"/>
        <v>12</v>
      </c>
      <c r="HT2" s="5">
        <f t="shared" si="11"/>
        <v>12</v>
      </c>
      <c r="HU2" s="5">
        <f t="shared" si="11"/>
        <v>12</v>
      </c>
      <c r="HV2" s="5">
        <f t="shared" si="11"/>
        <v>12</v>
      </c>
      <c r="HW2" s="5">
        <f t="shared" si="11"/>
        <v>12</v>
      </c>
      <c r="HX2" s="5">
        <f t="shared" si="11"/>
        <v>12</v>
      </c>
      <c r="HY2" s="5">
        <f t="shared" si="11"/>
        <v>12</v>
      </c>
      <c r="HZ2" s="5">
        <f t="shared" si="11"/>
        <v>12</v>
      </c>
      <c r="IA2" s="5">
        <f t="shared" si="11"/>
        <v>12</v>
      </c>
    </row>
    <row r="3" spans="1:236" s="5" customFormat="1" hidden="1" outlineLevel="1" x14ac:dyDescent="0.35">
      <c r="E3" s="5" t="s">
        <v>68</v>
      </c>
      <c r="F3" s="5" t="s">
        <v>69</v>
      </c>
      <c r="G3" s="5" t="s">
        <v>70</v>
      </c>
      <c r="H3" s="5" t="s">
        <v>67</v>
      </c>
      <c r="I3" s="5" t="s">
        <v>71</v>
      </c>
      <c r="J3" s="5" t="s">
        <v>148</v>
      </c>
      <c r="K3" s="5" t="s">
        <v>147</v>
      </c>
      <c r="L3" s="5" t="s">
        <v>149</v>
      </c>
      <c r="M3" s="5" t="s">
        <v>72</v>
      </c>
      <c r="N3" s="5" t="s">
        <v>73</v>
      </c>
      <c r="O3" s="5" t="s">
        <v>74</v>
      </c>
      <c r="P3" s="5" t="s">
        <v>75</v>
      </c>
      <c r="Q3" s="5" t="s">
        <v>150</v>
      </c>
      <c r="R3" s="5" t="s">
        <v>146</v>
      </c>
      <c r="S3" s="5" t="s">
        <v>76</v>
      </c>
      <c r="W3" s="5" t="s">
        <v>68</v>
      </c>
      <c r="X3" s="5" t="s">
        <v>69</v>
      </c>
      <c r="Y3" s="5" t="s">
        <v>70</v>
      </c>
      <c r="Z3" s="5" t="s">
        <v>67</v>
      </c>
      <c r="AA3" s="5" t="s">
        <v>71</v>
      </c>
      <c r="AB3" s="5" t="s">
        <v>148</v>
      </c>
      <c r="AC3" s="5" t="s">
        <v>147</v>
      </c>
      <c r="AD3" s="5" t="s">
        <v>149</v>
      </c>
      <c r="AE3" s="5" t="s">
        <v>72</v>
      </c>
      <c r="AF3" s="5" t="s">
        <v>73</v>
      </c>
      <c r="AG3" s="5" t="s">
        <v>74</v>
      </c>
      <c r="AH3" s="5" t="s">
        <v>75</v>
      </c>
      <c r="AI3" s="5" t="s">
        <v>150</v>
      </c>
      <c r="AJ3" s="5" t="s">
        <v>146</v>
      </c>
      <c r="AK3" s="5" t="s">
        <v>76</v>
      </c>
      <c r="AO3" s="5" t="s">
        <v>68</v>
      </c>
      <c r="AP3" s="5" t="s">
        <v>69</v>
      </c>
      <c r="AQ3" s="5" t="s">
        <v>70</v>
      </c>
      <c r="AR3" s="5" t="s">
        <v>67</v>
      </c>
      <c r="AS3" s="5" t="s">
        <v>71</v>
      </c>
      <c r="AT3" s="5" t="s">
        <v>148</v>
      </c>
      <c r="AU3" s="5" t="s">
        <v>147</v>
      </c>
      <c r="AV3" s="5" t="s">
        <v>149</v>
      </c>
      <c r="AW3" s="5" t="s">
        <v>72</v>
      </c>
      <c r="AX3" s="5" t="s">
        <v>73</v>
      </c>
      <c r="AY3" s="5" t="s">
        <v>74</v>
      </c>
      <c r="AZ3" s="5" t="s">
        <v>75</v>
      </c>
      <c r="BA3" s="5" t="s">
        <v>150</v>
      </c>
      <c r="BB3" s="5" t="s">
        <v>146</v>
      </c>
      <c r="BC3" s="5" t="s">
        <v>76</v>
      </c>
      <c r="BG3" s="5" t="s">
        <v>68</v>
      </c>
      <c r="BH3" s="5" t="s">
        <v>69</v>
      </c>
      <c r="BI3" s="5" t="s">
        <v>70</v>
      </c>
      <c r="BJ3" s="5" t="s">
        <v>67</v>
      </c>
      <c r="BK3" s="5" t="s">
        <v>71</v>
      </c>
      <c r="BL3" s="5" t="s">
        <v>148</v>
      </c>
      <c r="BM3" s="5" t="s">
        <v>147</v>
      </c>
      <c r="BN3" s="5" t="s">
        <v>149</v>
      </c>
      <c r="BO3" s="5" t="s">
        <v>72</v>
      </c>
      <c r="BP3" s="5" t="s">
        <v>73</v>
      </c>
      <c r="BQ3" s="5" t="s">
        <v>74</v>
      </c>
      <c r="BR3" s="5" t="s">
        <v>75</v>
      </c>
      <c r="BS3" s="5" t="s">
        <v>150</v>
      </c>
      <c r="BT3" s="5" t="s">
        <v>146</v>
      </c>
      <c r="BU3" s="5" t="s">
        <v>76</v>
      </c>
      <c r="BY3" s="5" t="s">
        <v>68</v>
      </c>
      <c r="BZ3" s="5" t="s">
        <v>69</v>
      </c>
      <c r="CA3" s="5" t="s">
        <v>70</v>
      </c>
      <c r="CB3" s="5" t="s">
        <v>67</v>
      </c>
      <c r="CC3" s="5" t="s">
        <v>71</v>
      </c>
      <c r="CD3" s="5" t="s">
        <v>148</v>
      </c>
      <c r="CE3" s="5" t="s">
        <v>147</v>
      </c>
      <c r="CF3" s="5" t="s">
        <v>149</v>
      </c>
      <c r="CG3" s="5" t="s">
        <v>72</v>
      </c>
      <c r="CH3" s="5" t="s">
        <v>73</v>
      </c>
      <c r="CI3" s="5" t="s">
        <v>74</v>
      </c>
      <c r="CJ3" s="5" t="s">
        <v>75</v>
      </c>
      <c r="CK3" s="5" t="s">
        <v>150</v>
      </c>
      <c r="CL3" s="5" t="s">
        <v>146</v>
      </c>
      <c r="CM3" s="5" t="s">
        <v>76</v>
      </c>
      <c r="CQ3" s="5" t="s">
        <v>68</v>
      </c>
      <c r="CR3" s="5" t="s">
        <v>69</v>
      </c>
      <c r="CS3" s="5" t="s">
        <v>70</v>
      </c>
      <c r="CT3" s="5" t="s">
        <v>67</v>
      </c>
      <c r="CU3" s="5" t="s">
        <v>71</v>
      </c>
      <c r="CV3" s="5" t="s">
        <v>148</v>
      </c>
      <c r="CW3" s="5" t="s">
        <v>147</v>
      </c>
      <c r="CX3" s="5" t="s">
        <v>149</v>
      </c>
      <c r="CY3" s="5" t="s">
        <v>72</v>
      </c>
      <c r="CZ3" s="5" t="s">
        <v>73</v>
      </c>
      <c r="DA3" s="5" t="s">
        <v>74</v>
      </c>
      <c r="DB3" s="5" t="s">
        <v>75</v>
      </c>
      <c r="DC3" s="5" t="s">
        <v>150</v>
      </c>
      <c r="DD3" s="5" t="s">
        <v>146</v>
      </c>
      <c r="DE3" s="5" t="s">
        <v>76</v>
      </c>
      <c r="DI3" s="5" t="s">
        <v>68</v>
      </c>
      <c r="DJ3" s="5" t="s">
        <v>69</v>
      </c>
      <c r="DK3" s="5" t="s">
        <v>70</v>
      </c>
      <c r="DL3" s="5" t="s">
        <v>67</v>
      </c>
      <c r="DM3" s="5" t="s">
        <v>71</v>
      </c>
      <c r="DN3" s="5" t="s">
        <v>148</v>
      </c>
      <c r="DO3" s="5" t="s">
        <v>147</v>
      </c>
      <c r="DP3" s="5" t="s">
        <v>149</v>
      </c>
      <c r="DQ3" s="5" t="s">
        <v>72</v>
      </c>
      <c r="DR3" s="5" t="s">
        <v>73</v>
      </c>
      <c r="DS3" s="5" t="s">
        <v>74</v>
      </c>
      <c r="DT3" s="5" t="s">
        <v>75</v>
      </c>
      <c r="DU3" s="5" t="s">
        <v>150</v>
      </c>
      <c r="DV3" s="5" t="s">
        <v>146</v>
      </c>
      <c r="DW3" s="5" t="s">
        <v>76</v>
      </c>
      <c r="EA3" s="5" t="s">
        <v>68</v>
      </c>
      <c r="EB3" s="5" t="s">
        <v>69</v>
      </c>
      <c r="EC3" s="5" t="s">
        <v>70</v>
      </c>
      <c r="ED3" s="5" t="s">
        <v>67</v>
      </c>
      <c r="EE3" s="5" t="s">
        <v>71</v>
      </c>
      <c r="EF3" s="5" t="s">
        <v>148</v>
      </c>
      <c r="EG3" s="5" t="s">
        <v>147</v>
      </c>
      <c r="EH3" s="5" t="s">
        <v>149</v>
      </c>
      <c r="EI3" s="5" t="s">
        <v>72</v>
      </c>
      <c r="EJ3" s="5" t="s">
        <v>73</v>
      </c>
      <c r="EK3" s="5" t="s">
        <v>74</v>
      </c>
      <c r="EL3" s="5" t="s">
        <v>75</v>
      </c>
      <c r="EM3" s="5" t="s">
        <v>150</v>
      </c>
      <c r="EN3" s="5" t="s">
        <v>146</v>
      </c>
      <c r="EO3" s="5" t="s">
        <v>76</v>
      </c>
      <c r="ES3" s="5" t="s">
        <v>68</v>
      </c>
      <c r="ET3" s="5" t="s">
        <v>69</v>
      </c>
      <c r="EU3" s="5" t="s">
        <v>70</v>
      </c>
      <c r="EV3" s="5" t="s">
        <v>67</v>
      </c>
      <c r="EW3" s="5" t="s">
        <v>71</v>
      </c>
      <c r="EX3" s="5" t="s">
        <v>148</v>
      </c>
      <c r="EY3" s="5" t="s">
        <v>147</v>
      </c>
      <c r="EZ3" s="5" t="s">
        <v>149</v>
      </c>
      <c r="FA3" s="5" t="s">
        <v>72</v>
      </c>
      <c r="FB3" s="5" t="s">
        <v>73</v>
      </c>
      <c r="FC3" s="5" t="s">
        <v>74</v>
      </c>
      <c r="FD3" s="5" t="s">
        <v>75</v>
      </c>
      <c r="FE3" s="5" t="s">
        <v>150</v>
      </c>
      <c r="FF3" s="5" t="s">
        <v>146</v>
      </c>
      <c r="FG3" s="5" t="s">
        <v>76</v>
      </c>
      <c r="FK3" s="5" t="s">
        <v>68</v>
      </c>
      <c r="FL3" s="5" t="s">
        <v>69</v>
      </c>
      <c r="FM3" s="5" t="s">
        <v>70</v>
      </c>
      <c r="FN3" s="5" t="s">
        <v>67</v>
      </c>
      <c r="FO3" s="5" t="s">
        <v>71</v>
      </c>
      <c r="FP3" s="5" t="s">
        <v>148</v>
      </c>
      <c r="FQ3" s="5" t="s">
        <v>147</v>
      </c>
      <c r="FR3" s="5" t="s">
        <v>149</v>
      </c>
      <c r="FS3" s="5" t="s">
        <v>72</v>
      </c>
      <c r="FT3" s="5" t="s">
        <v>73</v>
      </c>
      <c r="FU3" s="5" t="s">
        <v>74</v>
      </c>
      <c r="FV3" s="5" t="s">
        <v>75</v>
      </c>
      <c r="FW3" s="5" t="s">
        <v>150</v>
      </c>
      <c r="FX3" s="5" t="s">
        <v>146</v>
      </c>
      <c r="FY3" s="5" t="s">
        <v>76</v>
      </c>
      <c r="GC3" s="5" t="s">
        <v>68</v>
      </c>
      <c r="GD3" s="5" t="s">
        <v>69</v>
      </c>
      <c r="GE3" s="5" t="s">
        <v>70</v>
      </c>
      <c r="GF3" s="5" t="s">
        <v>67</v>
      </c>
      <c r="GG3" s="5" t="s">
        <v>71</v>
      </c>
      <c r="GH3" s="5" t="s">
        <v>148</v>
      </c>
      <c r="GI3" s="5" t="s">
        <v>147</v>
      </c>
      <c r="GJ3" s="5" t="s">
        <v>149</v>
      </c>
      <c r="GK3" s="5" t="s">
        <v>72</v>
      </c>
      <c r="GL3" s="5" t="s">
        <v>73</v>
      </c>
      <c r="GM3" s="5" t="s">
        <v>74</v>
      </c>
      <c r="GN3" s="5" t="s">
        <v>75</v>
      </c>
      <c r="GO3" s="5" t="s">
        <v>150</v>
      </c>
      <c r="GP3" s="5" t="s">
        <v>146</v>
      </c>
      <c r="GQ3" s="5" t="s">
        <v>76</v>
      </c>
      <c r="GU3" s="5" t="s">
        <v>68</v>
      </c>
      <c r="GV3" s="5" t="s">
        <v>69</v>
      </c>
      <c r="GW3" s="5" t="s">
        <v>70</v>
      </c>
      <c r="GX3" s="5" t="s">
        <v>67</v>
      </c>
      <c r="GY3" s="5" t="s">
        <v>71</v>
      </c>
      <c r="GZ3" s="5" t="s">
        <v>148</v>
      </c>
      <c r="HA3" s="5" t="s">
        <v>147</v>
      </c>
      <c r="HB3" s="5" t="s">
        <v>149</v>
      </c>
      <c r="HC3" s="5" t="s">
        <v>72</v>
      </c>
      <c r="HD3" s="5" t="s">
        <v>73</v>
      </c>
      <c r="HE3" s="5" t="s">
        <v>74</v>
      </c>
      <c r="HF3" s="5" t="s">
        <v>75</v>
      </c>
      <c r="HG3" s="5" t="s">
        <v>150</v>
      </c>
      <c r="HH3" s="5" t="s">
        <v>146</v>
      </c>
      <c r="HI3" s="5" t="s">
        <v>76</v>
      </c>
      <c r="HM3" s="5" t="s">
        <v>68</v>
      </c>
      <c r="HN3" s="5" t="s">
        <v>69</v>
      </c>
      <c r="HO3" s="5" t="s">
        <v>70</v>
      </c>
      <c r="HP3" s="5" t="s">
        <v>67</v>
      </c>
      <c r="HQ3" s="5" t="s">
        <v>71</v>
      </c>
      <c r="HR3" s="5" t="s">
        <v>148</v>
      </c>
      <c r="HS3" s="5" t="s">
        <v>147</v>
      </c>
      <c r="HT3" s="5" t="s">
        <v>149</v>
      </c>
      <c r="HU3" s="5" t="s">
        <v>72</v>
      </c>
      <c r="HV3" s="5" t="s">
        <v>73</v>
      </c>
      <c r="HW3" s="5" t="s">
        <v>74</v>
      </c>
      <c r="HX3" s="5" t="s">
        <v>75</v>
      </c>
      <c r="HY3" s="5" t="s">
        <v>150</v>
      </c>
      <c r="HZ3" s="5" t="s">
        <v>146</v>
      </c>
      <c r="IA3" s="5" t="s">
        <v>76</v>
      </c>
    </row>
    <row r="4" spans="1:236" collapsed="1" x14ac:dyDescent="0.35">
      <c r="B4" s="54" t="s">
        <v>79</v>
      </c>
      <c r="D4" s="56" t="s">
        <v>156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V4" s="53" t="str">
        <f>"THÁNG "&amp;W2&amp;"-THU HỒI"</f>
        <v>THÁNG 1-THU HỒI</v>
      </c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N4" s="53" t="str">
        <f>"THÁNG "&amp;AO2&amp;"-THU HỒI"</f>
        <v>THÁNG 2-THU HỒI</v>
      </c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F4" s="53" t="str">
        <f>"THÁNG "&amp;BG2&amp;"-THU HỒI"</f>
        <v>THÁNG 3-THU HỒI</v>
      </c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X4" s="53" t="str">
        <f>"THÁNG "&amp;BY2&amp;"-THU HỒI"</f>
        <v>THÁNG 4-THU HỒI</v>
      </c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P4" s="53" t="str">
        <f>"THÁNG "&amp;CQ2&amp;"-THU HỒI"</f>
        <v>THÁNG 5-THU HỒI</v>
      </c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H4" s="53" t="str">
        <f>"THÁNG "&amp;DI2&amp;"-THU HỒI"</f>
        <v>THÁNG 6-THU HỒI</v>
      </c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Z4" s="53" t="str">
        <f>"THÁNG "&amp;EA2&amp;"-THU HỒI"</f>
        <v>THÁNG 7-THU HỒI</v>
      </c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R4" s="53" t="str">
        <f>"THÁNG "&amp;ES2&amp;"-THU HỒI"</f>
        <v>THÁNG 8-THU HỒI</v>
      </c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J4" s="53" t="str">
        <f>"THÁNG "&amp;FK2&amp;"-THU HỒI"</f>
        <v>THÁNG 9-THU HỒI</v>
      </c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B4" s="53" t="str">
        <f>"THÁNG "&amp;GC2&amp;"-THU HỒI"</f>
        <v>THÁNG 10-THU HỒI</v>
      </c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T4" s="53" t="str">
        <f>"THÁNG "&amp;GU2&amp;"-THU HỒI"</f>
        <v>THÁNG 11-THU HỒI</v>
      </c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L4" s="53" t="str">
        <f>"THÁNG "&amp;HM2&amp;"-THU HỒI"</f>
        <v>THÁNG 12-THU HỒI</v>
      </c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</row>
    <row r="5" spans="1:236" x14ac:dyDescent="0.35">
      <c r="B5" s="55"/>
      <c r="D5" s="9" t="s">
        <v>155</v>
      </c>
      <c r="E5" s="31" t="s">
        <v>68</v>
      </c>
      <c r="F5" s="31" t="s">
        <v>69</v>
      </c>
      <c r="G5" s="31" t="s">
        <v>70</v>
      </c>
      <c r="H5" s="31" t="s">
        <v>67</v>
      </c>
      <c r="I5" s="31" t="s">
        <v>71</v>
      </c>
      <c r="J5" s="31" t="s">
        <v>148</v>
      </c>
      <c r="K5" s="31" t="s">
        <v>147</v>
      </c>
      <c r="L5" s="31" t="s">
        <v>149</v>
      </c>
      <c r="M5" s="31" t="s">
        <v>72</v>
      </c>
      <c r="N5" s="31" t="s">
        <v>73</v>
      </c>
      <c r="O5" s="31" t="s">
        <v>74</v>
      </c>
      <c r="P5" s="31" t="s">
        <v>75</v>
      </c>
      <c r="Q5" s="31" t="s">
        <v>150</v>
      </c>
      <c r="R5" s="31" t="s">
        <v>146</v>
      </c>
      <c r="S5" s="31" t="s">
        <v>76</v>
      </c>
      <c r="T5" s="9" t="s">
        <v>154</v>
      </c>
      <c r="V5" s="10" t="s">
        <v>155</v>
      </c>
      <c r="W5" s="32" t="s">
        <v>68</v>
      </c>
      <c r="X5" s="32" t="s">
        <v>69</v>
      </c>
      <c r="Y5" s="32" t="s">
        <v>70</v>
      </c>
      <c r="Z5" s="32" t="s">
        <v>67</v>
      </c>
      <c r="AA5" s="32" t="s">
        <v>71</v>
      </c>
      <c r="AB5" s="32" t="s">
        <v>148</v>
      </c>
      <c r="AC5" s="32" t="s">
        <v>147</v>
      </c>
      <c r="AD5" s="32" t="s">
        <v>149</v>
      </c>
      <c r="AE5" s="32" t="s">
        <v>72</v>
      </c>
      <c r="AF5" s="32" t="s">
        <v>73</v>
      </c>
      <c r="AG5" s="32" t="s">
        <v>74</v>
      </c>
      <c r="AH5" s="32" t="s">
        <v>75</v>
      </c>
      <c r="AI5" s="32" t="s">
        <v>150</v>
      </c>
      <c r="AJ5" s="32" t="s">
        <v>146</v>
      </c>
      <c r="AK5" s="32" t="s">
        <v>76</v>
      </c>
      <c r="AL5" s="10" t="s">
        <v>154</v>
      </c>
      <c r="AN5" s="10" t="s">
        <v>155</v>
      </c>
      <c r="AO5" s="32" t="s">
        <v>68</v>
      </c>
      <c r="AP5" s="32" t="s">
        <v>69</v>
      </c>
      <c r="AQ5" s="32" t="s">
        <v>70</v>
      </c>
      <c r="AR5" s="32" t="s">
        <v>67</v>
      </c>
      <c r="AS5" s="32" t="s">
        <v>71</v>
      </c>
      <c r="AT5" s="32" t="s">
        <v>148</v>
      </c>
      <c r="AU5" s="32" t="s">
        <v>147</v>
      </c>
      <c r="AV5" s="32" t="s">
        <v>149</v>
      </c>
      <c r="AW5" s="32" t="s">
        <v>72</v>
      </c>
      <c r="AX5" s="32" t="s">
        <v>73</v>
      </c>
      <c r="AY5" s="32" t="s">
        <v>74</v>
      </c>
      <c r="AZ5" s="32" t="s">
        <v>75</v>
      </c>
      <c r="BA5" s="32" t="s">
        <v>150</v>
      </c>
      <c r="BB5" s="32" t="s">
        <v>146</v>
      </c>
      <c r="BC5" s="32" t="s">
        <v>76</v>
      </c>
      <c r="BD5" s="10" t="s">
        <v>154</v>
      </c>
      <c r="BF5" s="10" t="s">
        <v>155</v>
      </c>
      <c r="BG5" s="32" t="s">
        <v>68</v>
      </c>
      <c r="BH5" s="32" t="s">
        <v>69</v>
      </c>
      <c r="BI5" s="32" t="s">
        <v>70</v>
      </c>
      <c r="BJ5" s="32" t="s">
        <v>67</v>
      </c>
      <c r="BK5" s="32" t="s">
        <v>71</v>
      </c>
      <c r="BL5" s="32" t="s">
        <v>148</v>
      </c>
      <c r="BM5" s="32" t="s">
        <v>147</v>
      </c>
      <c r="BN5" s="32" t="s">
        <v>149</v>
      </c>
      <c r="BO5" s="32" t="s">
        <v>72</v>
      </c>
      <c r="BP5" s="32" t="s">
        <v>73</v>
      </c>
      <c r="BQ5" s="32" t="s">
        <v>74</v>
      </c>
      <c r="BR5" s="32" t="s">
        <v>75</v>
      </c>
      <c r="BS5" s="32" t="s">
        <v>150</v>
      </c>
      <c r="BT5" s="32" t="s">
        <v>146</v>
      </c>
      <c r="BU5" s="32" t="s">
        <v>76</v>
      </c>
      <c r="BV5" s="10" t="s">
        <v>154</v>
      </c>
      <c r="BX5" s="10" t="s">
        <v>155</v>
      </c>
      <c r="BY5" s="32" t="s">
        <v>68</v>
      </c>
      <c r="BZ5" s="32" t="s">
        <v>69</v>
      </c>
      <c r="CA5" s="32" t="s">
        <v>70</v>
      </c>
      <c r="CB5" s="32" t="s">
        <v>67</v>
      </c>
      <c r="CC5" s="32" t="s">
        <v>71</v>
      </c>
      <c r="CD5" s="32" t="s">
        <v>148</v>
      </c>
      <c r="CE5" s="32" t="s">
        <v>147</v>
      </c>
      <c r="CF5" s="32" t="s">
        <v>149</v>
      </c>
      <c r="CG5" s="32" t="s">
        <v>72</v>
      </c>
      <c r="CH5" s="32" t="s">
        <v>73</v>
      </c>
      <c r="CI5" s="32" t="s">
        <v>74</v>
      </c>
      <c r="CJ5" s="32" t="s">
        <v>75</v>
      </c>
      <c r="CK5" s="32" t="s">
        <v>150</v>
      </c>
      <c r="CL5" s="32" t="s">
        <v>146</v>
      </c>
      <c r="CM5" s="32" t="s">
        <v>76</v>
      </c>
      <c r="CN5" s="10" t="s">
        <v>154</v>
      </c>
      <c r="CP5" s="10" t="s">
        <v>155</v>
      </c>
      <c r="CQ5" s="32" t="s">
        <v>68</v>
      </c>
      <c r="CR5" s="32" t="s">
        <v>69</v>
      </c>
      <c r="CS5" s="32" t="s">
        <v>70</v>
      </c>
      <c r="CT5" s="32" t="s">
        <v>67</v>
      </c>
      <c r="CU5" s="32" t="s">
        <v>71</v>
      </c>
      <c r="CV5" s="32" t="s">
        <v>148</v>
      </c>
      <c r="CW5" s="32" t="s">
        <v>147</v>
      </c>
      <c r="CX5" s="32" t="s">
        <v>149</v>
      </c>
      <c r="CY5" s="32" t="s">
        <v>72</v>
      </c>
      <c r="CZ5" s="32" t="s">
        <v>73</v>
      </c>
      <c r="DA5" s="32" t="s">
        <v>74</v>
      </c>
      <c r="DB5" s="32" t="s">
        <v>75</v>
      </c>
      <c r="DC5" s="32" t="s">
        <v>150</v>
      </c>
      <c r="DD5" s="32" t="s">
        <v>146</v>
      </c>
      <c r="DE5" s="32" t="s">
        <v>76</v>
      </c>
      <c r="DF5" s="10" t="s">
        <v>154</v>
      </c>
      <c r="DH5" s="10" t="s">
        <v>155</v>
      </c>
      <c r="DI5" s="32" t="s">
        <v>68</v>
      </c>
      <c r="DJ5" s="32" t="s">
        <v>69</v>
      </c>
      <c r="DK5" s="32" t="s">
        <v>70</v>
      </c>
      <c r="DL5" s="32" t="s">
        <v>67</v>
      </c>
      <c r="DM5" s="32" t="s">
        <v>71</v>
      </c>
      <c r="DN5" s="32" t="s">
        <v>148</v>
      </c>
      <c r="DO5" s="32" t="s">
        <v>147</v>
      </c>
      <c r="DP5" s="32" t="s">
        <v>149</v>
      </c>
      <c r="DQ5" s="32" t="s">
        <v>72</v>
      </c>
      <c r="DR5" s="32" t="s">
        <v>73</v>
      </c>
      <c r="DS5" s="32" t="s">
        <v>74</v>
      </c>
      <c r="DT5" s="32" t="s">
        <v>75</v>
      </c>
      <c r="DU5" s="32" t="s">
        <v>150</v>
      </c>
      <c r="DV5" s="32" t="s">
        <v>146</v>
      </c>
      <c r="DW5" s="32" t="s">
        <v>76</v>
      </c>
      <c r="DX5" s="10" t="s">
        <v>154</v>
      </c>
      <c r="DZ5" s="10" t="s">
        <v>155</v>
      </c>
      <c r="EA5" s="32" t="s">
        <v>68</v>
      </c>
      <c r="EB5" s="32" t="s">
        <v>69</v>
      </c>
      <c r="EC5" s="32" t="s">
        <v>70</v>
      </c>
      <c r="ED5" s="32" t="s">
        <v>67</v>
      </c>
      <c r="EE5" s="32" t="s">
        <v>71</v>
      </c>
      <c r="EF5" s="32" t="s">
        <v>148</v>
      </c>
      <c r="EG5" s="32" t="s">
        <v>147</v>
      </c>
      <c r="EH5" s="32" t="s">
        <v>149</v>
      </c>
      <c r="EI5" s="32" t="s">
        <v>72</v>
      </c>
      <c r="EJ5" s="32" t="s">
        <v>73</v>
      </c>
      <c r="EK5" s="32" t="s">
        <v>74</v>
      </c>
      <c r="EL5" s="32" t="s">
        <v>75</v>
      </c>
      <c r="EM5" s="32" t="s">
        <v>150</v>
      </c>
      <c r="EN5" s="32" t="s">
        <v>146</v>
      </c>
      <c r="EO5" s="32" t="s">
        <v>76</v>
      </c>
      <c r="EP5" s="10" t="s">
        <v>154</v>
      </c>
      <c r="ER5" s="10" t="s">
        <v>155</v>
      </c>
      <c r="ES5" s="32" t="s">
        <v>68</v>
      </c>
      <c r="ET5" s="32" t="s">
        <v>69</v>
      </c>
      <c r="EU5" s="32" t="s">
        <v>70</v>
      </c>
      <c r="EV5" s="32" t="s">
        <v>67</v>
      </c>
      <c r="EW5" s="32" t="s">
        <v>71</v>
      </c>
      <c r="EX5" s="32" t="s">
        <v>148</v>
      </c>
      <c r="EY5" s="32" t="s">
        <v>147</v>
      </c>
      <c r="EZ5" s="32" t="s">
        <v>149</v>
      </c>
      <c r="FA5" s="32" t="s">
        <v>72</v>
      </c>
      <c r="FB5" s="32" t="s">
        <v>73</v>
      </c>
      <c r="FC5" s="32" t="s">
        <v>74</v>
      </c>
      <c r="FD5" s="32" t="s">
        <v>75</v>
      </c>
      <c r="FE5" s="32" t="s">
        <v>150</v>
      </c>
      <c r="FF5" s="32" t="s">
        <v>146</v>
      </c>
      <c r="FG5" s="32" t="s">
        <v>76</v>
      </c>
      <c r="FH5" s="10" t="s">
        <v>154</v>
      </c>
      <c r="FJ5" s="10" t="s">
        <v>155</v>
      </c>
      <c r="FK5" s="32" t="s">
        <v>68</v>
      </c>
      <c r="FL5" s="32" t="s">
        <v>69</v>
      </c>
      <c r="FM5" s="32" t="s">
        <v>70</v>
      </c>
      <c r="FN5" s="32" t="s">
        <v>67</v>
      </c>
      <c r="FO5" s="32" t="s">
        <v>71</v>
      </c>
      <c r="FP5" s="32" t="s">
        <v>148</v>
      </c>
      <c r="FQ5" s="32" t="s">
        <v>147</v>
      </c>
      <c r="FR5" s="32" t="s">
        <v>149</v>
      </c>
      <c r="FS5" s="32" t="s">
        <v>72</v>
      </c>
      <c r="FT5" s="32" t="s">
        <v>73</v>
      </c>
      <c r="FU5" s="32" t="s">
        <v>74</v>
      </c>
      <c r="FV5" s="32" t="s">
        <v>75</v>
      </c>
      <c r="FW5" s="32" t="s">
        <v>150</v>
      </c>
      <c r="FX5" s="32" t="s">
        <v>146</v>
      </c>
      <c r="FY5" s="32" t="s">
        <v>76</v>
      </c>
      <c r="FZ5" s="10" t="s">
        <v>154</v>
      </c>
      <c r="GB5" s="10" t="s">
        <v>155</v>
      </c>
      <c r="GC5" s="32" t="s">
        <v>68</v>
      </c>
      <c r="GD5" s="32" t="s">
        <v>69</v>
      </c>
      <c r="GE5" s="32" t="s">
        <v>70</v>
      </c>
      <c r="GF5" s="32" t="s">
        <v>67</v>
      </c>
      <c r="GG5" s="32" t="s">
        <v>71</v>
      </c>
      <c r="GH5" s="32" t="s">
        <v>148</v>
      </c>
      <c r="GI5" s="32" t="s">
        <v>147</v>
      </c>
      <c r="GJ5" s="32" t="s">
        <v>149</v>
      </c>
      <c r="GK5" s="32" t="s">
        <v>72</v>
      </c>
      <c r="GL5" s="32" t="s">
        <v>73</v>
      </c>
      <c r="GM5" s="32" t="s">
        <v>74</v>
      </c>
      <c r="GN5" s="32" t="s">
        <v>75</v>
      </c>
      <c r="GO5" s="32" t="s">
        <v>150</v>
      </c>
      <c r="GP5" s="32" t="s">
        <v>146</v>
      </c>
      <c r="GQ5" s="32" t="s">
        <v>76</v>
      </c>
      <c r="GR5" s="10" t="s">
        <v>154</v>
      </c>
      <c r="GT5" s="10" t="s">
        <v>155</v>
      </c>
      <c r="GU5" s="32" t="s">
        <v>68</v>
      </c>
      <c r="GV5" s="32" t="s">
        <v>69</v>
      </c>
      <c r="GW5" s="32" t="s">
        <v>70</v>
      </c>
      <c r="GX5" s="32" t="s">
        <v>67</v>
      </c>
      <c r="GY5" s="32" t="s">
        <v>71</v>
      </c>
      <c r="GZ5" s="32" t="s">
        <v>148</v>
      </c>
      <c r="HA5" s="32" t="s">
        <v>147</v>
      </c>
      <c r="HB5" s="32" t="s">
        <v>149</v>
      </c>
      <c r="HC5" s="32" t="s">
        <v>72</v>
      </c>
      <c r="HD5" s="32" t="s">
        <v>73</v>
      </c>
      <c r="HE5" s="32" t="s">
        <v>74</v>
      </c>
      <c r="HF5" s="32" t="s">
        <v>75</v>
      </c>
      <c r="HG5" s="32" t="s">
        <v>150</v>
      </c>
      <c r="HH5" s="32" t="s">
        <v>146</v>
      </c>
      <c r="HI5" s="32" t="s">
        <v>76</v>
      </c>
      <c r="HJ5" s="10" t="s">
        <v>154</v>
      </c>
      <c r="HL5" s="10" t="s">
        <v>155</v>
      </c>
      <c r="HM5" s="32" t="s">
        <v>68</v>
      </c>
      <c r="HN5" s="32" t="s">
        <v>69</v>
      </c>
      <c r="HO5" s="32" t="s">
        <v>70</v>
      </c>
      <c r="HP5" s="32" t="s">
        <v>67</v>
      </c>
      <c r="HQ5" s="32" t="s">
        <v>71</v>
      </c>
      <c r="HR5" s="32" t="s">
        <v>148</v>
      </c>
      <c r="HS5" s="32" t="s">
        <v>147</v>
      </c>
      <c r="HT5" s="32" t="s">
        <v>149</v>
      </c>
      <c r="HU5" s="32" t="s">
        <v>72</v>
      </c>
      <c r="HV5" s="32" t="s">
        <v>73</v>
      </c>
      <c r="HW5" s="32" t="s">
        <v>74</v>
      </c>
      <c r="HX5" s="32" t="s">
        <v>75</v>
      </c>
      <c r="HY5" s="32" t="s">
        <v>150</v>
      </c>
      <c r="HZ5" s="32" t="s">
        <v>146</v>
      </c>
      <c r="IA5" s="32" t="s">
        <v>76</v>
      </c>
      <c r="IB5" s="10" t="s">
        <v>154</v>
      </c>
    </row>
    <row r="6" spans="1:236" x14ac:dyDescent="0.35">
      <c r="A6" s="5" t="s">
        <v>68</v>
      </c>
      <c r="B6" s="28" t="s">
        <v>68</v>
      </c>
      <c r="D6" s="30" cm="1">
        <f t="array" ref="D6">IF(D$2="FY",SUMPRODUCT(Data_Xuất[Xuất-NX]*(Data_Xuất[Year]=D$1)*(Data_Xuất[Main SKU name_GOM]=$A6)),SUMPRODUCT(Data_Xuất[Xuất-NX]*(Data_Xuất[Year]=D$1)*(Data_Xuất[Main SKU name_GOM]=$A6)*Data_Xuất[Month]=D$2))</f>
        <v>2362674</v>
      </c>
      <c r="E6" s="29" cm="1">
        <f t="array" ref="E6">IF(E$2="FY",SUMPRODUCT(Data_Nhập[Tổng Nhập-NX]*(Data_Nhập[Year]=E$1)*(Data_Nhập[Main SKU name_GOM]=$A6)*(Data_Nhập[SKU name_NHẬP_GOM]=E$3)),SUMPRODUCT(Data_Nhập[Tổng Nhập-NX]*(Data_Nhập[Year]=E$1)*(Data_Nhập[Month]=E$2)*(Data_Nhập[Main SKU name_GOM]=$A6)*(Data_Nhập[SKU name_NHẬP_GOM]=E$3)))</f>
        <v>2068000</v>
      </c>
      <c r="F6" s="29" cm="1">
        <f t="array" ref="F6">IF(F$2="FY",SUMPRODUCT(Data_Nhập[Tổng Nhập-NX]*(Data_Nhập[Year]=F$1)*(Data_Nhập[Main SKU name_GOM]=$A6)*(Data_Nhập[SKU name_NHẬP_GOM]=F$3)),SUMPRODUCT(Data_Nhập[Tổng Nhập-NX]*(Data_Nhập[Year]=F$1)*(Data_Nhập[Month]=F$2)*(Data_Nhập[Main SKU name_GOM]=$A6)*(Data_Nhập[SKU name_NHẬP_GOM]=F$3)))</f>
        <v>40700</v>
      </c>
      <c r="G6" s="29" cm="1">
        <f t="array" ref="G6">IF(G$2="FY",SUMPRODUCT(Data_Nhập[Tổng Nhập-NX]*(Data_Nhập[Year]=G$1)*(Data_Nhập[Main SKU name_GOM]=$A6)*(Data_Nhập[SKU name_NHẬP_GOM]=G$3)),SUMPRODUCT(Data_Nhập[Tổng Nhập-NX]*(Data_Nhập[Year]=G$1)*(Data_Nhập[Month]=G$2)*(Data_Nhập[Main SKU name_GOM]=$A6)*(Data_Nhập[SKU name_NHẬP_GOM]=G$3)))</f>
        <v>47300</v>
      </c>
      <c r="H6" s="29" cm="1">
        <f t="array" ref="H6">IF(H$2="FY",SUMPRODUCT(Data_Nhập[Tổng Nhập-NX]*(Data_Nhập[Year]=H$1)*(Data_Nhập[Main SKU name_GOM]=$A6)*(Data_Nhập[SKU name_NHẬP_GOM]=H$3)),SUMPRODUCT(Data_Nhập[Tổng Nhập-NX]*(Data_Nhập[Year]=H$1)*(Data_Nhập[Month]=H$2)*(Data_Nhập[Main SKU name_GOM]=$A6)*(Data_Nhập[SKU name_NHẬP_GOM]=H$3)))</f>
        <v>0</v>
      </c>
      <c r="I6" s="29" cm="1">
        <f t="array" ref="I6">IF(I$2="FY",SUMPRODUCT(Data_Nhập[Tổng Nhập-NX]*(Data_Nhập[Year]=I$1)*(Data_Nhập[Main SKU name_GOM]=$A6)*(Data_Nhập[SKU name_NHẬP_GOM]=I$3)),SUMPRODUCT(Data_Nhập[Tổng Nhập-NX]*(Data_Nhập[Year]=I$1)*(Data_Nhập[Month]=I$2)*(Data_Nhập[Main SKU name_GOM]=$A6)*(Data_Nhập[SKU name_NHẬP_GOM]=I$3)))</f>
        <v>72600</v>
      </c>
      <c r="J6" s="29" cm="1">
        <f t="array" ref="J6">IF(J$2="FY",SUMPRODUCT(Data_Nhập[Tổng Nhập-NX]*(Data_Nhập[Year]=J$1)*(Data_Nhập[Main SKU name_GOM]=$A6)*(Data_Nhập[SKU name_NHẬP_GOM]=J$3)),SUMPRODUCT(Data_Nhập[Tổng Nhập-NX]*(Data_Nhập[Year]=J$1)*(Data_Nhập[Month]=J$2)*(Data_Nhập[Main SKU name_GOM]=$A6)*(Data_Nhập[SKU name_NHẬP_GOM]=J$3)))</f>
        <v>0</v>
      </c>
      <c r="K6" s="29" cm="1">
        <f t="array" ref="K6">IF(K$2="FY",SUMPRODUCT(Data_Nhập[Tổng Nhập-NX]*(Data_Nhập[Year]=K$1)*(Data_Nhập[Main SKU name_GOM]=$A6)*(Data_Nhập[SKU name_NHẬP_GOM]=K$3)),SUMPRODUCT(Data_Nhập[Tổng Nhập-NX]*(Data_Nhập[Year]=K$1)*(Data_Nhập[Month]=K$2)*(Data_Nhập[Main SKU name_GOM]=$A6)*(Data_Nhập[SKU name_NHẬP_GOM]=K$3)))</f>
        <v>0</v>
      </c>
      <c r="L6" s="29" cm="1">
        <f t="array" ref="L6">IF(L$2="FY",SUMPRODUCT(Data_Nhập[Tổng Nhập-NX]*(Data_Nhập[Year]=L$1)*(Data_Nhập[Main SKU name_GOM]=$A6)*(Data_Nhập[SKU name_NHẬP_GOM]=L$3)),SUMPRODUCT(Data_Nhập[Tổng Nhập-NX]*(Data_Nhập[Year]=L$1)*(Data_Nhập[Month]=L$2)*(Data_Nhập[Main SKU name_GOM]=$A6)*(Data_Nhập[SKU name_NHẬP_GOM]=L$3)))</f>
        <v>0</v>
      </c>
      <c r="M6" s="29" cm="1">
        <f t="array" ref="M6">IF(M$2="FY",SUMPRODUCT(Data_Nhập[Tổng Nhập-NX]*(Data_Nhập[Year]=M$1)*(Data_Nhập[Main SKU name_GOM]=$A6)*(Data_Nhập[SKU name_NHẬP_GOM]=M$3)),SUMPRODUCT(Data_Nhập[Tổng Nhập-NX]*(Data_Nhập[Year]=M$1)*(Data_Nhập[Month]=M$2)*(Data_Nhập[Main SKU name_GOM]=$A6)*(Data_Nhập[SKU name_NHẬP_GOM]=M$3)))</f>
        <v>2200</v>
      </c>
      <c r="N6" s="29" cm="1">
        <f t="array" ref="N6">IF(N$2="FY",SUMPRODUCT(Data_Nhập[Tổng Nhập-NX]*(Data_Nhập[Year]=N$1)*(Data_Nhập[Main SKU name_GOM]=$A6)*(Data_Nhập[SKU name_NHẬP_GOM]=N$3)),SUMPRODUCT(Data_Nhập[Tổng Nhập-NX]*(Data_Nhập[Year]=N$1)*(Data_Nhập[Month]=N$2)*(Data_Nhập[Main SKU name_GOM]=$A6)*(Data_Nhập[SKU name_NHẬP_GOM]=N$3)))</f>
        <v>15400</v>
      </c>
      <c r="O6" s="29" cm="1">
        <f t="array" ref="O6">IF(O$2="FY",SUMPRODUCT(Data_Nhập[Tổng Nhập-NX]*(Data_Nhập[Year]=O$1)*(Data_Nhập[Main SKU name_GOM]=$A6)*(Data_Nhập[SKU name_NHẬP_GOM]=O$3)),SUMPRODUCT(Data_Nhập[Tổng Nhập-NX]*(Data_Nhập[Year]=O$1)*(Data_Nhập[Month]=O$2)*(Data_Nhập[Main SKU name_GOM]=$A6)*(Data_Nhập[SKU name_NHẬP_GOM]=O$3)))</f>
        <v>0</v>
      </c>
      <c r="P6" s="29" cm="1">
        <f t="array" ref="P6">IF(P$2="FY",SUMPRODUCT(Data_Nhập[Tổng Nhập-NX]*(Data_Nhập[Year]=P$1)*(Data_Nhập[Main SKU name_GOM]=$A6)*(Data_Nhập[SKU name_NHẬP_GOM]=P$3)),SUMPRODUCT(Data_Nhập[Tổng Nhập-NX]*(Data_Nhập[Year]=P$1)*(Data_Nhập[Month]=P$2)*(Data_Nhập[Main SKU name_GOM]=$A6)*(Data_Nhập[SKU name_NHẬP_GOM]=P$3)))</f>
        <v>4400</v>
      </c>
      <c r="Q6" s="29" cm="1">
        <f t="array" ref="Q6">IF(Q$2="FY",SUMPRODUCT(Data_Nhập[Tổng Nhập-NX]*(Data_Nhập[Year]=Q$1)*(Data_Nhập[Main SKU name_GOM]=$A6)*(Data_Nhập[SKU name_NHẬP_GOM]=Q$3)),SUMPRODUCT(Data_Nhập[Tổng Nhập-NX]*(Data_Nhập[Year]=Q$1)*(Data_Nhập[Month]=Q$2)*(Data_Nhập[Main SKU name_GOM]=$A6)*(Data_Nhập[SKU name_NHẬP_GOM]=Q$3)))</f>
        <v>0</v>
      </c>
      <c r="R6" s="29" cm="1">
        <f t="array" ref="R6">IF(R$2="FY",SUMPRODUCT(Data_Nhập[Tổng Nhập-NX]*(Data_Nhập[Year]=R$1)*(Data_Nhập[Main SKU name_GOM]=$A6)*(Data_Nhập[SKU name_NHẬP_GOM]=R$3)),SUMPRODUCT(Data_Nhập[Tổng Nhập-NX]*(Data_Nhập[Year]=R$1)*(Data_Nhập[Month]=R$2)*(Data_Nhập[Main SKU name_GOM]=$A6)*(Data_Nhập[SKU name_NHẬP_GOM]=R$3)))</f>
        <v>76510</v>
      </c>
      <c r="S6" s="29" cm="1">
        <f t="array" ref="S6">IF(S$2="FY",SUMPRODUCT(Data_Nhập[Tổng Nhập-NX]*(Data_Nhập[Year]=S$1)*(Data_Nhập[Main SKU name_GOM]=$A6)*(Data_Nhập[SKU name_NHẬP_GOM]=S$3)),SUMPRODUCT(Data_Nhập[Tổng Nhập-NX]*(Data_Nhập[Year]=S$1)*(Data_Nhập[Month]=S$2)*(Data_Nhập[Main SKU name_GOM]=$A6)*(Data_Nhập[SKU name_NHẬP_GOM]=S$3)))</f>
        <v>0</v>
      </c>
      <c r="T6" s="30">
        <f>SUM(E6:S6)</f>
        <v>2327110</v>
      </c>
      <c r="V6" s="30" cm="1">
        <f t="array" ref="V6">IF(V$2="FY",SUMPRODUCT(Data_Xuất[Xuất-NX]*(Data_Xuất[Year]=V$1)*(Data_Xuất[Main SKU name_GOM]=$A6)),SUMPRODUCT(Data_Xuất[Xuất-NX]*(Data_Xuất[Year]=V$1)*(Data_Xuất[Main SKU name_GOM]=$A6)*(Data_Xuất[Month]=V$2)))</f>
        <v>354282</v>
      </c>
      <c r="W6" s="29" cm="1">
        <f t="array" ref="W6">IF(W$2="FY",SUMPRODUCT(Data_Nhập[Tổng Nhập-NX]*(Data_Nhập[Year]=W$1)*(Data_Nhập[Main SKU name_GOM]=$A6)*(Data_Nhập[SKU name_NHẬP_GOM]=W$3)),SUMPRODUCT(Data_Nhập[Tổng Nhập-NX]*(Data_Nhập[Year]=W$1)*(Data_Nhập[Month]=W$2)*(Data_Nhập[Main SKU name_GOM]=$A6)*(Data_Nhập[SKU name_NHẬP_GOM]=W$3)))</f>
        <v>301399.99999999994</v>
      </c>
      <c r="X6" s="29" cm="1">
        <f t="array" ref="X6">IF(X$2="FY",SUMPRODUCT(Data_Nhập[Tổng Nhập-NX]*(Data_Nhập[Year]=X$1)*(Data_Nhập[Main SKU name_GOM]=$A6)*(Data_Nhập[SKU name_NHẬP_GOM]=X$3)),SUMPRODUCT(Data_Nhập[Tổng Nhập-NX]*(Data_Nhập[Year]=X$1)*(Data_Nhập[Month]=X$2)*(Data_Nhập[Main SKU name_GOM]=$A6)*(Data_Nhập[SKU name_NHẬP_GOM]=X$3)))</f>
        <v>1100</v>
      </c>
      <c r="Y6" s="29" cm="1">
        <f t="array" ref="Y6">IF(Y$2="FY",SUMPRODUCT(Data_Nhập[Tổng Nhập-NX]*(Data_Nhập[Year]=Y$1)*(Data_Nhập[Main SKU name_GOM]=$A6)*(Data_Nhập[SKU name_NHẬP_GOM]=Y$3)),SUMPRODUCT(Data_Nhập[Tổng Nhập-NX]*(Data_Nhập[Year]=Y$1)*(Data_Nhập[Month]=Y$2)*(Data_Nhập[Main SKU name_GOM]=$A6)*(Data_Nhập[SKU name_NHẬP_GOM]=Y$3)))</f>
        <v>0</v>
      </c>
      <c r="Z6" s="29" cm="1">
        <f t="array" ref="Z6">IF(Z$2="FY",SUMPRODUCT(Data_Nhập[Tổng Nhập-NX]*(Data_Nhập[Year]=Z$1)*(Data_Nhập[Main SKU name_GOM]=$A6)*(Data_Nhập[SKU name_NHẬP_GOM]=Z$3)),SUMPRODUCT(Data_Nhập[Tổng Nhập-NX]*(Data_Nhập[Year]=Z$1)*(Data_Nhập[Month]=Z$2)*(Data_Nhập[Main SKU name_GOM]=$A6)*(Data_Nhập[SKU name_NHẬP_GOM]=Z$3)))</f>
        <v>0</v>
      </c>
      <c r="AA6" s="29" cm="1">
        <f t="array" ref="AA6">IF(AA$2="FY",SUMPRODUCT(Data_Nhập[Tổng Nhập-NX]*(Data_Nhập[Year]=AA$1)*(Data_Nhập[Main SKU name_GOM]=$A6)*(Data_Nhập[SKU name_NHẬP_GOM]=AA$3)),SUMPRODUCT(Data_Nhập[Tổng Nhập-NX]*(Data_Nhập[Year]=AA$1)*(Data_Nhập[Month]=AA$2)*(Data_Nhập[Main SKU name_GOM]=$A6)*(Data_Nhập[SKU name_NHẬP_GOM]=AA$3)))</f>
        <v>27500</v>
      </c>
      <c r="AB6" s="29" cm="1">
        <f t="array" ref="AB6">IF(AB$2="FY",SUMPRODUCT(Data_Nhập[Tổng Nhập-NX]*(Data_Nhập[Year]=AB$1)*(Data_Nhập[Main SKU name_GOM]=$A6)*(Data_Nhập[SKU name_NHẬP_GOM]=AB$3)),SUMPRODUCT(Data_Nhập[Tổng Nhập-NX]*(Data_Nhập[Year]=AB$1)*(Data_Nhập[Month]=AB$2)*(Data_Nhập[Main SKU name_GOM]=$A6)*(Data_Nhập[SKU name_NHẬP_GOM]=AB$3)))</f>
        <v>0</v>
      </c>
      <c r="AC6" s="29" cm="1">
        <f t="array" ref="AC6">IF(AC$2="FY",SUMPRODUCT(Data_Nhập[Tổng Nhập-NX]*(Data_Nhập[Year]=AC$1)*(Data_Nhập[Main SKU name_GOM]=$A6)*(Data_Nhập[SKU name_NHẬP_GOM]=AC$3)),SUMPRODUCT(Data_Nhập[Tổng Nhập-NX]*(Data_Nhập[Year]=AC$1)*(Data_Nhập[Month]=AC$2)*(Data_Nhập[Main SKU name_GOM]=$A6)*(Data_Nhập[SKU name_NHẬP_GOM]=AC$3)))</f>
        <v>0</v>
      </c>
      <c r="AD6" s="29" cm="1">
        <f t="array" ref="AD6">IF(AD$2="FY",SUMPRODUCT(Data_Nhập[Tổng Nhập-NX]*(Data_Nhập[Year]=AD$1)*(Data_Nhập[Main SKU name_GOM]=$A6)*(Data_Nhập[SKU name_NHẬP_GOM]=AD$3)),SUMPRODUCT(Data_Nhập[Tổng Nhập-NX]*(Data_Nhập[Year]=AD$1)*(Data_Nhập[Month]=AD$2)*(Data_Nhập[Main SKU name_GOM]=$A6)*(Data_Nhập[SKU name_NHẬP_GOM]=AD$3)))</f>
        <v>0</v>
      </c>
      <c r="AE6" s="29" cm="1">
        <f t="array" ref="AE6">IF(AE$2="FY",SUMPRODUCT(Data_Nhập[Tổng Nhập-NX]*(Data_Nhập[Year]=AE$1)*(Data_Nhập[Main SKU name_GOM]=$A6)*(Data_Nhập[SKU name_NHẬP_GOM]=AE$3)),SUMPRODUCT(Data_Nhập[Tổng Nhập-NX]*(Data_Nhập[Year]=AE$1)*(Data_Nhập[Month]=AE$2)*(Data_Nhập[Main SKU name_GOM]=$A6)*(Data_Nhập[SKU name_NHẬP_GOM]=AE$3)))</f>
        <v>0</v>
      </c>
      <c r="AF6" s="29" cm="1">
        <f t="array" ref="AF6">IF(AF$2="FY",SUMPRODUCT(Data_Nhập[Tổng Nhập-NX]*(Data_Nhập[Year]=AF$1)*(Data_Nhập[Main SKU name_GOM]=$A6)*(Data_Nhập[SKU name_NHẬP_GOM]=AF$3)),SUMPRODUCT(Data_Nhập[Tổng Nhập-NX]*(Data_Nhập[Year]=AF$1)*(Data_Nhập[Month]=AF$2)*(Data_Nhập[Main SKU name_GOM]=$A6)*(Data_Nhập[SKU name_NHẬP_GOM]=AF$3)))</f>
        <v>2200</v>
      </c>
      <c r="AG6" s="29" cm="1">
        <f t="array" ref="AG6">IF(AG$2="FY",SUMPRODUCT(Data_Nhập[Tổng Nhập-NX]*(Data_Nhập[Year]=AG$1)*(Data_Nhập[Main SKU name_GOM]=$A6)*(Data_Nhập[SKU name_NHẬP_GOM]=AG$3)),SUMPRODUCT(Data_Nhập[Tổng Nhập-NX]*(Data_Nhập[Year]=AG$1)*(Data_Nhập[Month]=AG$2)*(Data_Nhập[Main SKU name_GOM]=$A6)*(Data_Nhập[SKU name_NHẬP_GOM]=AG$3)))</f>
        <v>0</v>
      </c>
      <c r="AH6" s="29" cm="1">
        <f t="array" ref="AH6">IF(AH$2="FY",SUMPRODUCT(Data_Nhập[Tổng Nhập-NX]*(Data_Nhập[Year]=AH$1)*(Data_Nhập[Main SKU name_GOM]=$A6)*(Data_Nhập[SKU name_NHẬP_GOM]=AH$3)),SUMPRODUCT(Data_Nhập[Tổng Nhập-NX]*(Data_Nhập[Year]=AH$1)*(Data_Nhập[Month]=AH$2)*(Data_Nhập[Main SKU name_GOM]=$A6)*(Data_Nhập[SKU name_NHẬP_GOM]=AH$3)))</f>
        <v>0</v>
      </c>
      <c r="AI6" s="29" cm="1">
        <f t="array" ref="AI6">IF(AI$2="FY",SUMPRODUCT(Data_Nhập[Tổng Nhập-NX]*(Data_Nhập[Year]=AI$1)*(Data_Nhập[Main SKU name_GOM]=$A6)*(Data_Nhập[SKU name_NHẬP_GOM]=AI$3)),SUMPRODUCT(Data_Nhập[Tổng Nhập-NX]*(Data_Nhập[Year]=AI$1)*(Data_Nhập[Month]=AI$2)*(Data_Nhập[Main SKU name_GOM]=$A6)*(Data_Nhập[SKU name_NHẬP_GOM]=AI$3)))</f>
        <v>0</v>
      </c>
      <c r="AJ6" s="29" cm="1">
        <f t="array" ref="AJ6">IF(AJ$2="FY",SUMPRODUCT(Data_Nhập[Tổng Nhập-NX]*(Data_Nhập[Year]=AJ$1)*(Data_Nhập[Main SKU name_GOM]=$A6)*(Data_Nhập[SKU name_NHẬP_GOM]=AJ$3)),SUMPRODUCT(Data_Nhập[Tổng Nhập-NX]*(Data_Nhập[Year]=AJ$1)*(Data_Nhập[Month]=AJ$2)*(Data_Nhập[Main SKU name_GOM]=$A6)*(Data_Nhập[SKU name_NHẬP_GOM]=AJ$3)))</f>
        <v>15941.999999999998</v>
      </c>
      <c r="AK6" s="29" cm="1">
        <f t="array" ref="AK6">IF(AK$2="FY",SUMPRODUCT(Data_Nhập[Tổng Nhập-NX]*(Data_Nhập[Year]=AK$1)*(Data_Nhập[Main SKU name_GOM]=$A6)*(Data_Nhập[SKU name_NHẬP_GOM]=AK$3)),SUMPRODUCT(Data_Nhập[Tổng Nhập-NX]*(Data_Nhập[Year]=AK$1)*(Data_Nhập[Month]=AK$2)*(Data_Nhập[Main SKU name_GOM]=$A6)*(Data_Nhập[SKU name_NHẬP_GOM]=AK$3)))</f>
        <v>0</v>
      </c>
      <c r="AL6" s="30">
        <f>SUM(W6:AK6)</f>
        <v>348141.99999999994</v>
      </c>
      <c r="AN6" s="30" cm="1">
        <f t="array" ref="AN6">IF(AN$2="FY",SUMPRODUCT(Data_Xuất[Xuất-NX]*(Data_Xuất[Year]=AN$1)*(Data_Xuất[Main SKU name_GOM]=$A6)),SUMPRODUCT(Data_Xuất[Xuất-NX]*(Data_Xuất[Year]=AN$1)*(Data_Xuất[Main SKU name_GOM]=$A6)*(Data_Xuất[Month]=AN$2)))</f>
        <v>372581</v>
      </c>
      <c r="AO6" s="29" cm="1">
        <f t="array" ref="AO6">IF(AO$2="FY",SUMPRODUCT(Data_Nhập[Tổng Nhập-NX]*(Data_Nhập[Year]=AO$1)*(Data_Nhập[Main SKU name_GOM]=$A6)*(Data_Nhập[SKU name_NHẬP_GOM]=AO$3)),SUMPRODUCT(Data_Nhập[Tổng Nhập-NX]*(Data_Nhập[Year]=AO$1)*(Data_Nhập[Month]=AO$2)*(Data_Nhập[Main SKU name_GOM]=$A6)*(Data_Nhập[SKU name_NHẬP_GOM]=AO$3)))</f>
        <v>300300</v>
      </c>
      <c r="AP6" s="29" cm="1">
        <f t="array" ref="AP6">IF(AP$2="FY",SUMPRODUCT(Data_Nhập[Tổng Nhập-NX]*(Data_Nhập[Year]=AP$1)*(Data_Nhập[Main SKU name_GOM]=$A6)*(Data_Nhập[SKU name_NHẬP_GOM]=AP$3)),SUMPRODUCT(Data_Nhập[Tổng Nhập-NX]*(Data_Nhập[Year]=AP$1)*(Data_Nhập[Month]=AP$2)*(Data_Nhập[Main SKU name_GOM]=$A6)*(Data_Nhập[SKU name_NHẬP_GOM]=AP$3)))</f>
        <v>25300</v>
      </c>
      <c r="AQ6" s="29" cm="1">
        <f t="array" ref="AQ6">IF(AQ$2="FY",SUMPRODUCT(Data_Nhập[Tổng Nhập-NX]*(Data_Nhập[Year]=AQ$1)*(Data_Nhập[Main SKU name_GOM]=$A6)*(Data_Nhập[SKU name_NHẬP_GOM]=AQ$3)),SUMPRODUCT(Data_Nhập[Tổng Nhập-NX]*(Data_Nhập[Year]=AQ$1)*(Data_Nhập[Month]=AQ$2)*(Data_Nhập[Main SKU name_GOM]=$A6)*(Data_Nhập[SKU name_NHẬP_GOM]=AQ$3)))</f>
        <v>0</v>
      </c>
      <c r="AR6" s="29" cm="1">
        <f t="array" ref="AR6">IF(AR$2="FY",SUMPRODUCT(Data_Nhập[Tổng Nhập-NX]*(Data_Nhập[Year]=AR$1)*(Data_Nhập[Main SKU name_GOM]=$A6)*(Data_Nhập[SKU name_NHẬP_GOM]=AR$3)),SUMPRODUCT(Data_Nhập[Tổng Nhập-NX]*(Data_Nhập[Year]=AR$1)*(Data_Nhập[Month]=AR$2)*(Data_Nhập[Main SKU name_GOM]=$A6)*(Data_Nhập[SKU name_NHẬP_GOM]=AR$3)))</f>
        <v>0</v>
      </c>
      <c r="AS6" s="29" cm="1">
        <f t="array" ref="AS6">IF(AS$2="FY",SUMPRODUCT(Data_Nhập[Tổng Nhập-NX]*(Data_Nhập[Year]=AS$1)*(Data_Nhập[Main SKU name_GOM]=$A6)*(Data_Nhập[SKU name_NHẬP_GOM]=AS$3)),SUMPRODUCT(Data_Nhập[Tổng Nhập-NX]*(Data_Nhập[Year]=AS$1)*(Data_Nhập[Month]=AS$2)*(Data_Nhập[Main SKU name_GOM]=$A6)*(Data_Nhập[SKU name_NHẬP_GOM]=AS$3)))</f>
        <v>23100</v>
      </c>
      <c r="AT6" s="29" cm="1">
        <f t="array" ref="AT6">IF(AT$2="FY",SUMPRODUCT(Data_Nhập[Tổng Nhập-NX]*(Data_Nhập[Year]=AT$1)*(Data_Nhập[Main SKU name_GOM]=$A6)*(Data_Nhập[SKU name_NHẬP_GOM]=AT$3)),SUMPRODUCT(Data_Nhập[Tổng Nhập-NX]*(Data_Nhập[Year]=AT$1)*(Data_Nhập[Month]=AT$2)*(Data_Nhập[Main SKU name_GOM]=$A6)*(Data_Nhập[SKU name_NHẬP_GOM]=AT$3)))</f>
        <v>0</v>
      </c>
      <c r="AU6" s="29" cm="1">
        <f t="array" ref="AU6">IF(AU$2="FY",SUMPRODUCT(Data_Nhập[Tổng Nhập-NX]*(Data_Nhập[Year]=AU$1)*(Data_Nhập[Main SKU name_GOM]=$A6)*(Data_Nhập[SKU name_NHẬP_GOM]=AU$3)),SUMPRODUCT(Data_Nhập[Tổng Nhập-NX]*(Data_Nhập[Year]=AU$1)*(Data_Nhập[Month]=AU$2)*(Data_Nhập[Main SKU name_GOM]=$A6)*(Data_Nhập[SKU name_NHẬP_GOM]=AU$3)))</f>
        <v>0</v>
      </c>
      <c r="AV6" s="29" cm="1">
        <f t="array" ref="AV6">IF(AV$2="FY",SUMPRODUCT(Data_Nhập[Tổng Nhập-NX]*(Data_Nhập[Year]=AV$1)*(Data_Nhập[Main SKU name_GOM]=$A6)*(Data_Nhập[SKU name_NHẬP_GOM]=AV$3)),SUMPRODUCT(Data_Nhập[Tổng Nhập-NX]*(Data_Nhập[Year]=AV$1)*(Data_Nhập[Month]=AV$2)*(Data_Nhập[Main SKU name_GOM]=$A6)*(Data_Nhập[SKU name_NHẬP_GOM]=AV$3)))</f>
        <v>0</v>
      </c>
      <c r="AW6" s="29" cm="1">
        <f t="array" ref="AW6">IF(AW$2="FY",SUMPRODUCT(Data_Nhập[Tổng Nhập-NX]*(Data_Nhập[Year]=AW$1)*(Data_Nhập[Main SKU name_GOM]=$A6)*(Data_Nhập[SKU name_NHẬP_GOM]=AW$3)),SUMPRODUCT(Data_Nhập[Tổng Nhập-NX]*(Data_Nhập[Year]=AW$1)*(Data_Nhập[Month]=AW$2)*(Data_Nhập[Main SKU name_GOM]=$A6)*(Data_Nhập[SKU name_NHẬP_GOM]=AW$3)))</f>
        <v>0</v>
      </c>
      <c r="AX6" s="29" cm="1">
        <f t="array" ref="AX6">IF(AX$2="FY",SUMPRODUCT(Data_Nhập[Tổng Nhập-NX]*(Data_Nhập[Year]=AX$1)*(Data_Nhập[Main SKU name_GOM]=$A6)*(Data_Nhập[SKU name_NHẬP_GOM]=AX$3)),SUMPRODUCT(Data_Nhập[Tổng Nhập-NX]*(Data_Nhập[Year]=AX$1)*(Data_Nhập[Month]=AX$2)*(Data_Nhập[Main SKU name_GOM]=$A6)*(Data_Nhập[SKU name_NHẬP_GOM]=AX$3)))</f>
        <v>4400</v>
      </c>
      <c r="AY6" s="29" cm="1">
        <f t="array" ref="AY6">IF(AY$2="FY",SUMPRODUCT(Data_Nhập[Tổng Nhập-NX]*(Data_Nhập[Year]=AY$1)*(Data_Nhập[Main SKU name_GOM]=$A6)*(Data_Nhập[SKU name_NHẬP_GOM]=AY$3)),SUMPRODUCT(Data_Nhập[Tổng Nhập-NX]*(Data_Nhập[Year]=AY$1)*(Data_Nhập[Month]=AY$2)*(Data_Nhập[Main SKU name_GOM]=$A6)*(Data_Nhập[SKU name_NHẬP_GOM]=AY$3)))</f>
        <v>0</v>
      </c>
      <c r="AZ6" s="29" cm="1">
        <f t="array" ref="AZ6">IF(AZ$2="FY",SUMPRODUCT(Data_Nhập[Tổng Nhập-NX]*(Data_Nhập[Year]=AZ$1)*(Data_Nhập[Main SKU name_GOM]=$A6)*(Data_Nhập[SKU name_NHẬP_GOM]=AZ$3)),SUMPRODUCT(Data_Nhập[Tổng Nhập-NX]*(Data_Nhập[Year]=AZ$1)*(Data_Nhập[Month]=AZ$2)*(Data_Nhập[Main SKU name_GOM]=$A6)*(Data_Nhập[SKU name_NHẬP_GOM]=AZ$3)))</f>
        <v>2200</v>
      </c>
      <c r="BA6" s="29" cm="1">
        <f t="array" ref="BA6">IF(BA$2="FY",SUMPRODUCT(Data_Nhập[Tổng Nhập-NX]*(Data_Nhập[Year]=BA$1)*(Data_Nhập[Main SKU name_GOM]=$A6)*(Data_Nhập[SKU name_NHẬP_GOM]=BA$3)),SUMPRODUCT(Data_Nhập[Tổng Nhập-NX]*(Data_Nhập[Year]=BA$1)*(Data_Nhập[Month]=BA$2)*(Data_Nhập[Main SKU name_GOM]=$A6)*(Data_Nhập[SKU name_NHẬP_GOM]=BA$3)))</f>
        <v>0</v>
      </c>
      <c r="BB6" s="29" cm="1">
        <f t="array" ref="BB6">IF(BB$2="FY",SUMPRODUCT(Data_Nhập[Tổng Nhập-NX]*(Data_Nhập[Year]=BB$1)*(Data_Nhập[Main SKU name_GOM]=$A6)*(Data_Nhập[SKU name_NHẬP_GOM]=BB$3)),SUMPRODUCT(Data_Nhập[Tổng Nhập-NX]*(Data_Nhập[Year]=BB$1)*(Data_Nhập[Month]=BB$2)*(Data_Nhập[Main SKU name_GOM]=$A6)*(Data_Nhập[SKU name_NHẬP_GOM]=BB$3)))</f>
        <v>11574</v>
      </c>
      <c r="BC6" s="29" cm="1">
        <f t="array" ref="BC6">IF(BC$2="FY",SUMPRODUCT(Data_Nhập[Tổng Nhập-NX]*(Data_Nhập[Year]=BC$1)*(Data_Nhập[Main SKU name_GOM]=$A6)*(Data_Nhập[SKU name_NHẬP_GOM]=BC$3)),SUMPRODUCT(Data_Nhập[Tổng Nhập-NX]*(Data_Nhập[Year]=BC$1)*(Data_Nhập[Month]=BC$2)*(Data_Nhập[Main SKU name_GOM]=$A6)*(Data_Nhập[SKU name_NHẬP_GOM]=BC$3)))</f>
        <v>0</v>
      </c>
      <c r="BD6" s="30">
        <f>SUM(AO6:BC6)</f>
        <v>366874</v>
      </c>
      <c r="BF6" s="30" cm="1">
        <f t="array" ref="BF6">IF(BF$2="FY",SUMPRODUCT(Data_Xuất[Xuất-NX]*(Data_Xuất[Year]=BF$1)*(Data_Xuất[Main SKU name_GOM]=$A6)),SUMPRODUCT(Data_Xuất[Xuất-NX]*(Data_Xuất[Year]=BF$1)*(Data_Xuất[Main SKU name_GOM]=$A6)*(Data_Xuất[Month]=BF$2)))</f>
        <v>672030</v>
      </c>
      <c r="BG6" s="29" cm="1">
        <f t="array" ref="BG6">IF(BG$2="FY",SUMPRODUCT(Data_Nhập[Tổng Nhập-NX]*(Data_Nhập[Year]=BG$1)*(Data_Nhập[Main SKU name_GOM]=$A6)*(Data_Nhập[SKU name_NHẬP_GOM]=BG$3)),SUMPRODUCT(Data_Nhập[Tổng Nhập-NX]*(Data_Nhập[Year]=BG$1)*(Data_Nhập[Month]=BG$2)*(Data_Nhập[Main SKU name_GOM]=$A6)*(Data_Nhập[SKU name_NHẬP_GOM]=BG$3)))</f>
        <v>616000</v>
      </c>
      <c r="BH6" s="29" cm="1">
        <f t="array" ref="BH6">IF(BH$2="FY",SUMPRODUCT(Data_Nhập[Tổng Nhập-NX]*(Data_Nhập[Year]=BH$1)*(Data_Nhập[Main SKU name_GOM]=$A6)*(Data_Nhập[SKU name_NHẬP_GOM]=BH$3)),SUMPRODUCT(Data_Nhập[Tổng Nhập-NX]*(Data_Nhập[Year]=BH$1)*(Data_Nhập[Month]=BH$2)*(Data_Nhập[Main SKU name_GOM]=$A6)*(Data_Nhập[SKU name_NHẬP_GOM]=BH$3)))</f>
        <v>1100</v>
      </c>
      <c r="BI6" s="29" cm="1">
        <f t="array" ref="BI6">IF(BI$2="FY",SUMPRODUCT(Data_Nhập[Tổng Nhập-NX]*(Data_Nhập[Year]=BI$1)*(Data_Nhập[Main SKU name_GOM]=$A6)*(Data_Nhập[SKU name_NHẬP_GOM]=BI$3)),SUMPRODUCT(Data_Nhập[Tổng Nhập-NX]*(Data_Nhập[Year]=BI$1)*(Data_Nhập[Month]=BI$2)*(Data_Nhập[Main SKU name_GOM]=$A6)*(Data_Nhập[SKU name_NHẬP_GOM]=BI$3)))</f>
        <v>0</v>
      </c>
      <c r="BJ6" s="29" cm="1">
        <f t="array" ref="BJ6">IF(BJ$2="FY",SUMPRODUCT(Data_Nhập[Tổng Nhập-NX]*(Data_Nhập[Year]=BJ$1)*(Data_Nhập[Main SKU name_GOM]=$A6)*(Data_Nhập[SKU name_NHẬP_GOM]=BJ$3)),SUMPRODUCT(Data_Nhập[Tổng Nhập-NX]*(Data_Nhập[Year]=BJ$1)*(Data_Nhập[Month]=BJ$2)*(Data_Nhập[Main SKU name_GOM]=$A6)*(Data_Nhập[SKU name_NHẬP_GOM]=BJ$3)))</f>
        <v>0</v>
      </c>
      <c r="BK6" s="29" cm="1">
        <f t="array" ref="BK6">IF(BK$2="FY",SUMPRODUCT(Data_Nhập[Tổng Nhập-NX]*(Data_Nhập[Year]=BK$1)*(Data_Nhập[Main SKU name_GOM]=$A6)*(Data_Nhập[SKU name_NHẬP_GOM]=BK$3)),SUMPRODUCT(Data_Nhập[Tổng Nhập-NX]*(Data_Nhập[Year]=BK$1)*(Data_Nhập[Month]=BK$2)*(Data_Nhập[Main SKU name_GOM]=$A6)*(Data_Nhập[SKU name_NHẬP_GOM]=BK$3)))</f>
        <v>8800</v>
      </c>
      <c r="BL6" s="29" cm="1">
        <f t="array" ref="BL6">IF(BL$2="FY",SUMPRODUCT(Data_Nhập[Tổng Nhập-NX]*(Data_Nhập[Year]=BL$1)*(Data_Nhập[Main SKU name_GOM]=$A6)*(Data_Nhập[SKU name_NHẬP_GOM]=BL$3)),SUMPRODUCT(Data_Nhập[Tổng Nhập-NX]*(Data_Nhập[Year]=BL$1)*(Data_Nhập[Month]=BL$2)*(Data_Nhập[Main SKU name_GOM]=$A6)*(Data_Nhập[SKU name_NHẬP_GOM]=BL$3)))</f>
        <v>0</v>
      </c>
      <c r="BM6" s="29" cm="1">
        <f t="array" ref="BM6">IF(BM$2="FY",SUMPRODUCT(Data_Nhập[Tổng Nhập-NX]*(Data_Nhập[Year]=BM$1)*(Data_Nhập[Main SKU name_GOM]=$A6)*(Data_Nhập[SKU name_NHẬP_GOM]=BM$3)),SUMPRODUCT(Data_Nhập[Tổng Nhập-NX]*(Data_Nhập[Year]=BM$1)*(Data_Nhập[Month]=BM$2)*(Data_Nhập[Main SKU name_GOM]=$A6)*(Data_Nhập[SKU name_NHẬP_GOM]=BM$3)))</f>
        <v>0</v>
      </c>
      <c r="BN6" s="29" cm="1">
        <f t="array" ref="BN6">IF(BN$2="FY",SUMPRODUCT(Data_Nhập[Tổng Nhập-NX]*(Data_Nhập[Year]=BN$1)*(Data_Nhập[Main SKU name_GOM]=$A6)*(Data_Nhập[SKU name_NHẬP_GOM]=BN$3)),SUMPRODUCT(Data_Nhập[Tổng Nhập-NX]*(Data_Nhập[Year]=BN$1)*(Data_Nhập[Month]=BN$2)*(Data_Nhập[Main SKU name_GOM]=$A6)*(Data_Nhập[SKU name_NHẬP_GOM]=BN$3)))</f>
        <v>0</v>
      </c>
      <c r="BO6" s="29" cm="1">
        <f t="array" ref="BO6">IF(BO$2="FY",SUMPRODUCT(Data_Nhập[Tổng Nhập-NX]*(Data_Nhập[Year]=BO$1)*(Data_Nhập[Main SKU name_GOM]=$A6)*(Data_Nhập[SKU name_NHẬP_GOM]=BO$3)),SUMPRODUCT(Data_Nhập[Tổng Nhập-NX]*(Data_Nhập[Year]=BO$1)*(Data_Nhập[Month]=BO$2)*(Data_Nhập[Main SKU name_GOM]=$A6)*(Data_Nhập[SKU name_NHẬP_GOM]=BO$3)))</f>
        <v>0</v>
      </c>
      <c r="BP6" s="29" cm="1">
        <f t="array" ref="BP6">IF(BP$2="FY",SUMPRODUCT(Data_Nhập[Tổng Nhập-NX]*(Data_Nhập[Year]=BP$1)*(Data_Nhập[Main SKU name_GOM]=$A6)*(Data_Nhập[SKU name_NHẬP_GOM]=BP$3)),SUMPRODUCT(Data_Nhập[Tổng Nhập-NX]*(Data_Nhập[Year]=BP$1)*(Data_Nhập[Month]=BP$2)*(Data_Nhập[Main SKU name_GOM]=$A6)*(Data_Nhập[SKU name_NHẬP_GOM]=BP$3)))</f>
        <v>6600.0000000000009</v>
      </c>
      <c r="BQ6" s="29" cm="1">
        <f t="array" ref="BQ6">IF(BQ$2="FY",SUMPRODUCT(Data_Nhập[Tổng Nhập-NX]*(Data_Nhập[Year]=BQ$1)*(Data_Nhập[Main SKU name_GOM]=$A6)*(Data_Nhập[SKU name_NHẬP_GOM]=BQ$3)),SUMPRODUCT(Data_Nhập[Tổng Nhập-NX]*(Data_Nhập[Year]=BQ$1)*(Data_Nhập[Month]=BQ$2)*(Data_Nhập[Main SKU name_GOM]=$A6)*(Data_Nhập[SKU name_NHẬP_GOM]=BQ$3)))</f>
        <v>0</v>
      </c>
      <c r="BR6" s="29" cm="1">
        <f t="array" ref="BR6">IF(BR$2="FY",SUMPRODUCT(Data_Nhập[Tổng Nhập-NX]*(Data_Nhập[Year]=BR$1)*(Data_Nhập[Main SKU name_GOM]=$A6)*(Data_Nhập[SKU name_NHẬP_GOM]=BR$3)),SUMPRODUCT(Data_Nhập[Tổng Nhập-NX]*(Data_Nhập[Year]=BR$1)*(Data_Nhập[Month]=BR$2)*(Data_Nhập[Main SKU name_GOM]=$A6)*(Data_Nhập[SKU name_NHẬP_GOM]=BR$3)))</f>
        <v>0</v>
      </c>
      <c r="BS6" s="29" cm="1">
        <f t="array" ref="BS6">IF(BS$2="FY",SUMPRODUCT(Data_Nhập[Tổng Nhập-NX]*(Data_Nhập[Year]=BS$1)*(Data_Nhập[Main SKU name_GOM]=$A6)*(Data_Nhập[SKU name_NHẬP_GOM]=BS$3)),SUMPRODUCT(Data_Nhập[Tổng Nhập-NX]*(Data_Nhập[Year]=BS$1)*(Data_Nhập[Month]=BS$2)*(Data_Nhập[Main SKU name_GOM]=$A6)*(Data_Nhập[SKU name_NHẬP_GOM]=BS$3)))</f>
        <v>0</v>
      </c>
      <c r="BT6" s="29" cm="1">
        <f t="array" ref="BT6">IF(BT$2="FY",SUMPRODUCT(Data_Nhập[Tổng Nhập-NX]*(Data_Nhập[Year]=BT$1)*(Data_Nhập[Main SKU name_GOM]=$A6)*(Data_Nhập[SKU name_NHẬP_GOM]=BT$3)),SUMPRODUCT(Data_Nhập[Tổng Nhập-NX]*(Data_Nhập[Year]=BT$1)*(Data_Nhập[Month]=BT$2)*(Data_Nhập[Main SKU name_GOM]=$A6)*(Data_Nhập[SKU name_NHẬP_GOM]=BT$3)))</f>
        <v>29171</v>
      </c>
      <c r="BU6" s="29" cm="1">
        <f t="array" ref="BU6">IF(BU$2="FY",SUMPRODUCT(Data_Nhập[Tổng Nhập-NX]*(Data_Nhập[Year]=BU$1)*(Data_Nhập[Main SKU name_GOM]=$A6)*(Data_Nhập[SKU name_NHẬP_GOM]=BU$3)),SUMPRODUCT(Data_Nhập[Tổng Nhập-NX]*(Data_Nhập[Year]=BU$1)*(Data_Nhập[Month]=BU$2)*(Data_Nhập[Main SKU name_GOM]=$A6)*(Data_Nhập[SKU name_NHẬP_GOM]=BU$3)))</f>
        <v>0</v>
      </c>
      <c r="BV6" s="30">
        <f>SUM(BG6:BU6)</f>
        <v>661671</v>
      </c>
      <c r="BX6" s="30" cm="1">
        <f t="array" ref="BX6">IF(BX$2="FY",SUMPRODUCT(Data_Xuất[Xuất-NX]*(Data_Xuất[Year]=BX$1)*(Data_Xuất[Main SKU name_GOM]=$A6)),SUMPRODUCT(Data_Xuất[Xuất-NX]*(Data_Xuất[Year]=BX$1)*(Data_Xuất[Main SKU name_GOM]=$A6)*(Data_Xuất[Month]=BX$2)))</f>
        <v>963780.99999999953</v>
      </c>
      <c r="BY6" s="29" cm="1">
        <f t="array" ref="BY6">IF(BY$2="FY",SUMPRODUCT(Data_Nhập[Tổng Nhập-NX]*(Data_Nhập[Year]=BY$1)*(Data_Nhập[Main SKU name_GOM]=$A6)*(Data_Nhập[SKU name_NHẬP_GOM]=BY$3)),SUMPRODUCT(Data_Nhập[Tổng Nhập-NX]*(Data_Nhập[Year]=BY$1)*(Data_Nhập[Month]=BY$2)*(Data_Nhập[Main SKU name_GOM]=$A6)*(Data_Nhập[SKU name_NHẬP_GOM]=BY$3)))</f>
        <v>850300.00000000012</v>
      </c>
      <c r="BZ6" s="29" cm="1">
        <f t="array" ref="BZ6">IF(BZ$2="FY",SUMPRODUCT(Data_Nhập[Tổng Nhập-NX]*(Data_Nhập[Year]=BZ$1)*(Data_Nhập[Main SKU name_GOM]=$A6)*(Data_Nhập[SKU name_NHẬP_GOM]=BZ$3)),SUMPRODUCT(Data_Nhập[Tổng Nhập-NX]*(Data_Nhập[Year]=BZ$1)*(Data_Nhập[Month]=BZ$2)*(Data_Nhập[Main SKU name_GOM]=$A6)*(Data_Nhập[SKU name_NHẬP_GOM]=BZ$3)))</f>
        <v>13199.999999999998</v>
      </c>
      <c r="CA6" s="29" cm="1">
        <f t="array" ref="CA6">IF(CA$2="FY",SUMPRODUCT(Data_Nhập[Tổng Nhập-NX]*(Data_Nhập[Year]=CA$1)*(Data_Nhập[Main SKU name_GOM]=$A6)*(Data_Nhập[SKU name_NHẬP_GOM]=CA$3)),SUMPRODUCT(Data_Nhập[Tổng Nhập-NX]*(Data_Nhập[Year]=CA$1)*(Data_Nhập[Month]=CA$2)*(Data_Nhập[Main SKU name_GOM]=$A6)*(Data_Nhập[SKU name_NHẬP_GOM]=CA$3)))</f>
        <v>47300</v>
      </c>
      <c r="CB6" s="29" cm="1">
        <f t="array" ref="CB6">IF(CB$2="FY",SUMPRODUCT(Data_Nhập[Tổng Nhập-NX]*(Data_Nhập[Year]=CB$1)*(Data_Nhập[Main SKU name_GOM]=$A6)*(Data_Nhập[SKU name_NHẬP_GOM]=CB$3)),SUMPRODUCT(Data_Nhập[Tổng Nhập-NX]*(Data_Nhập[Year]=CB$1)*(Data_Nhập[Month]=CB$2)*(Data_Nhập[Main SKU name_GOM]=$A6)*(Data_Nhập[SKU name_NHẬP_GOM]=CB$3)))</f>
        <v>0</v>
      </c>
      <c r="CC6" s="29" cm="1">
        <f t="array" ref="CC6">IF(CC$2="FY",SUMPRODUCT(Data_Nhập[Tổng Nhập-NX]*(Data_Nhập[Year]=CC$1)*(Data_Nhập[Main SKU name_GOM]=$A6)*(Data_Nhập[SKU name_NHẬP_GOM]=CC$3)),SUMPRODUCT(Data_Nhập[Tổng Nhập-NX]*(Data_Nhập[Year]=CC$1)*(Data_Nhập[Month]=CC$2)*(Data_Nhập[Main SKU name_GOM]=$A6)*(Data_Nhập[SKU name_NHẬP_GOM]=CC$3)))</f>
        <v>13200</v>
      </c>
      <c r="CD6" s="29" cm="1">
        <f t="array" ref="CD6">IF(CD$2="FY",SUMPRODUCT(Data_Nhập[Tổng Nhập-NX]*(Data_Nhập[Year]=CD$1)*(Data_Nhập[Main SKU name_GOM]=$A6)*(Data_Nhập[SKU name_NHẬP_GOM]=CD$3)),SUMPRODUCT(Data_Nhập[Tổng Nhập-NX]*(Data_Nhập[Year]=CD$1)*(Data_Nhập[Month]=CD$2)*(Data_Nhập[Main SKU name_GOM]=$A6)*(Data_Nhập[SKU name_NHẬP_GOM]=CD$3)))</f>
        <v>0</v>
      </c>
      <c r="CE6" s="29" cm="1">
        <f t="array" ref="CE6">IF(CE$2="FY",SUMPRODUCT(Data_Nhập[Tổng Nhập-NX]*(Data_Nhập[Year]=CE$1)*(Data_Nhập[Main SKU name_GOM]=$A6)*(Data_Nhập[SKU name_NHẬP_GOM]=CE$3)),SUMPRODUCT(Data_Nhập[Tổng Nhập-NX]*(Data_Nhập[Year]=CE$1)*(Data_Nhập[Month]=CE$2)*(Data_Nhập[Main SKU name_GOM]=$A6)*(Data_Nhập[SKU name_NHẬP_GOM]=CE$3)))</f>
        <v>0</v>
      </c>
      <c r="CF6" s="29" cm="1">
        <f t="array" ref="CF6">IF(CF$2="FY",SUMPRODUCT(Data_Nhập[Tổng Nhập-NX]*(Data_Nhập[Year]=CF$1)*(Data_Nhập[Main SKU name_GOM]=$A6)*(Data_Nhập[SKU name_NHẬP_GOM]=CF$3)),SUMPRODUCT(Data_Nhập[Tổng Nhập-NX]*(Data_Nhập[Year]=CF$1)*(Data_Nhập[Month]=CF$2)*(Data_Nhập[Main SKU name_GOM]=$A6)*(Data_Nhập[SKU name_NHẬP_GOM]=CF$3)))</f>
        <v>0</v>
      </c>
      <c r="CG6" s="29" cm="1">
        <f t="array" ref="CG6">IF(CG$2="FY",SUMPRODUCT(Data_Nhập[Tổng Nhập-NX]*(Data_Nhập[Year]=CG$1)*(Data_Nhập[Main SKU name_GOM]=$A6)*(Data_Nhập[SKU name_NHẬP_GOM]=CG$3)),SUMPRODUCT(Data_Nhập[Tổng Nhập-NX]*(Data_Nhập[Year]=CG$1)*(Data_Nhập[Month]=CG$2)*(Data_Nhập[Main SKU name_GOM]=$A6)*(Data_Nhập[SKU name_NHẬP_GOM]=CG$3)))</f>
        <v>2200</v>
      </c>
      <c r="CH6" s="29" cm="1">
        <f t="array" ref="CH6">IF(CH$2="FY",SUMPRODUCT(Data_Nhập[Tổng Nhập-NX]*(Data_Nhập[Year]=CH$1)*(Data_Nhập[Main SKU name_GOM]=$A6)*(Data_Nhập[SKU name_NHẬP_GOM]=CH$3)),SUMPRODUCT(Data_Nhập[Tổng Nhập-NX]*(Data_Nhập[Year]=CH$1)*(Data_Nhập[Month]=CH$2)*(Data_Nhập[Main SKU name_GOM]=$A6)*(Data_Nhập[SKU name_NHẬP_GOM]=CH$3)))</f>
        <v>2200</v>
      </c>
      <c r="CI6" s="29" cm="1">
        <f t="array" ref="CI6">IF(CI$2="FY",SUMPRODUCT(Data_Nhập[Tổng Nhập-NX]*(Data_Nhập[Year]=CI$1)*(Data_Nhập[Main SKU name_GOM]=$A6)*(Data_Nhập[SKU name_NHẬP_GOM]=CI$3)),SUMPRODUCT(Data_Nhập[Tổng Nhập-NX]*(Data_Nhập[Year]=CI$1)*(Data_Nhập[Month]=CI$2)*(Data_Nhập[Main SKU name_GOM]=$A6)*(Data_Nhập[SKU name_NHẬP_GOM]=CI$3)))</f>
        <v>0</v>
      </c>
      <c r="CJ6" s="29" cm="1">
        <f t="array" ref="CJ6">IF(CJ$2="FY",SUMPRODUCT(Data_Nhập[Tổng Nhập-NX]*(Data_Nhập[Year]=CJ$1)*(Data_Nhập[Main SKU name_GOM]=$A6)*(Data_Nhập[SKU name_NHẬP_GOM]=CJ$3)),SUMPRODUCT(Data_Nhập[Tổng Nhập-NX]*(Data_Nhập[Year]=CJ$1)*(Data_Nhập[Month]=CJ$2)*(Data_Nhập[Main SKU name_GOM]=$A6)*(Data_Nhập[SKU name_NHẬP_GOM]=CJ$3)))</f>
        <v>2200</v>
      </c>
      <c r="CK6" s="29" cm="1">
        <f t="array" ref="CK6">IF(CK$2="FY",SUMPRODUCT(Data_Nhập[Tổng Nhập-NX]*(Data_Nhập[Year]=CK$1)*(Data_Nhập[Main SKU name_GOM]=$A6)*(Data_Nhập[SKU name_NHẬP_GOM]=CK$3)),SUMPRODUCT(Data_Nhập[Tổng Nhập-NX]*(Data_Nhập[Year]=CK$1)*(Data_Nhập[Month]=CK$2)*(Data_Nhập[Main SKU name_GOM]=$A6)*(Data_Nhập[SKU name_NHẬP_GOM]=CK$3)))</f>
        <v>0</v>
      </c>
      <c r="CL6" s="29" cm="1">
        <f t="array" ref="CL6">IF(CL$2="FY",SUMPRODUCT(Data_Nhập[Tổng Nhập-NX]*(Data_Nhập[Year]=CL$1)*(Data_Nhập[Main SKU name_GOM]=$A6)*(Data_Nhập[SKU name_NHẬP_GOM]=CL$3)),SUMPRODUCT(Data_Nhập[Tổng Nhập-NX]*(Data_Nhập[Year]=CL$1)*(Data_Nhập[Month]=CL$2)*(Data_Nhập[Main SKU name_GOM]=$A6)*(Data_Nhập[SKU name_NHẬP_GOM]=CL$3)))</f>
        <v>19822.999999999996</v>
      </c>
      <c r="CM6" s="29" cm="1">
        <f t="array" ref="CM6">IF(CM$2="FY",SUMPRODUCT(Data_Nhập[Tổng Nhập-NX]*(Data_Nhập[Year]=CM$1)*(Data_Nhập[Main SKU name_GOM]=$A6)*(Data_Nhập[SKU name_NHẬP_GOM]=CM$3)),SUMPRODUCT(Data_Nhập[Tổng Nhập-NX]*(Data_Nhập[Year]=CM$1)*(Data_Nhập[Month]=CM$2)*(Data_Nhập[Main SKU name_GOM]=$A6)*(Data_Nhập[SKU name_NHẬP_GOM]=CM$3)))</f>
        <v>0</v>
      </c>
      <c r="CN6" s="30">
        <f>SUM(BY6:CM6)</f>
        <v>950423.00000000012</v>
      </c>
      <c r="CP6" s="30" cm="1">
        <f t="array" ref="CP6">IF(CP$2="FY",SUMPRODUCT(Data_Xuất[Xuất-NX]*(Data_Xuất[Year]=CP$1)*(Data_Xuất[Main SKU name_GOM]=$A6)),SUMPRODUCT(Data_Xuất[Xuất-NX]*(Data_Xuất[Year]=CP$1)*(Data_Xuất[Main SKU name_GOM]=$A6)*(Data_Xuất[Month]=CP$2)))</f>
        <v>0</v>
      </c>
      <c r="CQ6" s="29" cm="1">
        <f t="array" ref="CQ6">IF(CQ$2="FY",SUMPRODUCT(Data_Nhập[Tổng Nhập-NX]*(Data_Nhập[Year]=CQ$1)*(Data_Nhập[Main SKU name_GOM]=$A6)*(Data_Nhập[SKU name_NHẬP_GOM]=CQ$3)),SUMPRODUCT(Data_Nhập[Tổng Nhập-NX]*(Data_Nhập[Year]=CQ$1)*(Data_Nhập[Month]=CQ$2)*(Data_Nhập[Main SKU name_GOM]=$A6)*(Data_Nhập[SKU name_NHẬP_GOM]=CQ$3)))</f>
        <v>0</v>
      </c>
      <c r="CR6" s="29" cm="1">
        <f t="array" ref="CR6">IF(CR$2="FY",SUMPRODUCT(Data_Nhập[Tổng Nhập-NX]*(Data_Nhập[Year]=CR$1)*(Data_Nhập[Main SKU name_GOM]=$A6)*(Data_Nhập[SKU name_NHẬP_GOM]=CR$3)),SUMPRODUCT(Data_Nhập[Tổng Nhập-NX]*(Data_Nhập[Year]=CR$1)*(Data_Nhập[Month]=CR$2)*(Data_Nhập[Main SKU name_GOM]=$A6)*(Data_Nhập[SKU name_NHẬP_GOM]=CR$3)))</f>
        <v>0</v>
      </c>
      <c r="CS6" s="29" cm="1">
        <f t="array" ref="CS6">IF(CS$2="FY",SUMPRODUCT(Data_Nhập[Tổng Nhập-NX]*(Data_Nhập[Year]=CS$1)*(Data_Nhập[Main SKU name_GOM]=$A6)*(Data_Nhập[SKU name_NHẬP_GOM]=CS$3)),SUMPRODUCT(Data_Nhập[Tổng Nhập-NX]*(Data_Nhập[Year]=CS$1)*(Data_Nhập[Month]=CS$2)*(Data_Nhập[Main SKU name_GOM]=$A6)*(Data_Nhập[SKU name_NHẬP_GOM]=CS$3)))</f>
        <v>0</v>
      </c>
      <c r="CT6" s="29" cm="1">
        <f t="array" ref="CT6">IF(CT$2="FY",SUMPRODUCT(Data_Nhập[Tổng Nhập-NX]*(Data_Nhập[Year]=CT$1)*(Data_Nhập[Main SKU name_GOM]=$A6)*(Data_Nhập[SKU name_NHẬP_GOM]=CT$3)),SUMPRODUCT(Data_Nhập[Tổng Nhập-NX]*(Data_Nhập[Year]=CT$1)*(Data_Nhập[Month]=CT$2)*(Data_Nhập[Main SKU name_GOM]=$A6)*(Data_Nhập[SKU name_NHẬP_GOM]=CT$3)))</f>
        <v>0</v>
      </c>
      <c r="CU6" s="29" cm="1">
        <f t="array" ref="CU6">IF(CU$2="FY",SUMPRODUCT(Data_Nhập[Tổng Nhập-NX]*(Data_Nhập[Year]=CU$1)*(Data_Nhập[Main SKU name_GOM]=$A6)*(Data_Nhập[SKU name_NHẬP_GOM]=CU$3)),SUMPRODUCT(Data_Nhập[Tổng Nhập-NX]*(Data_Nhập[Year]=CU$1)*(Data_Nhập[Month]=CU$2)*(Data_Nhập[Main SKU name_GOM]=$A6)*(Data_Nhập[SKU name_NHẬP_GOM]=CU$3)))</f>
        <v>0</v>
      </c>
      <c r="CV6" s="29" cm="1">
        <f t="array" ref="CV6">IF(CV$2="FY",SUMPRODUCT(Data_Nhập[Tổng Nhập-NX]*(Data_Nhập[Year]=CV$1)*(Data_Nhập[Main SKU name_GOM]=$A6)*(Data_Nhập[SKU name_NHẬP_GOM]=CV$3)),SUMPRODUCT(Data_Nhập[Tổng Nhập-NX]*(Data_Nhập[Year]=CV$1)*(Data_Nhập[Month]=CV$2)*(Data_Nhập[Main SKU name_GOM]=$A6)*(Data_Nhập[SKU name_NHẬP_GOM]=CV$3)))</f>
        <v>0</v>
      </c>
      <c r="CW6" s="29" cm="1">
        <f t="array" ref="CW6">IF(CW$2="FY",SUMPRODUCT(Data_Nhập[Tổng Nhập-NX]*(Data_Nhập[Year]=CW$1)*(Data_Nhập[Main SKU name_GOM]=$A6)*(Data_Nhập[SKU name_NHẬP_GOM]=CW$3)),SUMPRODUCT(Data_Nhập[Tổng Nhập-NX]*(Data_Nhập[Year]=CW$1)*(Data_Nhập[Month]=CW$2)*(Data_Nhập[Main SKU name_GOM]=$A6)*(Data_Nhập[SKU name_NHẬP_GOM]=CW$3)))</f>
        <v>0</v>
      </c>
      <c r="CX6" s="29" cm="1">
        <f t="array" ref="CX6">IF(CX$2="FY",SUMPRODUCT(Data_Nhập[Tổng Nhập-NX]*(Data_Nhập[Year]=CX$1)*(Data_Nhập[Main SKU name_GOM]=$A6)*(Data_Nhập[SKU name_NHẬP_GOM]=CX$3)),SUMPRODUCT(Data_Nhập[Tổng Nhập-NX]*(Data_Nhập[Year]=CX$1)*(Data_Nhập[Month]=CX$2)*(Data_Nhập[Main SKU name_GOM]=$A6)*(Data_Nhập[SKU name_NHẬP_GOM]=CX$3)))</f>
        <v>0</v>
      </c>
      <c r="CY6" s="29" cm="1">
        <f t="array" ref="CY6">IF(CY$2="FY",SUMPRODUCT(Data_Nhập[Tổng Nhập-NX]*(Data_Nhập[Year]=CY$1)*(Data_Nhập[Main SKU name_GOM]=$A6)*(Data_Nhập[SKU name_NHẬP_GOM]=CY$3)),SUMPRODUCT(Data_Nhập[Tổng Nhập-NX]*(Data_Nhập[Year]=CY$1)*(Data_Nhập[Month]=CY$2)*(Data_Nhập[Main SKU name_GOM]=$A6)*(Data_Nhập[SKU name_NHẬP_GOM]=CY$3)))</f>
        <v>0</v>
      </c>
      <c r="CZ6" s="29" cm="1">
        <f t="array" ref="CZ6">IF(CZ$2="FY",SUMPRODUCT(Data_Nhập[Tổng Nhập-NX]*(Data_Nhập[Year]=CZ$1)*(Data_Nhập[Main SKU name_GOM]=$A6)*(Data_Nhập[SKU name_NHẬP_GOM]=CZ$3)),SUMPRODUCT(Data_Nhập[Tổng Nhập-NX]*(Data_Nhập[Year]=CZ$1)*(Data_Nhập[Month]=CZ$2)*(Data_Nhập[Main SKU name_GOM]=$A6)*(Data_Nhập[SKU name_NHẬP_GOM]=CZ$3)))</f>
        <v>0</v>
      </c>
      <c r="DA6" s="29" cm="1">
        <f t="array" ref="DA6">IF(DA$2="FY",SUMPRODUCT(Data_Nhập[Tổng Nhập-NX]*(Data_Nhập[Year]=DA$1)*(Data_Nhập[Main SKU name_GOM]=$A6)*(Data_Nhập[SKU name_NHẬP_GOM]=DA$3)),SUMPRODUCT(Data_Nhập[Tổng Nhập-NX]*(Data_Nhập[Year]=DA$1)*(Data_Nhập[Month]=DA$2)*(Data_Nhập[Main SKU name_GOM]=$A6)*(Data_Nhập[SKU name_NHẬP_GOM]=DA$3)))</f>
        <v>0</v>
      </c>
      <c r="DB6" s="29" cm="1">
        <f t="array" ref="DB6">IF(DB$2="FY",SUMPRODUCT(Data_Nhập[Tổng Nhập-NX]*(Data_Nhập[Year]=DB$1)*(Data_Nhập[Main SKU name_GOM]=$A6)*(Data_Nhập[SKU name_NHẬP_GOM]=DB$3)),SUMPRODUCT(Data_Nhập[Tổng Nhập-NX]*(Data_Nhập[Year]=DB$1)*(Data_Nhập[Month]=DB$2)*(Data_Nhập[Main SKU name_GOM]=$A6)*(Data_Nhập[SKU name_NHẬP_GOM]=DB$3)))</f>
        <v>0</v>
      </c>
      <c r="DC6" s="29" cm="1">
        <f t="array" ref="DC6">IF(DC$2="FY",SUMPRODUCT(Data_Nhập[Tổng Nhập-NX]*(Data_Nhập[Year]=DC$1)*(Data_Nhập[Main SKU name_GOM]=$A6)*(Data_Nhập[SKU name_NHẬP_GOM]=DC$3)),SUMPRODUCT(Data_Nhập[Tổng Nhập-NX]*(Data_Nhập[Year]=DC$1)*(Data_Nhập[Month]=DC$2)*(Data_Nhập[Main SKU name_GOM]=$A6)*(Data_Nhập[SKU name_NHẬP_GOM]=DC$3)))</f>
        <v>0</v>
      </c>
      <c r="DD6" s="29" cm="1">
        <f t="array" ref="DD6">IF(DD$2="FY",SUMPRODUCT(Data_Nhập[Tổng Nhập-NX]*(Data_Nhập[Year]=DD$1)*(Data_Nhập[Main SKU name_GOM]=$A6)*(Data_Nhập[SKU name_NHẬP_GOM]=DD$3)),SUMPRODUCT(Data_Nhập[Tổng Nhập-NX]*(Data_Nhập[Year]=DD$1)*(Data_Nhập[Month]=DD$2)*(Data_Nhập[Main SKU name_GOM]=$A6)*(Data_Nhập[SKU name_NHẬP_GOM]=DD$3)))</f>
        <v>0</v>
      </c>
      <c r="DE6" s="29" cm="1">
        <f t="array" ref="DE6">IF(DE$2="FY",SUMPRODUCT(Data_Nhập[Tổng Nhập-NX]*(Data_Nhập[Year]=DE$1)*(Data_Nhập[Main SKU name_GOM]=$A6)*(Data_Nhập[SKU name_NHẬP_GOM]=DE$3)),SUMPRODUCT(Data_Nhập[Tổng Nhập-NX]*(Data_Nhập[Year]=DE$1)*(Data_Nhập[Month]=DE$2)*(Data_Nhập[Main SKU name_GOM]=$A6)*(Data_Nhập[SKU name_NHẬP_GOM]=DE$3)))</f>
        <v>0</v>
      </c>
      <c r="DF6" s="30">
        <f>SUM(CQ6:DE6)</f>
        <v>0</v>
      </c>
      <c r="DH6" s="30" cm="1">
        <f t="array" ref="DH6">IF(DH$2="FY",SUMPRODUCT(Data_Xuất[Xuất-NX]*(Data_Xuất[Year]=DH$1)*(Data_Xuất[Main SKU name_GOM]=$A6)),SUMPRODUCT(Data_Xuất[Xuất-NX]*(Data_Xuất[Year]=DH$1)*(Data_Xuất[Main SKU name_GOM]=$A6)*(Data_Xuất[Month]=DH$2)))</f>
        <v>0</v>
      </c>
      <c r="DI6" s="29" cm="1">
        <f t="array" ref="DI6">IF(DI$2="FY",SUMPRODUCT(Data_Nhập[Tổng Nhập-NX]*(Data_Nhập[Year]=DI$1)*(Data_Nhập[Main SKU name_GOM]=$A6)*(Data_Nhập[SKU name_NHẬP_GOM]=DI$3)),SUMPRODUCT(Data_Nhập[Tổng Nhập-NX]*(Data_Nhập[Year]=DI$1)*(Data_Nhập[Month]=DI$2)*(Data_Nhập[Main SKU name_GOM]=$A6)*(Data_Nhập[SKU name_NHẬP_GOM]=DI$3)))</f>
        <v>0</v>
      </c>
      <c r="DJ6" s="29" cm="1">
        <f t="array" ref="DJ6">IF(DJ$2="FY",SUMPRODUCT(Data_Nhập[Tổng Nhập-NX]*(Data_Nhập[Year]=DJ$1)*(Data_Nhập[Main SKU name_GOM]=$A6)*(Data_Nhập[SKU name_NHẬP_GOM]=DJ$3)),SUMPRODUCT(Data_Nhập[Tổng Nhập-NX]*(Data_Nhập[Year]=DJ$1)*(Data_Nhập[Month]=DJ$2)*(Data_Nhập[Main SKU name_GOM]=$A6)*(Data_Nhập[SKU name_NHẬP_GOM]=DJ$3)))</f>
        <v>0</v>
      </c>
      <c r="DK6" s="29" cm="1">
        <f t="array" ref="DK6">IF(DK$2="FY",SUMPRODUCT(Data_Nhập[Tổng Nhập-NX]*(Data_Nhập[Year]=DK$1)*(Data_Nhập[Main SKU name_GOM]=$A6)*(Data_Nhập[SKU name_NHẬP_GOM]=DK$3)),SUMPRODUCT(Data_Nhập[Tổng Nhập-NX]*(Data_Nhập[Year]=DK$1)*(Data_Nhập[Month]=DK$2)*(Data_Nhập[Main SKU name_GOM]=$A6)*(Data_Nhập[SKU name_NHẬP_GOM]=DK$3)))</f>
        <v>0</v>
      </c>
      <c r="DL6" s="29" cm="1">
        <f t="array" ref="DL6">IF(DL$2="FY",SUMPRODUCT(Data_Nhập[Tổng Nhập-NX]*(Data_Nhập[Year]=DL$1)*(Data_Nhập[Main SKU name_GOM]=$A6)*(Data_Nhập[SKU name_NHẬP_GOM]=DL$3)),SUMPRODUCT(Data_Nhập[Tổng Nhập-NX]*(Data_Nhập[Year]=DL$1)*(Data_Nhập[Month]=DL$2)*(Data_Nhập[Main SKU name_GOM]=$A6)*(Data_Nhập[SKU name_NHẬP_GOM]=DL$3)))</f>
        <v>0</v>
      </c>
      <c r="DM6" s="29" cm="1">
        <f t="array" ref="DM6">IF(DM$2="FY",SUMPRODUCT(Data_Nhập[Tổng Nhập-NX]*(Data_Nhập[Year]=DM$1)*(Data_Nhập[Main SKU name_GOM]=$A6)*(Data_Nhập[SKU name_NHẬP_GOM]=DM$3)),SUMPRODUCT(Data_Nhập[Tổng Nhập-NX]*(Data_Nhập[Year]=DM$1)*(Data_Nhập[Month]=DM$2)*(Data_Nhập[Main SKU name_GOM]=$A6)*(Data_Nhập[SKU name_NHẬP_GOM]=DM$3)))</f>
        <v>0</v>
      </c>
      <c r="DN6" s="29" cm="1">
        <f t="array" ref="DN6">IF(DN$2="FY",SUMPRODUCT(Data_Nhập[Tổng Nhập-NX]*(Data_Nhập[Year]=DN$1)*(Data_Nhập[Main SKU name_GOM]=$A6)*(Data_Nhập[SKU name_NHẬP_GOM]=DN$3)),SUMPRODUCT(Data_Nhập[Tổng Nhập-NX]*(Data_Nhập[Year]=DN$1)*(Data_Nhập[Month]=DN$2)*(Data_Nhập[Main SKU name_GOM]=$A6)*(Data_Nhập[SKU name_NHẬP_GOM]=DN$3)))</f>
        <v>0</v>
      </c>
      <c r="DO6" s="29" cm="1">
        <f t="array" ref="DO6">IF(DO$2="FY",SUMPRODUCT(Data_Nhập[Tổng Nhập-NX]*(Data_Nhập[Year]=DO$1)*(Data_Nhập[Main SKU name_GOM]=$A6)*(Data_Nhập[SKU name_NHẬP_GOM]=DO$3)),SUMPRODUCT(Data_Nhập[Tổng Nhập-NX]*(Data_Nhập[Year]=DO$1)*(Data_Nhập[Month]=DO$2)*(Data_Nhập[Main SKU name_GOM]=$A6)*(Data_Nhập[SKU name_NHẬP_GOM]=DO$3)))</f>
        <v>0</v>
      </c>
      <c r="DP6" s="29" cm="1">
        <f t="array" ref="DP6">IF(DP$2="FY",SUMPRODUCT(Data_Nhập[Tổng Nhập-NX]*(Data_Nhập[Year]=DP$1)*(Data_Nhập[Main SKU name_GOM]=$A6)*(Data_Nhập[SKU name_NHẬP_GOM]=DP$3)),SUMPRODUCT(Data_Nhập[Tổng Nhập-NX]*(Data_Nhập[Year]=DP$1)*(Data_Nhập[Month]=DP$2)*(Data_Nhập[Main SKU name_GOM]=$A6)*(Data_Nhập[SKU name_NHẬP_GOM]=DP$3)))</f>
        <v>0</v>
      </c>
      <c r="DQ6" s="29" cm="1">
        <f t="array" ref="DQ6">IF(DQ$2="FY",SUMPRODUCT(Data_Nhập[Tổng Nhập-NX]*(Data_Nhập[Year]=DQ$1)*(Data_Nhập[Main SKU name_GOM]=$A6)*(Data_Nhập[SKU name_NHẬP_GOM]=DQ$3)),SUMPRODUCT(Data_Nhập[Tổng Nhập-NX]*(Data_Nhập[Year]=DQ$1)*(Data_Nhập[Month]=DQ$2)*(Data_Nhập[Main SKU name_GOM]=$A6)*(Data_Nhập[SKU name_NHẬP_GOM]=DQ$3)))</f>
        <v>0</v>
      </c>
      <c r="DR6" s="29" cm="1">
        <f t="array" ref="DR6">IF(DR$2="FY",SUMPRODUCT(Data_Nhập[Tổng Nhập-NX]*(Data_Nhập[Year]=DR$1)*(Data_Nhập[Main SKU name_GOM]=$A6)*(Data_Nhập[SKU name_NHẬP_GOM]=DR$3)),SUMPRODUCT(Data_Nhập[Tổng Nhập-NX]*(Data_Nhập[Year]=DR$1)*(Data_Nhập[Month]=DR$2)*(Data_Nhập[Main SKU name_GOM]=$A6)*(Data_Nhập[SKU name_NHẬP_GOM]=DR$3)))</f>
        <v>0</v>
      </c>
      <c r="DS6" s="29" cm="1">
        <f t="array" ref="DS6">IF(DS$2="FY",SUMPRODUCT(Data_Nhập[Tổng Nhập-NX]*(Data_Nhập[Year]=DS$1)*(Data_Nhập[Main SKU name_GOM]=$A6)*(Data_Nhập[SKU name_NHẬP_GOM]=DS$3)),SUMPRODUCT(Data_Nhập[Tổng Nhập-NX]*(Data_Nhập[Year]=DS$1)*(Data_Nhập[Month]=DS$2)*(Data_Nhập[Main SKU name_GOM]=$A6)*(Data_Nhập[SKU name_NHẬP_GOM]=DS$3)))</f>
        <v>0</v>
      </c>
      <c r="DT6" s="29" cm="1">
        <f t="array" ref="DT6">IF(DT$2="FY",SUMPRODUCT(Data_Nhập[Tổng Nhập-NX]*(Data_Nhập[Year]=DT$1)*(Data_Nhập[Main SKU name_GOM]=$A6)*(Data_Nhập[SKU name_NHẬP_GOM]=DT$3)),SUMPRODUCT(Data_Nhập[Tổng Nhập-NX]*(Data_Nhập[Year]=DT$1)*(Data_Nhập[Month]=DT$2)*(Data_Nhập[Main SKU name_GOM]=$A6)*(Data_Nhập[SKU name_NHẬP_GOM]=DT$3)))</f>
        <v>0</v>
      </c>
      <c r="DU6" s="29" cm="1">
        <f t="array" ref="DU6">IF(DU$2="FY",SUMPRODUCT(Data_Nhập[Tổng Nhập-NX]*(Data_Nhập[Year]=DU$1)*(Data_Nhập[Main SKU name_GOM]=$A6)*(Data_Nhập[SKU name_NHẬP_GOM]=DU$3)),SUMPRODUCT(Data_Nhập[Tổng Nhập-NX]*(Data_Nhập[Year]=DU$1)*(Data_Nhập[Month]=DU$2)*(Data_Nhập[Main SKU name_GOM]=$A6)*(Data_Nhập[SKU name_NHẬP_GOM]=DU$3)))</f>
        <v>0</v>
      </c>
      <c r="DV6" s="29" cm="1">
        <f t="array" ref="DV6">IF(DV$2="FY",SUMPRODUCT(Data_Nhập[Tổng Nhập-NX]*(Data_Nhập[Year]=DV$1)*(Data_Nhập[Main SKU name_GOM]=$A6)*(Data_Nhập[SKU name_NHẬP_GOM]=DV$3)),SUMPRODUCT(Data_Nhập[Tổng Nhập-NX]*(Data_Nhập[Year]=DV$1)*(Data_Nhập[Month]=DV$2)*(Data_Nhập[Main SKU name_GOM]=$A6)*(Data_Nhập[SKU name_NHẬP_GOM]=DV$3)))</f>
        <v>0</v>
      </c>
      <c r="DW6" s="29" cm="1">
        <f t="array" ref="DW6">IF(DW$2="FY",SUMPRODUCT(Data_Nhập[Tổng Nhập-NX]*(Data_Nhập[Year]=DW$1)*(Data_Nhập[Main SKU name_GOM]=$A6)*(Data_Nhập[SKU name_NHẬP_GOM]=DW$3)),SUMPRODUCT(Data_Nhập[Tổng Nhập-NX]*(Data_Nhập[Year]=DW$1)*(Data_Nhập[Month]=DW$2)*(Data_Nhập[Main SKU name_GOM]=$A6)*(Data_Nhập[SKU name_NHẬP_GOM]=DW$3)))</f>
        <v>0</v>
      </c>
      <c r="DX6" s="30">
        <f>SUM(DI6:DW6)</f>
        <v>0</v>
      </c>
      <c r="DZ6" s="30" cm="1">
        <f t="array" ref="DZ6">IF(DZ$2="FY",SUMPRODUCT(Data_Xuất[Xuất-NX]*(Data_Xuất[Year]=DZ$1)*(Data_Xuất[Main SKU name_GOM]=$A6)),SUMPRODUCT(Data_Xuất[Xuất-NX]*(Data_Xuất[Year]=DZ$1)*(Data_Xuất[Main SKU name_GOM]=$A6)*(Data_Xuất[Month]=DZ$2)))</f>
        <v>0</v>
      </c>
      <c r="EA6" s="29" cm="1">
        <f t="array" ref="EA6">IF(EA$2="FY",SUMPRODUCT(Data_Nhập[Tổng Nhập-NX]*(Data_Nhập[Year]=EA$1)*(Data_Nhập[Main SKU name_GOM]=$A6)*(Data_Nhập[SKU name_NHẬP_GOM]=EA$3)),SUMPRODUCT(Data_Nhập[Tổng Nhập-NX]*(Data_Nhập[Year]=EA$1)*(Data_Nhập[Month]=EA$2)*(Data_Nhập[Main SKU name_GOM]=$A6)*(Data_Nhập[SKU name_NHẬP_GOM]=EA$3)))</f>
        <v>0</v>
      </c>
      <c r="EB6" s="29" cm="1">
        <f t="array" ref="EB6">IF(EB$2="FY",SUMPRODUCT(Data_Nhập[Tổng Nhập-NX]*(Data_Nhập[Year]=EB$1)*(Data_Nhập[Main SKU name_GOM]=$A6)*(Data_Nhập[SKU name_NHẬP_GOM]=EB$3)),SUMPRODUCT(Data_Nhập[Tổng Nhập-NX]*(Data_Nhập[Year]=EB$1)*(Data_Nhập[Month]=EB$2)*(Data_Nhập[Main SKU name_GOM]=$A6)*(Data_Nhập[SKU name_NHẬP_GOM]=EB$3)))</f>
        <v>0</v>
      </c>
      <c r="EC6" s="29" cm="1">
        <f t="array" ref="EC6">IF(EC$2="FY",SUMPRODUCT(Data_Nhập[Tổng Nhập-NX]*(Data_Nhập[Year]=EC$1)*(Data_Nhập[Main SKU name_GOM]=$A6)*(Data_Nhập[SKU name_NHẬP_GOM]=EC$3)),SUMPRODUCT(Data_Nhập[Tổng Nhập-NX]*(Data_Nhập[Year]=EC$1)*(Data_Nhập[Month]=EC$2)*(Data_Nhập[Main SKU name_GOM]=$A6)*(Data_Nhập[SKU name_NHẬP_GOM]=EC$3)))</f>
        <v>0</v>
      </c>
      <c r="ED6" s="29" cm="1">
        <f t="array" ref="ED6">IF(ED$2="FY",SUMPRODUCT(Data_Nhập[Tổng Nhập-NX]*(Data_Nhập[Year]=ED$1)*(Data_Nhập[Main SKU name_GOM]=$A6)*(Data_Nhập[SKU name_NHẬP_GOM]=ED$3)),SUMPRODUCT(Data_Nhập[Tổng Nhập-NX]*(Data_Nhập[Year]=ED$1)*(Data_Nhập[Month]=ED$2)*(Data_Nhập[Main SKU name_GOM]=$A6)*(Data_Nhập[SKU name_NHẬP_GOM]=ED$3)))</f>
        <v>0</v>
      </c>
      <c r="EE6" s="29" cm="1">
        <f t="array" ref="EE6">IF(EE$2="FY",SUMPRODUCT(Data_Nhập[Tổng Nhập-NX]*(Data_Nhập[Year]=EE$1)*(Data_Nhập[Main SKU name_GOM]=$A6)*(Data_Nhập[SKU name_NHẬP_GOM]=EE$3)),SUMPRODUCT(Data_Nhập[Tổng Nhập-NX]*(Data_Nhập[Year]=EE$1)*(Data_Nhập[Month]=EE$2)*(Data_Nhập[Main SKU name_GOM]=$A6)*(Data_Nhập[SKU name_NHẬP_GOM]=EE$3)))</f>
        <v>0</v>
      </c>
      <c r="EF6" s="29" cm="1">
        <f t="array" ref="EF6">IF(EF$2="FY",SUMPRODUCT(Data_Nhập[Tổng Nhập-NX]*(Data_Nhập[Year]=EF$1)*(Data_Nhập[Main SKU name_GOM]=$A6)*(Data_Nhập[SKU name_NHẬP_GOM]=EF$3)),SUMPRODUCT(Data_Nhập[Tổng Nhập-NX]*(Data_Nhập[Year]=EF$1)*(Data_Nhập[Month]=EF$2)*(Data_Nhập[Main SKU name_GOM]=$A6)*(Data_Nhập[SKU name_NHẬP_GOM]=EF$3)))</f>
        <v>0</v>
      </c>
      <c r="EG6" s="29" cm="1">
        <f t="array" ref="EG6">IF(EG$2="FY",SUMPRODUCT(Data_Nhập[Tổng Nhập-NX]*(Data_Nhập[Year]=EG$1)*(Data_Nhập[Main SKU name_GOM]=$A6)*(Data_Nhập[SKU name_NHẬP_GOM]=EG$3)),SUMPRODUCT(Data_Nhập[Tổng Nhập-NX]*(Data_Nhập[Year]=EG$1)*(Data_Nhập[Month]=EG$2)*(Data_Nhập[Main SKU name_GOM]=$A6)*(Data_Nhập[SKU name_NHẬP_GOM]=EG$3)))</f>
        <v>0</v>
      </c>
      <c r="EH6" s="29" cm="1">
        <f t="array" ref="EH6">IF(EH$2="FY",SUMPRODUCT(Data_Nhập[Tổng Nhập-NX]*(Data_Nhập[Year]=EH$1)*(Data_Nhập[Main SKU name_GOM]=$A6)*(Data_Nhập[SKU name_NHẬP_GOM]=EH$3)),SUMPRODUCT(Data_Nhập[Tổng Nhập-NX]*(Data_Nhập[Year]=EH$1)*(Data_Nhập[Month]=EH$2)*(Data_Nhập[Main SKU name_GOM]=$A6)*(Data_Nhập[SKU name_NHẬP_GOM]=EH$3)))</f>
        <v>0</v>
      </c>
      <c r="EI6" s="29" cm="1">
        <f t="array" ref="EI6">IF(EI$2="FY",SUMPRODUCT(Data_Nhập[Tổng Nhập-NX]*(Data_Nhập[Year]=EI$1)*(Data_Nhập[Main SKU name_GOM]=$A6)*(Data_Nhập[SKU name_NHẬP_GOM]=EI$3)),SUMPRODUCT(Data_Nhập[Tổng Nhập-NX]*(Data_Nhập[Year]=EI$1)*(Data_Nhập[Month]=EI$2)*(Data_Nhập[Main SKU name_GOM]=$A6)*(Data_Nhập[SKU name_NHẬP_GOM]=EI$3)))</f>
        <v>0</v>
      </c>
      <c r="EJ6" s="29" cm="1">
        <f t="array" ref="EJ6">IF(EJ$2="FY",SUMPRODUCT(Data_Nhập[Tổng Nhập-NX]*(Data_Nhập[Year]=EJ$1)*(Data_Nhập[Main SKU name_GOM]=$A6)*(Data_Nhập[SKU name_NHẬP_GOM]=EJ$3)),SUMPRODUCT(Data_Nhập[Tổng Nhập-NX]*(Data_Nhập[Year]=EJ$1)*(Data_Nhập[Month]=EJ$2)*(Data_Nhập[Main SKU name_GOM]=$A6)*(Data_Nhập[SKU name_NHẬP_GOM]=EJ$3)))</f>
        <v>0</v>
      </c>
      <c r="EK6" s="29" cm="1">
        <f t="array" ref="EK6">IF(EK$2="FY",SUMPRODUCT(Data_Nhập[Tổng Nhập-NX]*(Data_Nhập[Year]=EK$1)*(Data_Nhập[Main SKU name_GOM]=$A6)*(Data_Nhập[SKU name_NHẬP_GOM]=EK$3)),SUMPRODUCT(Data_Nhập[Tổng Nhập-NX]*(Data_Nhập[Year]=EK$1)*(Data_Nhập[Month]=EK$2)*(Data_Nhập[Main SKU name_GOM]=$A6)*(Data_Nhập[SKU name_NHẬP_GOM]=EK$3)))</f>
        <v>0</v>
      </c>
      <c r="EL6" s="29" cm="1">
        <f t="array" ref="EL6">IF(EL$2="FY",SUMPRODUCT(Data_Nhập[Tổng Nhập-NX]*(Data_Nhập[Year]=EL$1)*(Data_Nhập[Main SKU name_GOM]=$A6)*(Data_Nhập[SKU name_NHẬP_GOM]=EL$3)),SUMPRODUCT(Data_Nhập[Tổng Nhập-NX]*(Data_Nhập[Year]=EL$1)*(Data_Nhập[Month]=EL$2)*(Data_Nhập[Main SKU name_GOM]=$A6)*(Data_Nhập[SKU name_NHẬP_GOM]=EL$3)))</f>
        <v>0</v>
      </c>
      <c r="EM6" s="29" cm="1">
        <f t="array" ref="EM6">IF(EM$2="FY",SUMPRODUCT(Data_Nhập[Tổng Nhập-NX]*(Data_Nhập[Year]=EM$1)*(Data_Nhập[Main SKU name_GOM]=$A6)*(Data_Nhập[SKU name_NHẬP_GOM]=EM$3)),SUMPRODUCT(Data_Nhập[Tổng Nhập-NX]*(Data_Nhập[Year]=EM$1)*(Data_Nhập[Month]=EM$2)*(Data_Nhập[Main SKU name_GOM]=$A6)*(Data_Nhập[SKU name_NHẬP_GOM]=EM$3)))</f>
        <v>0</v>
      </c>
      <c r="EN6" s="29" cm="1">
        <f t="array" ref="EN6">IF(EN$2="FY",SUMPRODUCT(Data_Nhập[Tổng Nhập-NX]*(Data_Nhập[Year]=EN$1)*(Data_Nhập[Main SKU name_GOM]=$A6)*(Data_Nhập[SKU name_NHẬP_GOM]=EN$3)),SUMPRODUCT(Data_Nhập[Tổng Nhập-NX]*(Data_Nhập[Year]=EN$1)*(Data_Nhập[Month]=EN$2)*(Data_Nhập[Main SKU name_GOM]=$A6)*(Data_Nhập[SKU name_NHẬP_GOM]=EN$3)))</f>
        <v>0</v>
      </c>
      <c r="EO6" s="29" cm="1">
        <f t="array" ref="EO6">IF(EO$2="FY",SUMPRODUCT(Data_Nhập[Tổng Nhập-NX]*(Data_Nhập[Year]=EO$1)*(Data_Nhập[Main SKU name_GOM]=$A6)*(Data_Nhập[SKU name_NHẬP_GOM]=EO$3)),SUMPRODUCT(Data_Nhập[Tổng Nhập-NX]*(Data_Nhập[Year]=EO$1)*(Data_Nhập[Month]=EO$2)*(Data_Nhập[Main SKU name_GOM]=$A6)*(Data_Nhập[SKU name_NHẬP_GOM]=EO$3)))</f>
        <v>0</v>
      </c>
      <c r="EP6" s="30">
        <f>SUM(EA6:EO6)</f>
        <v>0</v>
      </c>
      <c r="ER6" s="30" cm="1">
        <f t="array" ref="ER6">IF(ER$2="FY",SUMPRODUCT(Data_Xuất[Xuất-NX]*(Data_Xuất[Year]=ER$1)*(Data_Xuất[Main SKU name_GOM]=$A6)),SUMPRODUCT(Data_Xuất[Xuất-NX]*(Data_Xuất[Year]=ER$1)*(Data_Xuất[Main SKU name_GOM]=$A6)*(Data_Xuất[Month]=ER$2)))</f>
        <v>0</v>
      </c>
      <c r="ES6" s="29" cm="1">
        <f t="array" ref="ES6">IF(ES$2="FY",SUMPRODUCT(Data_Nhập[Tổng Nhập-NX]*(Data_Nhập[Year]=ES$1)*(Data_Nhập[Main SKU name_GOM]=$A6)*(Data_Nhập[SKU name_NHẬP_GOM]=ES$3)),SUMPRODUCT(Data_Nhập[Tổng Nhập-NX]*(Data_Nhập[Year]=ES$1)*(Data_Nhập[Month]=ES$2)*(Data_Nhập[Main SKU name_GOM]=$A6)*(Data_Nhập[SKU name_NHẬP_GOM]=ES$3)))</f>
        <v>0</v>
      </c>
      <c r="ET6" s="29" cm="1">
        <f t="array" ref="ET6">IF(ET$2="FY",SUMPRODUCT(Data_Nhập[Tổng Nhập-NX]*(Data_Nhập[Year]=ET$1)*(Data_Nhập[Main SKU name_GOM]=$A6)*(Data_Nhập[SKU name_NHẬP_GOM]=ET$3)),SUMPRODUCT(Data_Nhập[Tổng Nhập-NX]*(Data_Nhập[Year]=ET$1)*(Data_Nhập[Month]=ET$2)*(Data_Nhập[Main SKU name_GOM]=$A6)*(Data_Nhập[SKU name_NHẬP_GOM]=ET$3)))</f>
        <v>0</v>
      </c>
      <c r="EU6" s="29" cm="1">
        <f t="array" ref="EU6">IF(EU$2="FY",SUMPRODUCT(Data_Nhập[Tổng Nhập-NX]*(Data_Nhập[Year]=EU$1)*(Data_Nhập[Main SKU name_GOM]=$A6)*(Data_Nhập[SKU name_NHẬP_GOM]=EU$3)),SUMPRODUCT(Data_Nhập[Tổng Nhập-NX]*(Data_Nhập[Year]=EU$1)*(Data_Nhập[Month]=EU$2)*(Data_Nhập[Main SKU name_GOM]=$A6)*(Data_Nhập[SKU name_NHẬP_GOM]=EU$3)))</f>
        <v>0</v>
      </c>
      <c r="EV6" s="29" cm="1">
        <f t="array" ref="EV6">IF(EV$2="FY",SUMPRODUCT(Data_Nhập[Tổng Nhập-NX]*(Data_Nhập[Year]=EV$1)*(Data_Nhập[Main SKU name_GOM]=$A6)*(Data_Nhập[SKU name_NHẬP_GOM]=EV$3)),SUMPRODUCT(Data_Nhập[Tổng Nhập-NX]*(Data_Nhập[Year]=EV$1)*(Data_Nhập[Month]=EV$2)*(Data_Nhập[Main SKU name_GOM]=$A6)*(Data_Nhập[SKU name_NHẬP_GOM]=EV$3)))</f>
        <v>0</v>
      </c>
      <c r="EW6" s="29" cm="1">
        <f t="array" ref="EW6">IF(EW$2="FY",SUMPRODUCT(Data_Nhập[Tổng Nhập-NX]*(Data_Nhập[Year]=EW$1)*(Data_Nhập[Main SKU name_GOM]=$A6)*(Data_Nhập[SKU name_NHẬP_GOM]=EW$3)),SUMPRODUCT(Data_Nhập[Tổng Nhập-NX]*(Data_Nhập[Year]=EW$1)*(Data_Nhập[Month]=EW$2)*(Data_Nhập[Main SKU name_GOM]=$A6)*(Data_Nhập[SKU name_NHẬP_GOM]=EW$3)))</f>
        <v>0</v>
      </c>
      <c r="EX6" s="29" cm="1">
        <f t="array" ref="EX6">IF(EX$2="FY",SUMPRODUCT(Data_Nhập[Tổng Nhập-NX]*(Data_Nhập[Year]=EX$1)*(Data_Nhập[Main SKU name_GOM]=$A6)*(Data_Nhập[SKU name_NHẬP_GOM]=EX$3)),SUMPRODUCT(Data_Nhập[Tổng Nhập-NX]*(Data_Nhập[Year]=EX$1)*(Data_Nhập[Month]=EX$2)*(Data_Nhập[Main SKU name_GOM]=$A6)*(Data_Nhập[SKU name_NHẬP_GOM]=EX$3)))</f>
        <v>0</v>
      </c>
      <c r="EY6" s="29" cm="1">
        <f t="array" ref="EY6">IF(EY$2="FY",SUMPRODUCT(Data_Nhập[Tổng Nhập-NX]*(Data_Nhập[Year]=EY$1)*(Data_Nhập[Main SKU name_GOM]=$A6)*(Data_Nhập[SKU name_NHẬP_GOM]=EY$3)),SUMPRODUCT(Data_Nhập[Tổng Nhập-NX]*(Data_Nhập[Year]=EY$1)*(Data_Nhập[Month]=EY$2)*(Data_Nhập[Main SKU name_GOM]=$A6)*(Data_Nhập[SKU name_NHẬP_GOM]=EY$3)))</f>
        <v>0</v>
      </c>
      <c r="EZ6" s="29" cm="1">
        <f t="array" ref="EZ6">IF(EZ$2="FY",SUMPRODUCT(Data_Nhập[Tổng Nhập-NX]*(Data_Nhập[Year]=EZ$1)*(Data_Nhập[Main SKU name_GOM]=$A6)*(Data_Nhập[SKU name_NHẬP_GOM]=EZ$3)),SUMPRODUCT(Data_Nhập[Tổng Nhập-NX]*(Data_Nhập[Year]=EZ$1)*(Data_Nhập[Month]=EZ$2)*(Data_Nhập[Main SKU name_GOM]=$A6)*(Data_Nhập[SKU name_NHẬP_GOM]=EZ$3)))</f>
        <v>0</v>
      </c>
      <c r="FA6" s="29" cm="1">
        <f t="array" ref="FA6">IF(FA$2="FY",SUMPRODUCT(Data_Nhập[Tổng Nhập-NX]*(Data_Nhập[Year]=FA$1)*(Data_Nhập[Main SKU name_GOM]=$A6)*(Data_Nhập[SKU name_NHẬP_GOM]=FA$3)),SUMPRODUCT(Data_Nhập[Tổng Nhập-NX]*(Data_Nhập[Year]=FA$1)*(Data_Nhập[Month]=FA$2)*(Data_Nhập[Main SKU name_GOM]=$A6)*(Data_Nhập[SKU name_NHẬP_GOM]=FA$3)))</f>
        <v>0</v>
      </c>
      <c r="FB6" s="29" cm="1">
        <f t="array" ref="FB6">IF(FB$2="FY",SUMPRODUCT(Data_Nhập[Tổng Nhập-NX]*(Data_Nhập[Year]=FB$1)*(Data_Nhập[Main SKU name_GOM]=$A6)*(Data_Nhập[SKU name_NHẬP_GOM]=FB$3)),SUMPRODUCT(Data_Nhập[Tổng Nhập-NX]*(Data_Nhập[Year]=FB$1)*(Data_Nhập[Month]=FB$2)*(Data_Nhập[Main SKU name_GOM]=$A6)*(Data_Nhập[SKU name_NHẬP_GOM]=FB$3)))</f>
        <v>0</v>
      </c>
      <c r="FC6" s="29" cm="1">
        <f t="array" ref="FC6">IF(FC$2="FY",SUMPRODUCT(Data_Nhập[Tổng Nhập-NX]*(Data_Nhập[Year]=FC$1)*(Data_Nhập[Main SKU name_GOM]=$A6)*(Data_Nhập[SKU name_NHẬP_GOM]=FC$3)),SUMPRODUCT(Data_Nhập[Tổng Nhập-NX]*(Data_Nhập[Year]=FC$1)*(Data_Nhập[Month]=FC$2)*(Data_Nhập[Main SKU name_GOM]=$A6)*(Data_Nhập[SKU name_NHẬP_GOM]=FC$3)))</f>
        <v>0</v>
      </c>
      <c r="FD6" s="29" cm="1">
        <f t="array" ref="FD6">IF(FD$2="FY",SUMPRODUCT(Data_Nhập[Tổng Nhập-NX]*(Data_Nhập[Year]=FD$1)*(Data_Nhập[Main SKU name_GOM]=$A6)*(Data_Nhập[SKU name_NHẬP_GOM]=FD$3)),SUMPRODUCT(Data_Nhập[Tổng Nhập-NX]*(Data_Nhập[Year]=FD$1)*(Data_Nhập[Month]=FD$2)*(Data_Nhập[Main SKU name_GOM]=$A6)*(Data_Nhập[SKU name_NHẬP_GOM]=FD$3)))</f>
        <v>0</v>
      </c>
      <c r="FE6" s="29" cm="1">
        <f t="array" ref="FE6">IF(FE$2="FY",SUMPRODUCT(Data_Nhập[Tổng Nhập-NX]*(Data_Nhập[Year]=FE$1)*(Data_Nhập[Main SKU name_GOM]=$A6)*(Data_Nhập[SKU name_NHẬP_GOM]=FE$3)),SUMPRODUCT(Data_Nhập[Tổng Nhập-NX]*(Data_Nhập[Year]=FE$1)*(Data_Nhập[Month]=FE$2)*(Data_Nhập[Main SKU name_GOM]=$A6)*(Data_Nhập[SKU name_NHẬP_GOM]=FE$3)))</f>
        <v>0</v>
      </c>
      <c r="FF6" s="29" cm="1">
        <f t="array" ref="FF6">IF(FF$2="FY",SUMPRODUCT(Data_Nhập[Tổng Nhập-NX]*(Data_Nhập[Year]=FF$1)*(Data_Nhập[Main SKU name_GOM]=$A6)*(Data_Nhập[SKU name_NHẬP_GOM]=FF$3)),SUMPRODUCT(Data_Nhập[Tổng Nhập-NX]*(Data_Nhập[Year]=FF$1)*(Data_Nhập[Month]=FF$2)*(Data_Nhập[Main SKU name_GOM]=$A6)*(Data_Nhập[SKU name_NHẬP_GOM]=FF$3)))</f>
        <v>0</v>
      </c>
      <c r="FG6" s="29" cm="1">
        <f t="array" ref="FG6">IF(FG$2="FY",SUMPRODUCT(Data_Nhập[Tổng Nhập-NX]*(Data_Nhập[Year]=FG$1)*(Data_Nhập[Main SKU name_GOM]=$A6)*(Data_Nhập[SKU name_NHẬP_GOM]=FG$3)),SUMPRODUCT(Data_Nhập[Tổng Nhập-NX]*(Data_Nhập[Year]=FG$1)*(Data_Nhập[Month]=FG$2)*(Data_Nhập[Main SKU name_GOM]=$A6)*(Data_Nhập[SKU name_NHẬP_GOM]=FG$3)))</f>
        <v>0</v>
      </c>
      <c r="FH6" s="30">
        <f>SUM(ES6:FG6)</f>
        <v>0</v>
      </c>
      <c r="FJ6" s="30" cm="1">
        <f t="array" ref="FJ6">IF(FJ$2="FY",SUMPRODUCT(Data_Xuất[Xuất-NX]*(Data_Xuất[Year]=FJ$1)*(Data_Xuất[Main SKU name_GOM]=$A6)),SUMPRODUCT(Data_Xuất[Xuất-NX]*(Data_Xuất[Year]=FJ$1)*(Data_Xuất[Main SKU name_GOM]=$A6)*(Data_Xuất[Month]=FJ$2)))</f>
        <v>0</v>
      </c>
      <c r="FK6" s="29" cm="1">
        <f t="array" ref="FK6">IF(FK$2="FY",SUMPRODUCT(Data_Nhập[Tổng Nhập-NX]*(Data_Nhập[Year]=FK$1)*(Data_Nhập[Main SKU name_GOM]=$A6)*(Data_Nhập[SKU name_NHẬP_GOM]=FK$3)),SUMPRODUCT(Data_Nhập[Tổng Nhập-NX]*(Data_Nhập[Year]=FK$1)*(Data_Nhập[Month]=FK$2)*(Data_Nhập[Main SKU name_GOM]=$A6)*(Data_Nhập[SKU name_NHẬP_GOM]=FK$3)))</f>
        <v>0</v>
      </c>
      <c r="FL6" s="29" cm="1">
        <f t="array" ref="FL6">IF(FL$2="FY",SUMPRODUCT(Data_Nhập[Tổng Nhập-NX]*(Data_Nhập[Year]=FL$1)*(Data_Nhập[Main SKU name_GOM]=$A6)*(Data_Nhập[SKU name_NHẬP_GOM]=FL$3)),SUMPRODUCT(Data_Nhập[Tổng Nhập-NX]*(Data_Nhập[Year]=FL$1)*(Data_Nhập[Month]=FL$2)*(Data_Nhập[Main SKU name_GOM]=$A6)*(Data_Nhập[SKU name_NHẬP_GOM]=FL$3)))</f>
        <v>0</v>
      </c>
      <c r="FM6" s="29" cm="1">
        <f t="array" ref="FM6">IF(FM$2="FY",SUMPRODUCT(Data_Nhập[Tổng Nhập-NX]*(Data_Nhập[Year]=FM$1)*(Data_Nhập[Main SKU name_GOM]=$A6)*(Data_Nhập[SKU name_NHẬP_GOM]=FM$3)),SUMPRODUCT(Data_Nhập[Tổng Nhập-NX]*(Data_Nhập[Year]=FM$1)*(Data_Nhập[Month]=FM$2)*(Data_Nhập[Main SKU name_GOM]=$A6)*(Data_Nhập[SKU name_NHẬP_GOM]=FM$3)))</f>
        <v>0</v>
      </c>
      <c r="FN6" s="29" cm="1">
        <f t="array" ref="FN6">IF(FN$2="FY",SUMPRODUCT(Data_Nhập[Tổng Nhập-NX]*(Data_Nhập[Year]=FN$1)*(Data_Nhập[Main SKU name_GOM]=$A6)*(Data_Nhập[SKU name_NHẬP_GOM]=FN$3)),SUMPRODUCT(Data_Nhập[Tổng Nhập-NX]*(Data_Nhập[Year]=FN$1)*(Data_Nhập[Month]=FN$2)*(Data_Nhập[Main SKU name_GOM]=$A6)*(Data_Nhập[SKU name_NHẬP_GOM]=FN$3)))</f>
        <v>0</v>
      </c>
      <c r="FO6" s="29" cm="1">
        <f t="array" ref="FO6">IF(FO$2="FY",SUMPRODUCT(Data_Nhập[Tổng Nhập-NX]*(Data_Nhập[Year]=FO$1)*(Data_Nhập[Main SKU name_GOM]=$A6)*(Data_Nhập[SKU name_NHẬP_GOM]=FO$3)),SUMPRODUCT(Data_Nhập[Tổng Nhập-NX]*(Data_Nhập[Year]=FO$1)*(Data_Nhập[Month]=FO$2)*(Data_Nhập[Main SKU name_GOM]=$A6)*(Data_Nhập[SKU name_NHẬP_GOM]=FO$3)))</f>
        <v>0</v>
      </c>
      <c r="FP6" s="29" cm="1">
        <f t="array" ref="FP6">IF(FP$2="FY",SUMPRODUCT(Data_Nhập[Tổng Nhập-NX]*(Data_Nhập[Year]=FP$1)*(Data_Nhập[Main SKU name_GOM]=$A6)*(Data_Nhập[SKU name_NHẬP_GOM]=FP$3)),SUMPRODUCT(Data_Nhập[Tổng Nhập-NX]*(Data_Nhập[Year]=FP$1)*(Data_Nhập[Month]=FP$2)*(Data_Nhập[Main SKU name_GOM]=$A6)*(Data_Nhập[SKU name_NHẬP_GOM]=FP$3)))</f>
        <v>0</v>
      </c>
      <c r="FQ6" s="29" cm="1">
        <f t="array" ref="FQ6">IF(FQ$2="FY",SUMPRODUCT(Data_Nhập[Tổng Nhập-NX]*(Data_Nhập[Year]=FQ$1)*(Data_Nhập[Main SKU name_GOM]=$A6)*(Data_Nhập[SKU name_NHẬP_GOM]=FQ$3)),SUMPRODUCT(Data_Nhập[Tổng Nhập-NX]*(Data_Nhập[Year]=FQ$1)*(Data_Nhập[Month]=FQ$2)*(Data_Nhập[Main SKU name_GOM]=$A6)*(Data_Nhập[SKU name_NHẬP_GOM]=FQ$3)))</f>
        <v>0</v>
      </c>
      <c r="FR6" s="29" cm="1">
        <f t="array" ref="FR6">IF(FR$2="FY",SUMPRODUCT(Data_Nhập[Tổng Nhập-NX]*(Data_Nhập[Year]=FR$1)*(Data_Nhập[Main SKU name_GOM]=$A6)*(Data_Nhập[SKU name_NHẬP_GOM]=FR$3)),SUMPRODUCT(Data_Nhập[Tổng Nhập-NX]*(Data_Nhập[Year]=FR$1)*(Data_Nhập[Month]=FR$2)*(Data_Nhập[Main SKU name_GOM]=$A6)*(Data_Nhập[SKU name_NHẬP_GOM]=FR$3)))</f>
        <v>0</v>
      </c>
      <c r="FS6" s="29" cm="1">
        <f t="array" ref="FS6">IF(FS$2="FY",SUMPRODUCT(Data_Nhập[Tổng Nhập-NX]*(Data_Nhập[Year]=FS$1)*(Data_Nhập[Main SKU name_GOM]=$A6)*(Data_Nhập[SKU name_NHẬP_GOM]=FS$3)),SUMPRODUCT(Data_Nhập[Tổng Nhập-NX]*(Data_Nhập[Year]=FS$1)*(Data_Nhập[Month]=FS$2)*(Data_Nhập[Main SKU name_GOM]=$A6)*(Data_Nhập[SKU name_NHẬP_GOM]=FS$3)))</f>
        <v>0</v>
      </c>
      <c r="FT6" s="29" cm="1">
        <f t="array" ref="FT6">IF(FT$2="FY",SUMPRODUCT(Data_Nhập[Tổng Nhập-NX]*(Data_Nhập[Year]=FT$1)*(Data_Nhập[Main SKU name_GOM]=$A6)*(Data_Nhập[SKU name_NHẬP_GOM]=FT$3)),SUMPRODUCT(Data_Nhập[Tổng Nhập-NX]*(Data_Nhập[Year]=FT$1)*(Data_Nhập[Month]=FT$2)*(Data_Nhập[Main SKU name_GOM]=$A6)*(Data_Nhập[SKU name_NHẬP_GOM]=FT$3)))</f>
        <v>0</v>
      </c>
      <c r="FU6" s="29" cm="1">
        <f t="array" ref="FU6">IF(FU$2="FY",SUMPRODUCT(Data_Nhập[Tổng Nhập-NX]*(Data_Nhập[Year]=FU$1)*(Data_Nhập[Main SKU name_GOM]=$A6)*(Data_Nhập[SKU name_NHẬP_GOM]=FU$3)),SUMPRODUCT(Data_Nhập[Tổng Nhập-NX]*(Data_Nhập[Year]=FU$1)*(Data_Nhập[Month]=FU$2)*(Data_Nhập[Main SKU name_GOM]=$A6)*(Data_Nhập[SKU name_NHẬP_GOM]=FU$3)))</f>
        <v>0</v>
      </c>
      <c r="FV6" s="29" cm="1">
        <f t="array" ref="FV6">IF(FV$2="FY",SUMPRODUCT(Data_Nhập[Tổng Nhập-NX]*(Data_Nhập[Year]=FV$1)*(Data_Nhập[Main SKU name_GOM]=$A6)*(Data_Nhập[SKU name_NHẬP_GOM]=FV$3)),SUMPRODUCT(Data_Nhập[Tổng Nhập-NX]*(Data_Nhập[Year]=FV$1)*(Data_Nhập[Month]=FV$2)*(Data_Nhập[Main SKU name_GOM]=$A6)*(Data_Nhập[SKU name_NHẬP_GOM]=FV$3)))</f>
        <v>0</v>
      </c>
      <c r="FW6" s="29" cm="1">
        <f t="array" ref="FW6">IF(FW$2="FY",SUMPRODUCT(Data_Nhập[Tổng Nhập-NX]*(Data_Nhập[Year]=FW$1)*(Data_Nhập[Main SKU name_GOM]=$A6)*(Data_Nhập[SKU name_NHẬP_GOM]=FW$3)),SUMPRODUCT(Data_Nhập[Tổng Nhập-NX]*(Data_Nhập[Year]=FW$1)*(Data_Nhập[Month]=FW$2)*(Data_Nhập[Main SKU name_GOM]=$A6)*(Data_Nhập[SKU name_NHẬP_GOM]=FW$3)))</f>
        <v>0</v>
      </c>
      <c r="FX6" s="29" cm="1">
        <f t="array" ref="FX6">IF(FX$2="FY",SUMPRODUCT(Data_Nhập[Tổng Nhập-NX]*(Data_Nhập[Year]=FX$1)*(Data_Nhập[Main SKU name_GOM]=$A6)*(Data_Nhập[SKU name_NHẬP_GOM]=FX$3)),SUMPRODUCT(Data_Nhập[Tổng Nhập-NX]*(Data_Nhập[Year]=FX$1)*(Data_Nhập[Month]=FX$2)*(Data_Nhập[Main SKU name_GOM]=$A6)*(Data_Nhập[SKU name_NHẬP_GOM]=FX$3)))</f>
        <v>0</v>
      </c>
      <c r="FY6" s="29" cm="1">
        <f t="array" ref="FY6">IF(FY$2="FY",SUMPRODUCT(Data_Nhập[Tổng Nhập-NX]*(Data_Nhập[Year]=FY$1)*(Data_Nhập[Main SKU name_GOM]=$A6)*(Data_Nhập[SKU name_NHẬP_GOM]=FY$3)),SUMPRODUCT(Data_Nhập[Tổng Nhập-NX]*(Data_Nhập[Year]=FY$1)*(Data_Nhập[Month]=FY$2)*(Data_Nhập[Main SKU name_GOM]=$A6)*(Data_Nhập[SKU name_NHẬP_GOM]=FY$3)))</f>
        <v>0</v>
      </c>
      <c r="FZ6" s="30">
        <f>SUM(FK6:FY6)</f>
        <v>0</v>
      </c>
      <c r="GB6" s="30" cm="1">
        <f t="array" ref="GB6">IF(GB$2="FY",SUMPRODUCT(Data_Xuất[Xuất-NX]*(Data_Xuất[Year]=GB$1)*(Data_Xuất[Main SKU name_GOM]=$A6)),SUMPRODUCT(Data_Xuất[Xuất-NX]*(Data_Xuất[Year]=GB$1)*(Data_Xuất[Main SKU name_GOM]=$A6)*(Data_Xuất[Month]=GB$2)))</f>
        <v>0</v>
      </c>
      <c r="GC6" s="29" cm="1">
        <f t="array" ref="GC6">IF(GC$2="FY",SUMPRODUCT(Data_Nhập[Tổng Nhập-NX]*(Data_Nhập[Year]=GC$1)*(Data_Nhập[Main SKU name_GOM]=$A6)*(Data_Nhập[SKU name_NHẬP_GOM]=GC$3)),SUMPRODUCT(Data_Nhập[Tổng Nhập-NX]*(Data_Nhập[Year]=GC$1)*(Data_Nhập[Month]=GC$2)*(Data_Nhập[Main SKU name_GOM]=$A6)*(Data_Nhập[SKU name_NHẬP_GOM]=GC$3)))</f>
        <v>0</v>
      </c>
      <c r="GD6" s="29" cm="1">
        <f t="array" ref="GD6">IF(GD$2="FY",SUMPRODUCT(Data_Nhập[Tổng Nhập-NX]*(Data_Nhập[Year]=GD$1)*(Data_Nhập[Main SKU name_GOM]=$A6)*(Data_Nhập[SKU name_NHẬP_GOM]=GD$3)),SUMPRODUCT(Data_Nhập[Tổng Nhập-NX]*(Data_Nhập[Year]=GD$1)*(Data_Nhập[Month]=GD$2)*(Data_Nhập[Main SKU name_GOM]=$A6)*(Data_Nhập[SKU name_NHẬP_GOM]=GD$3)))</f>
        <v>0</v>
      </c>
      <c r="GE6" s="29" cm="1">
        <f t="array" ref="GE6">IF(GE$2="FY",SUMPRODUCT(Data_Nhập[Tổng Nhập-NX]*(Data_Nhập[Year]=GE$1)*(Data_Nhập[Main SKU name_GOM]=$A6)*(Data_Nhập[SKU name_NHẬP_GOM]=GE$3)),SUMPRODUCT(Data_Nhập[Tổng Nhập-NX]*(Data_Nhập[Year]=GE$1)*(Data_Nhập[Month]=GE$2)*(Data_Nhập[Main SKU name_GOM]=$A6)*(Data_Nhập[SKU name_NHẬP_GOM]=GE$3)))</f>
        <v>0</v>
      </c>
      <c r="GF6" s="29" cm="1">
        <f t="array" ref="GF6">IF(GF$2="FY",SUMPRODUCT(Data_Nhập[Tổng Nhập-NX]*(Data_Nhập[Year]=GF$1)*(Data_Nhập[Main SKU name_GOM]=$A6)*(Data_Nhập[SKU name_NHẬP_GOM]=GF$3)),SUMPRODUCT(Data_Nhập[Tổng Nhập-NX]*(Data_Nhập[Year]=GF$1)*(Data_Nhập[Month]=GF$2)*(Data_Nhập[Main SKU name_GOM]=$A6)*(Data_Nhập[SKU name_NHẬP_GOM]=GF$3)))</f>
        <v>0</v>
      </c>
      <c r="GG6" s="29" cm="1">
        <f t="array" ref="GG6">IF(GG$2="FY",SUMPRODUCT(Data_Nhập[Tổng Nhập-NX]*(Data_Nhập[Year]=GG$1)*(Data_Nhập[Main SKU name_GOM]=$A6)*(Data_Nhập[SKU name_NHẬP_GOM]=GG$3)),SUMPRODUCT(Data_Nhập[Tổng Nhập-NX]*(Data_Nhập[Year]=GG$1)*(Data_Nhập[Month]=GG$2)*(Data_Nhập[Main SKU name_GOM]=$A6)*(Data_Nhập[SKU name_NHẬP_GOM]=GG$3)))</f>
        <v>0</v>
      </c>
      <c r="GH6" s="29" cm="1">
        <f t="array" ref="GH6">IF(GH$2="FY",SUMPRODUCT(Data_Nhập[Tổng Nhập-NX]*(Data_Nhập[Year]=GH$1)*(Data_Nhập[Main SKU name_GOM]=$A6)*(Data_Nhập[SKU name_NHẬP_GOM]=GH$3)),SUMPRODUCT(Data_Nhập[Tổng Nhập-NX]*(Data_Nhập[Year]=GH$1)*(Data_Nhập[Month]=GH$2)*(Data_Nhập[Main SKU name_GOM]=$A6)*(Data_Nhập[SKU name_NHẬP_GOM]=GH$3)))</f>
        <v>0</v>
      </c>
      <c r="GI6" s="29" cm="1">
        <f t="array" ref="GI6">IF(GI$2="FY",SUMPRODUCT(Data_Nhập[Tổng Nhập-NX]*(Data_Nhập[Year]=GI$1)*(Data_Nhập[Main SKU name_GOM]=$A6)*(Data_Nhập[SKU name_NHẬP_GOM]=GI$3)),SUMPRODUCT(Data_Nhập[Tổng Nhập-NX]*(Data_Nhập[Year]=GI$1)*(Data_Nhập[Month]=GI$2)*(Data_Nhập[Main SKU name_GOM]=$A6)*(Data_Nhập[SKU name_NHẬP_GOM]=GI$3)))</f>
        <v>0</v>
      </c>
      <c r="GJ6" s="29" cm="1">
        <f t="array" ref="GJ6">IF(GJ$2="FY",SUMPRODUCT(Data_Nhập[Tổng Nhập-NX]*(Data_Nhập[Year]=GJ$1)*(Data_Nhập[Main SKU name_GOM]=$A6)*(Data_Nhập[SKU name_NHẬP_GOM]=GJ$3)),SUMPRODUCT(Data_Nhập[Tổng Nhập-NX]*(Data_Nhập[Year]=GJ$1)*(Data_Nhập[Month]=GJ$2)*(Data_Nhập[Main SKU name_GOM]=$A6)*(Data_Nhập[SKU name_NHẬP_GOM]=GJ$3)))</f>
        <v>0</v>
      </c>
      <c r="GK6" s="29" cm="1">
        <f t="array" ref="GK6">IF(GK$2="FY",SUMPRODUCT(Data_Nhập[Tổng Nhập-NX]*(Data_Nhập[Year]=GK$1)*(Data_Nhập[Main SKU name_GOM]=$A6)*(Data_Nhập[SKU name_NHẬP_GOM]=GK$3)),SUMPRODUCT(Data_Nhập[Tổng Nhập-NX]*(Data_Nhập[Year]=GK$1)*(Data_Nhập[Month]=GK$2)*(Data_Nhập[Main SKU name_GOM]=$A6)*(Data_Nhập[SKU name_NHẬP_GOM]=GK$3)))</f>
        <v>0</v>
      </c>
      <c r="GL6" s="29" cm="1">
        <f t="array" ref="GL6">IF(GL$2="FY",SUMPRODUCT(Data_Nhập[Tổng Nhập-NX]*(Data_Nhập[Year]=GL$1)*(Data_Nhập[Main SKU name_GOM]=$A6)*(Data_Nhập[SKU name_NHẬP_GOM]=GL$3)),SUMPRODUCT(Data_Nhập[Tổng Nhập-NX]*(Data_Nhập[Year]=GL$1)*(Data_Nhập[Month]=GL$2)*(Data_Nhập[Main SKU name_GOM]=$A6)*(Data_Nhập[SKU name_NHẬP_GOM]=GL$3)))</f>
        <v>0</v>
      </c>
      <c r="GM6" s="29" cm="1">
        <f t="array" ref="GM6">IF(GM$2="FY",SUMPRODUCT(Data_Nhập[Tổng Nhập-NX]*(Data_Nhập[Year]=GM$1)*(Data_Nhập[Main SKU name_GOM]=$A6)*(Data_Nhập[SKU name_NHẬP_GOM]=GM$3)),SUMPRODUCT(Data_Nhập[Tổng Nhập-NX]*(Data_Nhập[Year]=GM$1)*(Data_Nhập[Month]=GM$2)*(Data_Nhập[Main SKU name_GOM]=$A6)*(Data_Nhập[SKU name_NHẬP_GOM]=GM$3)))</f>
        <v>0</v>
      </c>
      <c r="GN6" s="29" cm="1">
        <f t="array" ref="GN6">IF(GN$2="FY",SUMPRODUCT(Data_Nhập[Tổng Nhập-NX]*(Data_Nhập[Year]=GN$1)*(Data_Nhập[Main SKU name_GOM]=$A6)*(Data_Nhập[SKU name_NHẬP_GOM]=GN$3)),SUMPRODUCT(Data_Nhập[Tổng Nhập-NX]*(Data_Nhập[Year]=GN$1)*(Data_Nhập[Month]=GN$2)*(Data_Nhập[Main SKU name_GOM]=$A6)*(Data_Nhập[SKU name_NHẬP_GOM]=GN$3)))</f>
        <v>0</v>
      </c>
      <c r="GO6" s="29" cm="1">
        <f t="array" ref="GO6">IF(GO$2="FY",SUMPRODUCT(Data_Nhập[Tổng Nhập-NX]*(Data_Nhập[Year]=GO$1)*(Data_Nhập[Main SKU name_GOM]=$A6)*(Data_Nhập[SKU name_NHẬP_GOM]=GO$3)),SUMPRODUCT(Data_Nhập[Tổng Nhập-NX]*(Data_Nhập[Year]=GO$1)*(Data_Nhập[Month]=GO$2)*(Data_Nhập[Main SKU name_GOM]=$A6)*(Data_Nhập[SKU name_NHẬP_GOM]=GO$3)))</f>
        <v>0</v>
      </c>
      <c r="GP6" s="29" cm="1">
        <f t="array" ref="GP6">IF(GP$2="FY",SUMPRODUCT(Data_Nhập[Tổng Nhập-NX]*(Data_Nhập[Year]=GP$1)*(Data_Nhập[Main SKU name_GOM]=$A6)*(Data_Nhập[SKU name_NHẬP_GOM]=GP$3)),SUMPRODUCT(Data_Nhập[Tổng Nhập-NX]*(Data_Nhập[Year]=GP$1)*(Data_Nhập[Month]=GP$2)*(Data_Nhập[Main SKU name_GOM]=$A6)*(Data_Nhập[SKU name_NHẬP_GOM]=GP$3)))</f>
        <v>0</v>
      </c>
      <c r="GQ6" s="29" cm="1">
        <f t="array" ref="GQ6">IF(GQ$2="FY",SUMPRODUCT(Data_Nhập[Tổng Nhập-NX]*(Data_Nhập[Year]=GQ$1)*(Data_Nhập[Main SKU name_GOM]=$A6)*(Data_Nhập[SKU name_NHẬP_GOM]=GQ$3)),SUMPRODUCT(Data_Nhập[Tổng Nhập-NX]*(Data_Nhập[Year]=GQ$1)*(Data_Nhập[Month]=GQ$2)*(Data_Nhập[Main SKU name_GOM]=$A6)*(Data_Nhập[SKU name_NHẬP_GOM]=GQ$3)))</f>
        <v>0</v>
      </c>
      <c r="GR6" s="30">
        <f>SUM(GC6:GQ6)</f>
        <v>0</v>
      </c>
      <c r="GT6" s="30" cm="1">
        <f t="array" ref="GT6">IF(GT$2="FY",SUMPRODUCT(Data_Xuất[Xuất-NX]*(Data_Xuất[Year]=GT$1)*(Data_Xuất[Main SKU name_GOM]=$A6)),SUMPRODUCT(Data_Xuất[Xuất-NX]*(Data_Xuất[Year]=GT$1)*(Data_Xuất[Main SKU name_GOM]=$A6)*(Data_Xuất[Month]=GT$2)))</f>
        <v>0</v>
      </c>
      <c r="GU6" s="29" cm="1">
        <f t="array" ref="GU6">IF(GU$2="FY",SUMPRODUCT(Data_Nhập[Tổng Nhập-NX]*(Data_Nhập[Year]=GU$1)*(Data_Nhập[Main SKU name_GOM]=$A6)*(Data_Nhập[SKU name_NHẬP_GOM]=GU$3)),SUMPRODUCT(Data_Nhập[Tổng Nhập-NX]*(Data_Nhập[Year]=GU$1)*(Data_Nhập[Month]=GU$2)*(Data_Nhập[Main SKU name_GOM]=$A6)*(Data_Nhập[SKU name_NHẬP_GOM]=GU$3)))</f>
        <v>0</v>
      </c>
      <c r="GV6" s="29" cm="1">
        <f t="array" ref="GV6">IF(GV$2="FY",SUMPRODUCT(Data_Nhập[Tổng Nhập-NX]*(Data_Nhập[Year]=GV$1)*(Data_Nhập[Main SKU name_GOM]=$A6)*(Data_Nhập[SKU name_NHẬP_GOM]=GV$3)),SUMPRODUCT(Data_Nhập[Tổng Nhập-NX]*(Data_Nhập[Year]=GV$1)*(Data_Nhập[Month]=GV$2)*(Data_Nhập[Main SKU name_GOM]=$A6)*(Data_Nhập[SKU name_NHẬP_GOM]=GV$3)))</f>
        <v>0</v>
      </c>
      <c r="GW6" s="29" cm="1">
        <f t="array" ref="GW6">IF(GW$2="FY",SUMPRODUCT(Data_Nhập[Tổng Nhập-NX]*(Data_Nhập[Year]=GW$1)*(Data_Nhập[Main SKU name_GOM]=$A6)*(Data_Nhập[SKU name_NHẬP_GOM]=GW$3)),SUMPRODUCT(Data_Nhập[Tổng Nhập-NX]*(Data_Nhập[Year]=GW$1)*(Data_Nhập[Month]=GW$2)*(Data_Nhập[Main SKU name_GOM]=$A6)*(Data_Nhập[SKU name_NHẬP_GOM]=GW$3)))</f>
        <v>0</v>
      </c>
      <c r="GX6" s="29" cm="1">
        <f t="array" ref="GX6">IF(GX$2="FY",SUMPRODUCT(Data_Nhập[Tổng Nhập-NX]*(Data_Nhập[Year]=GX$1)*(Data_Nhập[Main SKU name_GOM]=$A6)*(Data_Nhập[SKU name_NHẬP_GOM]=GX$3)),SUMPRODUCT(Data_Nhập[Tổng Nhập-NX]*(Data_Nhập[Year]=GX$1)*(Data_Nhập[Month]=GX$2)*(Data_Nhập[Main SKU name_GOM]=$A6)*(Data_Nhập[SKU name_NHẬP_GOM]=GX$3)))</f>
        <v>0</v>
      </c>
      <c r="GY6" s="29" cm="1">
        <f t="array" ref="GY6">IF(GY$2="FY",SUMPRODUCT(Data_Nhập[Tổng Nhập-NX]*(Data_Nhập[Year]=GY$1)*(Data_Nhập[Main SKU name_GOM]=$A6)*(Data_Nhập[SKU name_NHẬP_GOM]=GY$3)),SUMPRODUCT(Data_Nhập[Tổng Nhập-NX]*(Data_Nhập[Year]=GY$1)*(Data_Nhập[Month]=GY$2)*(Data_Nhập[Main SKU name_GOM]=$A6)*(Data_Nhập[SKU name_NHẬP_GOM]=GY$3)))</f>
        <v>0</v>
      </c>
      <c r="GZ6" s="29" cm="1">
        <f t="array" ref="GZ6">IF(GZ$2="FY",SUMPRODUCT(Data_Nhập[Tổng Nhập-NX]*(Data_Nhập[Year]=GZ$1)*(Data_Nhập[Main SKU name_GOM]=$A6)*(Data_Nhập[SKU name_NHẬP_GOM]=GZ$3)),SUMPRODUCT(Data_Nhập[Tổng Nhập-NX]*(Data_Nhập[Year]=GZ$1)*(Data_Nhập[Month]=GZ$2)*(Data_Nhập[Main SKU name_GOM]=$A6)*(Data_Nhập[SKU name_NHẬP_GOM]=GZ$3)))</f>
        <v>0</v>
      </c>
      <c r="HA6" s="29" cm="1">
        <f t="array" ref="HA6">IF(HA$2="FY",SUMPRODUCT(Data_Nhập[Tổng Nhập-NX]*(Data_Nhập[Year]=HA$1)*(Data_Nhập[Main SKU name_GOM]=$A6)*(Data_Nhập[SKU name_NHẬP_GOM]=HA$3)),SUMPRODUCT(Data_Nhập[Tổng Nhập-NX]*(Data_Nhập[Year]=HA$1)*(Data_Nhập[Month]=HA$2)*(Data_Nhập[Main SKU name_GOM]=$A6)*(Data_Nhập[SKU name_NHẬP_GOM]=HA$3)))</f>
        <v>0</v>
      </c>
      <c r="HB6" s="29" cm="1">
        <f t="array" ref="HB6">IF(HB$2="FY",SUMPRODUCT(Data_Nhập[Tổng Nhập-NX]*(Data_Nhập[Year]=HB$1)*(Data_Nhập[Main SKU name_GOM]=$A6)*(Data_Nhập[SKU name_NHẬP_GOM]=HB$3)),SUMPRODUCT(Data_Nhập[Tổng Nhập-NX]*(Data_Nhập[Year]=HB$1)*(Data_Nhập[Month]=HB$2)*(Data_Nhập[Main SKU name_GOM]=$A6)*(Data_Nhập[SKU name_NHẬP_GOM]=HB$3)))</f>
        <v>0</v>
      </c>
      <c r="HC6" s="29" cm="1">
        <f t="array" ref="HC6">IF(HC$2="FY",SUMPRODUCT(Data_Nhập[Tổng Nhập-NX]*(Data_Nhập[Year]=HC$1)*(Data_Nhập[Main SKU name_GOM]=$A6)*(Data_Nhập[SKU name_NHẬP_GOM]=HC$3)),SUMPRODUCT(Data_Nhập[Tổng Nhập-NX]*(Data_Nhập[Year]=HC$1)*(Data_Nhập[Month]=HC$2)*(Data_Nhập[Main SKU name_GOM]=$A6)*(Data_Nhập[SKU name_NHẬP_GOM]=HC$3)))</f>
        <v>0</v>
      </c>
      <c r="HD6" s="29" cm="1">
        <f t="array" ref="HD6">IF(HD$2="FY",SUMPRODUCT(Data_Nhập[Tổng Nhập-NX]*(Data_Nhập[Year]=HD$1)*(Data_Nhập[Main SKU name_GOM]=$A6)*(Data_Nhập[SKU name_NHẬP_GOM]=HD$3)),SUMPRODUCT(Data_Nhập[Tổng Nhập-NX]*(Data_Nhập[Year]=HD$1)*(Data_Nhập[Month]=HD$2)*(Data_Nhập[Main SKU name_GOM]=$A6)*(Data_Nhập[SKU name_NHẬP_GOM]=HD$3)))</f>
        <v>0</v>
      </c>
      <c r="HE6" s="29" cm="1">
        <f t="array" ref="HE6">IF(HE$2="FY",SUMPRODUCT(Data_Nhập[Tổng Nhập-NX]*(Data_Nhập[Year]=HE$1)*(Data_Nhập[Main SKU name_GOM]=$A6)*(Data_Nhập[SKU name_NHẬP_GOM]=HE$3)),SUMPRODUCT(Data_Nhập[Tổng Nhập-NX]*(Data_Nhập[Year]=HE$1)*(Data_Nhập[Month]=HE$2)*(Data_Nhập[Main SKU name_GOM]=$A6)*(Data_Nhập[SKU name_NHẬP_GOM]=HE$3)))</f>
        <v>0</v>
      </c>
      <c r="HF6" s="29" cm="1">
        <f t="array" ref="HF6">IF(HF$2="FY",SUMPRODUCT(Data_Nhập[Tổng Nhập-NX]*(Data_Nhập[Year]=HF$1)*(Data_Nhập[Main SKU name_GOM]=$A6)*(Data_Nhập[SKU name_NHẬP_GOM]=HF$3)),SUMPRODUCT(Data_Nhập[Tổng Nhập-NX]*(Data_Nhập[Year]=HF$1)*(Data_Nhập[Month]=HF$2)*(Data_Nhập[Main SKU name_GOM]=$A6)*(Data_Nhập[SKU name_NHẬP_GOM]=HF$3)))</f>
        <v>0</v>
      </c>
      <c r="HG6" s="29" cm="1">
        <f t="array" ref="HG6">IF(HG$2="FY",SUMPRODUCT(Data_Nhập[Tổng Nhập-NX]*(Data_Nhập[Year]=HG$1)*(Data_Nhập[Main SKU name_GOM]=$A6)*(Data_Nhập[SKU name_NHẬP_GOM]=HG$3)),SUMPRODUCT(Data_Nhập[Tổng Nhập-NX]*(Data_Nhập[Year]=HG$1)*(Data_Nhập[Month]=HG$2)*(Data_Nhập[Main SKU name_GOM]=$A6)*(Data_Nhập[SKU name_NHẬP_GOM]=HG$3)))</f>
        <v>0</v>
      </c>
      <c r="HH6" s="29" cm="1">
        <f t="array" ref="HH6">IF(HH$2="FY",SUMPRODUCT(Data_Nhập[Tổng Nhập-NX]*(Data_Nhập[Year]=HH$1)*(Data_Nhập[Main SKU name_GOM]=$A6)*(Data_Nhập[SKU name_NHẬP_GOM]=HH$3)),SUMPRODUCT(Data_Nhập[Tổng Nhập-NX]*(Data_Nhập[Year]=HH$1)*(Data_Nhập[Month]=HH$2)*(Data_Nhập[Main SKU name_GOM]=$A6)*(Data_Nhập[SKU name_NHẬP_GOM]=HH$3)))</f>
        <v>0</v>
      </c>
      <c r="HI6" s="29" cm="1">
        <f t="array" ref="HI6">IF(HI$2="FY",SUMPRODUCT(Data_Nhập[Tổng Nhập-NX]*(Data_Nhập[Year]=HI$1)*(Data_Nhập[Main SKU name_GOM]=$A6)*(Data_Nhập[SKU name_NHẬP_GOM]=HI$3)),SUMPRODUCT(Data_Nhập[Tổng Nhập-NX]*(Data_Nhập[Year]=HI$1)*(Data_Nhập[Month]=HI$2)*(Data_Nhập[Main SKU name_GOM]=$A6)*(Data_Nhập[SKU name_NHẬP_GOM]=HI$3)))</f>
        <v>0</v>
      </c>
      <c r="HJ6" s="30">
        <f>SUM(GU6:HI6)</f>
        <v>0</v>
      </c>
      <c r="HL6" s="30" cm="1">
        <f t="array" ref="HL6">IF(HL$2="FY",SUMPRODUCT(Data_Xuất[Xuất-NX]*(Data_Xuất[Year]=HL$1)*(Data_Xuất[Main SKU name_GOM]=$A6)),SUMPRODUCT(Data_Xuất[Xuất-NX]*(Data_Xuất[Year]=HL$1)*(Data_Xuất[Main SKU name_GOM]=$A6)*(Data_Xuất[Month]=HL$2)))</f>
        <v>0</v>
      </c>
      <c r="HM6" s="29" cm="1">
        <f t="array" ref="HM6">IF(HM$2="FY",SUMPRODUCT(Data_Nhập[Tổng Nhập-NX]*(Data_Nhập[Year]=HM$1)*(Data_Nhập[Main SKU name_GOM]=$A6)*(Data_Nhập[SKU name_NHẬP_GOM]=HM$3)),SUMPRODUCT(Data_Nhập[Tổng Nhập-NX]*(Data_Nhập[Year]=HM$1)*(Data_Nhập[Month]=HM$2)*(Data_Nhập[Main SKU name_GOM]=$A6)*(Data_Nhập[SKU name_NHẬP_GOM]=HM$3)))</f>
        <v>0</v>
      </c>
      <c r="HN6" s="29" cm="1">
        <f t="array" ref="HN6">IF(HN$2="FY",SUMPRODUCT(Data_Nhập[Tổng Nhập-NX]*(Data_Nhập[Year]=HN$1)*(Data_Nhập[Main SKU name_GOM]=$A6)*(Data_Nhập[SKU name_NHẬP_GOM]=HN$3)),SUMPRODUCT(Data_Nhập[Tổng Nhập-NX]*(Data_Nhập[Year]=HN$1)*(Data_Nhập[Month]=HN$2)*(Data_Nhập[Main SKU name_GOM]=$A6)*(Data_Nhập[SKU name_NHẬP_GOM]=HN$3)))</f>
        <v>0</v>
      </c>
      <c r="HO6" s="29" cm="1">
        <f t="array" ref="HO6">IF(HO$2="FY",SUMPRODUCT(Data_Nhập[Tổng Nhập-NX]*(Data_Nhập[Year]=HO$1)*(Data_Nhập[Main SKU name_GOM]=$A6)*(Data_Nhập[SKU name_NHẬP_GOM]=HO$3)),SUMPRODUCT(Data_Nhập[Tổng Nhập-NX]*(Data_Nhập[Year]=HO$1)*(Data_Nhập[Month]=HO$2)*(Data_Nhập[Main SKU name_GOM]=$A6)*(Data_Nhập[SKU name_NHẬP_GOM]=HO$3)))</f>
        <v>0</v>
      </c>
      <c r="HP6" s="29" cm="1">
        <f t="array" ref="HP6">IF(HP$2="FY",SUMPRODUCT(Data_Nhập[Tổng Nhập-NX]*(Data_Nhập[Year]=HP$1)*(Data_Nhập[Main SKU name_GOM]=$A6)*(Data_Nhập[SKU name_NHẬP_GOM]=HP$3)),SUMPRODUCT(Data_Nhập[Tổng Nhập-NX]*(Data_Nhập[Year]=HP$1)*(Data_Nhập[Month]=HP$2)*(Data_Nhập[Main SKU name_GOM]=$A6)*(Data_Nhập[SKU name_NHẬP_GOM]=HP$3)))</f>
        <v>0</v>
      </c>
      <c r="HQ6" s="29" cm="1">
        <f t="array" ref="HQ6">IF(HQ$2="FY",SUMPRODUCT(Data_Nhập[Tổng Nhập-NX]*(Data_Nhập[Year]=HQ$1)*(Data_Nhập[Main SKU name_GOM]=$A6)*(Data_Nhập[SKU name_NHẬP_GOM]=HQ$3)),SUMPRODUCT(Data_Nhập[Tổng Nhập-NX]*(Data_Nhập[Year]=HQ$1)*(Data_Nhập[Month]=HQ$2)*(Data_Nhập[Main SKU name_GOM]=$A6)*(Data_Nhập[SKU name_NHẬP_GOM]=HQ$3)))</f>
        <v>0</v>
      </c>
      <c r="HR6" s="29" cm="1">
        <f t="array" ref="HR6">IF(HR$2="FY",SUMPRODUCT(Data_Nhập[Tổng Nhập-NX]*(Data_Nhập[Year]=HR$1)*(Data_Nhập[Main SKU name_GOM]=$A6)*(Data_Nhập[SKU name_NHẬP_GOM]=HR$3)),SUMPRODUCT(Data_Nhập[Tổng Nhập-NX]*(Data_Nhập[Year]=HR$1)*(Data_Nhập[Month]=HR$2)*(Data_Nhập[Main SKU name_GOM]=$A6)*(Data_Nhập[SKU name_NHẬP_GOM]=HR$3)))</f>
        <v>0</v>
      </c>
      <c r="HS6" s="29" cm="1">
        <f t="array" ref="HS6">IF(HS$2="FY",SUMPRODUCT(Data_Nhập[Tổng Nhập-NX]*(Data_Nhập[Year]=HS$1)*(Data_Nhập[Main SKU name_GOM]=$A6)*(Data_Nhập[SKU name_NHẬP_GOM]=HS$3)),SUMPRODUCT(Data_Nhập[Tổng Nhập-NX]*(Data_Nhập[Year]=HS$1)*(Data_Nhập[Month]=HS$2)*(Data_Nhập[Main SKU name_GOM]=$A6)*(Data_Nhập[SKU name_NHẬP_GOM]=HS$3)))</f>
        <v>0</v>
      </c>
      <c r="HT6" s="29" cm="1">
        <f t="array" ref="HT6">IF(HT$2="FY",SUMPRODUCT(Data_Nhập[Tổng Nhập-NX]*(Data_Nhập[Year]=HT$1)*(Data_Nhập[Main SKU name_GOM]=$A6)*(Data_Nhập[SKU name_NHẬP_GOM]=HT$3)),SUMPRODUCT(Data_Nhập[Tổng Nhập-NX]*(Data_Nhập[Year]=HT$1)*(Data_Nhập[Month]=HT$2)*(Data_Nhập[Main SKU name_GOM]=$A6)*(Data_Nhập[SKU name_NHẬP_GOM]=HT$3)))</f>
        <v>0</v>
      </c>
      <c r="HU6" s="29" cm="1">
        <f t="array" ref="HU6">IF(HU$2="FY",SUMPRODUCT(Data_Nhập[Tổng Nhập-NX]*(Data_Nhập[Year]=HU$1)*(Data_Nhập[Main SKU name_GOM]=$A6)*(Data_Nhập[SKU name_NHẬP_GOM]=HU$3)),SUMPRODUCT(Data_Nhập[Tổng Nhập-NX]*(Data_Nhập[Year]=HU$1)*(Data_Nhập[Month]=HU$2)*(Data_Nhập[Main SKU name_GOM]=$A6)*(Data_Nhập[SKU name_NHẬP_GOM]=HU$3)))</f>
        <v>0</v>
      </c>
      <c r="HV6" s="29" cm="1">
        <f t="array" ref="HV6">IF(HV$2="FY",SUMPRODUCT(Data_Nhập[Tổng Nhập-NX]*(Data_Nhập[Year]=HV$1)*(Data_Nhập[Main SKU name_GOM]=$A6)*(Data_Nhập[SKU name_NHẬP_GOM]=HV$3)),SUMPRODUCT(Data_Nhập[Tổng Nhập-NX]*(Data_Nhập[Year]=HV$1)*(Data_Nhập[Month]=HV$2)*(Data_Nhập[Main SKU name_GOM]=$A6)*(Data_Nhập[SKU name_NHẬP_GOM]=HV$3)))</f>
        <v>0</v>
      </c>
      <c r="HW6" s="29" cm="1">
        <f t="array" ref="HW6">IF(HW$2="FY",SUMPRODUCT(Data_Nhập[Tổng Nhập-NX]*(Data_Nhập[Year]=HW$1)*(Data_Nhập[Main SKU name_GOM]=$A6)*(Data_Nhập[SKU name_NHẬP_GOM]=HW$3)),SUMPRODUCT(Data_Nhập[Tổng Nhập-NX]*(Data_Nhập[Year]=HW$1)*(Data_Nhập[Month]=HW$2)*(Data_Nhập[Main SKU name_GOM]=$A6)*(Data_Nhập[SKU name_NHẬP_GOM]=HW$3)))</f>
        <v>0</v>
      </c>
      <c r="HX6" s="29" cm="1">
        <f t="array" ref="HX6">IF(HX$2="FY",SUMPRODUCT(Data_Nhập[Tổng Nhập-NX]*(Data_Nhập[Year]=HX$1)*(Data_Nhập[Main SKU name_GOM]=$A6)*(Data_Nhập[SKU name_NHẬP_GOM]=HX$3)),SUMPRODUCT(Data_Nhập[Tổng Nhập-NX]*(Data_Nhập[Year]=HX$1)*(Data_Nhập[Month]=HX$2)*(Data_Nhập[Main SKU name_GOM]=$A6)*(Data_Nhập[SKU name_NHẬP_GOM]=HX$3)))</f>
        <v>0</v>
      </c>
      <c r="HY6" s="29" cm="1">
        <f t="array" ref="HY6">IF(HY$2="FY",SUMPRODUCT(Data_Nhập[Tổng Nhập-NX]*(Data_Nhập[Year]=HY$1)*(Data_Nhập[Main SKU name_GOM]=$A6)*(Data_Nhập[SKU name_NHẬP_GOM]=HY$3)),SUMPRODUCT(Data_Nhập[Tổng Nhập-NX]*(Data_Nhập[Year]=HY$1)*(Data_Nhập[Month]=HY$2)*(Data_Nhập[Main SKU name_GOM]=$A6)*(Data_Nhập[SKU name_NHẬP_GOM]=HY$3)))</f>
        <v>0</v>
      </c>
      <c r="HZ6" s="29" cm="1">
        <f t="array" ref="HZ6">IF(HZ$2="FY",SUMPRODUCT(Data_Nhập[Tổng Nhập-NX]*(Data_Nhập[Year]=HZ$1)*(Data_Nhập[Main SKU name_GOM]=$A6)*(Data_Nhập[SKU name_NHẬP_GOM]=HZ$3)),SUMPRODUCT(Data_Nhập[Tổng Nhập-NX]*(Data_Nhập[Year]=HZ$1)*(Data_Nhập[Month]=HZ$2)*(Data_Nhập[Main SKU name_GOM]=$A6)*(Data_Nhập[SKU name_NHẬP_GOM]=HZ$3)))</f>
        <v>0</v>
      </c>
      <c r="IA6" s="29" cm="1">
        <f t="array" ref="IA6">IF(IA$2="FY",SUMPRODUCT(Data_Nhập[Tổng Nhập-NX]*(Data_Nhập[Year]=IA$1)*(Data_Nhập[Main SKU name_GOM]=$A6)*(Data_Nhập[SKU name_NHẬP_GOM]=IA$3)),SUMPRODUCT(Data_Nhập[Tổng Nhập-NX]*(Data_Nhập[Year]=IA$1)*(Data_Nhập[Month]=IA$2)*(Data_Nhập[Main SKU name_GOM]=$A6)*(Data_Nhập[SKU name_NHẬP_GOM]=IA$3)))</f>
        <v>0</v>
      </c>
      <c r="IB6" s="30">
        <f>SUM(HM6:IA6)</f>
        <v>0</v>
      </c>
    </row>
    <row r="7" spans="1:236" x14ac:dyDescent="0.35">
      <c r="A7" s="5" t="s">
        <v>69</v>
      </c>
      <c r="B7" s="22" t="s">
        <v>69</v>
      </c>
      <c r="D7" s="25" cm="1">
        <f t="array" ref="D7">IF(D$2="FY",SUMPRODUCT(Data_Xuất[Xuất-NX]*(Data_Xuất[Year]=D$1)*(Data_Xuất[Main SKU name_GOM]=$A7)),SUMPRODUCT(Data_Xuất[Xuất-NX]*(Data_Xuất[Year]=D$1)*(Data_Xuất[Main SKU name_GOM]=$A7)*Data_Xuất[Month]=D$2))</f>
        <v>816991.99999999988</v>
      </c>
      <c r="E7" s="24" cm="1">
        <f t="array" ref="E7">IF(E$2="FY",SUMPRODUCT(Data_Nhập[Tổng Nhập-NX]*(Data_Nhập[Year]=E$1)*(Data_Nhập[Main SKU name_GOM]=$A7)*(Data_Nhập[SKU name_NHẬP_GOM]=E$3)),SUMPRODUCT(Data_Nhập[Tổng Nhập-NX]*(Data_Nhập[Year]=E$1)*(Data_Nhập[Month]=E$2)*(Data_Nhập[Main SKU name_GOM]=$A7)*(Data_Nhập[SKU name_NHẬP_GOM]=E$3)))</f>
        <v>0</v>
      </c>
      <c r="F7" s="24" cm="1">
        <f t="array" ref="F7">IF(F$2="FY",SUMPRODUCT(Data_Nhập[Tổng Nhập-NX]*(Data_Nhập[Year]=F$1)*(Data_Nhập[Main SKU name_GOM]=$A7)*(Data_Nhập[SKU name_NHẬP_GOM]=F$3)),SUMPRODUCT(Data_Nhập[Tổng Nhập-NX]*(Data_Nhập[Year]=F$1)*(Data_Nhập[Month]=F$2)*(Data_Nhập[Main SKU name_GOM]=$A7)*(Data_Nhập[SKU name_NHẬP_GOM]=F$3)))</f>
        <v>711700</v>
      </c>
      <c r="G7" s="24" cm="1">
        <f t="array" ref="G7">IF(G$2="FY",SUMPRODUCT(Data_Nhập[Tổng Nhập-NX]*(Data_Nhập[Year]=G$1)*(Data_Nhập[Main SKU name_GOM]=$A7)*(Data_Nhập[SKU name_NHẬP_GOM]=G$3)),SUMPRODUCT(Data_Nhập[Tổng Nhập-NX]*(Data_Nhập[Year]=G$1)*(Data_Nhập[Month]=G$2)*(Data_Nhập[Main SKU name_GOM]=$A7)*(Data_Nhập[SKU name_NHẬP_GOM]=G$3)))</f>
        <v>37400</v>
      </c>
      <c r="H7" s="24" cm="1">
        <f t="array" ref="H7">IF(H$2="FY",SUMPRODUCT(Data_Nhập[Tổng Nhập-NX]*(Data_Nhập[Year]=H$1)*(Data_Nhập[Main SKU name_GOM]=$A7)*(Data_Nhập[SKU name_NHẬP_GOM]=H$3)),SUMPRODUCT(Data_Nhập[Tổng Nhập-NX]*(Data_Nhập[Year]=H$1)*(Data_Nhập[Month]=H$2)*(Data_Nhập[Main SKU name_GOM]=$A7)*(Data_Nhập[SKU name_NHẬP_GOM]=H$3)))</f>
        <v>0</v>
      </c>
      <c r="I7" s="24" cm="1">
        <f t="array" ref="I7">IF(I$2="FY",SUMPRODUCT(Data_Nhập[Tổng Nhập-NX]*(Data_Nhập[Year]=I$1)*(Data_Nhập[Main SKU name_GOM]=$A7)*(Data_Nhập[SKU name_NHẬP_GOM]=I$3)),SUMPRODUCT(Data_Nhập[Tổng Nhập-NX]*(Data_Nhập[Year]=I$1)*(Data_Nhập[Month]=I$2)*(Data_Nhập[Main SKU name_GOM]=$A7)*(Data_Nhập[SKU name_NHẬP_GOM]=I$3)))</f>
        <v>5499.9999999999991</v>
      </c>
      <c r="J7" s="24" cm="1">
        <f t="array" ref="J7">IF(J$2="FY",SUMPRODUCT(Data_Nhập[Tổng Nhập-NX]*(Data_Nhập[Year]=J$1)*(Data_Nhập[Main SKU name_GOM]=$A7)*(Data_Nhập[SKU name_NHẬP_GOM]=J$3)),SUMPRODUCT(Data_Nhập[Tổng Nhập-NX]*(Data_Nhập[Year]=J$1)*(Data_Nhập[Month]=J$2)*(Data_Nhập[Main SKU name_GOM]=$A7)*(Data_Nhập[SKU name_NHẬP_GOM]=J$3)))</f>
        <v>0</v>
      </c>
      <c r="K7" s="24" cm="1">
        <f t="array" ref="K7">IF(K$2="FY",SUMPRODUCT(Data_Nhập[Tổng Nhập-NX]*(Data_Nhập[Year]=K$1)*(Data_Nhập[Main SKU name_GOM]=$A7)*(Data_Nhập[SKU name_NHẬP_GOM]=K$3)),SUMPRODUCT(Data_Nhập[Tổng Nhập-NX]*(Data_Nhập[Year]=K$1)*(Data_Nhập[Month]=K$2)*(Data_Nhập[Main SKU name_GOM]=$A7)*(Data_Nhập[SKU name_NHẬP_GOM]=K$3)))</f>
        <v>0</v>
      </c>
      <c r="L7" s="24" cm="1">
        <f t="array" ref="L7">IF(L$2="FY",SUMPRODUCT(Data_Nhập[Tổng Nhập-NX]*(Data_Nhập[Year]=L$1)*(Data_Nhập[Main SKU name_GOM]=$A7)*(Data_Nhập[SKU name_NHẬP_GOM]=L$3)),SUMPRODUCT(Data_Nhập[Tổng Nhập-NX]*(Data_Nhập[Year]=L$1)*(Data_Nhập[Month]=L$2)*(Data_Nhập[Main SKU name_GOM]=$A7)*(Data_Nhập[SKU name_NHẬP_GOM]=L$3)))</f>
        <v>0</v>
      </c>
      <c r="M7" s="24" cm="1">
        <f t="array" ref="M7">IF(M$2="FY",SUMPRODUCT(Data_Nhập[Tổng Nhập-NX]*(Data_Nhập[Year]=M$1)*(Data_Nhập[Main SKU name_GOM]=$A7)*(Data_Nhập[SKU name_NHẬP_GOM]=M$3)),SUMPRODUCT(Data_Nhập[Tổng Nhập-NX]*(Data_Nhập[Year]=M$1)*(Data_Nhập[Month]=M$2)*(Data_Nhập[Main SKU name_GOM]=$A7)*(Data_Nhập[SKU name_NHẬP_GOM]=M$3)))</f>
        <v>0</v>
      </c>
      <c r="N7" s="24" cm="1">
        <f t="array" ref="N7">IF(N$2="FY",SUMPRODUCT(Data_Nhập[Tổng Nhập-NX]*(Data_Nhập[Year]=N$1)*(Data_Nhập[Main SKU name_GOM]=$A7)*(Data_Nhập[SKU name_NHẬP_GOM]=N$3)),SUMPRODUCT(Data_Nhập[Tổng Nhập-NX]*(Data_Nhập[Year]=N$1)*(Data_Nhập[Month]=N$2)*(Data_Nhập[Main SKU name_GOM]=$A7)*(Data_Nhập[SKU name_NHẬP_GOM]=N$3)))</f>
        <v>13200</v>
      </c>
      <c r="O7" s="24" cm="1">
        <f t="array" ref="O7">IF(O$2="FY",SUMPRODUCT(Data_Nhập[Tổng Nhập-NX]*(Data_Nhập[Year]=O$1)*(Data_Nhập[Main SKU name_GOM]=$A7)*(Data_Nhập[SKU name_NHẬP_GOM]=O$3)),SUMPRODUCT(Data_Nhập[Tổng Nhập-NX]*(Data_Nhập[Year]=O$1)*(Data_Nhập[Month]=O$2)*(Data_Nhập[Main SKU name_GOM]=$A7)*(Data_Nhập[SKU name_NHẬP_GOM]=O$3)))</f>
        <v>0</v>
      </c>
      <c r="P7" s="24" cm="1">
        <f t="array" ref="P7">IF(P$2="FY",SUMPRODUCT(Data_Nhập[Tổng Nhập-NX]*(Data_Nhập[Year]=P$1)*(Data_Nhập[Main SKU name_GOM]=$A7)*(Data_Nhập[SKU name_NHẬP_GOM]=P$3)),SUMPRODUCT(Data_Nhập[Tổng Nhập-NX]*(Data_Nhập[Year]=P$1)*(Data_Nhập[Month]=P$2)*(Data_Nhập[Main SKU name_GOM]=$A7)*(Data_Nhập[SKU name_NHẬP_GOM]=P$3)))</f>
        <v>0</v>
      </c>
      <c r="Q7" s="24" cm="1">
        <f t="array" ref="Q7">IF(Q$2="FY",SUMPRODUCT(Data_Nhập[Tổng Nhập-NX]*(Data_Nhập[Year]=Q$1)*(Data_Nhập[Main SKU name_GOM]=$A7)*(Data_Nhập[SKU name_NHẬP_GOM]=Q$3)),SUMPRODUCT(Data_Nhập[Tổng Nhập-NX]*(Data_Nhập[Year]=Q$1)*(Data_Nhập[Month]=Q$2)*(Data_Nhập[Main SKU name_GOM]=$A7)*(Data_Nhập[SKU name_NHẬP_GOM]=Q$3)))</f>
        <v>0</v>
      </c>
      <c r="R7" s="24" cm="1">
        <f t="array" ref="R7">IF(R$2="FY",SUMPRODUCT(Data_Nhập[Tổng Nhập-NX]*(Data_Nhập[Year]=R$1)*(Data_Nhập[Main SKU name_GOM]=$A7)*(Data_Nhập[SKU name_NHẬP_GOM]=R$3)),SUMPRODUCT(Data_Nhập[Tổng Nhập-NX]*(Data_Nhập[Year]=R$1)*(Data_Nhập[Month]=R$2)*(Data_Nhập[Main SKU name_GOM]=$A7)*(Data_Nhập[SKU name_NHẬP_GOM]=R$3)))</f>
        <v>33566</v>
      </c>
      <c r="S7" s="24" cm="1">
        <f t="array" ref="S7">IF(S$2="FY",SUMPRODUCT(Data_Nhập[Tổng Nhập-NX]*(Data_Nhập[Year]=S$1)*(Data_Nhập[Main SKU name_GOM]=$A7)*(Data_Nhập[SKU name_NHẬP_GOM]=S$3)),SUMPRODUCT(Data_Nhập[Tổng Nhập-NX]*(Data_Nhập[Year]=S$1)*(Data_Nhập[Month]=S$2)*(Data_Nhập[Main SKU name_GOM]=$A7)*(Data_Nhập[SKU name_NHẬP_GOM]=S$3)))</f>
        <v>3500</v>
      </c>
      <c r="T7" s="25">
        <f t="shared" ref="T7:T12" si="12">SUM(E7:S7)</f>
        <v>804866</v>
      </c>
      <c r="V7" s="25" cm="1">
        <f t="array" ref="V7">IF(V$2="FY",SUMPRODUCT(Data_Xuất[Xuất-NX]*(Data_Xuất[Year]=V$1)*(Data_Xuất[Main SKU name_GOM]=$A7)),SUMPRODUCT(Data_Xuất[Xuất-NX]*(Data_Xuất[Year]=V$1)*(Data_Xuất[Main SKU name_GOM]=$A7)*(Data_Xuất[Month]=V$2)))</f>
        <v>0</v>
      </c>
      <c r="W7" s="24" cm="1">
        <f t="array" ref="W7">IF(W$2="FY",SUMPRODUCT(Data_Nhập[Tổng Nhập-NX]*(Data_Nhập[Year]=W$1)*(Data_Nhập[Main SKU name_GOM]=$A7)*(Data_Nhập[SKU name_NHẬP_GOM]=W$3)),SUMPRODUCT(Data_Nhập[Tổng Nhập-NX]*(Data_Nhập[Year]=W$1)*(Data_Nhập[Month]=W$2)*(Data_Nhập[Main SKU name_GOM]=$A7)*(Data_Nhập[SKU name_NHẬP_GOM]=W$3)))</f>
        <v>0</v>
      </c>
      <c r="X7" s="24" cm="1">
        <f t="array" ref="X7">IF(X$2="FY",SUMPRODUCT(Data_Nhập[Tổng Nhập-NX]*(Data_Nhập[Year]=X$1)*(Data_Nhập[Main SKU name_GOM]=$A7)*(Data_Nhập[SKU name_NHẬP_GOM]=X$3)),SUMPRODUCT(Data_Nhập[Tổng Nhập-NX]*(Data_Nhập[Year]=X$1)*(Data_Nhập[Month]=X$2)*(Data_Nhập[Main SKU name_GOM]=$A7)*(Data_Nhập[SKU name_NHẬP_GOM]=X$3)))</f>
        <v>0</v>
      </c>
      <c r="Y7" s="24" cm="1">
        <f t="array" ref="Y7">IF(Y$2="FY",SUMPRODUCT(Data_Nhập[Tổng Nhập-NX]*(Data_Nhập[Year]=Y$1)*(Data_Nhập[Main SKU name_GOM]=$A7)*(Data_Nhập[SKU name_NHẬP_GOM]=Y$3)),SUMPRODUCT(Data_Nhập[Tổng Nhập-NX]*(Data_Nhập[Year]=Y$1)*(Data_Nhập[Month]=Y$2)*(Data_Nhập[Main SKU name_GOM]=$A7)*(Data_Nhập[SKU name_NHẬP_GOM]=Y$3)))</f>
        <v>0</v>
      </c>
      <c r="Z7" s="24" cm="1">
        <f t="array" ref="Z7">IF(Z$2="FY",SUMPRODUCT(Data_Nhập[Tổng Nhập-NX]*(Data_Nhập[Year]=Z$1)*(Data_Nhập[Main SKU name_GOM]=$A7)*(Data_Nhập[SKU name_NHẬP_GOM]=Z$3)),SUMPRODUCT(Data_Nhập[Tổng Nhập-NX]*(Data_Nhập[Year]=Z$1)*(Data_Nhập[Month]=Z$2)*(Data_Nhập[Main SKU name_GOM]=$A7)*(Data_Nhập[SKU name_NHẬP_GOM]=Z$3)))</f>
        <v>0</v>
      </c>
      <c r="AA7" s="24" cm="1">
        <f t="array" ref="AA7">IF(AA$2="FY",SUMPRODUCT(Data_Nhập[Tổng Nhập-NX]*(Data_Nhập[Year]=AA$1)*(Data_Nhập[Main SKU name_GOM]=$A7)*(Data_Nhập[SKU name_NHẬP_GOM]=AA$3)),SUMPRODUCT(Data_Nhập[Tổng Nhập-NX]*(Data_Nhập[Year]=AA$1)*(Data_Nhập[Month]=AA$2)*(Data_Nhập[Main SKU name_GOM]=$A7)*(Data_Nhập[SKU name_NHẬP_GOM]=AA$3)))</f>
        <v>0</v>
      </c>
      <c r="AB7" s="24" cm="1">
        <f t="array" ref="AB7">IF(AB$2="FY",SUMPRODUCT(Data_Nhập[Tổng Nhập-NX]*(Data_Nhập[Year]=AB$1)*(Data_Nhập[Main SKU name_GOM]=$A7)*(Data_Nhập[SKU name_NHẬP_GOM]=AB$3)),SUMPRODUCT(Data_Nhập[Tổng Nhập-NX]*(Data_Nhập[Year]=AB$1)*(Data_Nhập[Month]=AB$2)*(Data_Nhập[Main SKU name_GOM]=$A7)*(Data_Nhập[SKU name_NHẬP_GOM]=AB$3)))</f>
        <v>0</v>
      </c>
      <c r="AC7" s="24" cm="1">
        <f t="array" ref="AC7">IF(AC$2="FY",SUMPRODUCT(Data_Nhập[Tổng Nhập-NX]*(Data_Nhập[Year]=AC$1)*(Data_Nhập[Main SKU name_GOM]=$A7)*(Data_Nhập[SKU name_NHẬP_GOM]=AC$3)),SUMPRODUCT(Data_Nhập[Tổng Nhập-NX]*(Data_Nhập[Year]=AC$1)*(Data_Nhập[Month]=AC$2)*(Data_Nhập[Main SKU name_GOM]=$A7)*(Data_Nhập[SKU name_NHẬP_GOM]=AC$3)))</f>
        <v>0</v>
      </c>
      <c r="AD7" s="24" cm="1">
        <f t="array" ref="AD7">IF(AD$2="FY",SUMPRODUCT(Data_Nhập[Tổng Nhập-NX]*(Data_Nhập[Year]=AD$1)*(Data_Nhập[Main SKU name_GOM]=$A7)*(Data_Nhập[SKU name_NHẬP_GOM]=AD$3)),SUMPRODUCT(Data_Nhập[Tổng Nhập-NX]*(Data_Nhập[Year]=AD$1)*(Data_Nhập[Month]=AD$2)*(Data_Nhập[Main SKU name_GOM]=$A7)*(Data_Nhập[SKU name_NHẬP_GOM]=AD$3)))</f>
        <v>0</v>
      </c>
      <c r="AE7" s="24" cm="1">
        <f t="array" ref="AE7">IF(AE$2="FY",SUMPRODUCT(Data_Nhập[Tổng Nhập-NX]*(Data_Nhập[Year]=AE$1)*(Data_Nhập[Main SKU name_GOM]=$A7)*(Data_Nhập[SKU name_NHẬP_GOM]=AE$3)),SUMPRODUCT(Data_Nhập[Tổng Nhập-NX]*(Data_Nhập[Year]=AE$1)*(Data_Nhập[Month]=AE$2)*(Data_Nhập[Main SKU name_GOM]=$A7)*(Data_Nhập[SKU name_NHẬP_GOM]=AE$3)))</f>
        <v>0</v>
      </c>
      <c r="AF7" s="24" cm="1">
        <f t="array" ref="AF7">IF(AF$2="FY",SUMPRODUCT(Data_Nhập[Tổng Nhập-NX]*(Data_Nhập[Year]=AF$1)*(Data_Nhập[Main SKU name_GOM]=$A7)*(Data_Nhập[SKU name_NHẬP_GOM]=AF$3)),SUMPRODUCT(Data_Nhập[Tổng Nhập-NX]*(Data_Nhập[Year]=AF$1)*(Data_Nhập[Month]=AF$2)*(Data_Nhập[Main SKU name_GOM]=$A7)*(Data_Nhập[SKU name_NHẬP_GOM]=AF$3)))</f>
        <v>0</v>
      </c>
      <c r="AG7" s="24" cm="1">
        <f t="array" ref="AG7">IF(AG$2="FY",SUMPRODUCT(Data_Nhập[Tổng Nhập-NX]*(Data_Nhập[Year]=AG$1)*(Data_Nhập[Main SKU name_GOM]=$A7)*(Data_Nhập[SKU name_NHẬP_GOM]=AG$3)),SUMPRODUCT(Data_Nhập[Tổng Nhập-NX]*(Data_Nhập[Year]=AG$1)*(Data_Nhập[Month]=AG$2)*(Data_Nhập[Main SKU name_GOM]=$A7)*(Data_Nhập[SKU name_NHẬP_GOM]=AG$3)))</f>
        <v>0</v>
      </c>
      <c r="AH7" s="24" cm="1">
        <f t="array" ref="AH7">IF(AH$2="FY",SUMPRODUCT(Data_Nhập[Tổng Nhập-NX]*(Data_Nhập[Year]=AH$1)*(Data_Nhập[Main SKU name_GOM]=$A7)*(Data_Nhập[SKU name_NHẬP_GOM]=AH$3)),SUMPRODUCT(Data_Nhập[Tổng Nhập-NX]*(Data_Nhập[Year]=AH$1)*(Data_Nhập[Month]=AH$2)*(Data_Nhập[Main SKU name_GOM]=$A7)*(Data_Nhập[SKU name_NHẬP_GOM]=AH$3)))</f>
        <v>0</v>
      </c>
      <c r="AI7" s="24" cm="1">
        <f t="array" ref="AI7">IF(AI$2="FY",SUMPRODUCT(Data_Nhập[Tổng Nhập-NX]*(Data_Nhập[Year]=AI$1)*(Data_Nhập[Main SKU name_GOM]=$A7)*(Data_Nhập[SKU name_NHẬP_GOM]=AI$3)),SUMPRODUCT(Data_Nhập[Tổng Nhập-NX]*(Data_Nhập[Year]=AI$1)*(Data_Nhập[Month]=AI$2)*(Data_Nhập[Main SKU name_GOM]=$A7)*(Data_Nhập[SKU name_NHẬP_GOM]=AI$3)))</f>
        <v>0</v>
      </c>
      <c r="AJ7" s="24" cm="1">
        <f t="array" ref="AJ7">IF(AJ$2="FY",SUMPRODUCT(Data_Nhập[Tổng Nhập-NX]*(Data_Nhập[Year]=AJ$1)*(Data_Nhập[Main SKU name_GOM]=$A7)*(Data_Nhập[SKU name_NHẬP_GOM]=AJ$3)),SUMPRODUCT(Data_Nhập[Tổng Nhập-NX]*(Data_Nhập[Year]=AJ$1)*(Data_Nhập[Month]=AJ$2)*(Data_Nhập[Main SKU name_GOM]=$A7)*(Data_Nhập[SKU name_NHẬP_GOM]=AJ$3)))</f>
        <v>0</v>
      </c>
      <c r="AK7" s="24" cm="1">
        <f t="array" ref="AK7">IF(AK$2="FY",SUMPRODUCT(Data_Nhập[Tổng Nhập-NX]*(Data_Nhập[Year]=AK$1)*(Data_Nhập[Main SKU name_GOM]=$A7)*(Data_Nhập[SKU name_NHẬP_GOM]=AK$3)),SUMPRODUCT(Data_Nhập[Tổng Nhập-NX]*(Data_Nhập[Year]=AK$1)*(Data_Nhập[Month]=AK$2)*(Data_Nhập[Main SKU name_GOM]=$A7)*(Data_Nhập[SKU name_NHẬP_GOM]=AK$3)))</f>
        <v>0</v>
      </c>
      <c r="AL7" s="25">
        <f t="shared" ref="AL7:AL12" si="13">SUM(W7:AK7)</f>
        <v>0</v>
      </c>
      <c r="AN7" s="25" cm="1">
        <f t="array" ref="AN7">IF(AN$2="FY",SUMPRODUCT(Data_Xuất[Xuất-NX]*(Data_Xuất[Year]=AN$1)*(Data_Xuất[Main SKU name_GOM]=$A7)),SUMPRODUCT(Data_Xuất[Xuất-NX]*(Data_Xuất[Year]=AN$1)*(Data_Xuất[Main SKU name_GOM]=$A7)*(Data_Xuất[Month]=AN$2)))</f>
        <v>0</v>
      </c>
      <c r="AO7" s="24" cm="1">
        <f t="array" ref="AO7">IF(AO$2="FY",SUMPRODUCT(Data_Nhập[Tổng Nhập-NX]*(Data_Nhập[Year]=AO$1)*(Data_Nhập[Main SKU name_GOM]=$A7)*(Data_Nhập[SKU name_NHẬP_GOM]=AO$3)),SUMPRODUCT(Data_Nhập[Tổng Nhập-NX]*(Data_Nhập[Year]=AO$1)*(Data_Nhập[Month]=AO$2)*(Data_Nhập[Main SKU name_GOM]=$A7)*(Data_Nhập[SKU name_NHẬP_GOM]=AO$3)))</f>
        <v>0</v>
      </c>
      <c r="AP7" s="24" cm="1">
        <f t="array" ref="AP7">IF(AP$2="FY",SUMPRODUCT(Data_Nhập[Tổng Nhập-NX]*(Data_Nhập[Year]=AP$1)*(Data_Nhập[Main SKU name_GOM]=$A7)*(Data_Nhập[SKU name_NHẬP_GOM]=AP$3)),SUMPRODUCT(Data_Nhập[Tổng Nhập-NX]*(Data_Nhập[Year]=AP$1)*(Data_Nhập[Month]=AP$2)*(Data_Nhập[Main SKU name_GOM]=$A7)*(Data_Nhập[SKU name_NHẬP_GOM]=AP$3)))</f>
        <v>0</v>
      </c>
      <c r="AQ7" s="24" cm="1">
        <f t="array" ref="AQ7">IF(AQ$2="FY",SUMPRODUCT(Data_Nhập[Tổng Nhập-NX]*(Data_Nhập[Year]=AQ$1)*(Data_Nhập[Main SKU name_GOM]=$A7)*(Data_Nhập[SKU name_NHẬP_GOM]=AQ$3)),SUMPRODUCT(Data_Nhập[Tổng Nhập-NX]*(Data_Nhập[Year]=AQ$1)*(Data_Nhập[Month]=AQ$2)*(Data_Nhập[Main SKU name_GOM]=$A7)*(Data_Nhập[SKU name_NHẬP_GOM]=AQ$3)))</f>
        <v>0</v>
      </c>
      <c r="AR7" s="24" cm="1">
        <f t="array" ref="AR7">IF(AR$2="FY",SUMPRODUCT(Data_Nhập[Tổng Nhập-NX]*(Data_Nhập[Year]=AR$1)*(Data_Nhập[Main SKU name_GOM]=$A7)*(Data_Nhập[SKU name_NHẬP_GOM]=AR$3)),SUMPRODUCT(Data_Nhập[Tổng Nhập-NX]*(Data_Nhập[Year]=AR$1)*(Data_Nhập[Month]=AR$2)*(Data_Nhập[Main SKU name_GOM]=$A7)*(Data_Nhập[SKU name_NHẬP_GOM]=AR$3)))</f>
        <v>0</v>
      </c>
      <c r="AS7" s="24" cm="1">
        <f t="array" ref="AS7">IF(AS$2="FY",SUMPRODUCT(Data_Nhập[Tổng Nhập-NX]*(Data_Nhập[Year]=AS$1)*(Data_Nhập[Main SKU name_GOM]=$A7)*(Data_Nhập[SKU name_NHẬP_GOM]=AS$3)),SUMPRODUCT(Data_Nhập[Tổng Nhập-NX]*(Data_Nhập[Year]=AS$1)*(Data_Nhập[Month]=AS$2)*(Data_Nhập[Main SKU name_GOM]=$A7)*(Data_Nhập[SKU name_NHẬP_GOM]=AS$3)))</f>
        <v>0</v>
      </c>
      <c r="AT7" s="24" cm="1">
        <f t="array" ref="AT7">IF(AT$2="FY",SUMPRODUCT(Data_Nhập[Tổng Nhập-NX]*(Data_Nhập[Year]=AT$1)*(Data_Nhập[Main SKU name_GOM]=$A7)*(Data_Nhập[SKU name_NHẬP_GOM]=AT$3)),SUMPRODUCT(Data_Nhập[Tổng Nhập-NX]*(Data_Nhập[Year]=AT$1)*(Data_Nhập[Month]=AT$2)*(Data_Nhập[Main SKU name_GOM]=$A7)*(Data_Nhập[SKU name_NHẬP_GOM]=AT$3)))</f>
        <v>0</v>
      </c>
      <c r="AU7" s="24" cm="1">
        <f t="array" ref="AU7">IF(AU$2="FY",SUMPRODUCT(Data_Nhập[Tổng Nhập-NX]*(Data_Nhập[Year]=AU$1)*(Data_Nhập[Main SKU name_GOM]=$A7)*(Data_Nhập[SKU name_NHẬP_GOM]=AU$3)),SUMPRODUCT(Data_Nhập[Tổng Nhập-NX]*(Data_Nhập[Year]=AU$1)*(Data_Nhập[Month]=AU$2)*(Data_Nhập[Main SKU name_GOM]=$A7)*(Data_Nhập[SKU name_NHẬP_GOM]=AU$3)))</f>
        <v>0</v>
      </c>
      <c r="AV7" s="24" cm="1">
        <f t="array" ref="AV7">IF(AV$2="FY",SUMPRODUCT(Data_Nhập[Tổng Nhập-NX]*(Data_Nhập[Year]=AV$1)*(Data_Nhập[Main SKU name_GOM]=$A7)*(Data_Nhập[SKU name_NHẬP_GOM]=AV$3)),SUMPRODUCT(Data_Nhập[Tổng Nhập-NX]*(Data_Nhập[Year]=AV$1)*(Data_Nhập[Month]=AV$2)*(Data_Nhập[Main SKU name_GOM]=$A7)*(Data_Nhập[SKU name_NHẬP_GOM]=AV$3)))</f>
        <v>0</v>
      </c>
      <c r="AW7" s="24" cm="1">
        <f t="array" ref="AW7">IF(AW$2="FY",SUMPRODUCT(Data_Nhập[Tổng Nhập-NX]*(Data_Nhập[Year]=AW$1)*(Data_Nhập[Main SKU name_GOM]=$A7)*(Data_Nhập[SKU name_NHẬP_GOM]=AW$3)),SUMPRODUCT(Data_Nhập[Tổng Nhập-NX]*(Data_Nhập[Year]=AW$1)*(Data_Nhập[Month]=AW$2)*(Data_Nhập[Main SKU name_GOM]=$A7)*(Data_Nhập[SKU name_NHẬP_GOM]=AW$3)))</f>
        <v>0</v>
      </c>
      <c r="AX7" s="24" cm="1">
        <f t="array" ref="AX7">IF(AX$2="FY",SUMPRODUCT(Data_Nhập[Tổng Nhập-NX]*(Data_Nhập[Year]=AX$1)*(Data_Nhập[Main SKU name_GOM]=$A7)*(Data_Nhập[SKU name_NHẬP_GOM]=AX$3)),SUMPRODUCT(Data_Nhập[Tổng Nhập-NX]*(Data_Nhập[Year]=AX$1)*(Data_Nhập[Month]=AX$2)*(Data_Nhập[Main SKU name_GOM]=$A7)*(Data_Nhập[SKU name_NHẬP_GOM]=AX$3)))</f>
        <v>0</v>
      </c>
      <c r="AY7" s="24" cm="1">
        <f t="array" ref="AY7">IF(AY$2="FY",SUMPRODUCT(Data_Nhập[Tổng Nhập-NX]*(Data_Nhập[Year]=AY$1)*(Data_Nhập[Main SKU name_GOM]=$A7)*(Data_Nhập[SKU name_NHẬP_GOM]=AY$3)),SUMPRODUCT(Data_Nhập[Tổng Nhập-NX]*(Data_Nhập[Year]=AY$1)*(Data_Nhập[Month]=AY$2)*(Data_Nhập[Main SKU name_GOM]=$A7)*(Data_Nhập[SKU name_NHẬP_GOM]=AY$3)))</f>
        <v>0</v>
      </c>
      <c r="AZ7" s="24" cm="1">
        <f t="array" ref="AZ7">IF(AZ$2="FY",SUMPRODUCT(Data_Nhập[Tổng Nhập-NX]*(Data_Nhập[Year]=AZ$1)*(Data_Nhập[Main SKU name_GOM]=$A7)*(Data_Nhập[SKU name_NHẬP_GOM]=AZ$3)),SUMPRODUCT(Data_Nhập[Tổng Nhập-NX]*(Data_Nhập[Year]=AZ$1)*(Data_Nhập[Month]=AZ$2)*(Data_Nhập[Main SKU name_GOM]=$A7)*(Data_Nhập[SKU name_NHẬP_GOM]=AZ$3)))</f>
        <v>0</v>
      </c>
      <c r="BA7" s="24" cm="1">
        <f t="array" ref="BA7">IF(BA$2="FY",SUMPRODUCT(Data_Nhập[Tổng Nhập-NX]*(Data_Nhập[Year]=BA$1)*(Data_Nhập[Main SKU name_GOM]=$A7)*(Data_Nhập[SKU name_NHẬP_GOM]=BA$3)),SUMPRODUCT(Data_Nhập[Tổng Nhập-NX]*(Data_Nhập[Year]=BA$1)*(Data_Nhập[Month]=BA$2)*(Data_Nhập[Main SKU name_GOM]=$A7)*(Data_Nhập[SKU name_NHẬP_GOM]=BA$3)))</f>
        <v>0</v>
      </c>
      <c r="BB7" s="24" cm="1">
        <f t="array" ref="BB7">IF(BB$2="FY",SUMPRODUCT(Data_Nhập[Tổng Nhập-NX]*(Data_Nhập[Year]=BB$1)*(Data_Nhập[Main SKU name_GOM]=$A7)*(Data_Nhập[SKU name_NHẬP_GOM]=BB$3)),SUMPRODUCT(Data_Nhập[Tổng Nhập-NX]*(Data_Nhập[Year]=BB$1)*(Data_Nhập[Month]=BB$2)*(Data_Nhập[Main SKU name_GOM]=$A7)*(Data_Nhập[SKU name_NHẬP_GOM]=BB$3)))</f>
        <v>0</v>
      </c>
      <c r="BC7" s="24" cm="1">
        <f t="array" ref="BC7">IF(BC$2="FY",SUMPRODUCT(Data_Nhập[Tổng Nhập-NX]*(Data_Nhập[Year]=BC$1)*(Data_Nhập[Main SKU name_GOM]=$A7)*(Data_Nhập[SKU name_NHẬP_GOM]=BC$3)),SUMPRODUCT(Data_Nhập[Tổng Nhập-NX]*(Data_Nhập[Year]=BC$1)*(Data_Nhập[Month]=BC$2)*(Data_Nhập[Main SKU name_GOM]=$A7)*(Data_Nhập[SKU name_NHẬP_GOM]=BC$3)))</f>
        <v>0</v>
      </c>
      <c r="BD7" s="25">
        <f t="shared" ref="BD7:BD12" si="14">SUM(AO7:BC7)</f>
        <v>0</v>
      </c>
      <c r="BF7" s="25" cm="1">
        <f t="array" ref="BF7">IF(BF$2="FY",SUMPRODUCT(Data_Xuất[Xuất-NX]*(Data_Xuất[Year]=BF$1)*(Data_Xuất[Main SKU name_GOM]=$A7)),SUMPRODUCT(Data_Xuất[Xuất-NX]*(Data_Xuất[Year]=BF$1)*(Data_Xuất[Main SKU name_GOM]=$A7)*(Data_Xuất[Month]=BF$2)))</f>
        <v>816991.99999999988</v>
      </c>
      <c r="BG7" s="24" cm="1">
        <f t="array" ref="BG7">IF(BG$2="FY",SUMPRODUCT(Data_Nhập[Tổng Nhập-NX]*(Data_Nhập[Year]=BG$1)*(Data_Nhập[Main SKU name_GOM]=$A7)*(Data_Nhập[SKU name_NHẬP_GOM]=BG$3)),SUMPRODUCT(Data_Nhập[Tổng Nhập-NX]*(Data_Nhập[Year]=BG$1)*(Data_Nhập[Month]=BG$2)*(Data_Nhập[Main SKU name_GOM]=$A7)*(Data_Nhập[SKU name_NHẬP_GOM]=BG$3)))</f>
        <v>0</v>
      </c>
      <c r="BH7" s="24" cm="1">
        <f t="array" ref="BH7">IF(BH$2="FY",SUMPRODUCT(Data_Nhập[Tổng Nhập-NX]*(Data_Nhập[Year]=BH$1)*(Data_Nhập[Main SKU name_GOM]=$A7)*(Data_Nhập[SKU name_NHẬP_GOM]=BH$3)),SUMPRODUCT(Data_Nhập[Tổng Nhập-NX]*(Data_Nhập[Year]=BH$1)*(Data_Nhập[Month]=BH$2)*(Data_Nhập[Main SKU name_GOM]=$A7)*(Data_Nhập[SKU name_NHẬP_GOM]=BH$3)))</f>
        <v>711700</v>
      </c>
      <c r="BI7" s="24" cm="1">
        <f t="array" ref="BI7">IF(BI$2="FY",SUMPRODUCT(Data_Nhập[Tổng Nhập-NX]*(Data_Nhập[Year]=BI$1)*(Data_Nhập[Main SKU name_GOM]=$A7)*(Data_Nhập[SKU name_NHẬP_GOM]=BI$3)),SUMPRODUCT(Data_Nhập[Tổng Nhập-NX]*(Data_Nhập[Year]=BI$1)*(Data_Nhập[Month]=BI$2)*(Data_Nhập[Main SKU name_GOM]=$A7)*(Data_Nhập[SKU name_NHẬP_GOM]=BI$3)))</f>
        <v>37400</v>
      </c>
      <c r="BJ7" s="24" cm="1">
        <f t="array" ref="BJ7">IF(BJ$2="FY",SUMPRODUCT(Data_Nhập[Tổng Nhập-NX]*(Data_Nhập[Year]=BJ$1)*(Data_Nhập[Main SKU name_GOM]=$A7)*(Data_Nhập[SKU name_NHẬP_GOM]=BJ$3)),SUMPRODUCT(Data_Nhập[Tổng Nhập-NX]*(Data_Nhập[Year]=BJ$1)*(Data_Nhập[Month]=BJ$2)*(Data_Nhập[Main SKU name_GOM]=$A7)*(Data_Nhập[SKU name_NHẬP_GOM]=BJ$3)))</f>
        <v>0</v>
      </c>
      <c r="BK7" s="24" cm="1">
        <f t="array" ref="BK7">IF(BK$2="FY",SUMPRODUCT(Data_Nhập[Tổng Nhập-NX]*(Data_Nhập[Year]=BK$1)*(Data_Nhập[Main SKU name_GOM]=$A7)*(Data_Nhập[SKU name_NHẬP_GOM]=BK$3)),SUMPRODUCT(Data_Nhập[Tổng Nhập-NX]*(Data_Nhập[Year]=BK$1)*(Data_Nhập[Month]=BK$2)*(Data_Nhập[Main SKU name_GOM]=$A7)*(Data_Nhập[SKU name_NHẬP_GOM]=BK$3)))</f>
        <v>5499.9999999999991</v>
      </c>
      <c r="BL7" s="24" cm="1">
        <f t="array" ref="BL7">IF(BL$2="FY",SUMPRODUCT(Data_Nhập[Tổng Nhập-NX]*(Data_Nhập[Year]=BL$1)*(Data_Nhập[Main SKU name_GOM]=$A7)*(Data_Nhập[SKU name_NHẬP_GOM]=BL$3)),SUMPRODUCT(Data_Nhập[Tổng Nhập-NX]*(Data_Nhập[Year]=BL$1)*(Data_Nhập[Month]=BL$2)*(Data_Nhập[Main SKU name_GOM]=$A7)*(Data_Nhập[SKU name_NHẬP_GOM]=BL$3)))</f>
        <v>0</v>
      </c>
      <c r="BM7" s="24" cm="1">
        <f t="array" ref="BM7">IF(BM$2="FY",SUMPRODUCT(Data_Nhập[Tổng Nhập-NX]*(Data_Nhập[Year]=BM$1)*(Data_Nhập[Main SKU name_GOM]=$A7)*(Data_Nhập[SKU name_NHẬP_GOM]=BM$3)),SUMPRODUCT(Data_Nhập[Tổng Nhập-NX]*(Data_Nhập[Year]=BM$1)*(Data_Nhập[Month]=BM$2)*(Data_Nhập[Main SKU name_GOM]=$A7)*(Data_Nhập[SKU name_NHẬP_GOM]=BM$3)))</f>
        <v>0</v>
      </c>
      <c r="BN7" s="24" cm="1">
        <f t="array" ref="BN7">IF(BN$2="FY",SUMPRODUCT(Data_Nhập[Tổng Nhập-NX]*(Data_Nhập[Year]=BN$1)*(Data_Nhập[Main SKU name_GOM]=$A7)*(Data_Nhập[SKU name_NHẬP_GOM]=BN$3)),SUMPRODUCT(Data_Nhập[Tổng Nhập-NX]*(Data_Nhập[Year]=BN$1)*(Data_Nhập[Month]=BN$2)*(Data_Nhập[Main SKU name_GOM]=$A7)*(Data_Nhập[SKU name_NHẬP_GOM]=BN$3)))</f>
        <v>0</v>
      </c>
      <c r="BO7" s="24" cm="1">
        <f t="array" ref="BO7">IF(BO$2="FY",SUMPRODUCT(Data_Nhập[Tổng Nhập-NX]*(Data_Nhập[Year]=BO$1)*(Data_Nhập[Main SKU name_GOM]=$A7)*(Data_Nhập[SKU name_NHẬP_GOM]=BO$3)),SUMPRODUCT(Data_Nhập[Tổng Nhập-NX]*(Data_Nhập[Year]=BO$1)*(Data_Nhập[Month]=BO$2)*(Data_Nhập[Main SKU name_GOM]=$A7)*(Data_Nhập[SKU name_NHẬP_GOM]=BO$3)))</f>
        <v>0</v>
      </c>
      <c r="BP7" s="24" cm="1">
        <f t="array" ref="BP7">IF(BP$2="FY",SUMPRODUCT(Data_Nhập[Tổng Nhập-NX]*(Data_Nhập[Year]=BP$1)*(Data_Nhập[Main SKU name_GOM]=$A7)*(Data_Nhập[SKU name_NHẬP_GOM]=BP$3)),SUMPRODUCT(Data_Nhập[Tổng Nhập-NX]*(Data_Nhập[Year]=BP$1)*(Data_Nhập[Month]=BP$2)*(Data_Nhập[Main SKU name_GOM]=$A7)*(Data_Nhập[SKU name_NHẬP_GOM]=BP$3)))</f>
        <v>13200</v>
      </c>
      <c r="BQ7" s="24" cm="1">
        <f t="array" ref="BQ7">IF(BQ$2="FY",SUMPRODUCT(Data_Nhập[Tổng Nhập-NX]*(Data_Nhập[Year]=BQ$1)*(Data_Nhập[Main SKU name_GOM]=$A7)*(Data_Nhập[SKU name_NHẬP_GOM]=BQ$3)),SUMPRODUCT(Data_Nhập[Tổng Nhập-NX]*(Data_Nhập[Year]=BQ$1)*(Data_Nhập[Month]=BQ$2)*(Data_Nhập[Main SKU name_GOM]=$A7)*(Data_Nhập[SKU name_NHẬP_GOM]=BQ$3)))</f>
        <v>0</v>
      </c>
      <c r="BR7" s="24" cm="1">
        <f t="array" ref="BR7">IF(BR$2="FY",SUMPRODUCT(Data_Nhập[Tổng Nhập-NX]*(Data_Nhập[Year]=BR$1)*(Data_Nhập[Main SKU name_GOM]=$A7)*(Data_Nhập[SKU name_NHẬP_GOM]=BR$3)),SUMPRODUCT(Data_Nhập[Tổng Nhập-NX]*(Data_Nhập[Year]=BR$1)*(Data_Nhập[Month]=BR$2)*(Data_Nhập[Main SKU name_GOM]=$A7)*(Data_Nhập[SKU name_NHẬP_GOM]=BR$3)))</f>
        <v>0</v>
      </c>
      <c r="BS7" s="24" cm="1">
        <f t="array" ref="BS7">IF(BS$2="FY",SUMPRODUCT(Data_Nhập[Tổng Nhập-NX]*(Data_Nhập[Year]=BS$1)*(Data_Nhập[Main SKU name_GOM]=$A7)*(Data_Nhập[SKU name_NHẬP_GOM]=BS$3)),SUMPRODUCT(Data_Nhập[Tổng Nhập-NX]*(Data_Nhập[Year]=BS$1)*(Data_Nhập[Month]=BS$2)*(Data_Nhập[Main SKU name_GOM]=$A7)*(Data_Nhập[SKU name_NHẬP_GOM]=BS$3)))</f>
        <v>0</v>
      </c>
      <c r="BT7" s="24" cm="1">
        <f t="array" ref="BT7">IF(BT$2="FY",SUMPRODUCT(Data_Nhập[Tổng Nhập-NX]*(Data_Nhập[Year]=BT$1)*(Data_Nhập[Main SKU name_GOM]=$A7)*(Data_Nhập[SKU name_NHẬP_GOM]=BT$3)),SUMPRODUCT(Data_Nhập[Tổng Nhập-NX]*(Data_Nhập[Year]=BT$1)*(Data_Nhập[Month]=BT$2)*(Data_Nhập[Main SKU name_GOM]=$A7)*(Data_Nhập[SKU name_NHẬP_GOM]=BT$3)))</f>
        <v>33566</v>
      </c>
      <c r="BU7" s="24" cm="1">
        <f t="array" ref="BU7">IF(BU$2="FY",SUMPRODUCT(Data_Nhập[Tổng Nhập-NX]*(Data_Nhập[Year]=BU$1)*(Data_Nhập[Main SKU name_GOM]=$A7)*(Data_Nhập[SKU name_NHẬP_GOM]=BU$3)),SUMPRODUCT(Data_Nhập[Tổng Nhập-NX]*(Data_Nhập[Year]=BU$1)*(Data_Nhập[Month]=BU$2)*(Data_Nhập[Main SKU name_GOM]=$A7)*(Data_Nhập[SKU name_NHẬP_GOM]=BU$3)))</f>
        <v>3500</v>
      </c>
      <c r="BV7" s="25">
        <f t="shared" ref="BV7:BV12" si="15">SUM(BG7:BU7)</f>
        <v>804866</v>
      </c>
      <c r="BX7" s="25" cm="1">
        <f t="array" ref="BX7">IF(BX$2="FY",SUMPRODUCT(Data_Xuất[Xuất-NX]*(Data_Xuất[Year]=BX$1)*(Data_Xuất[Main SKU name_GOM]=$A7)),SUMPRODUCT(Data_Xuất[Xuất-NX]*(Data_Xuất[Year]=BX$1)*(Data_Xuất[Main SKU name_GOM]=$A7)*(Data_Xuất[Month]=BX$2)))</f>
        <v>0</v>
      </c>
      <c r="BY7" s="24" cm="1">
        <f t="array" ref="BY7">IF(BY$2="FY",SUMPRODUCT(Data_Nhập[Tổng Nhập-NX]*(Data_Nhập[Year]=BY$1)*(Data_Nhập[Main SKU name_GOM]=$A7)*(Data_Nhập[SKU name_NHẬP_GOM]=BY$3)),SUMPRODUCT(Data_Nhập[Tổng Nhập-NX]*(Data_Nhập[Year]=BY$1)*(Data_Nhập[Month]=BY$2)*(Data_Nhập[Main SKU name_GOM]=$A7)*(Data_Nhập[SKU name_NHẬP_GOM]=BY$3)))</f>
        <v>0</v>
      </c>
      <c r="BZ7" s="24" cm="1">
        <f t="array" ref="BZ7">IF(BZ$2="FY",SUMPRODUCT(Data_Nhập[Tổng Nhập-NX]*(Data_Nhập[Year]=BZ$1)*(Data_Nhập[Main SKU name_GOM]=$A7)*(Data_Nhập[SKU name_NHẬP_GOM]=BZ$3)),SUMPRODUCT(Data_Nhập[Tổng Nhập-NX]*(Data_Nhập[Year]=BZ$1)*(Data_Nhập[Month]=BZ$2)*(Data_Nhập[Main SKU name_GOM]=$A7)*(Data_Nhập[SKU name_NHẬP_GOM]=BZ$3)))</f>
        <v>0</v>
      </c>
      <c r="CA7" s="24" cm="1">
        <f t="array" ref="CA7">IF(CA$2="FY",SUMPRODUCT(Data_Nhập[Tổng Nhập-NX]*(Data_Nhập[Year]=CA$1)*(Data_Nhập[Main SKU name_GOM]=$A7)*(Data_Nhập[SKU name_NHẬP_GOM]=CA$3)),SUMPRODUCT(Data_Nhập[Tổng Nhập-NX]*(Data_Nhập[Year]=CA$1)*(Data_Nhập[Month]=CA$2)*(Data_Nhập[Main SKU name_GOM]=$A7)*(Data_Nhập[SKU name_NHẬP_GOM]=CA$3)))</f>
        <v>0</v>
      </c>
      <c r="CB7" s="24" cm="1">
        <f t="array" ref="CB7">IF(CB$2="FY",SUMPRODUCT(Data_Nhập[Tổng Nhập-NX]*(Data_Nhập[Year]=CB$1)*(Data_Nhập[Main SKU name_GOM]=$A7)*(Data_Nhập[SKU name_NHẬP_GOM]=CB$3)),SUMPRODUCT(Data_Nhập[Tổng Nhập-NX]*(Data_Nhập[Year]=CB$1)*(Data_Nhập[Month]=CB$2)*(Data_Nhập[Main SKU name_GOM]=$A7)*(Data_Nhập[SKU name_NHẬP_GOM]=CB$3)))</f>
        <v>0</v>
      </c>
      <c r="CC7" s="24" cm="1">
        <f t="array" ref="CC7">IF(CC$2="FY",SUMPRODUCT(Data_Nhập[Tổng Nhập-NX]*(Data_Nhập[Year]=CC$1)*(Data_Nhập[Main SKU name_GOM]=$A7)*(Data_Nhập[SKU name_NHẬP_GOM]=CC$3)),SUMPRODUCT(Data_Nhập[Tổng Nhập-NX]*(Data_Nhập[Year]=CC$1)*(Data_Nhập[Month]=CC$2)*(Data_Nhập[Main SKU name_GOM]=$A7)*(Data_Nhập[SKU name_NHẬP_GOM]=CC$3)))</f>
        <v>0</v>
      </c>
      <c r="CD7" s="24" cm="1">
        <f t="array" ref="CD7">IF(CD$2="FY",SUMPRODUCT(Data_Nhập[Tổng Nhập-NX]*(Data_Nhập[Year]=CD$1)*(Data_Nhập[Main SKU name_GOM]=$A7)*(Data_Nhập[SKU name_NHẬP_GOM]=CD$3)),SUMPRODUCT(Data_Nhập[Tổng Nhập-NX]*(Data_Nhập[Year]=CD$1)*(Data_Nhập[Month]=CD$2)*(Data_Nhập[Main SKU name_GOM]=$A7)*(Data_Nhập[SKU name_NHẬP_GOM]=CD$3)))</f>
        <v>0</v>
      </c>
      <c r="CE7" s="24" cm="1">
        <f t="array" ref="CE7">IF(CE$2="FY",SUMPRODUCT(Data_Nhập[Tổng Nhập-NX]*(Data_Nhập[Year]=CE$1)*(Data_Nhập[Main SKU name_GOM]=$A7)*(Data_Nhập[SKU name_NHẬP_GOM]=CE$3)),SUMPRODUCT(Data_Nhập[Tổng Nhập-NX]*(Data_Nhập[Year]=CE$1)*(Data_Nhập[Month]=CE$2)*(Data_Nhập[Main SKU name_GOM]=$A7)*(Data_Nhập[SKU name_NHẬP_GOM]=CE$3)))</f>
        <v>0</v>
      </c>
      <c r="CF7" s="24" cm="1">
        <f t="array" ref="CF7">IF(CF$2="FY",SUMPRODUCT(Data_Nhập[Tổng Nhập-NX]*(Data_Nhập[Year]=CF$1)*(Data_Nhập[Main SKU name_GOM]=$A7)*(Data_Nhập[SKU name_NHẬP_GOM]=CF$3)),SUMPRODUCT(Data_Nhập[Tổng Nhập-NX]*(Data_Nhập[Year]=CF$1)*(Data_Nhập[Month]=CF$2)*(Data_Nhập[Main SKU name_GOM]=$A7)*(Data_Nhập[SKU name_NHẬP_GOM]=CF$3)))</f>
        <v>0</v>
      </c>
      <c r="CG7" s="24" cm="1">
        <f t="array" ref="CG7">IF(CG$2="FY",SUMPRODUCT(Data_Nhập[Tổng Nhập-NX]*(Data_Nhập[Year]=CG$1)*(Data_Nhập[Main SKU name_GOM]=$A7)*(Data_Nhập[SKU name_NHẬP_GOM]=CG$3)),SUMPRODUCT(Data_Nhập[Tổng Nhập-NX]*(Data_Nhập[Year]=CG$1)*(Data_Nhập[Month]=CG$2)*(Data_Nhập[Main SKU name_GOM]=$A7)*(Data_Nhập[SKU name_NHẬP_GOM]=CG$3)))</f>
        <v>0</v>
      </c>
      <c r="CH7" s="24" cm="1">
        <f t="array" ref="CH7">IF(CH$2="FY",SUMPRODUCT(Data_Nhập[Tổng Nhập-NX]*(Data_Nhập[Year]=CH$1)*(Data_Nhập[Main SKU name_GOM]=$A7)*(Data_Nhập[SKU name_NHẬP_GOM]=CH$3)),SUMPRODUCT(Data_Nhập[Tổng Nhập-NX]*(Data_Nhập[Year]=CH$1)*(Data_Nhập[Month]=CH$2)*(Data_Nhập[Main SKU name_GOM]=$A7)*(Data_Nhập[SKU name_NHẬP_GOM]=CH$3)))</f>
        <v>0</v>
      </c>
      <c r="CI7" s="24" cm="1">
        <f t="array" ref="CI7">IF(CI$2="FY",SUMPRODUCT(Data_Nhập[Tổng Nhập-NX]*(Data_Nhập[Year]=CI$1)*(Data_Nhập[Main SKU name_GOM]=$A7)*(Data_Nhập[SKU name_NHẬP_GOM]=CI$3)),SUMPRODUCT(Data_Nhập[Tổng Nhập-NX]*(Data_Nhập[Year]=CI$1)*(Data_Nhập[Month]=CI$2)*(Data_Nhập[Main SKU name_GOM]=$A7)*(Data_Nhập[SKU name_NHẬP_GOM]=CI$3)))</f>
        <v>0</v>
      </c>
      <c r="CJ7" s="24" cm="1">
        <f t="array" ref="CJ7">IF(CJ$2="FY",SUMPRODUCT(Data_Nhập[Tổng Nhập-NX]*(Data_Nhập[Year]=CJ$1)*(Data_Nhập[Main SKU name_GOM]=$A7)*(Data_Nhập[SKU name_NHẬP_GOM]=CJ$3)),SUMPRODUCT(Data_Nhập[Tổng Nhập-NX]*(Data_Nhập[Year]=CJ$1)*(Data_Nhập[Month]=CJ$2)*(Data_Nhập[Main SKU name_GOM]=$A7)*(Data_Nhập[SKU name_NHẬP_GOM]=CJ$3)))</f>
        <v>0</v>
      </c>
      <c r="CK7" s="24" cm="1">
        <f t="array" ref="CK7">IF(CK$2="FY",SUMPRODUCT(Data_Nhập[Tổng Nhập-NX]*(Data_Nhập[Year]=CK$1)*(Data_Nhập[Main SKU name_GOM]=$A7)*(Data_Nhập[SKU name_NHẬP_GOM]=CK$3)),SUMPRODUCT(Data_Nhập[Tổng Nhập-NX]*(Data_Nhập[Year]=CK$1)*(Data_Nhập[Month]=CK$2)*(Data_Nhập[Main SKU name_GOM]=$A7)*(Data_Nhập[SKU name_NHẬP_GOM]=CK$3)))</f>
        <v>0</v>
      </c>
      <c r="CL7" s="24" cm="1">
        <f t="array" ref="CL7">IF(CL$2="FY",SUMPRODUCT(Data_Nhập[Tổng Nhập-NX]*(Data_Nhập[Year]=CL$1)*(Data_Nhập[Main SKU name_GOM]=$A7)*(Data_Nhập[SKU name_NHẬP_GOM]=CL$3)),SUMPRODUCT(Data_Nhập[Tổng Nhập-NX]*(Data_Nhập[Year]=CL$1)*(Data_Nhập[Month]=CL$2)*(Data_Nhập[Main SKU name_GOM]=$A7)*(Data_Nhập[SKU name_NHẬP_GOM]=CL$3)))</f>
        <v>0</v>
      </c>
      <c r="CM7" s="24" cm="1">
        <f t="array" ref="CM7">IF(CM$2="FY",SUMPRODUCT(Data_Nhập[Tổng Nhập-NX]*(Data_Nhập[Year]=CM$1)*(Data_Nhập[Main SKU name_GOM]=$A7)*(Data_Nhập[SKU name_NHẬP_GOM]=CM$3)),SUMPRODUCT(Data_Nhập[Tổng Nhập-NX]*(Data_Nhập[Year]=CM$1)*(Data_Nhập[Month]=CM$2)*(Data_Nhập[Main SKU name_GOM]=$A7)*(Data_Nhập[SKU name_NHẬP_GOM]=CM$3)))</f>
        <v>0</v>
      </c>
      <c r="CN7" s="25">
        <f t="shared" ref="CN7:CN12" si="16">SUM(BY7:CM7)</f>
        <v>0</v>
      </c>
      <c r="CP7" s="25" cm="1">
        <f t="array" ref="CP7">IF(CP$2="FY",SUMPRODUCT(Data_Xuất[Xuất-NX]*(Data_Xuất[Year]=CP$1)*(Data_Xuất[Main SKU name_GOM]=$A7)),SUMPRODUCT(Data_Xuất[Xuất-NX]*(Data_Xuất[Year]=CP$1)*(Data_Xuất[Main SKU name_GOM]=$A7)*(Data_Xuất[Month]=CP$2)))</f>
        <v>0</v>
      </c>
      <c r="CQ7" s="24" cm="1">
        <f t="array" ref="CQ7">IF(CQ$2="FY",SUMPRODUCT(Data_Nhập[Tổng Nhập-NX]*(Data_Nhập[Year]=CQ$1)*(Data_Nhập[Main SKU name_GOM]=$A7)*(Data_Nhập[SKU name_NHẬP_GOM]=CQ$3)),SUMPRODUCT(Data_Nhập[Tổng Nhập-NX]*(Data_Nhập[Year]=CQ$1)*(Data_Nhập[Month]=CQ$2)*(Data_Nhập[Main SKU name_GOM]=$A7)*(Data_Nhập[SKU name_NHẬP_GOM]=CQ$3)))</f>
        <v>0</v>
      </c>
      <c r="CR7" s="24" cm="1">
        <f t="array" ref="CR7">IF(CR$2="FY",SUMPRODUCT(Data_Nhập[Tổng Nhập-NX]*(Data_Nhập[Year]=CR$1)*(Data_Nhập[Main SKU name_GOM]=$A7)*(Data_Nhập[SKU name_NHẬP_GOM]=CR$3)),SUMPRODUCT(Data_Nhập[Tổng Nhập-NX]*(Data_Nhập[Year]=CR$1)*(Data_Nhập[Month]=CR$2)*(Data_Nhập[Main SKU name_GOM]=$A7)*(Data_Nhập[SKU name_NHẬP_GOM]=CR$3)))</f>
        <v>0</v>
      </c>
      <c r="CS7" s="24" cm="1">
        <f t="array" ref="CS7">IF(CS$2="FY",SUMPRODUCT(Data_Nhập[Tổng Nhập-NX]*(Data_Nhập[Year]=CS$1)*(Data_Nhập[Main SKU name_GOM]=$A7)*(Data_Nhập[SKU name_NHẬP_GOM]=CS$3)),SUMPRODUCT(Data_Nhập[Tổng Nhập-NX]*(Data_Nhập[Year]=CS$1)*(Data_Nhập[Month]=CS$2)*(Data_Nhập[Main SKU name_GOM]=$A7)*(Data_Nhập[SKU name_NHẬP_GOM]=CS$3)))</f>
        <v>0</v>
      </c>
      <c r="CT7" s="24" cm="1">
        <f t="array" ref="CT7">IF(CT$2="FY",SUMPRODUCT(Data_Nhập[Tổng Nhập-NX]*(Data_Nhập[Year]=CT$1)*(Data_Nhập[Main SKU name_GOM]=$A7)*(Data_Nhập[SKU name_NHẬP_GOM]=CT$3)),SUMPRODUCT(Data_Nhập[Tổng Nhập-NX]*(Data_Nhập[Year]=CT$1)*(Data_Nhập[Month]=CT$2)*(Data_Nhập[Main SKU name_GOM]=$A7)*(Data_Nhập[SKU name_NHẬP_GOM]=CT$3)))</f>
        <v>0</v>
      </c>
      <c r="CU7" s="24" cm="1">
        <f t="array" ref="CU7">IF(CU$2="FY",SUMPRODUCT(Data_Nhập[Tổng Nhập-NX]*(Data_Nhập[Year]=CU$1)*(Data_Nhập[Main SKU name_GOM]=$A7)*(Data_Nhập[SKU name_NHẬP_GOM]=CU$3)),SUMPRODUCT(Data_Nhập[Tổng Nhập-NX]*(Data_Nhập[Year]=CU$1)*(Data_Nhập[Month]=CU$2)*(Data_Nhập[Main SKU name_GOM]=$A7)*(Data_Nhập[SKU name_NHẬP_GOM]=CU$3)))</f>
        <v>0</v>
      </c>
      <c r="CV7" s="24" cm="1">
        <f t="array" ref="CV7">IF(CV$2="FY",SUMPRODUCT(Data_Nhập[Tổng Nhập-NX]*(Data_Nhập[Year]=CV$1)*(Data_Nhập[Main SKU name_GOM]=$A7)*(Data_Nhập[SKU name_NHẬP_GOM]=CV$3)),SUMPRODUCT(Data_Nhập[Tổng Nhập-NX]*(Data_Nhập[Year]=CV$1)*(Data_Nhập[Month]=CV$2)*(Data_Nhập[Main SKU name_GOM]=$A7)*(Data_Nhập[SKU name_NHẬP_GOM]=CV$3)))</f>
        <v>0</v>
      </c>
      <c r="CW7" s="24" cm="1">
        <f t="array" ref="CW7">IF(CW$2="FY",SUMPRODUCT(Data_Nhập[Tổng Nhập-NX]*(Data_Nhập[Year]=CW$1)*(Data_Nhập[Main SKU name_GOM]=$A7)*(Data_Nhập[SKU name_NHẬP_GOM]=CW$3)),SUMPRODUCT(Data_Nhập[Tổng Nhập-NX]*(Data_Nhập[Year]=CW$1)*(Data_Nhập[Month]=CW$2)*(Data_Nhập[Main SKU name_GOM]=$A7)*(Data_Nhập[SKU name_NHẬP_GOM]=CW$3)))</f>
        <v>0</v>
      </c>
      <c r="CX7" s="24" cm="1">
        <f t="array" ref="CX7">IF(CX$2="FY",SUMPRODUCT(Data_Nhập[Tổng Nhập-NX]*(Data_Nhập[Year]=CX$1)*(Data_Nhập[Main SKU name_GOM]=$A7)*(Data_Nhập[SKU name_NHẬP_GOM]=CX$3)),SUMPRODUCT(Data_Nhập[Tổng Nhập-NX]*(Data_Nhập[Year]=CX$1)*(Data_Nhập[Month]=CX$2)*(Data_Nhập[Main SKU name_GOM]=$A7)*(Data_Nhập[SKU name_NHẬP_GOM]=CX$3)))</f>
        <v>0</v>
      </c>
      <c r="CY7" s="24" cm="1">
        <f t="array" ref="CY7">IF(CY$2="FY",SUMPRODUCT(Data_Nhập[Tổng Nhập-NX]*(Data_Nhập[Year]=CY$1)*(Data_Nhập[Main SKU name_GOM]=$A7)*(Data_Nhập[SKU name_NHẬP_GOM]=CY$3)),SUMPRODUCT(Data_Nhập[Tổng Nhập-NX]*(Data_Nhập[Year]=CY$1)*(Data_Nhập[Month]=CY$2)*(Data_Nhập[Main SKU name_GOM]=$A7)*(Data_Nhập[SKU name_NHẬP_GOM]=CY$3)))</f>
        <v>0</v>
      </c>
      <c r="CZ7" s="24" cm="1">
        <f t="array" ref="CZ7">IF(CZ$2="FY",SUMPRODUCT(Data_Nhập[Tổng Nhập-NX]*(Data_Nhập[Year]=CZ$1)*(Data_Nhập[Main SKU name_GOM]=$A7)*(Data_Nhập[SKU name_NHẬP_GOM]=CZ$3)),SUMPRODUCT(Data_Nhập[Tổng Nhập-NX]*(Data_Nhập[Year]=CZ$1)*(Data_Nhập[Month]=CZ$2)*(Data_Nhập[Main SKU name_GOM]=$A7)*(Data_Nhập[SKU name_NHẬP_GOM]=CZ$3)))</f>
        <v>0</v>
      </c>
      <c r="DA7" s="24" cm="1">
        <f t="array" ref="DA7">IF(DA$2="FY",SUMPRODUCT(Data_Nhập[Tổng Nhập-NX]*(Data_Nhập[Year]=DA$1)*(Data_Nhập[Main SKU name_GOM]=$A7)*(Data_Nhập[SKU name_NHẬP_GOM]=DA$3)),SUMPRODUCT(Data_Nhập[Tổng Nhập-NX]*(Data_Nhập[Year]=DA$1)*(Data_Nhập[Month]=DA$2)*(Data_Nhập[Main SKU name_GOM]=$A7)*(Data_Nhập[SKU name_NHẬP_GOM]=DA$3)))</f>
        <v>0</v>
      </c>
      <c r="DB7" s="24" cm="1">
        <f t="array" ref="DB7">IF(DB$2="FY",SUMPRODUCT(Data_Nhập[Tổng Nhập-NX]*(Data_Nhập[Year]=DB$1)*(Data_Nhập[Main SKU name_GOM]=$A7)*(Data_Nhập[SKU name_NHẬP_GOM]=DB$3)),SUMPRODUCT(Data_Nhập[Tổng Nhập-NX]*(Data_Nhập[Year]=DB$1)*(Data_Nhập[Month]=DB$2)*(Data_Nhập[Main SKU name_GOM]=$A7)*(Data_Nhập[SKU name_NHẬP_GOM]=DB$3)))</f>
        <v>0</v>
      </c>
      <c r="DC7" s="24" cm="1">
        <f t="array" ref="DC7">IF(DC$2="FY",SUMPRODUCT(Data_Nhập[Tổng Nhập-NX]*(Data_Nhập[Year]=DC$1)*(Data_Nhập[Main SKU name_GOM]=$A7)*(Data_Nhập[SKU name_NHẬP_GOM]=DC$3)),SUMPRODUCT(Data_Nhập[Tổng Nhập-NX]*(Data_Nhập[Year]=DC$1)*(Data_Nhập[Month]=DC$2)*(Data_Nhập[Main SKU name_GOM]=$A7)*(Data_Nhập[SKU name_NHẬP_GOM]=DC$3)))</f>
        <v>0</v>
      </c>
      <c r="DD7" s="24" cm="1">
        <f t="array" ref="DD7">IF(DD$2="FY",SUMPRODUCT(Data_Nhập[Tổng Nhập-NX]*(Data_Nhập[Year]=DD$1)*(Data_Nhập[Main SKU name_GOM]=$A7)*(Data_Nhập[SKU name_NHẬP_GOM]=DD$3)),SUMPRODUCT(Data_Nhập[Tổng Nhập-NX]*(Data_Nhập[Year]=DD$1)*(Data_Nhập[Month]=DD$2)*(Data_Nhập[Main SKU name_GOM]=$A7)*(Data_Nhập[SKU name_NHẬP_GOM]=DD$3)))</f>
        <v>0</v>
      </c>
      <c r="DE7" s="24" cm="1">
        <f t="array" ref="DE7">IF(DE$2="FY",SUMPRODUCT(Data_Nhập[Tổng Nhập-NX]*(Data_Nhập[Year]=DE$1)*(Data_Nhập[Main SKU name_GOM]=$A7)*(Data_Nhập[SKU name_NHẬP_GOM]=DE$3)),SUMPRODUCT(Data_Nhập[Tổng Nhập-NX]*(Data_Nhập[Year]=DE$1)*(Data_Nhập[Month]=DE$2)*(Data_Nhập[Main SKU name_GOM]=$A7)*(Data_Nhập[SKU name_NHẬP_GOM]=DE$3)))</f>
        <v>0</v>
      </c>
      <c r="DF7" s="25">
        <f t="shared" ref="DF7:DF12" si="17">SUM(CQ7:DE7)</f>
        <v>0</v>
      </c>
      <c r="DH7" s="25" cm="1">
        <f t="array" ref="DH7">IF(DH$2="FY",SUMPRODUCT(Data_Xuất[Xuất-NX]*(Data_Xuất[Year]=DH$1)*(Data_Xuất[Main SKU name_GOM]=$A7)),SUMPRODUCT(Data_Xuất[Xuất-NX]*(Data_Xuất[Year]=DH$1)*(Data_Xuất[Main SKU name_GOM]=$A7)*(Data_Xuất[Month]=DH$2)))</f>
        <v>0</v>
      </c>
      <c r="DI7" s="24" cm="1">
        <f t="array" ref="DI7">IF(DI$2="FY",SUMPRODUCT(Data_Nhập[Tổng Nhập-NX]*(Data_Nhập[Year]=DI$1)*(Data_Nhập[Main SKU name_GOM]=$A7)*(Data_Nhập[SKU name_NHẬP_GOM]=DI$3)),SUMPRODUCT(Data_Nhập[Tổng Nhập-NX]*(Data_Nhập[Year]=DI$1)*(Data_Nhập[Month]=DI$2)*(Data_Nhập[Main SKU name_GOM]=$A7)*(Data_Nhập[SKU name_NHẬP_GOM]=DI$3)))</f>
        <v>0</v>
      </c>
      <c r="DJ7" s="24" cm="1">
        <f t="array" ref="DJ7">IF(DJ$2="FY",SUMPRODUCT(Data_Nhập[Tổng Nhập-NX]*(Data_Nhập[Year]=DJ$1)*(Data_Nhập[Main SKU name_GOM]=$A7)*(Data_Nhập[SKU name_NHẬP_GOM]=DJ$3)),SUMPRODUCT(Data_Nhập[Tổng Nhập-NX]*(Data_Nhập[Year]=DJ$1)*(Data_Nhập[Month]=DJ$2)*(Data_Nhập[Main SKU name_GOM]=$A7)*(Data_Nhập[SKU name_NHẬP_GOM]=DJ$3)))</f>
        <v>0</v>
      </c>
      <c r="DK7" s="24" cm="1">
        <f t="array" ref="DK7">IF(DK$2="FY",SUMPRODUCT(Data_Nhập[Tổng Nhập-NX]*(Data_Nhập[Year]=DK$1)*(Data_Nhập[Main SKU name_GOM]=$A7)*(Data_Nhập[SKU name_NHẬP_GOM]=DK$3)),SUMPRODUCT(Data_Nhập[Tổng Nhập-NX]*(Data_Nhập[Year]=DK$1)*(Data_Nhập[Month]=DK$2)*(Data_Nhập[Main SKU name_GOM]=$A7)*(Data_Nhập[SKU name_NHẬP_GOM]=DK$3)))</f>
        <v>0</v>
      </c>
      <c r="DL7" s="24" cm="1">
        <f t="array" ref="DL7">IF(DL$2="FY",SUMPRODUCT(Data_Nhập[Tổng Nhập-NX]*(Data_Nhập[Year]=DL$1)*(Data_Nhập[Main SKU name_GOM]=$A7)*(Data_Nhập[SKU name_NHẬP_GOM]=DL$3)),SUMPRODUCT(Data_Nhập[Tổng Nhập-NX]*(Data_Nhập[Year]=DL$1)*(Data_Nhập[Month]=DL$2)*(Data_Nhập[Main SKU name_GOM]=$A7)*(Data_Nhập[SKU name_NHẬP_GOM]=DL$3)))</f>
        <v>0</v>
      </c>
      <c r="DM7" s="24" cm="1">
        <f t="array" ref="DM7">IF(DM$2="FY",SUMPRODUCT(Data_Nhập[Tổng Nhập-NX]*(Data_Nhập[Year]=DM$1)*(Data_Nhập[Main SKU name_GOM]=$A7)*(Data_Nhập[SKU name_NHẬP_GOM]=DM$3)),SUMPRODUCT(Data_Nhập[Tổng Nhập-NX]*(Data_Nhập[Year]=DM$1)*(Data_Nhập[Month]=DM$2)*(Data_Nhập[Main SKU name_GOM]=$A7)*(Data_Nhập[SKU name_NHẬP_GOM]=DM$3)))</f>
        <v>0</v>
      </c>
      <c r="DN7" s="24" cm="1">
        <f t="array" ref="DN7">IF(DN$2="FY",SUMPRODUCT(Data_Nhập[Tổng Nhập-NX]*(Data_Nhập[Year]=DN$1)*(Data_Nhập[Main SKU name_GOM]=$A7)*(Data_Nhập[SKU name_NHẬP_GOM]=DN$3)),SUMPRODUCT(Data_Nhập[Tổng Nhập-NX]*(Data_Nhập[Year]=DN$1)*(Data_Nhập[Month]=DN$2)*(Data_Nhập[Main SKU name_GOM]=$A7)*(Data_Nhập[SKU name_NHẬP_GOM]=DN$3)))</f>
        <v>0</v>
      </c>
      <c r="DO7" s="24" cm="1">
        <f t="array" ref="DO7">IF(DO$2="FY",SUMPRODUCT(Data_Nhập[Tổng Nhập-NX]*(Data_Nhập[Year]=DO$1)*(Data_Nhập[Main SKU name_GOM]=$A7)*(Data_Nhập[SKU name_NHẬP_GOM]=DO$3)),SUMPRODUCT(Data_Nhập[Tổng Nhập-NX]*(Data_Nhập[Year]=DO$1)*(Data_Nhập[Month]=DO$2)*(Data_Nhập[Main SKU name_GOM]=$A7)*(Data_Nhập[SKU name_NHẬP_GOM]=DO$3)))</f>
        <v>0</v>
      </c>
      <c r="DP7" s="24" cm="1">
        <f t="array" ref="DP7">IF(DP$2="FY",SUMPRODUCT(Data_Nhập[Tổng Nhập-NX]*(Data_Nhập[Year]=DP$1)*(Data_Nhập[Main SKU name_GOM]=$A7)*(Data_Nhập[SKU name_NHẬP_GOM]=DP$3)),SUMPRODUCT(Data_Nhập[Tổng Nhập-NX]*(Data_Nhập[Year]=DP$1)*(Data_Nhập[Month]=DP$2)*(Data_Nhập[Main SKU name_GOM]=$A7)*(Data_Nhập[SKU name_NHẬP_GOM]=DP$3)))</f>
        <v>0</v>
      </c>
      <c r="DQ7" s="24" cm="1">
        <f t="array" ref="DQ7">IF(DQ$2="FY",SUMPRODUCT(Data_Nhập[Tổng Nhập-NX]*(Data_Nhập[Year]=DQ$1)*(Data_Nhập[Main SKU name_GOM]=$A7)*(Data_Nhập[SKU name_NHẬP_GOM]=DQ$3)),SUMPRODUCT(Data_Nhập[Tổng Nhập-NX]*(Data_Nhập[Year]=DQ$1)*(Data_Nhập[Month]=DQ$2)*(Data_Nhập[Main SKU name_GOM]=$A7)*(Data_Nhập[SKU name_NHẬP_GOM]=DQ$3)))</f>
        <v>0</v>
      </c>
      <c r="DR7" s="24" cm="1">
        <f t="array" ref="DR7">IF(DR$2="FY",SUMPRODUCT(Data_Nhập[Tổng Nhập-NX]*(Data_Nhập[Year]=DR$1)*(Data_Nhập[Main SKU name_GOM]=$A7)*(Data_Nhập[SKU name_NHẬP_GOM]=DR$3)),SUMPRODUCT(Data_Nhập[Tổng Nhập-NX]*(Data_Nhập[Year]=DR$1)*(Data_Nhập[Month]=DR$2)*(Data_Nhập[Main SKU name_GOM]=$A7)*(Data_Nhập[SKU name_NHẬP_GOM]=DR$3)))</f>
        <v>0</v>
      </c>
      <c r="DS7" s="24" cm="1">
        <f t="array" ref="DS7">IF(DS$2="FY",SUMPRODUCT(Data_Nhập[Tổng Nhập-NX]*(Data_Nhập[Year]=DS$1)*(Data_Nhập[Main SKU name_GOM]=$A7)*(Data_Nhập[SKU name_NHẬP_GOM]=DS$3)),SUMPRODUCT(Data_Nhập[Tổng Nhập-NX]*(Data_Nhập[Year]=DS$1)*(Data_Nhập[Month]=DS$2)*(Data_Nhập[Main SKU name_GOM]=$A7)*(Data_Nhập[SKU name_NHẬP_GOM]=DS$3)))</f>
        <v>0</v>
      </c>
      <c r="DT7" s="24" cm="1">
        <f t="array" ref="DT7">IF(DT$2="FY",SUMPRODUCT(Data_Nhập[Tổng Nhập-NX]*(Data_Nhập[Year]=DT$1)*(Data_Nhập[Main SKU name_GOM]=$A7)*(Data_Nhập[SKU name_NHẬP_GOM]=DT$3)),SUMPRODUCT(Data_Nhập[Tổng Nhập-NX]*(Data_Nhập[Year]=DT$1)*(Data_Nhập[Month]=DT$2)*(Data_Nhập[Main SKU name_GOM]=$A7)*(Data_Nhập[SKU name_NHẬP_GOM]=DT$3)))</f>
        <v>0</v>
      </c>
      <c r="DU7" s="24" cm="1">
        <f t="array" ref="DU7">IF(DU$2="FY",SUMPRODUCT(Data_Nhập[Tổng Nhập-NX]*(Data_Nhập[Year]=DU$1)*(Data_Nhập[Main SKU name_GOM]=$A7)*(Data_Nhập[SKU name_NHẬP_GOM]=DU$3)),SUMPRODUCT(Data_Nhập[Tổng Nhập-NX]*(Data_Nhập[Year]=DU$1)*(Data_Nhập[Month]=DU$2)*(Data_Nhập[Main SKU name_GOM]=$A7)*(Data_Nhập[SKU name_NHẬP_GOM]=DU$3)))</f>
        <v>0</v>
      </c>
      <c r="DV7" s="24" cm="1">
        <f t="array" ref="DV7">IF(DV$2="FY",SUMPRODUCT(Data_Nhập[Tổng Nhập-NX]*(Data_Nhập[Year]=DV$1)*(Data_Nhập[Main SKU name_GOM]=$A7)*(Data_Nhập[SKU name_NHẬP_GOM]=DV$3)),SUMPRODUCT(Data_Nhập[Tổng Nhập-NX]*(Data_Nhập[Year]=DV$1)*(Data_Nhập[Month]=DV$2)*(Data_Nhập[Main SKU name_GOM]=$A7)*(Data_Nhập[SKU name_NHẬP_GOM]=DV$3)))</f>
        <v>0</v>
      </c>
      <c r="DW7" s="24" cm="1">
        <f t="array" ref="DW7">IF(DW$2="FY",SUMPRODUCT(Data_Nhập[Tổng Nhập-NX]*(Data_Nhập[Year]=DW$1)*(Data_Nhập[Main SKU name_GOM]=$A7)*(Data_Nhập[SKU name_NHẬP_GOM]=DW$3)),SUMPRODUCT(Data_Nhập[Tổng Nhập-NX]*(Data_Nhập[Year]=DW$1)*(Data_Nhập[Month]=DW$2)*(Data_Nhập[Main SKU name_GOM]=$A7)*(Data_Nhập[SKU name_NHẬP_GOM]=DW$3)))</f>
        <v>0</v>
      </c>
      <c r="DX7" s="25">
        <f t="shared" ref="DX7:DX12" si="18">SUM(DI7:DW7)</f>
        <v>0</v>
      </c>
      <c r="DZ7" s="25" cm="1">
        <f t="array" ref="DZ7">IF(DZ$2="FY",SUMPRODUCT(Data_Xuất[Xuất-NX]*(Data_Xuất[Year]=DZ$1)*(Data_Xuất[Main SKU name_GOM]=$A7)),SUMPRODUCT(Data_Xuất[Xuất-NX]*(Data_Xuất[Year]=DZ$1)*(Data_Xuất[Main SKU name_GOM]=$A7)*(Data_Xuất[Month]=DZ$2)))</f>
        <v>0</v>
      </c>
      <c r="EA7" s="24" cm="1">
        <f t="array" ref="EA7">IF(EA$2="FY",SUMPRODUCT(Data_Nhập[Tổng Nhập-NX]*(Data_Nhập[Year]=EA$1)*(Data_Nhập[Main SKU name_GOM]=$A7)*(Data_Nhập[SKU name_NHẬP_GOM]=EA$3)),SUMPRODUCT(Data_Nhập[Tổng Nhập-NX]*(Data_Nhập[Year]=EA$1)*(Data_Nhập[Month]=EA$2)*(Data_Nhập[Main SKU name_GOM]=$A7)*(Data_Nhập[SKU name_NHẬP_GOM]=EA$3)))</f>
        <v>0</v>
      </c>
      <c r="EB7" s="24" cm="1">
        <f t="array" ref="EB7">IF(EB$2="FY",SUMPRODUCT(Data_Nhập[Tổng Nhập-NX]*(Data_Nhập[Year]=EB$1)*(Data_Nhập[Main SKU name_GOM]=$A7)*(Data_Nhập[SKU name_NHẬP_GOM]=EB$3)),SUMPRODUCT(Data_Nhập[Tổng Nhập-NX]*(Data_Nhập[Year]=EB$1)*(Data_Nhập[Month]=EB$2)*(Data_Nhập[Main SKU name_GOM]=$A7)*(Data_Nhập[SKU name_NHẬP_GOM]=EB$3)))</f>
        <v>0</v>
      </c>
      <c r="EC7" s="24" cm="1">
        <f t="array" ref="EC7">IF(EC$2="FY",SUMPRODUCT(Data_Nhập[Tổng Nhập-NX]*(Data_Nhập[Year]=EC$1)*(Data_Nhập[Main SKU name_GOM]=$A7)*(Data_Nhập[SKU name_NHẬP_GOM]=EC$3)),SUMPRODUCT(Data_Nhập[Tổng Nhập-NX]*(Data_Nhập[Year]=EC$1)*(Data_Nhập[Month]=EC$2)*(Data_Nhập[Main SKU name_GOM]=$A7)*(Data_Nhập[SKU name_NHẬP_GOM]=EC$3)))</f>
        <v>0</v>
      </c>
      <c r="ED7" s="24" cm="1">
        <f t="array" ref="ED7">IF(ED$2="FY",SUMPRODUCT(Data_Nhập[Tổng Nhập-NX]*(Data_Nhập[Year]=ED$1)*(Data_Nhập[Main SKU name_GOM]=$A7)*(Data_Nhập[SKU name_NHẬP_GOM]=ED$3)),SUMPRODUCT(Data_Nhập[Tổng Nhập-NX]*(Data_Nhập[Year]=ED$1)*(Data_Nhập[Month]=ED$2)*(Data_Nhập[Main SKU name_GOM]=$A7)*(Data_Nhập[SKU name_NHẬP_GOM]=ED$3)))</f>
        <v>0</v>
      </c>
      <c r="EE7" s="24" cm="1">
        <f t="array" ref="EE7">IF(EE$2="FY",SUMPRODUCT(Data_Nhập[Tổng Nhập-NX]*(Data_Nhập[Year]=EE$1)*(Data_Nhập[Main SKU name_GOM]=$A7)*(Data_Nhập[SKU name_NHẬP_GOM]=EE$3)),SUMPRODUCT(Data_Nhập[Tổng Nhập-NX]*(Data_Nhập[Year]=EE$1)*(Data_Nhập[Month]=EE$2)*(Data_Nhập[Main SKU name_GOM]=$A7)*(Data_Nhập[SKU name_NHẬP_GOM]=EE$3)))</f>
        <v>0</v>
      </c>
      <c r="EF7" s="24" cm="1">
        <f t="array" ref="EF7">IF(EF$2="FY",SUMPRODUCT(Data_Nhập[Tổng Nhập-NX]*(Data_Nhập[Year]=EF$1)*(Data_Nhập[Main SKU name_GOM]=$A7)*(Data_Nhập[SKU name_NHẬP_GOM]=EF$3)),SUMPRODUCT(Data_Nhập[Tổng Nhập-NX]*(Data_Nhập[Year]=EF$1)*(Data_Nhập[Month]=EF$2)*(Data_Nhập[Main SKU name_GOM]=$A7)*(Data_Nhập[SKU name_NHẬP_GOM]=EF$3)))</f>
        <v>0</v>
      </c>
      <c r="EG7" s="24" cm="1">
        <f t="array" ref="EG7">IF(EG$2="FY",SUMPRODUCT(Data_Nhập[Tổng Nhập-NX]*(Data_Nhập[Year]=EG$1)*(Data_Nhập[Main SKU name_GOM]=$A7)*(Data_Nhập[SKU name_NHẬP_GOM]=EG$3)),SUMPRODUCT(Data_Nhập[Tổng Nhập-NX]*(Data_Nhập[Year]=EG$1)*(Data_Nhập[Month]=EG$2)*(Data_Nhập[Main SKU name_GOM]=$A7)*(Data_Nhập[SKU name_NHẬP_GOM]=EG$3)))</f>
        <v>0</v>
      </c>
      <c r="EH7" s="24" cm="1">
        <f t="array" ref="EH7">IF(EH$2="FY",SUMPRODUCT(Data_Nhập[Tổng Nhập-NX]*(Data_Nhập[Year]=EH$1)*(Data_Nhập[Main SKU name_GOM]=$A7)*(Data_Nhập[SKU name_NHẬP_GOM]=EH$3)),SUMPRODUCT(Data_Nhập[Tổng Nhập-NX]*(Data_Nhập[Year]=EH$1)*(Data_Nhập[Month]=EH$2)*(Data_Nhập[Main SKU name_GOM]=$A7)*(Data_Nhập[SKU name_NHẬP_GOM]=EH$3)))</f>
        <v>0</v>
      </c>
      <c r="EI7" s="24" cm="1">
        <f t="array" ref="EI7">IF(EI$2="FY",SUMPRODUCT(Data_Nhập[Tổng Nhập-NX]*(Data_Nhập[Year]=EI$1)*(Data_Nhập[Main SKU name_GOM]=$A7)*(Data_Nhập[SKU name_NHẬP_GOM]=EI$3)),SUMPRODUCT(Data_Nhập[Tổng Nhập-NX]*(Data_Nhập[Year]=EI$1)*(Data_Nhập[Month]=EI$2)*(Data_Nhập[Main SKU name_GOM]=$A7)*(Data_Nhập[SKU name_NHẬP_GOM]=EI$3)))</f>
        <v>0</v>
      </c>
      <c r="EJ7" s="24" cm="1">
        <f t="array" ref="EJ7">IF(EJ$2="FY",SUMPRODUCT(Data_Nhập[Tổng Nhập-NX]*(Data_Nhập[Year]=EJ$1)*(Data_Nhập[Main SKU name_GOM]=$A7)*(Data_Nhập[SKU name_NHẬP_GOM]=EJ$3)),SUMPRODUCT(Data_Nhập[Tổng Nhập-NX]*(Data_Nhập[Year]=EJ$1)*(Data_Nhập[Month]=EJ$2)*(Data_Nhập[Main SKU name_GOM]=$A7)*(Data_Nhập[SKU name_NHẬP_GOM]=EJ$3)))</f>
        <v>0</v>
      </c>
      <c r="EK7" s="24" cm="1">
        <f t="array" ref="EK7">IF(EK$2="FY",SUMPRODUCT(Data_Nhập[Tổng Nhập-NX]*(Data_Nhập[Year]=EK$1)*(Data_Nhập[Main SKU name_GOM]=$A7)*(Data_Nhập[SKU name_NHẬP_GOM]=EK$3)),SUMPRODUCT(Data_Nhập[Tổng Nhập-NX]*(Data_Nhập[Year]=EK$1)*(Data_Nhập[Month]=EK$2)*(Data_Nhập[Main SKU name_GOM]=$A7)*(Data_Nhập[SKU name_NHẬP_GOM]=EK$3)))</f>
        <v>0</v>
      </c>
      <c r="EL7" s="24" cm="1">
        <f t="array" ref="EL7">IF(EL$2="FY",SUMPRODUCT(Data_Nhập[Tổng Nhập-NX]*(Data_Nhập[Year]=EL$1)*(Data_Nhập[Main SKU name_GOM]=$A7)*(Data_Nhập[SKU name_NHẬP_GOM]=EL$3)),SUMPRODUCT(Data_Nhập[Tổng Nhập-NX]*(Data_Nhập[Year]=EL$1)*(Data_Nhập[Month]=EL$2)*(Data_Nhập[Main SKU name_GOM]=$A7)*(Data_Nhập[SKU name_NHẬP_GOM]=EL$3)))</f>
        <v>0</v>
      </c>
      <c r="EM7" s="24" cm="1">
        <f t="array" ref="EM7">IF(EM$2="FY",SUMPRODUCT(Data_Nhập[Tổng Nhập-NX]*(Data_Nhập[Year]=EM$1)*(Data_Nhập[Main SKU name_GOM]=$A7)*(Data_Nhập[SKU name_NHẬP_GOM]=EM$3)),SUMPRODUCT(Data_Nhập[Tổng Nhập-NX]*(Data_Nhập[Year]=EM$1)*(Data_Nhập[Month]=EM$2)*(Data_Nhập[Main SKU name_GOM]=$A7)*(Data_Nhập[SKU name_NHẬP_GOM]=EM$3)))</f>
        <v>0</v>
      </c>
      <c r="EN7" s="24" cm="1">
        <f t="array" ref="EN7">IF(EN$2="FY",SUMPRODUCT(Data_Nhập[Tổng Nhập-NX]*(Data_Nhập[Year]=EN$1)*(Data_Nhập[Main SKU name_GOM]=$A7)*(Data_Nhập[SKU name_NHẬP_GOM]=EN$3)),SUMPRODUCT(Data_Nhập[Tổng Nhập-NX]*(Data_Nhập[Year]=EN$1)*(Data_Nhập[Month]=EN$2)*(Data_Nhập[Main SKU name_GOM]=$A7)*(Data_Nhập[SKU name_NHẬP_GOM]=EN$3)))</f>
        <v>0</v>
      </c>
      <c r="EO7" s="24" cm="1">
        <f t="array" ref="EO7">IF(EO$2="FY",SUMPRODUCT(Data_Nhập[Tổng Nhập-NX]*(Data_Nhập[Year]=EO$1)*(Data_Nhập[Main SKU name_GOM]=$A7)*(Data_Nhập[SKU name_NHẬP_GOM]=EO$3)),SUMPRODUCT(Data_Nhập[Tổng Nhập-NX]*(Data_Nhập[Year]=EO$1)*(Data_Nhập[Month]=EO$2)*(Data_Nhập[Main SKU name_GOM]=$A7)*(Data_Nhập[SKU name_NHẬP_GOM]=EO$3)))</f>
        <v>0</v>
      </c>
      <c r="EP7" s="25">
        <f t="shared" ref="EP7:EP12" si="19">SUM(EA7:EO7)</f>
        <v>0</v>
      </c>
      <c r="ER7" s="25" cm="1">
        <f t="array" ref="ER7">IF(ER$2="FY",SUMPRODUCT(Data_Xuất[Xuất-NX]*(Data_Xuất[Year]=ER$1)*(Data_Xuất[Main SKU name_GOM]=$A7)),SUMPRODUCT(Data_Xuất[Xuất-NX]*(Data_Xuất[Year]=ER$1)*(Data_Xuất[Main SKU name_GOM]=$A7)*(Data_Xuất[Month]=ER$2)))</f>
        <v>0</v>
      </c>
      <c r="ES7" s="24" cm="1">
        <f t="array" ref="ES7">IF(ES$2="FY",SUMPRODUCT(Data_Nhập[Tổng Nhập-NX]*(Data_Nhập[Year]=ES$1)*(Data_Nhập[Main SKU name_GOM]=$A7)*(Data_Nhập[SKU name_NHẬP_GOM]=ES$3)),SUMPRODUCT(Data_Nhập[Tổng Nhập-NX]*(Data_Nhập[Year]=ES$1)*(Data_Nhập[Month]=ES$2)*(Data_Nhập[Main SKU name_GOM]=$A7)*(Data_Nhập[SKU name_NHẬP_GOM]=ES$3)))</f>
        <v>0</v>
      </c>
      <c r="ET7" s="24" cm="1">
        <f t="array" ref="ET7">IF(ET$2="FY",SUMPRODUCT(Data_Nhập[Tổng Nhập-NX]*(Data_Nhập[Year]=ET$1)*(Data_Nhập[Main SKU name_GOM]=$A7)*(Data_Nhập[SKU name_NHẬP_GOM]=ET$3)),SUMPRODUCT(Data_Nhập[Tổng Nhập-NX]*(Data_Nhập[Year]=ET$1)*(Data_Nhập[Month]=ET$2)*(Data_Nhập[Main SKU name_GOM]=$A7)*(Data_Nhập[SKU name_NHẬP_GOM]=ET$3)))</f>
        <v>0</v>
      </c>
      <c r="EU7" s="24" cm="1">
        <f t="array" ref="EU7">IF(EU$2="FY",SUMPRODUCT(Data_Nhập[Tổng Nhập-NX]*(Data_Nhập[Year]=EU$1)*(Data_Nhập[Main SKU name_GOM]=$A7)*(Data_Nhập[SKU name_NHẬP_GOM]=EU$3)),SUMPRODUCT(Data_Nhập[Tổng Nhập-NX]*(Data_Nhập[Year]=EU$1)*(Data_Nhập[Month]=EU$2)*(Data_Nhập[Main SKU name_GOM]=$A7)*(Data_Nhập[SKU name_NHẬP_GOM]=EU$3)))</f>
        <v>0</v>
      </c>
      <c r="EV7" s="24" cm="1">
        <f t="array" ref="EV7">IF(EV$2="FY",SUMPRODUCT(Data_Nhập[Tổng Nhập-NX]*(Data_Nhập[Year]=EV$1)*(Data_Nhập[Main SKU name_GOM]=$A7)*(Data_Nhập[SKU name_NHẬP_GOM]=EV$3)),SUMPRODUCT(Data_Nhập[Tổng Nhập-NX]*(Data_Nhập[Year]=EV$1)*(Data_Nhập[Month]=EV$2)*(Data_Nhập[Main SKU name_GOM]=$A7)*(Data_Nhập[SKU name_NHẬP_GOM]=EV$3)))</f>
        <v>0</v>
      </c>
      <c r="EW7" s="24" cm="1">
        <f t="array" ref="EW7">IF(EW$2="FY",SUMPRODUCT(Data_Nhập[Tổng Nhập-NX]*(Data_Nhập[Year]=EW$1)*(Data_Nhập[Main SKU name_GOM]=$A7)*(Data_Nhập[SKU name_NHẬP_GOM]=EW$3)),SUMPRODUCT(Data_Nhập[Tổng Nhập-NX]*(Data_Nhập[Year]=EW$1)*(Data_Nhập[Month]=EW$2)*(Data_Nhập[Main SKU name_GOM]=$A7)*(Data_Nhập[SKU name_NHẬP_GOM]=EW$3)))</f>
        <v>0</v>
      </c>
      <c r="EX7" s="24" cm="1">
        <f t="array" ref="EX7">IF(EX$2="FY",SUMPRODUCT(Data_Nhập[Tổng Nhập-NX]*(Data_Nhập[Year]=EX$1)*(Data_Nhập[Main SKU name_GOM]=$A7)*(Data_Nhập[SKU name_NHẬP_GOM]=EX$3)),SUMPRODUCT(Data_Nhập[Tổng Nhập-NX]*(Data_Nhập[Year]=EX$1)*(Data_Nhập[Month]=EX$2)*(Data_Nhập[Main SKU name_GOM]=$A7)*(Data_Nhập[SKU name_NHẬP_GOM]=EX$3)))</f>
        <v>0</v>
      </c>
      <c r="EY7" s="24" cm="1">
        <f t="array" ref="EY7">IF(EY$2="FY",SUMPRODUCT(Data_Nhập[Tổng Nhập-NX]*(Data_Nhập[Year]=EY$1)*(Data_Nhập[Main SKU name_GOM]=$A7)*(Data_Nhập[SKU name_NHẬP_GOM]=EY$3)),SUMPRODUCT(Data_Nhập[Tổng Nhập-NX]*(Data_Nhập[Year]=EY$1)*(Data_Nhập[Month]=EY$2)*(Data_Nhập[Main SKU name_GOM]=$A7)*(Data_Nhập[SKU name_NHẬP_GOM]=EY$3)))</f>
        <v>0</v>
      </c>
      <c r="EZ7" s="24" cm="1">
        <f t="array" ref="EZ7">IF(EZ$2="FY",SUMPRODUCT(Data_Nhập[Tổng Nhập-NX]*(Data_Nhập[Year]=EZ$1)*(Data_Nhập[Main SKU name_GOM]=$A7)*(Data_Nhập[SKU name_NHẬP_GOM]=EZ$3)),SUMPRODUCT(Data_Nhập[Tổng Nhập-NX]*(Data_Nhập[Year]=EZ$1)*(Data_Nhập[Month]=EZ$2)*(Data_Nhập[Main SKU name_GOM]=$A7)*(Data_Nhập[SKU name_NHẬP_GOM]=EZ$3)))</f>
        <v>0</v>
      </c>
      <c r="FA7" s="24" cm="1">
        <f t="array" ref="FA7">IF(FA$2="FY",SUMPRODUCT(Data_Nhập[Tổng Nhập-NX]*(Data_Nhập[Year]=FA$1)*(Data_Nhập[Main SKU name_GOM]=$A7)*(Data_Nhập[SKU name_NHẬP_GOM]=FA$3)),SUMPRODUCT(Data_Nhập[Tổng Nhập-NX]*(Data_Nhập[Year]=FA$1)*(Data_Nhập[Month]=FA$2)*(Data_Nhập[Main SKU name_GOM]=$A7)*(Data_Nhập[SKU name_NHẬP_GOM]=FA$3)))</f>
        <v>0</v>
      </c>
      <c r="FB7" s="24" cm="1">
        <f t="array" ref="FB7">IF(FB$2="FY",SUMPRODUCT(Data_Nhập[Tổng Nhập-NX]*(Data_Nhập[Year]=FB$1)*(Data_Nhập[Main SKU name_GOM]=$A7)*(Data_Nhập[SKU name_NHẬP_GOM]=FB$3)),SUMPRODUCT(Data_Nhập[Tổng Nhập-NX]*(Data_Nhập[Year]=FB$1)*(Data_Nhập[Month]=FB$2)*(Data_Nhập[Main SKU name_GOM]=$A7)*(Data_Nhập[SKU name_NHẬP_GOM]=FB$3)))</f>
        <v>0</v>
      </c>
      <c r="FC7" s="24" cm="1">
        <f t="array" ref="FC7">IF(FC$2="FY",SUMPRODUCT(Data_Nhập[Tổng Nhập-NX]*(Data_Nhập[Year]=FC$1)*(Data_Nhập[Main SKU name_GOM]=$A7)*(Data_Nhập[SKU name_NHẬP_GOM]=FC$3)),SUMPRODUCT(Data_Nhập[Tổng Nhập-NX]*(Data_Nhập[Year]=FC$1)*(Data_Nhập[Month]=FC$2)*(Data_Nhập[Main SKU name_GOM]=$A7)*(Data_Nhập[SKU name_NHẬP_GOM]=FC$3)))</f>
        <v>0</v>
      </c>
      <c r="FD7" s="24" cm="1">
        <f t="array" ref="FD7">IF(FD$2="FY",SUMPRODUCT(Data_Nhập[Tổng Nhập-NX]*(Data_Nhập[Year]=FD$1)*(Data_Nhập[Main SKU name_GOM]=$A7)*(Data_Nhập[SKU name_NHẬP_GOM]=FD$3)),SUMPRODUCT(Data_Nhập[Tổng Nhập-NX]*(Data_Nhập[Year]=FD$1)*(Data_Nhập[Month]=FD$2)*(Data_Nhập[Main SKU name_GOM]=$A7)*(Data_Nhập[SKU name_NHẬP_GOM]=FD$3)))</f>
        <v>0</v>
      </c>
      <c r="FE7" s="24" cm="1">
        <f t="array" ref="FE7">IF(FE$2="FY",SUMPRODUCT(Data_Nhập[Tổng Nhập-NX]*(Data_Nhập[Year]=FE$1)*(Data_Nhập[Main SKU name_GOM]=$A7)*(Data_Nhập[SKU name_NHẬP_GOM]=FE$3)),SUMPRODUCT(Data_Nhập[Tổng Nhập-NX]*(Data_Nhập[Year]=FE$1)*(Data_Nhập[Month]=FE$2)*(Data_Nhập[Main SKU name_GOM]=$A7)*(Data_Nhập[SKU name_NHẬP_GOM]=FE$3)))</f>
        <v>0</v>
      </c>
      <c r="FF7" s="24" cm="1">
        <f t="array" ref="FF7">IF(FF$2="FY",SUMPRODUCT(Data_Nhập[Tổng Nhập-NX]*(Data_Nhập[Year]=FF$1)*(Data_Nhập[Main SKU name_GOM]=$A7)*(Data_Nhập[SKU name_NHẬP_GOM]=FF$3)),SUMPRODUCT(Data_Nhập[Tổng Nhập-NX]*(Data_Nhập[Year]=FF$1)*(Data_Nhập[Month]=FF$2)*(Data_Nhập[Main SKU name_GOM]=$A7)*(Data_Nhập[SKU name_NHẬP_GOM]=FF$3)))</f>
        <v>0</v>
      </c>
      <c r="FG7" s="24" cm="1">
        <f t="array" ref="FG7">IF(FG$2="FY",SUMPRODUCT(Data_Nhập[Tổng Nhập-NX]*(Data_Nhập[Year]=FG$1)*(Data_Nhập[Main SKU name_GOM]=$A7)*(Data_Nhập[SKU name_NHẬP_GOM]=FG$3)),SUMPRODUCT(Data_Nhập[Tổng Nhập-NX]*(Data_Nhập[Year]=FG$1)*(Data_Nhập[Month]=FG$2)*(Data_Nhập[Main SKU name_GOM]=$A7)*(Data_Nhập[SKU name_NHẬP_GOM]=FG$3)))</f>
        <v>0</v>
      </c>
      <c r="FH7" s="25">
        <f t="shared" ref="FH7:FH12" si="20">SUM(ES7:FG7)</f>
        <v>0</v>
      </c>
      <c r="FJ7" s="25" cm="1">
        <f t="array" ref="FJ7">IF(FJ$2="FY",SUMPRODUCT(Data_Xuất[Xuất-NX]*(Data_Xuất[Year]=FJ$1)*(Data_Xuất[Main SKU name_GOM]=$A7)),SUMPRODUCT(Data_Xuất[Xuất-NX]*(Data_Xuất[Year]=FJ$1)*(Data_Xuất[Main SKU name_GOM]=$A7)*(Data_Xuất[Month]=FJ$2)))</f>
        <v>0</v>
      </c>
      <c r="FK7" s="24" cm="1">
        <f t="array" ref="FK7">IF(FK$2="FY",SUMPRODUCT(Data_Nhập[Tổng Nhập-NX]*(Data_Nhập[Year]=FK$1)*(Data_Nhập[Main SKU name_GOM]=$A7)*(Data_Nhập[SKU name_NHẬP_GOM]=FK$3)),SUMPRODUCT(Data_Nhập[Tổng Nhập-NX]*(Data_Nhập[Year]=FK$1)*(Data_Nhập[Month]=FK$2)*(Data_Nhập[Main SKU name_GOM]=$A7)*(Data_Nhập[SKU name_NHẬP_GOM]=FK$3)))</f>
        <v>0</v>
      </c>
      <c r="FL7" s="24" cm="1">
        <f t="array" ref="FL7">IF(FL$2="FY",SUMPRODUCT(Data_Nhập[Tổng Nhập-NX]*(Data_Nhập[Year]=FL$1)*(Data_Nhập[Main SKU name_GOM]=$A7)*(Data_Nhập[SKU name_NHẬP_GOM]=FL$3)),SUMPRODUCT(Data_Nhập[Tổng Nhập-NX]*(Data_Nhập[Year]=FL$1)*(Data_Nhập[Month]=FL$2)*(Data_Nhập[Main SKU name_GOM]=$A7)*(Data_Nhập[SKU name_NHẬP_GOM]=FL$3)))</f>
        <v>0</v>
      </c>
      <c r="FM7" s="24" cm="1">
        <f t="array" ref="FM7">IF(FM$2="FY",SUMPRODUCT(Data_Nhập[Tổng Nhập-NX]*(Data_Nhập[Year]=FM$1)*(Data_Nhập[Main SKU name_GOM]=$A7)*(Data_Nhập[SKU name_NHẬP_GOM]=FM$3)),SUMPRODUCT(Data_Nhập[Tổng Nhập-NX]*(Data_Nhập[Year]=FM$1)*(Data_Nhập[Month]=FM$2)*(Data_Nhập[Main SKU name_GOM]=$A7)*(Data_Nhập[SKU name_NHẬP_GOM]=FM$3)))</f>
        <v>0</v>
      </c>
      <c r="FN7" s="24" cm="1">
        <f t="array" ref="FN7">IF(FN$2="FY",SUMPRODUCT(Data_Nhập[Tổng Nhập-NX]*(Data_Nhập[Year]=FN$1)*(Data_Nhập[Main SKU name_GOM]=$A7)*(Data_Nhập[SKU name_NHẬP_GOM]=FN$3)),SUMPRODUCT(Data_Nhập[Tổng Nhập-NX]*(Data_Nhập[Year]=FN$1)*(Data_Nhập[Month]=FN$2)*(Data_Nhập[Main SKU name_GOM]=$A7)*(Data_Nhập[SKU name_NHẬP_GOM]=FN$3)))</f>
        <v>0</v>
      </c>
      <c r="FO7" s="24" cm="1">
        <f t="array" ref="FO7">IF(FO$2="FY",SUMPRODUCT(Data_Nhập[Tổng Nhập-NX]*(Data_Nhập[Year]=FO$1)*(Data_Nhập[Main SKU name_GOM]=$A7)*(Data_Nhập[SKU name_NHẬP_GOM]=FO$3)),SUMPRODUCT(Data_Nhập[Tổng Nhập-NX]*(Data_Nhập[Year]=FO$1)*(Data_Nhập[Month]=FO$2)*(Data_Nhập[Main SKU name_GOM]=$A7)*(Data_Nhập[SKU name_NHẬP_GOM]=FO$3)))</f>
        <v>0</v>
      </c>
      <c r="FP7" s="24" cm="1">
        <f t="array" ref="FP7">IF(FP$2="FY",SUMPRODUCT(Data_Nhập[Tổng Nhập-NX]*(Data_Nhập[Year]=FP$1)*(Data_Nhập[Main SKU name_GOM]=$A7)*(Data_Nhập[SKU name_NHẬP_GOM]=FP$3)),SUMPRODUCT(Data_Nhập[Tổng Nhập-NX]*(Data_Nhập[Year]=FP$1)*(Data_Nhập[Month]=FP$2)*(Data_Nhập[Main SKU name_GOM]=$A7)*(Data_Nhập[SKU name_NHẬP_GOM]=FP$3)))</f>
        <v>0</v>
      </c>
      <c r="FQ7" s="24" cm="1">
        <f t="array" ref="FQ7">IF(FQ$2="FY",SUMPRODUCT(Data_Nhập[Tổng Nhập-NX]*(Data_Nhập[Year]=FQ$1)*(Data_Nhập[Main SKU name_GOM]=$A7)*(Data_Nhập[SKU name_NHẬP_GOM]=FQ$3)),SUMPRODUCT(Data_Nhập[Tổng Nhập-NX]*(Data_Nhập[Year]=FQ$1)*(Data_Nhập[Month]=FQ$2)*(Data_Nhập[Main SKU name_GOM]=$A7)*(Data_Nhập[SKU name_NHẬP_GOM]=FQ$3)))</f>
        <v>0</v>
      </c>
      <c r="FR7" s="24" cm="1">
        <f t="array" ref="FR7">IF(FR$2="FY",SUMPRODUCT(Data_Nhập[Tổng Nhập-NX]*(Data_Nhập[Year]=FR$1)*(Data_Nhập[Main SKU name_GOM]=$A7)*(Data_Nhập[SKU name_NHẬP_GOM]=FR$3)),SUMPRODUCT(Data_Nhập[Tổng Nhập-NX]*(Data_Nhập[Year]=FR$1)*(Data_Nhập[Month]=FR$2)*(Data_Nhập[Main SKU name_GOM]=$A7)*(Data_Nhập[SKU name_NHẬP_GOM]=FR$3)))</f>
        <v>0</v>
      </c>
      <c r="FS7" s="24" cm="1">
        <f t="array" ref="FS7">IF(FS$2="FY",SUMPRODUCT(Data_Nhập[Tổng Nhập-NX]*(Data_Nhập[Year]=FS$1)*(Data_Nhập[Main SKU name_GOM]=$A7)*(Data_Nhập[SKU name_NHẬP_GOM]=FS$3)),SUMPRODUCT(Data_Nhập[Tổng Nhập-NX]*(Data_Nhập[Year]=FS$1)*(Data_Nhập[Month]=FS$2)*(Data_Nhập[Main SKU name_GOM]=$A7)*(Data_Nhập[SKU name_NHẬP_GOM]=FS$3)))</f>
        <v>0</v>
      </c>
      <c r="FT7" s="24" cm="1">
        <f t="array" ref="FT7">IF(FT$2="FY",SUMPRODUCT(Data_Nhập[Tổng Nhập-NX]*(Data_Nhập[Year]=FT$1)*(Data_Nhập[Main SKU name_GOM]=$A7)*(Data_Nhập[SKU name_NHẬP_GOM]=FT$3)),SUMPRODUCT(Data_Nhập[Tổng Nhập-NX]*(Data_Nhập[Year]=FT$1)*(Data_Nhập[Month]=FT$2)*(Data_Nhập[Main SKU name_GOM]=$A7)*(Data_Nhập[SKU name_NHẬP_GOM]=FT$3)))</f>
        <v>0</v>
      </c>
      <c r="FU7" s="24" cm="1">
        <f t="array" ref="FU7">IF(FU$2="FY",SUMPRODUCT(Data_Nhập[Tổng Nhập-NX]*(Data_Nhập[Year]=FU$1)*(Data_Nhập[Main SKU name_GOM]=$A7)*(Data_Nhập[SKU name_NHẬP_GOM]=FU$3)),SUMPRODUCT(Data_Nhập[Tổng Nhập-NX]*(Data_Nhập[Year]=FU$1)*(Data_Nhập[Month]=FU$2)*(Data_Nhập[Main SKU name_GOM]=$A7)*(Data_Nhập[SKU name_NHẬP_GOM]=FU$3)))</f>
        <v>0</v>
      </c>
      <c r="FV7" s="24" cm="1">
        <f t="array" ref="FV7">IF(FV$2="FY",SUMPRODUCT(Data_Nhập[Tổng Nhập-NX]*(Data_Nhập[Year]=FV$1)*(Data_Nhập[Main SKU name_GOM]=$A7)*(Data_Nhập[SKU name_NHẬP_GOM]=FV$3)),SUMPRODUCT(Data_Nhập[Tổng Nhập-NX]*(Data_Nhập[Year]=FV$1)*(Data_Nhập[Month]=FV$2)*(Data_Nhập[Main SKU name_GOM]=$A7)*(Data_Nhập[SKU name_NHẬP_GOM]=FV$3)))</f>
        <v>0</v>
      </c>
      <c r="FW7" s="24" cm="1">
        <f t="array" ref="FW7">IF(FW$2="FY",SUMPRODUCT(Data_Nhập[Tổng Nhập-NX]*(Data_Nhập[Year]=FW$1)*(Data_Nhập[Main SKU name_GOM]=$A7)*(Data_Nhập[SKU name_NHẬP_GOM]=FW$3)),SUMPRODUCT(Data_Nhập[Tổng Nhập-NX]*(Data_Nhập[Year]=FW$1)*(Data_Nhập[Month]=FW$2)*(Data_Nhập[Main SKU name_GOM]=$A7)*(Data_Nhập[SKU name_NHẬP_GOM]=FW$3)))</f>
        <v>0</v>
      </c>
      <c r="FX7" s="24" cm="1">
        <f t="array" ref="FX7">IF(FX$2="FY",SUMPRODUCT(Data_Nhập[Tổng Nhập-NX]*(Data_Nhập[Year]=FX$1)*(Data_Nhập[Main SKU name_GOM]=$A7)*(Data_Nhập[SKU name_NHẬP_GOM]=FX$3)),SUMPRODUCT(Data_Nhập[Tổng Nhập-NX]*(Data_Nhập[Year]=FX$1)*(Data_Nhập[Month]=FX$2)*(Data_Nhập[Main SKU name_GOM]=$A7)*(Data_Nhập[SKU name_NHẬP_GOM]=FX$3)))</f>
        <v>0</v>
      </c>
      <c r="FY7" s="24" cm="1">
        <f t="array" ref="FY7">IF(FY$2="FY",SUMPRODUCT(Data_Nhập[Tổng Nhập-NX]*(Data_Nhập[Year]=FY$1)*(Data_Nhập[Main SKU name_GOM]=$A7)*(Data_Nhập[SKU name_NHẬP_GOM]=FY$3)),SUMPRODUCT(Data_Nhập[Tổng Nhập-NX]*(Data_Nhập[Year]=FY$1)*(Data_Nhập[Month]=FY$2)*(Data_Nhập[Main SKU name_GOM]=$A7)*(Data_Nhập[SKU name_NHẬP_GOM]=FY$3)))</f>
        <v>0</v>
      </c>
      <c r="FZ7" s="25">
        <f t="shared" ref="FZ7:FZ12" si="21">SUM(FK7:FY7)</f>
        <v>0</v>
      </c>
      <c r="GB7" s="25" cm="1">
        <f t="array" ref="GB7">IF(GB$2="FY",SUMPRODUCT(Data_Xuất[Xuất-NX]*(Data_Xuất[Year]=GB$1)*(Data_Xuất[Main SKU name_GOM]=$A7)),SUMPRODUCT(Data_Xuất[Xuất-NX]*(Data_Xuất[Year]=GB$1)*(Data_Xuất[Main SKU name_GOM]=$A7)*(Data_Xuất[Month]=GB$2)))</f>
        <v>0</v>
      </c>
      <c r="GC7" s="24" cm="1">
        <f t="array" ref="GC7">IF(GC$2="FY",SUMPRODUCT(Data_Nhập[Tổng Nhập-NX]*(Data_Nhập[Year]=GC$1)*(Data_Nhập[Main SKU name_GOM]=$A7)*(Data_Nhập[SKU name_NHẬP_GOM]=GC$3)),SUMPRODUCT(Data_Nhập[Tổng Nhập-NX]*(Data_Nhập[Year]=GC$1)*(Data_Nhập[Month]=GC$2)*(Data_Nhập[Main SKU name_GOM]=$A7)*(Data_Nhập[SKU name_NHẬP_GOM]=GC$3)))</f>
        <v>0</v>
      </c>
      <c r="GD7" s="24" cm="1">
        <f t="array" ref="GD7">IF(GD$2="FY",SUMPRODUCT(Data_Nhập[Tổng Nhập-NX]*(Data_Nhập[Year]=GD$1)*(Data_Nhập[Main SKU name_GOM]=$A7)*(Data_Nhập[SKU name_NHẬP_GOM]=GD$3)),SUMPRODUCT(Data_Nhập[Tổng Nhập-NX]*(Data_Nhập[Year]=GD$1)*(Data_Nhập[Month]=GD$2)*(Data_Nhập[Main SKU name_GOM]=$A7)*(Data_Nhập[SKU name_NHẬP_GOM]=GD$3)))</f>
        <v>0</v>
      </c>
      <c r="GE7" s="24" cm="1">
        <f t="array" ref="GE7">IF(GE$2="FY",SUMPRODUCT(Data_Nhập[Tổng Nhập-NX]*(Data_Nhập[Year]=GE$1)*(Data_Nhập[Main SKU name_GOM]=$A7)*(Data_Nhập[SKU name_NHẬP_GOM]=GE$3)),SUMPRODUCT(Data_Nhập[Tổng Nhập-NX]*(Data_Nhập[Year]=GE$1)*(Data_Nhập[Month]=GE$2)*(Data_Nhập[Main SKU name_GOM]=$A7)*(Data_Nhập[SKU name_NHẬP_GOM]=GE$3)))</f>
        <v>0</v>
      </c>
      <c r="GF7" s="24" cm="1">
        <f t="array" ref="GF7">IF(GF$2="FY",SUMPRODUCT(Data_Nhập[Tổng Nhập-NX]*(Data_Nhập[Year]=GF$1)*(Data_Nhập[Main SKU name_GOM]=$A7)*(Data_Nhập[SKU name_NHẬP_GOM]=GF$3)),SUMPRODUCT(Data_Nhập[Tổng Nhập-NX]*(Data_Nhập[Year]=GF$1)*(Data_Nhập[Month]=GF$2)*(Data_Nhập[Main SKU name_GOM]=$A7)*(Data_Nhập[SKU name_NHẬP_GOM]=GF$3)))</f>
        <v>0</v>
      </c>
      <c r="GG7" s="24" cm="1">
        <f t="array" ref="GG7">IF(GG$2="FY",SUMPRODUCT(Data_Nhập[Tổng Nhập-NX]*(Data_Nhập[Year]=GG$1)*(Data_Nhập[Main SKU name_GOM]=$A7)*(Data_Nhập[SKU name_NHẬP_GOM]=GG$3)),SUMPRODUCT(Data_Nhập[Tổng Nhập-NX]*(Data_Nhập[Year]=GG$1)*(Data_Nhập[Month]=GG$2)*(Data_Nhập[Main SKU name_GOM]=$A7)*(Data_Nhập[SKU name_NHẬP_GOM]=GG$3)))</f>
        <v>0</v>
      </c>
      <c r="GH7" s="24" cm="1">
        <f t="array" ref="GH7">IF(GH$2="FY",SUMPRODUCT(Data_Nhập[Tổng Nhập-NX]*(Data_Nhập[Year]=GH$1)*(Data_Nhập[Main SKU name_GOM]=$A7)*(Data_Nhập[SKU name_NHẬP_GOM]=GH$3)),SUMPRODUCT(Data_Nhập[Tổng Nhập-NX]*(Data_Nhập[Year]=GH$1)*(Data_Nhập[Month]=GH$2)*(Data_Nhập[Main SKU name_GOM]=$A7)*(Data_Nhập[SKU name_NHẬP_GOM]=GH$3)))</f>
        <v>0</v>
      </c>
      <c r="GI7" s="24" cm="1">
        <f t="array" ref="GI7">IF(GI$2="FY",SUMPRODUCT(Data_Nhập[Tổng Nhập-NX]*(Data_Nhập[Year]=GI$1)*(Data_Nhập[Main SKU name_GOM]=$A7)*(Data_Nhập[SKU name_NHẬP_GOM]=GI$3)),SUMPRODUCT(Data_Nhập[Tổng Nhập-NX]*(Data_Nhập[Year]=GI$1)*(Data_Nhập[Month]=GI$2)*(Data_Nhập[Main SKU name_GOM]=$A7)*(Data_Nhập[SKU name_NHẬP_GOM]=GI$3)))</f>
        <v>0</v>
      </c>
      <c r="GJ7" s="24" cm="1">
        <f t="array" ref="GJ7">IF(GJ$2="FY",SUMPRODUCT(Data_Nhập[Tổng Nhập-NX]*(Data_Nhập[Year]=GJ$1)*(Data_Nhập[Main SKU name_GOM]=$A7)*(Data_Nhập[SKU name_NHẬP_GOM]=GJ$3)),SUMPRODUCT(Data_Nhập[Tổng Nhập-NX]*(Data_Nhập[Year]=GJ$1)*(Data_Nhập[Month]=GJ$2)*(Data_Nhập[Main SKU name_GOM]=$A7)*(Data_Nhập[SKU name_NHẬP_GOM]=GJ$3)))</f>
        <v>0</v>
      </c>
      <c r="GK7" s="24" cm="1">
        <f t="array" ref="GK7">IF(GK$2="FY",SUMPRODUCT(Data_Nhập[Tổng Nhập-NX]*(Data_Nhập[Year]=GK$1)*(Data_Nhập[Main SKU name_GOM]=$A7)*(Data_Nhập[SKU name_NHẬP_GOM]=GK$3)),SUMPRODUCT(Data_Nhập[Tổng Nhập-NX]*(Data_Nhập[Year]=GK$1)*(Data_Nhập[Month]=GK$2)*(Data_Nhập[Main SKU name_GOM]=$A7)*(Data_Nhập[SKU name_NHẬP_GOM]=GK$3)))</f>
        <v>0</v>
      </c>
      <c r="GL7" s="24" cm="1">
        <f t="array" ref="GL7">IF(GL$2="FY",SUMPRODUCT(Data_Nhập[Tổng Nhập-NX]*(Data_Nhập[Year]=GL$1)*(Data_Nhập[Main SKU name_GOM]=$A7)*(Data_Nhập[SKU name_NHẬP_GOM]=GL$3)),SUMPRODUCT(Data_Nhập[Tổng Nhập-NX]*(Data_Nhập[Year]=GL$1)*(Data_Nhập[Month]=GL$2)*(Data_Nhập[Main SKU name_GOM]=$A7)*(Data_Nhập[SKU name_NHẬP_GOM]=GL$3)))</f>
        <v>0</v>
      </c>
      <c r="GM7" s="24" cm="1">
        <f t="array" ref="GM7">IF(GM$2="FY",SUMPRODUCT(Data_Nhập[Tổng Nhập-NX]*(Data_Nhập[Year]=GM$1)*(Data_Nhập[Main SKU name_GOM]=$A7)*(Data_Nhập[SKU name_NHẬP_GOM]=GM$3)),SUMPRODUCT(Data_Nhập[Tổng Nhập-NX]*(Data_Nhập[Year]=GM$1)*(Data_Nhập[Month]=GM$2)*(Data_Nhập[Main SKU name_GOM]=$A7)*(Data_Nhập[SKU name_NHẬP_GOM]=GM$3)))</f>
        <v>0</v>
      </c>
      <c r="GN7" s="24" cm="1">
        <f t="array" ref="GN7">IF(GN$2="FY",SUMPRODUCT(Data_Nhập[Tổng Nhập-NX]*(Data_Nhập[Year]=GN$1)*(Data_Nhập[Main SKU name_GOM]=$A7)*(Data_Nhập[SKU name_NHẬP_GOM]=GN$3)),SUMPRODUCT(Data_Nhập[Tổng Nhập-NX]*(Data_Nhập[Year]=GN$1)*(Data_Nhập[Month]=GN$2)*(Data_Nhập[Main SKU name_GOM]=$A7)*(Data_Nhập[SKU name_NHẬP_GOM]=GN$3)))</f>
        <v>0</v>
      </c>
      <c r="GO7" s="24" cm="1">
        <f t="array" ref="GO7">IF(GO$2="FY",SUMPRODUCT(Data_Nhập[Tổng Nhập-NX]*(Data_Nhập[Year]=GO$1)*(Data_Nhập[Main SKU name_GOM]=$A7)*(Data_Nhập[SKU name_NHẬP_GOM]=GO$3)),SUMPRODUCT(Data_Nhập[Tổng Nhập-NX]*(Data_Nhập[Year]=GO$1)*(Data_Nhập[Month]=GO$2)*(Data_Nhập[Main SKU name_GOM]=$A7)*(Data_Nhập[SKU name_NHẬP_GOM]=GO$3)))</f>
        <v>0</v>
      </c>
      <c r="GP7" s="24" cm="1">
        <f t="array" ref="GP7">IF(GP$2="FY",SUMPRODUCT(Data_Nhập[Tổng Nhập-NX]*(Data_Nhập[Year]=GP$1)*(Data_Nhập[Main SKU name_GOM]=$A7)*(Data_Nhập[SKU name_NHẬP_GOM]=GP$3)),SUMPRODUCT(Data_Nhập[Tổng Nhập-NX]*(Data_Nhập[Year]=GP$1)*(Data_Nhập[Month]=GP$2)*(Data_Nhập[Main SKU name_GOM]=$A7)*(Data_Nhập[SKU name_NHẬP_GOM]=GP$3)))</f>
        <v>0</v>
      </c>
      <c r="GQ7" s="24" cm="1">
        <f t="array" ref="GQ7">IF(GQ$2="FY",SUMPRODUCT(Data_Nhập[Tổng Nhập-NX]*(Data_Nhập[Year]=GQ$1)*(Data_Nhập[Main SKU name_GOM]=$A7)*(Data_Nhập[SKU name_NHẬP_GOM]=GQ$3)),SUMPRODUCT(Data_Nhập[Tổng Nhập-NX]*(Data_Nhập[Year]=GQ$1)*(Data_Nhập[Month]=GQ$2)*(Data_Nhập[Main SKU name_GOM]=$A7)*(Data_Nhập[SKU name_NHẬP_GOM]=GQ$3)))</f>
        <v>0</v>
      </c>
      <c r="GR7" s="25">
        <f t="shared" ref="GR7:GR12" si="22">SUM(GC7:GQ7)</f>
        <v>0</v>
      </c>
      <c r="GT7" s="25" cm="1">
        <f t="array" ref="GT7">IF(GT$2="FY",SUMPRODUCT(Data_Xuất[Xuất-NX]*(Data_Xuất[Year]=GT$1)*(Data_Xuất[Main SKU name_GOM]=$A7)),SUMPRODUCT(Data_Xuất[Xuất-NX]*(Data_Xuất[Year]=GT$1)*(Data_Xuất[Main SKU name_GOM]=$A7)*(Data_Xuất[Month]=GT$2)))</f>
        <v>0</v>
      </c>
      <c r="GU7" s="24" cm="1">
        <f t="array" ref="GU7">IF(GU$2="FY",SUMPRODUCT(Data_Nhập[Tổng Nhập-NX]*(Data_Nhập[Year]=GU$1)*(Data_Nhập[Main SKU name_GOM]=$A7)*(Data_Nhập[SKU name_NHẬP_GOM]=GU$3)),SUMPRODUCT(Data_Nhập[Tổng Nhập-NX]*(Data_Nhập[Year]=GU$1)*(Data_Nhập[Month]=GU$2)*(Data_Nhập[Main SKU name_GOM]=$A7)*(Data_Nhập[SKU name_NHẬP_GOM]=GU$3)))</f>
        <v>0</v>
      </c>
      <c r="GV7" s="24" cm="1">
        <f t="array" ref="GV7">IF(GV$2="FY",SUMPRODUCT(Data_Nhập[Tổng Nhập-NX]*(Data_Nhập[Year]=GV$1)*(Data_Nhập[Main SKU name_GOM]=$A7)*(Data_Nhập[SKU name_NHẬP_GOM]=GV$3)),SUMPRODUCT(Data_Nhập[Tổng Nhập-NX]*(Data_Nhập[Year]=GV$1)*(Data_Nhập[Month]=GV$2)*(Data_Nhập[Main SKU name_GOM]=$A7)*(Data_Nhập[SKU name_NHẬP_GOM]=GV$3)))</f>
        <v>0</v>
      </c>
      <c r="GW7" s="24" cm="1">
        <f t="array" ref="GW7">IF(GW$2="FY",SUMPRODUCT(Data_Nhập[Tổng Nhập-NX]*(Data_Nhập[Year]=GW$1)*(Data_Nhập[Main SKU name_GOM]=$A7)*(Data_Nhập[SKU name_NHẬP_GOM]=GW$3)),SUMPRODUCT(Data_Nhập[Tổng Nhập-NX]*(Data_Nhập[Year]=GW$1)*(Data_Nhập[Month]=GW$2)*(Data_Nhập[Main SKU name_GOM]=$A7)*(Data_Nhập[SKU name_NHẬP_GOM]=GW$3)))</f>
        <v>0</v>
      </c>
      <c r="GX7" s="24" cm="1">
        <f t="array" ref="GX7">IF(GX$2="FY",SUMPRODUCT(Data_Nhập[Tổng Nhập-NX]*(Data_Nhập[Year]=GX$1)*(Data_Nhập[Main SKU name_GOM]=$A7)*(Data_Nhập[SKU name_NHẬP_GOM]=GX$3)),SUMPRODUCT(Data_Nhập[Tổng Nhập-NX]*(Data_Nhập[Year]=GX$1)*(Data_Nhập[Month]=GX$2)*(Data_Nhập[Main SKU name_GOM]=$A7)*(Data_Nhập[SKU name_NHẬP_GOM]=GX$3)))</f>
        <v>0</v>
      </c>
      <c r="GY7" s="24" cm="1">
        <f t="array" ref="GY7">IF(GY$2="FY",SUMPRODUCT(Data_Nhập[Tổng Nhập-NX]*(Data_Nhập[Year]=GY$1)*(Data_Nhập[Main SKU name_GOM]=$A7)*(Data_Nhập[SKU name_NHẬP_GOM]=GY$3)),SUMPRODUCT(Data_Nhập[Tổng Nhập-NX]*(Data_Nhập[Year]=GY$1)*(Data_Nhập[Month]=GY$2)*(Data_Nhập[Main SKU name_GOM]=$A7)*(Data_Nhập[SKU name_NHẬP_GOM]=GY$3)))</f>
        <v>0</v>
      </c>
      <c r="GZ7" s="24" cm="1">
        <f t="array" ref="GZ7">IF(GZ$2="FY",SUMPRODUCT(Data_Nhập[Tổng Nhập-NX]*(Data_Nhập[Year]=GZ$1)*(Data_Nhập[Main SKU name_GOM]=$A7)*(Data_Nhập[SKU name_NHẬP_GOM]=GZ$3)),SUMPRODUCT(Data_Nhập[Tổng Nhập-NX]*(Data_Nhập[Year]=GZ$1)*(Data_Nhập[Month]=GZ$2)*(Data_Nhập[Main SKU name_GOM]=$A7)*(Data_Nhập[SKU name_NHẬP_GOM]=GZ$3)))</f>
        <v>0</v>
      </c>
      <c r="HA7" s="24" cm="1">
        <f t="array" ref="HA7">IF(HA$2="FY",SUMPRODUCT(Data_Nhập[Tổng Nhập-NX]*(Data_Nhập[Year]=HA$1)*(Data_Nhập[Main SKU name_GOM]=$A7)*(Data_Nhập[SKU name_NHẬP_GOM]=HA$3)),SUMPRODUCT(Data_Nhập[Tổng Nhập-NX]*(Data_Nhập[Year]=HA$1)*(Data_Nhập[Month]=HA$2)*(Data_Nhập[Main SKU name_GOM]=$A7)*(Data_Nhập[SKU name_NHẬP_GOM]=HA$3)))</f>
        <v>0</v>
      </c>
      <c r="HB7" s="24" cm="1">
        <f t="array" ref="HB7">IF(HB$2="FY",SUMPRODUCT(Data_Nhập[Tổng Nhập-NX]*(Data_Nhập[Year]=HB$1)*(Data_Nhập[Main SKU name_GOM]=$A7)*(Data_Nhập[SKU name_NHẬP_GOM]=HB$3)),SUMPRODUCT(Data_Nhập[Tổng Nhập-NX]*(Data_Nhập[Year]=HB$1)*(Data_Nhập[Month]=HB$2)*(Data_Nhập[Main SKU name_GOM]=$A7)*(Data_Nhập[SKU name_NHẬP_GOM]=HB$3)))</f>
        <v>0</v>
      </c>
      <c r="HC7" s="24" cm="1">
        <f t="array" ref="HC7">IF(HC$2="FY",SUMPRODUCT(Data_Nhập[Tổng Nhập-NX]*(Data_Nhập[Year]=HC$1)*(Data_Nhập[Main SKU name_GOM]=$A7)*(Data_Nhập[SKU name_NHẬP_GOM]=HC$3)),SUMPRODUCT(Data_Nhập[Tổng Nhập-NX]*(Data_Nhập[Year]=HC$1)*(Data_Nhập[Month]=HC$2)*(Data_Nhập[Main SKU name_GOM]=$A7)*(Data_Nhập[SKU name_NHẬP_GOM]=HC$3)))</f>
        <v>0</v>
      </c>
      <c r="HD7" s="24" cm="1">
        <f t="array" ref="HD7">IF(HD$2="FY",SUMPRODUCT(Data_Nhập[Tổng Nhập-NX]*(Data_Nhập[Year]=HD$1)*(Data_Nhập[Main SKU name_GOM]=$A7)*(Data_Nhập[SKU name_NHẬP_GOM]=HD$3)),SUMPRODUCT(Data_Nhập[Tổng Nhập-NX]*(Data_Nhập[Year]=HD$1)*(Data_Nhập[Month]=HD$2)*(Data_Nhập[Main SKU name_GOM]=$A7)*(Data_Nhập[SKU name_NHẬP_GOM]=HD$3)))</f>
        <v>0</v>
      </c>
      <c r="HE7" s="24" cm="1">
        <f t="array" ref="HE7">IF(HE$2="FY",SUMPRODUCT(Data_Nhập[Tổng Nhập-NX]*(Data_Nhập[Year]=HE$1)*(Data_Nhập[Main SKU name_GOM]=$A7)*(Data_Nhập[SKU name_NHẬP_GOM]=HE$3)),SUMPRODUCT(Data_Nhập[Tổng Nhập-NX]*(Data_Nhập[Year]=HE$1)*(Data_Nhập[Month]=HE$2)*(Data_Nhập[Main SKU name_GOM]=$A7)*(Data_Nhập[SKU name_NHẬP_GOM]=HE$3)))</f>
        <v>0</v>
      </c>
      <c r="HF7" s="24" cm="1">
        <f t="array" ref="HF7">IF(HF$2="FY",SUMPRODUCT(Data_Nhập[Tổng Nhập-NX]*(Data_Nhập[Year]=HF$1)*(Data_Nhập[Main SKU name_GOM]=$A7)*(Data_Nhập[SKU name_NHẬP_GOM]=HF$3)),SUMPRODUCT(Data_Nhập[Tổng Nhập-NX]*(Data_Nhập[Year]=HF$1)*(Data_Nhập[Month]=HF$2)*(Data_Nhập[Main SKU name_GOM]=$A7)*(Data_Nhập[SKU name_NHẬP_GOM]=HF$3)))</f>
        <v>0</v>
      </c>
      <c r="HG7" s="24" cm="1">
        <f t="array" ref="HG7">IF(HG$2="FY",SUMPRODUCT(Data_Nhập[Tổng Nhập-NX]*(Data_Nhập[Year]=HG$1)*(Data_Nhập[Main SKU name_GOM]=$A7)*(Data_Nhập[SKU name_NHẬP_GOM]=HG$3)),SUMPRODUCT(Data_Nhập[Tổng Nhập-NX]*(Data_Nhập[Year]=HG$1)*(Data_Nhập[Month]=HG$2)*(Data_Nhập[Main SKU name_GOM]=$A7)*(Data_Nhập[SKU name_NHẬP_GOM]=HG$3)))</f>
        <v>0</v>
      </c>
      <c r="HH7" s="24" cm="1">
        <f t="array" ref="HH7">IF(HH$2="FY",SUMPRODUCT(Data_Nhập[Tổng Nhập-NX]*(Data_Nhập[Year]=HH$1)*(Data_Nhập[Main SKU name_GOM]=$A7)*(Data_Nhập[SKU name_NHẬP_GOM]=HH$3)),SUMPRODUCT(Data_Nhập[Tổng Nhập-NX]*(Data_Nhập[Year]=HH$1)*(Data_Nhập[Month]=HH$2)*(Data_Nhập[Main SKU name_GOM]=$A7)*(Data_Nhập[SKU name_NHẬP_GOM]=HH$3)))</f>
        <v>0</v>
      </c>
      <c r="HI7" s="24" cm="1">
        <f t="array" ref="HI7">IF(HI$2="FY",SUMPRODUCT(Data_Nhập[Tổng Nhập-NX]*(Data_Nhập[Year]=HI$1)*(Data_Nhập[Main SKU name_GOM]=$A7)*(Data_Nhập[SKU name_NHẬP_GOM]=HI$3)),SUMPRODUCT(Data_Nhập[Tổng Nhập-NX]*(Data_Nhập[Year]=HI$1)*(Data_Nhập[Month]=HI$2)*(Data_Nhập[Main SKU name_GOM]=$A7)*(Data_Nhập[SKU name_NHẬP_GOM]=HI$3)))</f>
        <v>0</v>
      </c>
      <c r="HJ7" s="25">
        <f t="shared" ref="HJ7:HJ12" si="23">SUM(GU7:HI7)</f>
        <v>0</v>
      </c>
      <c r="HL7" s="25" cm="1">
        <f t="array" ref="HL7">IF(HL$2="FY",SUMPRODUCT(Data_Xuất[Xuất-NX]*(Data_Xuất[Year]=HL$1)*(Data_Xuất[Main SKU name_GOM]=$A7)),SUMPRODUCT(Data_Xuất[Xuất-NX]*(Data_Xuất[Year]=HL$1)*(Data_Xuất[Main SKU name_GOM]=$A7)*(Data_Xuất[Month]=HL$2)))</f>
        <v>0</v>
      </c>
      <c r="HM7" s="24" cm="1">
        <f t="array" ref="HM7">IF(HM$2="FY",SUMPRODUCT(Data_Nhập[Tổng Nhập-NX]*(Data_Nhập[Year]=HM$1)*(Data_Nhập[Main SKU name_GOM]=$A7)*(Data_Nhập[SKU name_NHẬP_GOM]=HM$3)),SUMPRODUCT(Data_Nhập[Tổng Nhập-NX]*(Data_Nhập[Year]=HM$1)*(Data_Nhập[Month]=HM$2)*(Data_Nhập[Main SKU name_GOM]=$A7)*(Data_Nhập[SKU name_NHẬP_GOM]=HM$3)))</f>
        <v>0</v>
      </c>
      <c r="HN7" s="24" cm="1">
        <f t="array" ref="HN7">IF(HN$2="FY",SUMPRODUCT(Data_Nhập[Tổng Nhập-NX]*(Data_Nhập[Year]=HN$1)*(Data_Nhập[Main SKU name_GOM]=$A7)*(Data_Nhập[SKU name_NHẬP_GOM]=HN$3)),SUMPRODUCT(Data_Nhập[Tổng Nhập-NX]*(Data_Nhập[Year]=HN$1)*(Data_Nhập[Month]=HN$2)*(Data_Nhập[Main SKU name_GOM]=$A7)*(Data_Nhập[SKU name_NHẬP_GOM]=HN$3)))</f>
        <v>0</v>
      </c>
      <c r="HO7" s="24" cm="1">
        <f t="array" ref="HO7">IF(HO$2="FY",SUMPRODUCT(Data_Nhập[Tổng Nhập-NX]*(Data_Nhập[Year]=HO$1)*(Data_Nhập[Main SKU name_GOM]=$A7)*(Data_Nhập[SKU name_NHẬP_GOM]=HO$3)),SUMPRODUCT(Data_Nhập[Tổng Nhập-NX]*(Data_Nhập[Year]=HO$1)*(Data_Nhập[Month]=HO$2)*(Data_Nhập[Main SKU name_GOM]=$A7)*(Data_Nhập[SKU name_NHẬP_GOM]=HO$3)))</f>
        <v>0</v>
      </c>
      <c r="HP7" s="24" cm="1">
        <f t="array" ref="HP7">IF(HP$2="FY",SUMPRODUCT(Data_Nhập[Tổng Nhập-NX]*(Data_Nhập[Year]=HP$1)*(Data_Nhập[Main SKU name_GOM]=$A7)*(Data_Nhập[SKU name_NHẬP_GOM]=HP$3)),SUMPRODUCT(Data_Nhập[Tổng Nhập-NX]*(Data_Nhập[Year]=HP$1)*(Data_Nhập[Month]=HP$2)*(Data_Nhập[Main SKU name_GOM]=$A7)*(Data_Nhập[SKU name_NHẬP_GOM]=HP$3)))</f>
        <v>0</v>
      </c>
      <c r="HQ7" s="24" cm="1">
        <f t="array" ref="HQ7">IF(HQ$2="FY",SUMPRODUCT(Data_Nhập[Tổng Nhập-NX]*(Data_Nhập[Year]=HQ$1)*(Data_Nhập[Main SKU name_GOM]=$A7)*(Data_Nhập[SKU name_NHẬP_GOM]=HQ$3)),SUMPRODUCT(Data_Nhập[Tổng Nhập-NX]*(Data_Nhập[Year]=HQ$1)*(Data_Nhập[Month]=HQ$2)*(Data_Nhập[Main SKU name_GOM]=$A7)*(Data_Nhập[SKU name_NHẬP_GOM]=HQ$3)))</f>
        <v>0</v>
      </c>
      <c r="HR7" s="24" cm="1">
        <f t="array" ref="HR7">IF(HR$2="FY",SUMPRODUCT(Data_Nhập[Tổng Nhập-NX]*(Data_Nhập[Year]=HR$1)*(Data_Nhập[Main SKU name_GOM]=$A7)*(Data_Nhập[SKU name_NHẬP_GOM]=HR$3)),SUMPRODUCT(Data_Nhập[Tổng Nhập-NX]*(Data_Nhập[Year]=HR$1)*(Data_Nhập[Month]=HR$2)*(Data_Nhập[Main SKU name_GOM]=$A7)*(Data_Nhập[SKU name_NHẬP_GOM]=HR$3)))</f>
        <v>0</v>
      </c>
      <c r="HS7" s="24" cm="1">
        <f t="array" ref="HS7">IF(HS$2="FY",SUMPRODUCT(Data_Nhập[Tổng Nhập-NX]*(Data_Nhập[Year]=HS$1)*(Data_Nhập[Main SKU name_GOM]=$A7)*(Data_Nhập[SKU name_NHẬP_GOM]=HS$3)),SUMPRODUCT(Data_Nhập[Tổng Nhập-NX]*(Data_Nhập[Year]=HS$1)*(Data_Nhập[Month]=HS$2)*(Data_Nhập[Main SKU name_GOM]=$A7)*(Data_Nhập[SKU name_NHẬP_GOM]=HS$3)))</f>
        <v>0</v>
      </c>
      <c r="HT7" s="24" cm="1">
        <f t="array" ref="HT7">IF(HT$2="FY",SUMPRODUCT(Data_Nhập[Tổng Nhập-NX]*(Data_Nhập[Year]=HT$1)*(Data_Nhập[Main SKU name_GOM]=$A7)*(Data_Nhập[SKU name_NHẬP_GOM]=HT$3)),SUMPRODUCT(Data_Nhập[Tổng Nhập-NX]*(Data_Nhập[Year]=HT$1)*(Data_Nhập[Month]=HT$2)*(Data_Nhập[Main SKU name_GOM]=$A7)*(Data_Nhập[SKU name_NHẬP_GOM]=HT$3)))</f>
        <v>0</v>
      </c>
      <c r="HU7" s="24" cm="1">
        <f t="array" ref="HU7">IF(HU$2="FY",SUMPRODUCT(Data_Nhập[Tổng Nhập-NX]*(Data_Nhập[Year]=HU$1)*(Data_Nhập[Main SKU name_GOM]=$A7)*(Data_Nhập[SKU name_NHẬP_GOM]=HU$3)),SUMPRODUCT(Data_Nhập[Tổng Nhập-NX]*(Data_Nhập[Year]=HU$1)*(Data_Nhập[Month]=HU$2)*(Data_Nhập[Main SKU name_GOM]=$A7)*(Data_Nhập[SKU name_NHẬP_GOM]=HU$3)))</f>
        <v>0</v>
      </c>
      <c r="HV7" s="24" cm="1">
        <f t="array" ref="HV7">IF(HV$2="FY",SUMPRODUCT(Data_Nhập[Tổng Nhập-NX]*(Data_Nhập[Year]=HV$1)*(Data_Nhập[Main SKU name_GOM]=$A7)*(Data_Nhập[SKU name_NHẬP_GOM]=HV$3)),SUMPRODUCT(Data_Nhập[Tổng Nhập-NX]*(Data_Nhập[Year]=HV$1)*(Data_Nhập[Month]=HV$2)*(Data_Nhập[Main SKU name_GOM]=$A7)*(Data_Nhập[SKU name_NHẬP_GOM]=HV$3)))</f>
        <v>0</v>
      </c>
      <c r="HW7" s="24" cm="1">
        <f t="array" ref="HW7">IF(HW$2="FY",SUMPRODUCT(Data_Nhập[Tổng Nhập-NX]*(Data_Nhập[Year]=HW$1)*(Data_Nhập[Main SKU name_GOM]=$A7)*(Data_Nhập[SKU name_NHẬP_GOM]=HW$3)),SUMPRODUCT(Data_Nhập[Tổng Nhập-NX]*(Data_Nhập[Year]=HW$1)*(Data_Nhập[Month]=HW$2)*(Data_Nhập[Main SKU name_GOM]=$A7)*(Data_Nhập[SKU name_NHẬP_GOM]=HW$3)))</f>
        <v>0</v>
      </c>
      <c r="HX7" s="24" cm="1">
        <f t="array" ref="HX7">IF(HX$2="FY",SUMPRODUCT(Data_Nhập[Tổng Nhập-NX]*(Data_Nhập[Year]=HX$1)*(Data_Nhập[Main SKU name_GOM]=$A7)*(Data_Nhập[SKU name_NHẬP_GOM]=HX$3)),SUMPRODUCT(Data_Nhập[Tổng Nhập-NX]*(Data_Nhập[Year]=HX$1)*(Data_Nhập[Month]=HX$2)*(Data_Nhập[Main SKU name_GOM]=$A7)*(Data_Nhập[SKU name_NHẬP_GOM]=HX$3)))</f>
        <v>0</v>
      </c>
      <c r="HY7" s="24" cm="1">
        <f t="array" ref="HY7">IF(HY$2="FY",SUMPRODUCT(Data_Nhập[Tổng Nhập-NX]*(Data_Nhập[Year]=HY$1)*(Data_Nhập[Main SKU name_GOM]=$A7)*(Data_Nhập[SKU name_NHẬP_GOM]=HY$3)),SUMPRODUCT(Data_Nhập[Tổng Nhập-NX]*(Data_Nhập[Year]=HY$1)*(Data_Nhập[Month]=HY$2)*(Data_Nhập[Main SKU name_GOM]=$A7)*(Data_Nhập[SKU name_NHẬP_GOM]=HY$3)))</f>
        <v>0</v>
      </c>
      <c r="HZ7" s="24" cm="1">
        <f t="array" ref="HZ7">IF(HZ$2="FY",SUMPRODUCT(Data_Nhập[Tổng Nhập-NX]*(Data_Nhập[Year]=HZ$1)*(Data_Nhập[Main SKU name_GOM]=$A7)*(Data_Nhập[SKU name_NHẬP_GOM]=HZ$3)),SUMPRODUCT(Data_Nhập[Tổng Nhập-NX]*(Data_Nhập[Year]=HZ$1)*(Data_Nhập[Month]=HZ$2)*(Data_Nhập[Main SKU name_GOM]=$A7)*(Data_Nhập[SKU name_NHẬP_GOM]=HZ$3)))</f>
        <v>0</v>
      </c>
      <c r="IA7" s="24" cm="1">
        <f t="array" ref="IA7">IF(IA$2="FY",SUMPRODUCT(Data_Nhập[Tổng Nhập-NX]*(Data_Nhập[Year]=IA$1)*(Data_Nhập[Main SKU name_GOM]=$A7)*(Data_Nhập[SKU name_NHẬP_GOM]=IA$3)),SUMPRODUCT(Data_Nhập[Tổng Nhập-NX]*(Data_Nhập[Year]=IA$1)*(Data_Nhập[Month]=IA$2)*(Data_Nhập[Main SKU name_GOM]=$A7)*(Data_Nhập[SKU name_NHẬP_GOM]=IA$3)))</f>
        <v>0</v>
      </c>
      <c r="IB7" s="25">
        <f t="shared" ref="IB7:IB12" si="24">SUM(HM7:IA7)</f>
        <v>0</v>
      </c>
    </row>
    <row r="8" spans="1:236" x14ac:dyDescent="0.35">
      <c r="A8" s="5" t="s">
        <v>70</v>
      </c>
      <c r="B8" s="22" t="s">
        <v>70</v>
      </c>
      <c r="D8" s="25" cm="1">
        <f t="array" ref="D8">IF(D$2="FY",SUMPRODUCT(Data_Xuất[Xuất-NX]*(Data_Xuất[Year]=D$1)*(Data_Xuất[Main SKU name_GOM]=$A8)),SUMPRODUCT(Data_Xuất[Xuất-NX]*(Data_Xuất[Year]=D$1)*(Data_Xuất[Main SKU name_GOM]=$A8)*Data_Xuất[Month]=D$2))</f>
        <v>7537183.1999999983</v>
      </c>
      <c r="E8" s="24" cm="1">
        <f t="array" ref="E8">IF(E$2="FY",SUMPRODUCT(Data_Nhập[Tổng Nhập-NX]*(Data_Nhập[Year]=E$1)*(Data_Nhập[Main SKU name_GOM]=$A8)*(Data_Nhập[SKU name_NHẬP_GOM]=E$3)),SUMPRODUCT(Data_Nhập[Tổng Nhập-NX]*(Data_Nhập[Year]=E$1)*(Data_Nhập[Month]=E$2)*(Data_Nhập[Main SKU name_GOM]=$A8)*(Data_Nhập[SKU name_NHẬP_GOM]=E$3)))</f>
        <v>0</v>
      </c>
      <c r="F8" s="24" cm="1">
        <f t="array" ref="F8">IF(F$2="FY",SUMPRODUCT(Data_Nhập[Tổng Nhập-NX]*(Data_Nhập[Year]=F$1)*(Data_Nhập[Main SKU name_GOM]=$A8)*(Data_Nhập[SKU name_NHẬP_GOM]=F$3)),SUMPRODUCT(Data_Nhập[Tổng Nhập-NX]*(Data_Nhập[Year]=F$1)*(Data_Nhập[Month]=F$2)*(Data_Nhập[Main SKU name_GOM]=$A8)*(Data_Nhập[SKU name_NHẬP_GOM]=F$3)))</f>
        <v>144100</v>
      </c>
      <c r="G8" s="24" cm="1">
        <f t="array" ref="G8">IF(G$2="FY",SUMPRODUCT(Data_Nhập[Tổng Nhập-NX]*(Data_Nhập[Year]=G$1)*(Data_Nhập[Main SKU name_GOM]=$A8)*(Data_Nhập[SKU name_NHẬP_GOM]=G$3)),SUMPRODUCT(Data_Nhập[Tổng Nhập-NX]*(Data_Nhập[Year]=G$1)*(Data_Nhập[Month]=G$2)*(Data_Nhập[Main SKU name_GOM]=$A8)*(Data_Nhập[SKU name_NHẬP_GOM]=G$3)))</f>
        <v>6842000</v>
      </c>
      <c r="H8" s="24" cm="1">
        <f t="array" ref="H8">IF(H$2="FY",SUMPRODUCT(Data_Nhập[Tổng Nhập-NX]*(Data_Nhập[Year]=H$1)*(Data_Nhập[Main SKU name_GOM]=$A8)*(Data_Nhập[SKU name_NHẬP_GOM]=H$3)),SUMPRODUCT(Data_Nhập[Tổng Nhập-NX]*(Data_Nhập[Year]=H$1)*(Data_Nhập[Month]=H$2)*(Data_Nhập[Main SKU name_GOM]=$A8)*(Data_Nhập[SKU name_NHẬP_GOM]=H$3)))</f>
        <v>0</v>
      </c>
      <c r="I8" s="24" cm="1">
        <f t="array" ref="I8">IF(I$2="FY",SUMPRODUCT(Data_Nhập[Tổng Nhập-NX]*(Data_Nhập[Year]=I$1)*(Data_Nhập[Main SKU name_GOM]=$A8)*(Data_Nhập[SKU name_NHẬP_GOM]=I$3)),SUMPRODUCT(Data_Nhập[Tổng Nhập-NX]*(Data_Nhập[Year]=I$1)*(Data_Nhập[Month]=I$2)*(Data_Nhập[Main SKU name_GOM]=$A8)*(Data_Nhập[SKU name_NHẬP_GOM]=I$3)))</f>
        <v>104500</v>
      </c>
      <c r="J8" s="24" cm="1">
        <f t="array" ref="J8">IF(J$2="FY",SUMPRODUCT(Data_Nhập[Tổng Nhập-NX]*(Data_Nhập[Year]=J$1)*(Data_Nhập[Main SKU name_GOM]=$A8)*(Data_Nhập[SKU name_NHẬP_GOM]=J$3)),SUMPRODUCT(Data_Nhập[Tổng Nhập-NX]*(Data_Nhập[Year]=J$1)*(Data_Nhập[Month]=J$2)*(Data_Nhập[Main SKU name_GOM]=$A8)*(Data_Nhập[SKU name_NHẬP_GOM]=J$3)))</f>
        <v>0</v>
      </c>
      <c r="K8" s="24" cm="1">
        <f t="array" ref="K8">IF(K$2="FY",SUMPRODUCT(Data_Nhập[Tổng Nhập-NX]*(Data_Nhập[Year]=K$1)*(Data_Nhập[Main SKU name_GOM]=$A8)*(Data_Nhập[SKU name_NHẬP_GOM]=K$3)),SUMPRODUCT(Data_Nhập[Tổng Nhập-NX]*(Data_Nhập[Year]=K$1)*(Data_Nhập[Month]=K$2)*(Data_Nhập[Main SKU name_GOM]=$A8)*(Data_Nhập[SKU name_NHẬP_GOM]=K$3)))</f>
        <v>0</v>
      </c>
      <c r="L8" s="24" cm="1">
        <f t="array" ref="L8">IF(L$2="FY",SUMPRODUCT(Data_Nhập[Tổng Nhập-NX]*(Data_Nhập[Year]=L$1)*(Data_Nhập[Main SKU name_GOM]=$A8)*(Data_Nhập[SKU name_NHẬP_GOM]=L$3)),SUMPRODUCT(Data_Nhập[Tổng Nhập-NX]*(Data_Nhập[Year]=L$1)*(Data_Nhập[Month]=L$2)*(Data_Nhập[Main SKU name_GOM]=$A8)*(Data_Nhập[SKU name_NHẬP_GOM]=L$3)))</f>
        <v>0</v>
      </c>
      <c r="M8" s="24" cm="1">
        <f t="array" ref="M8">IF(M$2="FY",SUMPRODUCT(Data_Nhập[Tổng Nhập-NX]*(Data_Nhập[Year]=M$1)*(Data_Nhập[Main SKU name_GOM]=$A8)*(Data_Nhập[SKU name_NHẬP_GOM]=M$3)),SUMPRODUCT(Data_Nhập[Tổng Nhập-NX]*(Data_Nhập[Year]=M$1)*(Data_Nhập[Month]=M$2)*(Data_Nhập[Main SKU name_GOM]=$A8)*(Data_Nhập[SKU name_NHẬP_GOM]=M$3)))</f>
        <v>0</v>
      </c>
      <c r="N8" s="24" cm="1">
        <f t="array" ref="N8">IF(N$2="FY",SUMPRODUCT(Data_Nhập[Tổng Nhập-NX]*(Data_Nhập[Year]=N$1)*(Data_Nhập[Main SKU name_GOM]=$A8)*(Data_Nhập[SKU name_NHẬP_GOM]=N$3)),SUMPRODUCT(Data_Nhập[Tổng Nhập-NX]*(Data_Nhập[Year]=N$1)*(Data_Nhập[Month]=N$2)*(Data_Nhập[Main SKU name_GOM]=$A8)*(Data_Nhập[SKU name_NHẬP_GOM]=N$3)))</f>
        <v>6600</v>
      </c>
      <c r="O8" s="24" cm="1">
        <f t="array" ref="O8">IF(O$2="FY",SUMPRODUCT(Data_Nhập[Tổng Nhập-NX]*(Data_Nhập[Year]=O$1)*(Data_Nhập[Main SKU name_GOM]=$A8)*(Data_Nhập[SKU name_NHẬP_GOM]=O$3)),SUMPRODUCT(Data_Nhập[Tổng Nhập-NX]*(Data_Nhập[Year]=O$1)*(Data_Nhập[Month]=O$2)*(Data_Nhập[Main SKU name_GOM]=$A8)*(Data_Nhập[SKU name_NHẬP_GOM]=O$3)))</f>
        <v>57200</v>
      </c>
      <c r="P8" s="24" cm="1">
        <f t="array" ref="P8">IF(P$2="FY",SUMPRODUCT(Data_Nhập[Tổng Nhập-NX]*(Data_Nhập[Year]=P$1)*(Data_Nhập[Main SKU name_GOM]=$A8)*(Data_Nhập[SKU name_NHẬP_GOM]=P$3)),SUMPRODUCT(Data_Nhập[Tổng Nhập-NX]*(Data_Nhập[Year]=P$1)*(Data_Nhập[Month]=P$2)*(Data_Nhập[Main SKU name_GOM]=$A8)*(Data_Nhập[SKU name_NHẬP_GOM]=P$3)))</f>
        <v>18672.25</v>
      </c>
      <c r="Q8" s="24" cm="1">
        <f t="array" ref="Q8">IF(Q$2="FY",SUMPRODUCT(Data_Nhập[Tổng Nhập-NX]*(Data_Nhập[Year]=Q$1)*(Data_Nhập[Main SKU name_GOM]=$A8)*(Data_Nhập[SKU name_NHẬP_GOM]=Q$3)),SUMPRODUCT(Data_Nhập[Tổng Nhập-NX]*(Data_Nhập[Year]=Q$1)*(Data_Nhập[Month]=Q$2)*(Data_Nhập[Main SKU name_GOM]=$A8)*(Data_Nhập[SKU name_NHẬP_GOM]=Q$3)))</f>
        <v>0</v>
      </c>
      <c r="R8" s="24" cm="1">
        <f t="array" ref="R8">IF(R$2="FY",SUMPRODUCT(Data_Nhập[Tổng Nhập-NX]*(Data_Nhập[Year]=R$1)*(Data_Nhập[Main SKU name_GOM]=$A8)*(Data_Nhập[SKU name_NHẬP_GOM]=R$3)),SUMPRODUCT(Data_Nhập[Tổng Nhập-NX]*(Data_Nhập[Year]=R$1)*(Data_Nhập[Month]=R$2)*(Data_Nhập[Main SKU name_GOM]=$A8)*(Data_Nhập[SKU name_NHẬP_GOM]=R$3)))</f>
        <v>245501</v>
      </c>
      <c r="S8" s="24" cm="1">
        <f t="array" ref="S8">IF(S$2="FY",SUMPRODUCT(Data_Nhập[Tổng Nhập-NX]*(Data_Nhập[Year]=S$1)*(Data_Nhập[Main SKU name_GOM]=$A8)*(Data_Nhập[SKU name_NHẬP_GOM]=S$3)),SUMPRODUCT(Data_Nhập[Tổng Nhập-NX]*(Data_Nhập[Year]=S$1)*(Data_Nhập[Month]=S$2)*(Data_Nhập[Main SKU name_GOM]=$A8)*(Data_Nhập[SKU name_NHẬP_GOM]=S$3)))</f>
        <v>0</v>
      </c>
      <c r="T8" s="25">
        <f t="shared" si="12"/>
        <v>7418573.25</v>
      </c>
      <c r="V8" s="25" cm="1">
        <f t="array" ref="V8">IF(V$2="FY",SUMPRODUCT(Data_Xuất[Xuất-NX]*(Data_Xuất[Year]=V$1)*(Data_Xuất[Main SKU name_GOM]=$A8)),SUMPRODUCT(Data_Xuất[Xuất-NX]*(Data_Xuất[Year]=V$1)*(Data_Xuất[Main SKU name_GOM]=$A8)*(Data_Xuất[Month]=V$2)))</f>
        <v>1972715.9999999995</v>
      </c>
      <c r="W8" s="24" cm="1">
        <f t="array" ref="W8">IF(W$2="FY",SUMPRODUCT(Data_Nhập[Tổng Nhập-NX]*(Data_Nhập[Year]=W$1)*(Data_Nhập[Main SKU name_GOM]=$A8)*(Data_Nhập[SKU name_NHẬP_GOM]=W$3)),SUMPRODUCT(Data_Nhập[Tổng Nhập-NX]*(Data_Nhập[Year]=W$1)*(Data_Nhập[Month]=W$2)*(Data_Nhập[Main SKU name_GOM]=$A8)*(Data_Nhập[SKU name_NHẬP_GOM]=W$3)))</f>
        <v>0</v>
      </c>
      <c r="X8" s="24" cm="1">
        <f t="array" ref="X8">IF(X$2="FY",SUMPRODUCT(Data_Nhập[Tổng Nhập-NX]*(Data_Nhập[Year]=X$1)*(Data_Nhập[Main SKU name_GOM]=$A8)*(Data_Nhập[SKU name_NHẬP_GOM]=X$3)),SUMPRODUCT(Data_Nhập[Tổng Nhập-NX]*(Data_Nhập[Year]=X$1)*(Data_Nhập[Month]=X$2)*(Data_Nhập[Main SKU name_GOM]=$A8)*(Data_Nhập[SKU name_NHẬP_GOM]=X$3)))</f>
        <v>0</v>
      </c>
      <c r="Y8" s="24" cm="1">
        <f t="array" ref="Y8">IF(Y$2="FY",SUMPRODUCT(Data_Nhập[Tổng Nhập-NX]*(Data_Nhập[Year]=Y$1)*(Data_Nhập[Main SKU name_GOM]=$A8)*(Data_Nhập[SKU name_NHẬP_GOM]=Y$3)),SUMPRODUCT(Data_Nhập[Tổng Nhập-NX]*(Data_Nhập[Year]=Y$1)*(Data_Nhập[Month]=Y$2)*(Data_Nhập[Main SKU name_GOM]=$A8)*(Data_Nhập[SKU name_NHẬP_GOM]=Y$3)))</f>
        <v>1846899.9999999995</v>
      </c>
      <c r="Z8" s="24" cm="1">
        <f t="array" ref="Z8">IF(Z$2="FY",SUMPRODUCT(Data_Nhập[Tổng Nhập-NX]*(Data_Nhập[Year]=Z$1)*(Data_Nhập[Main SKU name_GOM]=$A8)*(Data_Nhập[SKU name_NHẬP_GOM]=Z$3)),SUMPRODUCT(Data_Nhập[Tổng Nhập-NX]*(Data_Nhập[Year]=Z$1)*(Data_Nhập[Month]=Z$2)*(Data_Nhập[Main SKU name_GOM]=$A8)*(Data_Nhập[SKU name_NHẬP_GOM]=Z$3)))</f>
        <v>0</v>
      </c>
      <c r="AA8" s="24" cm="1">
        <f t="array" ref="AA8">IF(AA$2="FY",SUMPRODUCT(Data_Nhập[Tổng Nhập-NX]*(Data_Nhập[Year]=AA$1)*(Data_Nhập[Main SKU name_GOM]=$A8)*(Data_Nhập[SKU name_NHẬP_GOM]=AA$3)),SUMPRODUCT(Data_Nhập[Tổng Nhập-NX]*(Data_Nhập[Year]=AA$1)*(Data_Nhập[Month]=AA$2)*(Data_Nhập[Main SKU name_GOM]=$A8)*(Data_Nhập[SKU name_NHẬP_GOM]=AA$3)))</f>
        <v>15400.000000000004</v>
      </c>
      <c r="AB8" s="24" cm="1">
        <f t="array" ref="AB8">IF(AB$2="FY",SUMPRODUCT(Data_Nhập[Tổng Nhập-NX]*(Data_Nhập[Year]=AB$1)*(Data_Nhập[Main SKU name_GOM]=$A8)*(Data_Nhập[SKU name_NHẬP_GOM]=AB$3)),SUMPRODUCT(Data_Nhập[Tổng Nhập-NX]*(Data_Nhập[Year]=AB$1)*(Data_Nhập[Month]=AB$2)*(Data_Nhập[Main SKU name_GOM]=$A8)*(Data_Nhập[SKU name_NHẬP_GOM]=AB$3)))</f>
        <v>0</v>
      </c>
      <c r="AC8" s="24" cm="1">
        <f t="array" ref="AC8">IF(AC$2="FY",SUMPRODUCT(Data_Nhập[Tổng Nhập-NX]*(Data_Nhập[Year]=AC$1)*(Data_Nhập[Main SKU name_GOM]=$A8)*(Data_Nhập[SKU name_NHẬP_GOM]=AC$3)),SUMPRODUCT(Data_Nhập[Tổng Nhập-NX]*(Data_Nhập[Year]=AC$1)*(Data_Nhập[Month]=AC$2)*(Data_Nhập[Main SKU name_GOM]=$A8)*(Data_Nhập[SKU name_NHẬP_GOM]=AC$3)))</f>
        <v>0</v>
      </c>
      <c r="AD8" s="24" cm="1">
        <f t="array" ref="AD8">IF(AD$2="FY",SUMPRODUCT(Data_Nhập[Tổng Nhập-NX]*(Data_Nhập[Year]=AD$1)*(Data_Nhập[Main SKU name_GOM]=$A8)*(Data_Nhập[SKU name_NHẬP_GOM]=AD$3)),SUMPRODUCT(Data_Nhập[Tổng Nhập-NX]*(Data_Nhập[Year]=AD$1)*(Data_Nhập[Month]=AD$2)*(Data_Nhập[Main SKU name_GOM]=$A8)*(Data_Nhập[SKU name_NHẬP_GOM]=AD$3)))</f>
        <v>0</v>
      </c>
      <c r="AE8" s="24" cm="1">
        <f t="array" ref="AE8">IF(AE$2="FY",SUMPRODUCT(Data_Nhập[Tổng Nhập-NX]*(Data_Nhập[Year]=AE$1)*(Data_Nhập[Main SKU name_GOM]=$A8)*(Data_Nhập[SKU name_NHẬP_GOM]=AE$3)),SUMPRODUCT(Data_Nhập[Tổng Nhập-NX]*(Data_Nhập[Year]=AE$1)*(Data_Nhập[Month]=AE$2)*(Data_Nhập[Main SKU name_GOM]=$A8)*(Data_Nhập[SKU name_NHẬP_GOM]=AE$3)))</f>
        <v>0</v>
      </c>
      <c r="AF8" s="24" cm="1">
        <f t="array" ref="AF8">IF(AF$2="FY",SUMPRODUCT(Data_Nhập[Tổng Nhập-NX]*(Data_Nhập[Year]=AF$1)*(Data_Nhập[Main SKU name_GOM]=$A8)*(Data_Nhập[SKU name_NHẬP_GOM]=AF$3)),SUMPRODUCT(Data_Nhập[Tổng Nhập-NX]*(Data_Nhập[Year]=AF$1)*(Data_Nhập[Month]=AF$2)*(Data_Nhập[Main SKU name_GOM]=$A8)*(Data_Nhập[SKU name_NHẬP_GOM]=AF$3)))</f>
        <v>2200</v>
      </c>
      <c r="AG8" s="24" cm="1">
        <f t="array" ref="AG8">IF(AG$2="FY",SUMPRODUCT(Data_Nhập[Tổng Nhập-NX]*(Data_Nhập[Year]=AG$1)*(Data_Nhập[Main SKU name_GOM]=$A8)*(Data_Nhập[SKU name_NHẬP_GOM]=AG$3)),SUMPRODUCT(Data_Nhập[Tổng Nhập-NX]*(Data_Nhập[Year]=AG$1)*(Data_Nhập[Month]=AG$2)*(Data_Nhập[Main SKU name_GOM]=$A8)*(Data_Nhập[SKU name_NHẬP_GOM]=AG$3)))</f>
        <v>13200</v>
      </c>
      <c r="AH8" s="24" cm="1">
        <f t="array" ref="AH8">IF(AH$2="FY",SUMPRODUCT(Data_Nhập[Tổng Nhập-NX]*(Data_Nhập[Year]=AH$1)*(Data_Nhập[Main SKU name_GOM]=$A8)*(Data_Nhập[SKU name_NHẬP_GOM]=AH$3)),SUMPRODUCT(Data_Nhập[Tổng Nhập-NX]*(Data_Nhập[Year]=AH$1)*(Data_Nhập[Month]=AH$2)*(Data_Nhập[Main SKU name_GOM]=$A8)*(Data_Nhập[SKU name_NHẬP_GOM]=AH$3)))</f>
        <v>7672.2500000000009</v>
      </c>
      <c r="AI8" s="24" cm="1">
        <f t="array" ref="AI8">IF(AI$2="FY",SUMPRODUCT(Data_Nhập[Tổng Nhập-NX]*(Data_Nhập[Year]=AI$1)*(Data_Nhập[Main SKU name_GOM]=$A8)*(Data_Nhập[SKU name_NHẬP_GOM]=AI$3)),SUMPRODUCT(Data_Nhập[Tổng Nhập-NX]*(Data_Nhập[Year]=AI$1)*(Data_Nhập[Month]=AI$2)*(Data_Nhập[Main SKU name_GOM]=$A8)*(Data_Nhập[SKU name_NHẬP_GOM]=AI$3)))</f>
        <v>0</v>
      </c>
      <c r="AJ8" s="24" cm="1">
        <f t="array" ref="AJ8">IF(AJ$2="FY",SUMPRODUCT(Data_Nhập[Tổng Nhập-NX]*(Data_Nhập[Year]=AJ$1)*(Data_Nhập[Main SKU name_GOM]=$A8)*(Data_Nhập[SKU name_NHẬP_GOM]=AJ$3)),SUMPRODUCT(Data_Nhập[Tổng Nhập-NX]*(Data_Nhập[Year]=AJ$1)*(Data_Nhập[Month]=AJ$2)*(Data_Nhập[Main SKU name_GOM]=$A8)*(Data_Nhập[SKU name_NHẬP_GOM]=AJ$3)))</f>
        <v>56058</v>
      </c>
      <c r="AK8" s="24" cm="1">
        <f t="array" ref="AK8">IF(AK$2="FY",SUMPRODUCT(Data_Nhập[Tổng Nhập-NX]*(Data_Nhập[Year]=AK$1)*(Data_Nhập[Main SKU name_GOM]=$A8)*(Data_Nhập[SKU name_NHẬP_GOM]=AK$3)),SUMPRODUCT(Data_Nhập[Tổng Nhập-NX]*(Data_Nhập[Year]=AK$1)*(Data_Nhập[Month]=AK$2)*(Data_Nhập[Main SKU name_GOM]=$A8)*(Data_Nhập[SKU name_NHẬP_GOM]=AK$3)))</f>
        <v>0</v>
      </c>
      <c r="AL8" s="25">
        <f t="shared" si="13"/>
        <v>1941430.2499999995</v>
      </c>
      <c r="AN8" s="25" cm="1">
        <f t="array" ref="AN8">IF(AN$2="FY",SUMPRODUCT(Data_Xuất[Xuất-NX]*(Data_Xuất[Year]=AN$1)*(Data_Xuất[Main SKU name_GOM]=$A8)),SUMPRODUCT(Data_Xuất[Xuất-NX]*(Data_Xuất[Year]=AN$1)*(Data_Xuất[Main SKU name_GOM]=$A8)*(Data_Xuất[Month]=AN$2)))</f>
        <v>909269.3000000004</v>
      </c>
      <c r="AO8" s="24" cm="1">
        <f t="array" ref="AO8">IF(AO$2="FY",SUMPRODUCT(Data_Nhập[Tổng Nhập-NX]*(Data_Nhập[Year]=AO$1)*(Data_Nhập[Main SKU name_GOM]=$A8)*(Data_Nhập[SKU name_NHẬP_GOM]=AO$3)),SUMPRODUCT(Data_Nhập[Tổng Nhập-NX]*(Data_Nhập[Year]=AO$1)*(Data_Nhập[Month]=AO$2)*(Data_Nhập[Main SKU name_GOM]=$A8)*(Data_Nhập[SKU name_NHẬP_GOM]=AO$3)))</f>
        <v>0</v>
      </c>
      <c r="AP8" s="24" cm="1">
        <f t="array" ref="AP8">IF(AP$2="FY",SUMPRODUCT(Data_Nhập[Tổng Nhập-NX]*(Data_Nhập[Year]=AP$1)*(Data_Nhập[Main SKU name_GOM]=$A8)*(Data_Nhập[SKU name_NHẬP_GOM]=AP$3)),SUMPRODUCT(Data_Nhập[Tổng Nhập-NX]*(Data_Nhập[Year]=AP$1)*(Data_Nhập[Month]=AP$2)*(Data_Nhập[Main SKU name_GOM]=$A8)*(Data_Nhập[SKU name_NHẬP_GOM]=AP$3)))</f>
        <v>90200</v>
      </c>
      <c r="AQ8" s="24" cm="1">
        <f t="array" ref="AQ8">IF(AQ$2="FY",SUMPRODUCT(Data_Nhập[Tổng Nhập-NX]*(Data_Nhập[Year]=AQ$1)*(Data_Nhập[Main SKU name_GOM]=$A8)*(Data_Nhập[SKU name_NHẬP_GOM]=AQ$3)),SUMPRODUCT(Data_Nhập[Tổng Nhập-NX]*(Data_Nhập[Year]=AQ$1)*(Data_Nhập[Month]=AQ$2)*(Data_Nhập[Main SKU name_GOM]=$A8)*(Data_Nhập[SKU name_NHẬP_GOM]=AQ$3)))</f>
        <v>717200.00000000012</v>
      </c>
      <c r="AR8" s="24" cm="1">
        <f t="array" ref="AR8">IF(AR$2="FY",SUMPRODUCT(Data_Nhập[Tổng Nhập-NX]*(Data_Nhập[Year]=AR$1)*(Data_Nhập[Main SKU name_GOM]=$A8)*(Data_Nhập[SKU name_NHẬP_GOM]=AR$3)),SUMPRODUCT(Data_Nhập[Tổng Nhập-NX]*(Data_Nhập[Year]=AR$1)*(Data_Nhập[Month]=AR$2)*(Data_Nhập[Main SKU name_GOM]=$A8)*(Data_Nhập[SKU name_NHẬP_GOM]=AR$3)))</f>
        <v>0</v>
      </c>
      <c r="AS8" s="24" cm="1">
        <f t="array" ref="AS8">IF(AS$2="FY",SUMPRODUCT(Data_Nhập[Tổng Nhập-NX]*(Data_Nhập[Year]=AS$1)*(Data_Nhập[Main SKU name_GOM]=$A8)*(Data_Nhập[SKU name_NHẬP_GOM]=AS$3)),SUMPRODUCT(Data_Nhập[Tổng Nhập-NX]*(Data_Nhập[Year]=AS$1)*(Data_Nhập[Month]=AS$2)*(Data_Nhập[Main SKU name_GOM]=$A8)*(Data_Nhập[SKU name_NHẬP_GOM]=AS$3)))</f>
        <v>11000</v>
      </c>
      <c r="AT8" s="24" cm="1">
        <f t="array" ref="AT8">IF(AT$2="FY",SUMPRODUCT(Data_Nhập[Tổng Nhập-NX]*(Data_Nhập[Year]=AT$1)*(Data_Nhập[Main SKU name_GOM]=$A8)*(Data_Nhập[SKU name_NHẬP_GOM]=AT$3)),SUMPRODUCT(Data_Nhập[Tổng Nhập-NX]*(Data_Nhập[Year]=AT$1)*(Data_Nhập[Month]=AT$2)*(Data_Nhập[Main SKU name_GOM]=$A8)*(Data_Nhập[SKU name_NHẬP_GOM]=AT$3)))</f>
        <v>0</v>
      </c>
      <c r="AU8" s="24" cm="1">
        <f t="array" ref="AU8">IF(AU$2="FY",SUMPRODUCT(Data_Nhập[Tổng Nhập-NX]*(Data_Nhập[Year]=AU$1)*(Data_Nhập[Main SKU name_GOM]=$A8)*(Data_Nhập[SKU name_NHẬP_GOM]=AU$3)),SUMPRODUCT(Data_Nhập[Tổng Nhập-NX]*(Data_Nhập[Year]=AU$1)*(Data_Nhập[Month]=AU$2)*(Data_Nhập[Main SKU name_GOM]=$A8)*(Data_Nhập[SKU name_NHẬP_GOM]=AU$3)))</f>
        <v>0</v>
      </c>
      <c r="AV8" s="24" cm="1">
        <f t="array" ref="AV8">IF(AV$2="FY",SUMPRODUCT(Data_Nhập[Tổng Nhập-NX]*(Data_Nhập[Year]=AV$1)*(Data_Nhập[Main SKU name_GOM]=$A8)*(Data_Nhập[SKU name_NHẬP_GOM]=AV$3)),SUMPRODUCT(Data_Nhập[Tổng Nhập-NX]*(Data_Nhập[Year]=AV$1)*(Data_Nhập[Month]=AV$2)*(Data_Nhập[Main SKU name_GOM]=$A8)*(Data_Nhập[SKU name_NHẬP_GOM]=AV$3)))</f>
        <v>0</v>
      </c>
      <c r="AW8" s="24" cm="1">
        <f t="array" ref="AW8">IF(AW$2="FY",SUMPRODUCT(Data_Nhập[Tổng Nhập-NX]*(Data_Nhập[Year]=AW$1)*(Data_Nhập[Main SKU name_GOM]=$A8)*(Data_Nhập[SKU name_NHẬP_GOM]=AW$3)),SUMPRODUCT(Data_Nhập[Tổng Nhập-NX]*(Data_Nhập[Year]=AW$1)*(Data_Nhập[Month]=AW$2)*(Data_Nhập[Main SKU name_GOM]=$A8)*(Data_Nhập[SKU name_NHẬP_GOM]=AW$3)))</f>
        <v>0</v>
      </c>
      <c r="AX8" s="24" cm="1">
        <f t="array" ref="AX8">IF(AX$2="FY",SUMPRODUCT(Data_Nhập[Tổng Nhập-NX]*(Data_Nhập[Year]=AX$1)*(Data_Nhập[Main SKU name_GOM]=$A8)*(Data_Nhập[SKU name_NHẬP_GOM]=AX$3)),SUMPRODUCT(Data_Nhập[Tổng Nhập-NX]*(Data_Nhập[Year]=AX$1)*(Data_Nhập[Month]=AX$2)*(Data_Nhập[Main SKU name_GOM]=$A8)*(Data_Nhập[SKU name_NHẬP_GOM]=AX$3)))</f>
        <v>1100</v>
      </c>
      <c r="AY8" s="24" cm="1">
        <f t="array" ref="AY8">IF(AY$2="FY",SUMPRODUCT(Data_Nhập[Tổng Nhập-NX]*(Data_Nhập[Year]=AY$1)*(Data_Nhập[Main SKU name_GOM]=$A8)*(Data_Nhập[SKU name_NHẬP_GOM]=AY$3)),SUMPRODUCT(Data_Nhập[Tổng Nhập-NX]*(Data_Nhập[Year]=AY$1)*(Data_Nhập[Month]=AY$2)*(Data_Nhập[Main SKU name_GOM]=$A8)*(Data_Nhập[SKU name_NHẬP_GOM]=AY$3)))</f>
        <v>31900</v>
      </c>
      <c r="AZ8" s="24" cm="1">
        <f t="array" ref="AZ8">IF(AZ$2="FY",SUMPRODUCT(Data_Nhập[Tổng Nhập-NX]*(Data_Nhập[Year]=AZ$1)*(Data_Nhập[Main SKU name_GOM]=$A8)*(Data_Nhập[SKU name_NHẬP_GOM]=AZ$3)),SUMPRODUCT(Data_Nhập[Tổng Nhập-NX]*(Data_Nhập[Year]=AZ$1)*(Data_Nhập[Month]=AZ$2)*(Data_Nhập[Main SKU name_GOM]=$A8)*(Data_Nhập[SKU name_NHẬP_GOM]=AZ$3)))</f>
        <v>7699.9999999999991</v>
      </c>
      <c r="BA8" s="24" cm="1">
        <f t="array" ref="BA8">IF(BA$2="FY",SUMPRODUCT(Data_Nhập[Tổng Nhập-NX]*(Data_Nhập[Year]=BA$1)*(Data_Nhập[Main SKU name_GOM]=$A8)*(Data_Nhập[SKU name_NHẬP_GOM]=BA$3)),SUMPRODUCT(Data_Nhập[Tổng Nhập-NX]*(Data_Nhập[Year]=BA$1)*(Data_Nhập[Month]=BA$2)*(Data_Nhập[Main SKU name_GOM]=$A8)*(Data_Nhập[SKU name_NHẬP_GOM]=BA$3)))</f>
        <v>0</v>
      </c>
      <c r="BB8" s="24" cm="1">
        <f t="array" ref="BB8">IF(BB$2="FY",SUMPRODUCT(Data_Nhập[Tổng Nhập-NX]*(Data_Nhập[Year]=BB$1)*(Data_Nhập[Main SKU name_GOM]=$A8)*(Data_Nhập[SKU name_NHẬP_GOM]=BB$3)),SUMPRODUCT(Data_Nhập[Tổng Nhập-NX]*(Data_Nhập[Year]=BB$1)*(Data_Nhập[Month]=BB$2)*(Data_Nhập[Main SKU name_GOM]=$A8)*(Data_Nhập[SKU name_NHẬP_GOM]=BB$3)))</f>
        <v>35393</v>
      </c>
      <c r="BC8" s="24" cm="1">
        <f t="array" ref="BC8">IF(BC$2="FY",SUMPRODUCT(Data_Nhập[Tổng Nhập-NX]*(Data_Nhập[Year]=BC$1)*(Data_Nhập[Main SKU name_GOM]=$A8)*(Data_Nhập[SKU name_NHẬP_GOM]=BC$3)),SUMPRODUCT(Data_Nhập[Tổng Nhập-NX]*(Data_Nhập[Year]=BC$1)*(Data_Nhập[Month]=BC$2)*(Data_Nhập[Main SKU name_GOM]=$A8)*(Data_Nhập[SKU name_NHẬP_GOM]=BC$3)))</f>
        <v>0</v>
      </c>
      <c r="BD8" s="25">
        <f t="shared" si="14"/>
        <v>894493.00000000012</v>
      </c>
      <c r="BF8" s="25" cm="1">
        <f t="array" ref="BF8">IF(BF$2="FY",SUMPRODUCT(Data_Xuất[Xuất-NX]*(Data_Xuất[Year]=BF$1)*(Data_Xuất[Main SKU name_GOM]=$A8)),SUMPRODUCT(Data_Xuất[Xuất-NX]*(Data_Xuất[Year]=BF$1)*(Data_Xuất[Main SKU name_GOM]=$A8)*(Data_Xuất[Month]=BF$2)))</f>
        <v>2482731.0000000005</v>
      </c>
      <c r="BG8" s="24" cm="1">
        <f t="array" ref="BG8">IF(BG$2="FY",SUMPRODUCT(Data_Nhập[Tổng Nhập-NX]*(Data_Nhập[Year]=BG$1)*(Data_Nhập[Main SKU name_GOM]=$A8)*(Data_Nhập[SKU name_NHẬP_GOM]=BG$3)),SUMPRODUCT(Data_Nhập[Tổng Nhập-NX]*(Data_Nhập[Year]=BG$1)*(Data_Nhập[Month]=BG$2)*(Data_Nhập[Main SKU name_GOM]=$A8)*(Data_Nhập[SKU name_NHẬP_GOM]=BG$3)))</f>
        <v>0</v>
      </c>
      <c r="BH8" s="24" cm="1">
        <f t="array" ref="BH8">IF(BH$2="FY",SUMPRODUCT(Data_Nhập[Tổng Nhập-NX]*(Data_Nhập[Year]=BH$1)*(Data_Nhập[Main SKU name_GOM]=$A8)*(Data_Nhập[SKU name_NHẬP_GOM]=BH$3)),SUMPRODUCT(Data_Nhập[Tổng Nhập-NX]*(Data_Nhập[Year]=BH$1)*(Data_Nhập[Month]=BH$2)*(Data_Nhập[Main SKU name_GOM]=$A8)*(Data_Nhập[SKU name_NHẬP_GOM]=BH$3)))</f>
        <v>20900</v>
      </c>
      <c r="BI8" s="24" cm="1">
        <f t="array" ref="BI8">IF(BI$2="FY",SUMPRODUCT(Data_Nhập[Tổng Nhập-NX]*(Data_Nhập[Year]=BI$1)*(Data_Nhập[Main SKU name_GOM]=$A8)*(Data_Nhập[SKU name_NHẬP_GOM]=BI$3)),SUMPRODUCT(Data_Nhập[Tổng Nhập-NX]*(Data_Nhập[Year]=BI$1)*(Data_Nhập[Month]=BI$2)*(Data_Nhập[Main SKU name_GOM]=$A8)*(Data_Nhập[SKU name_NHẬP_GOM]=BI$3)))</f>
        <v>2295700</v>
      </c>
      <c r="BJ8" s="24" cm="1">
        <f t="array" ref="BJ8">IF(BJ$2="FY",SUMPRODUCT(Data_Nhập[Tổng Nhập-NX]*(Data_Nhập[Year]=BJ$1)*(Data_Nhập[Main SKU name_GOM]=$A8)*(Data_Nhập[SKU name_NHẬP_GOM]=BJ$3)),SUMPRODUCT(Data_Nhập[Tổng Nhập-NX]*(Data_Nhập[Year]=BJ$1)*(Data_Nhập[Month]=BJ$2)*(Data_Nhập[Main SKU name_GOM]=$A8)*(Data_Nhập[SKU name_NHẬP_GOM]=BJ$3)))</f>
        <v>0</v>
      </c>
      <c r="BK8" s="24" cm="1">
        <f t="array" ref="BK8">IF(BK$2="FY",SUMPRODUCT(Data_Nhập[Tổng Nhập-NX]*(Data_Nhập[Year]=BK$1)*(Data_Nhập[Main SKU name_GOM]=$A8)*(Data_Nhập[SKU name_NHẬP_GOM]=BK$3)),SUMPRODUCT(Data_Nhập[Tổng Nhập-NX]*(Data_Nhập[Year]=BK$1)*(Data_Nhập[Month]=BK$2)*(Data_Nhập[Main SKU name_GOM]=$A8)*(Data_Nhập[SKU name_NHẬP_GOM]=BK$3)))</f>
        <v>38499.999999999993</v>
      </c>
      <c r="BL8" s="24" cm="1">
        <f t="array" ref="BL8">IF(BL$2="FY",SUMPRODUCT(Data_Nhập[Tổng Nhập-NX]*(Data_Nhập[Year]=BL$1)*(Data_Nhập[Main SKU name_GOM]=$A8)*(Data_Nhập[SKU name_NHẬP_GOM]=BL$3)),SUMPRODUCT(Data_Nhập[Tổng Nhập-NX]*(Data_Nhập[Year]=BL$1)*(Data_Nhập[Month]=BL$2)*(Data_Nhập[Main SKU name_GOM]=$A8)*(Data_Nhập[SKU name_NHẬP_GOM]=BL$3)))</f>
        <v>0</v>
      </c>
      <c r="BM8" s="24" cm="1">
        <f t="array" ref="BM8">IF(BM$2="FY",SUMPRODUCT(Data_Nhập[Tổng Nhập-NX]*(Data_Nhập[Year]=BM$1)*(Data_Nhập[Main SKU name_GOM]=$A8)*(Data_Nhập[SKU name_NHẬP_GOM]=BM$3)),SUMPRODUCT(Data_Nhập[Tổng Nhập-NX]*(Data_Nhập[Year]=BM$1)*(Data_Nhập[Month]=BM$2)*(Data_Nhập[Main SKU name_GOM]=$A8)*(Data_Nhập[SKU name_NHẬP_GOM]=BM$3)))</f>
        <v>0</v>
      </c>
      <c r="BN8" s="24" cm="1">
        <f t="array" ref="BN8">IF(BN$2="FY",SUMPRODUCT(Data_Nhập[Tổng Nhập-NX]*(Data_Nhập[Year]=BN$1)*(Data_Nhập[Main SKU name_GOM]=$A8)*(Data_Nhập[SKU name_NHẬP_GOM]=BN$3)),SUMPRODUCT(Data_Nhập[Tổng Nhập-NX]*(Data_Nhập[Year]=BN$1)*(Data_Nhập[Month]=BN$2)*(Data_Nhập[Main SKU name_GOM]=$A8)*(Data_Nhập[SKU name_NHẬP_GOM]=BN$3)))</f>
        <v>0</v>
      </c>
      <c r="BO8" s="24" cm="1">
        <f t="array" ref="BO8">IF(BO$2="FY",SUMPRODUCT(Data_Nhập[Tổng Nhập-NX]*(Data_Nhập[Year]=BO$1)*(Data_Nhập[Main SKU name_GOM]=$A8)*(Data_Nhập[SKU name_NHẬP_GOM]=BO$3)),SUMPRODUCT(Data_Nhập[Tổng Nhập-NX]*(Data_Nhập[Year]=BO$1)*(Data_Nhập[Month]=BO$2)*(Data_Nhập[Main SKU name_GOM]=$A8)*(Data_Nhập[SKU name_NHẬP_GOM]=BO$3)))</f>
        <v>0</v>
      </c>
      <c r="BP8" s="24" cm="1">
        <f t="array" ref="BP8">IF(BP$2="FY",SUMPRODUCT(Data_Nhập[Tổng Nhập-NX]*(Data_Nhập[Year]=BP$1)*(Data_Nhập[Main SKU name_GOM]=$A8)*(Data_Nhập[SKU name_NHẬP_GOM]=BP$3)),SUMPRODUCT(Data_Nhập[Tổng Nhập-NX]*(Data_Nhập[Year]=BP$1)*(Data_Nhập[Month]=BP$2)*(Data_Nhập[Main SKU name_GOM]=$A8)*(Data_Nhập[SKU name_NHẬP_GOM]=BP$3)))</f>
        <v>3300</v>
      </c>
      <c r="BQ8" s="24" cm="1">
        <f t="array" ref="BQ8">IF(BQ$2="FY",SUMPRODUCT(Data_Nhập[Tổng Nhập-NX]*(Data_Nhập[Year]=BQ$1)*(Data_Nhập[Main SKU name_GOM]=$A8)*(Data_Nhập[SKU name_NHẬP_GOM]=BQ$3)),SUMPRODUCT(Data_Nhập[Tổng Nhập-NX]*(Data_Nhập[Year]=BQ$1)*(Data_Nhập[Month]=BQ$2)*(Data_Nhập[Main SKU name_GOM]=$A8)*(Data_Nhập[SKU name_NHẬP_GOM]=BQ$3)))</f>
        <v>6600</v>
      </c>
      <c r="BR8" s="24" cm="1">
        <f t="array" ref="BR8">IF(BR$2="FY",SUMPRODUCT(Data_Nhập[Tổng Nhập-NX]*(Data_Nhập[Year]=BR$1)*(Data_Nhập[Main SKU name_GOM]=$A8)*(Data_Nhập[SKU name_NHẬP_GOM]=BR$3)),SUMPRODUCT(Data_Nhập[Tổng Nhập-NX]*(Data_Nhập[Year]=BR$1)*(Data_Nhập[Month]=BR$2)*(Data_Nhập[Main SKU name_GOM]=$A8)*(Data_Nhập[SKU name_NHẬP_GOM]=BR$3)))</f>
        <v>3300</v>
      </c>
      <c r="BS8" s="24" cm="1">
        <f t="array" ref="BS8">IF(BS$2="FY",SUMPRODUCT(Data_Nhập[Tổng Nhập-NX]*(Data_Nhập[Year]=BS$1)*(Data_Nhập[Main SKU name_GOM]=$A8)*(Data_Nhập[SKU name_NHẬP_GOM]=BS$3)),SUMPRODUCT(Data_Nhập[Tổng Nhập-NX]*(Data_Nhập[Year]=BS$1)*(Data_Nhập[Month]=BS$2)*(Data_Nhập[Main SKU name_GOM]=$A8)*(Data_Nhập[SKU name_NHẬP_GOM]=BS$3)))</f>
        <v>0</v>
      </c>
      <c r="BT8" s="24" cm="1">
        <f t="array" ref="BT8">IF(BT$2="FY",SUMPRODUCT(Data_Nhập[Tổng Nhập-NX]*(Data_Nhập[Year]=BT$1)*(Data_Nhập[Main SKU name_GOM]=$A8)*(Data_Nhập[SKU name_NHẬP_GOM]=BT$3)),SUMPRODUCT(Data_Nhập[Tổng Nhập-NX]*(Data_Nhập[Year]=BT$1)*(Data_Nhập[Month]=BT$2)*(Data_Nhập[Main SKU name_GOM]=$A8)*(Data_Nhập[SKU name_NHẬP_GOM]=BT$3)))</f>
        <v>74971.999999999985</v>
      </c>
      <c r="BU8" s="24" cm="1">
        <f t="array" ref="BU8">IF(BU$2="FY",SUMPRODUCT(Data_Nhập[Tổng Nhập-NX]*(Data_Nhập[Year]=BU$1)*(Data_Nhập[Main SKU name_GOM]=$A8)*(Data_Nhập[SKU name_NHẬP_GOM]=BU$3)),SUMPRODUCT(Data_Nhập[Tổng Nhập-NX]*(Data_Nhập[Year]=BU$1)*(Data_Nhập[Month]=BU$2)*(Data_Nhập[Main SKU name_GOM]=$A8)*(Data_Nhập[SKU name_NHẬP_GOM]=BU$3)))</f>
        <v>0</v>
      </c>
      <c r="BV8" s="25">
        <f t="shared" si="15"/>
        <v>2443272</v>
      </c>
      <c r="BX8" s="25" cm="1">
        <f t="array" ref="BX8">IF(BX$2="FY",SUMPRODUCT(Data_Xuất[Xuất-NX]*(Data_Xuất[Year]=BX$1)*(Data_Xuất[Main SKU name_GOM]=$A8)),SUMPRODUCT(Data_Xuất[Xuất-NX]*(Data_Xuất[Year]=BX$1)*(Data_Xuất[Main SKU name_GOM]=$A8)*(Data_Xuất[Month]=BX$2)))</f>
        <v>2172466.8999999994</v>
      </c>
      <c r="BY8" s="24" cm="1">
        <f t="array" ref="BY8">IF(BY$2="FY",SUMPRODUCT(Data_Nhập[Tổng Nhập-NX]*(Data_Nhập[Year]=BY$1)*(Data_Nhập[Main SKU name_GOM]=$A8)*(Data_Nhập[SKU name_NHẬP_GOM]=BY$3)),SUMPRODUCT(Data_Nhập[Tổng Nhập-NX]*(Data_Nhập[Year]=BY$1)*(Data_Nhập[Month]=BY$2)*(Data_Nhập[Main SKU name_GOM]=$A8)*(Data_Nhập[SKU name_NHẬP_GOM]=BY$3)))</f>
        <v>0</v>
      </c>
      <c r="BZ8" s="24" cm="1">
        <f t="array" ref="BZ8">IF(BZ$2="FY",SUMPRODUCT(Data_Nhập[Tổng Nhập-NX]*(Data_Nhập[Year]=BZ$1)*(Data_Nhập[Main SKU name_GOM]=$A8)*(Data_Nhập[SKU name_NHẬP_GOM]=BZ$3)),SUMPRODUCT(Data_Nhập[Tổng Nhập-NX]*(Data_Nhập[Year]=BZ$1)*(Data_Nhập[Month]=BZ$2)*(Data_Nhập[Main SKU name_GOM]=$A8)*(Data_Nhập[SKU name_NHẬP_GOM]=BZ$3)))</f>
        <v>32999.999999999993</v>
      </c>
      <c r="CA8" s="24" cm="1">
        <f t="array" ref="CA8">IF(CA$2="FY",SUMPRODUCT(Data_Nhập[Tổng Nhập-NX]*(Data_Nhập[Year]=CA$1)*(Data_Nhập[Main SKU name_GOM]=$A8)*(Data_Nhập[SKU name_NHẬP_GOM]=CA$3)),SUMPRODUCT(Data_Nhập[Tổng Nhập-NX]*(Data_Nhập[Year]=CA$1)*(Data_Nhập[Month]=CA$2)*(Data_Nhập[Main SKU name_GOM]=$A8)*(Data_Nhập[SKU name_NHẬP_GOM]=CA$3)))</f>
        <v>1982200.0000000005</v>
      </c>
      <c r="CB8" s="24" cm="1">
        <f t="array" ref="CB8">IF(CB$2="FY",SUMPRODUCT(Data_Nhập[Tổng Nhập-NX]*(Data_Nhập[Year]=CB$1)*(Data_Nhập[Main SKU name_GOM]=$A8)*(Data_Nhập[SKU name_NHẬP_GOM]=CB$3)),SUMPRODUCT(Data_Nhập[Tổng Nhập-NX]*(Data_Nhập[Year]=CB$1)*(Data_Nhập[Month]=CB$2)*(Data_Nhập[Main SKU name_GOM]=$A8)*(Data_Nhập[SKU name_NHẬP_GOM]=CB$3)))</f>
        <v>0</v>
      </c>
      <c r="CC8" s="24" cm="1">
        <f t="array" ref="CC8">IF(CC$2="FY",SUMPRODUCT(Data_Nhập[Tổng Nhập-NX]*(Data_Nhập[Year]=CC$1)*(Data_Nhập[Main SKU name_GOM]=$A8)*(Data_Nhập[SKU name_NHẬP_GOM]=CC$3)),SUMPRODUCT(Data_Nhập[Tổng Nhập-NX]*(Data_Nhập[Year]=CC$1)*(Data_Nhập[Month]=CC$2)*(Data_Nhập[Main SKU name_GOM]=$A8)*(Data_Nhập[SKU name_NHẬP_GOM]=CC$3)))</f>
        <v>39600</v>
      </c>
      <c r="CD8" s="24" cm="1">
        <f t="array" ref="CD8">IF(CD$2="FY",SUMPRODUCT(Data_Nhập[Tổng Nhập-NX]*(Data_Nhập[Year]=CD$1)*(Data_Nhập[Main SKU name_GOM]=$A8)*(Data_Nhập[SKU name_NHẬP_GOM]=CD$3)),SUMPRODUCT(Data_Nhập[Tổng Nhập-NX]*(Data_Nhập[Year]=CD$1)*(Data_Nhập[Month]=CD$2)*(Data_Nhập[Main SKU name_GOM]=$A8)*(Data_Nhập[SKU name_NHẬP_GOM]=CD$3)))</f>
        <v>0</v>
      </c>
      <c r="CE8" s="24" cm="1">
        <f t="array" ref="CE8">IF(CE$2="FY",SUMPRODUCT(Data_Nhập[Tổng Nhập-NX]*(Data_Nhập[Year]=CE$1)*(Data_Nhập[Main SKU name_GOM]=$A8)*(Data_Nhập[SKU name_NHẬP_GOM]=CE$3)),SUMPRODUCT(Data_Nhập[Tổng Nhập-NX]*(Data_Nhập[Year]=CE$1)*(Data_Nhập[Month]=CE$2)*(Data_Nhập[Main SKU name_GOM]=$A8)*(Data_Nhập[SKU name_NHẬP_GOM]=CE$3)))</f>
        <v>0</v>
      </c>
      <c r="CF8" s="24" cm="1">
        <f t="array" ref="CF8">IF(CF$2="FY",SUMPRODUCT(Data_Nhập[Tổng Nhập-NX]*(Data_Nhập[Year]=CF$1)*(Data_Nhập[Main SKU name_GOM]=$A8)*(Data_Nhập[SKU name_NHẬP_GOM]=CF$3)),SUMPRODUCT(Data_Nhập[Tổng Nhập-NX]*(Data_Nhập[Year]=CF$1)*(Data_Nhập[Month]=CF$2)*(Data_Nhập[Main SKU name_GOM]=$A8)*(Data_Nhập[SKU name_NHẬP_GOM]=CF$3)))</f>
        <v>0</v>
      </c>
      <c r="CG8" s="24" cm="1">
        <f t="array" ref="CG8">IF(CG$2="FY",SUMPRODUCT(Data_Nhập[Tổng Nhập-NX]*(Data_Nhập[Year]=CG$1)*(Data_Nhập[Main SKU name_GOM]=$A8)*(Data_Nhập[SKU name_NHẬP_GOM]=CG$3)),SUMPRODUCT(Data_Nhập[Tổng Nhập-NX]*(Data_Nhập[Year]=CG$1)*(Data_Nhập[Month]=CG$2)*(Data_Nhập[Main SKU name_GOM]=$A8)*(Data_Nhập[SKU name_NHẬP_GOM]=CG$3)))</f>
        <v>0</v>
      </c>
      <c r="CH8" s="24" cm="1">
        <f t="array" ref="CH8">IF(CH$2="FY",SUMPRODUCT(Data_Nhập[Tổng Nhập-NX]*(Data_Nhập[Year]=CH$1)*(Data_Nhập[Main SKU name_GOM]=$A8)*(Data_Nhập[SKU name_NHẬP_GOM]=CH$3)),SUMPRODUCT(Data_Nhập[Tổng Nhập-NX]*(Data_Nhập[Year]=CH$1)*(Data_Nhập[Month]=CH$2)*(Data_Nhập[Main SKU name_GOM]=$A8)*(Data_Nhập[SKU name_NHẬP_GOM]=CH$3)))</f>
        <v>0</v>
      </c>
      <c r="CI8" s="24" cm="1">
        <f t="array" ref="CI8">IF(CI$2="FY",SUMPRODUCT(Data_Nhập[Tổng Nhập-NX]*(Data_Nhập[Year]=CI$1)*(Data_Nhập[Main SKU name_GOM]=$A8)*(Data_Nhập[SKU name_NHẬP_GOM]=CI$3)),SUMPRODUCT(Data_Nhập[Tổng Nhập-NX]*(Data_Nhập[Year]=CI$1)*(Data_Nhập[Month]=CI$2)*(Data_Nhập[Main SKU name_GOM]=$A8)*(Data_Nhập[SKU name_NHẬP_GOM]=CI$3)))</f>
        <v>5500.0000000000009</v>
      </c>
      <c r="CJ8" s="24" cm="1">
        <f t="array" ref="CJ8">IF(CJ$2="FY",SUMPRODUCT(Data_Nhập[Tổng Nhập-NX]*(Data_Nhập[Year]=CJ$1)*(Data_Nhập[Main SKU name_GOM]=$A8)*(Data_Nhập[SKU name_NHẬP_GOM]=CJ$3)),SUMPRODUCT(Data_Nhập[Tổng Nhập-NX]*(Data_Nhập[Year]=CJ$1)*(Data_Nhập[Month]=CJ$2)*(Data_Nhập[Main SKU name_GOM]=$A8)*(Data_Nhập[SKU name_NHẬP_GOM]=CJ$3)))</f>
        <v>0</v>
      </c>
      <c r="CK8" s="24" cm="1">
        <f t="array" ref="CK8">IF(CK$2="FY",SUMPRODUCT(Data_Nhập[Tổng Nhập-NX]*(Data_Nhập[Year]=CK$1)*(Data_Nhập[Main SKU name_GOM]=$A8)*(Data_Nhập[SKU name_NHẬP_GOM]=CK$3)),SUMPRODUCT(Data_Nhập[Tổng Nhập-NX]*(Data_Nhập[Year]=CK$1)*(Data_Nhập[Month]=CK$2)*(Data_Nhập[Main SKU name_GOM]=$A8)*(Data_Nhập[SKU name_NHẬP_GOM]=CK$3)))</f>
        <v>0</v>
      </c>
      <c r="CL8" s="24" cm="1">
        <f t="array" ref="CL8">IF(CL$2="FY",SUMPRODUCT(Data_Nhập[Tổng Nhập-NX]*(Data_Nhập[Year]=CL$1)*(Data_Nhập[Main SKU name_GOM]=$A8)*(Data_Nhập[SKU name_NHẬP_GOM]=CL$3)),SUMPRODUCT(Data_Nhập[Tổng Nhập-NX]*(Data_Nhập[Year]=CL$1)*(Data_Nhập[Month]=CL$2)*(Data_Nhập[Main SKU name_GOM]=$A8)*(Data_Nhập[SKU name_NHẬP_GOM]=CL$3)))</f>
        <v>79078.000000000015</v>
      </c>
      <c r="CM8" s="24" cm="1">
        <f t="array" ref="CM8">IF(CM$2="FY",SUMPRODUCT(Data_Nhập[Tổng Nhập-NX]*(Data_Nhập[Year]=CM$1)*(Data_Nhập[Main SKU name_GOM]=$A8)*(Data_Nhập[SKU name_NHẬP_GOM]=CM$3)),SUMPRODUCT(Data_Nhập[Tổng Nhập-NX]*(Data_Nhập[Year]=CM$1)*(Data_Nhập[Month]=CM$2)*(Data_Nhập[Main SKU name_GOM]=$A8)*(Data_Nhập[SKU name_NHẬP_GOM]=CM$3)))</f>
        <v>0</v>
      </c>
      <c r="CN8" s="25">
        <f t="shared" si="16"/>
        <v>2139378.0000000005</v>
      </c>
      <c r="CP8" s="25" cm="1">
        <f t="array" ref="CP8">IF(CP$2="FY",SUMPRODUCT(Data_Xuất[Xuất-NX]*(Data_Xuất[Year]=CP$1)*(Data_Xuất[Main SKU name_GOM]=$A8)),SUMPRODUCT(Data_Xuất[Xuất-NX]*(Data_Xuất[Year]=CP$1)*(Data_Xuất[Main SKU name_GOM]=$A8)*(Data_Xuất[Month]=CP$2)))</f>
        <v>0</v>
      </c>
      <c r="CQ8" s="24" cm="1">
        <f t="array" ref="CQ8">IF(CQ$2="FY",SUMPRODUCT(Data_Nhập[Tổng Nhập-NX]*(Data_Nhập[Year]=CQ$1)*(Data_Nhập[Main SKU name_GOM]=$A8)*(Data_Nhập[SKU name_NHẬP_GOM]=CQ$3)),SUMPRODUCT(Data_Nhập[Tổng Nhập-NX]*(Data_Nhập[Year]=CQ$1)*(Data_Nhập[Month]=CQ$2)*(Data_Nhập[Main SKU name_GOM]=$A8)*(Data_Nhập[SKU name_NHẬP_GOM]=CQ$3)))</f>
        <v>0</v>
      </c>
      <c r="CR8" s="24" cm="1">
        <f t="array" ref="CR8">IF(CR$2="FY",SUMPRODUCT(Data_Nhập[Tổng Nhập-NX]*(Data_Nhập[Year]=CR$1)*(Data_Nhập[Main SKU name_GOM]=$A8)*(Data_Nhập[SKU name_NHẬP_GOM]=CR$3)),SUMPRODUCT(Data_Nhập[Tổng Nhập-NX]*(Data_Nhập[Year]=CR$1)*(Data_Nhập[Month]=CR$2)*(Data_Nhập[Main SKU name_GOM]=$A8)*(Data_Nhập[SKU name_NHẬP_GOM]=CR$3)))</f>
        <v>0</v>
      </c>
      <c r="CS8" s="24" cm="1">
        <f t="array" ref="CS8">IF(CS$2="FY",SUMPRODUCT(Data_Nhập[Tổng Nhập-NX]*(Data_Nhập[Year]=CS$1)*(Data_Nhập[Main SKU name_GOM]=$A8)*(Data_Nhập[SKU name_NHẬP_GOM]=CS$3)),SUMPRODUCT(Data_Nhập[Tổng Nhập-NX]*(Data_Nhập[Year]=CS$1)*(Data_Nhập[Month]=CS$2)*(Data_Nhập[Main SKU name_GOM]=$A8)*(Data_Nhập[SKU name_NHẬP_GOM]=CS$3)))</f>
        <v>0</v>
      </c>
      <c r="CT8" s="24" cm="1">
        <f t="array" ref="CT8">IF(CT$2="FY",SUMPRODUCT(Data_Nhập[Tổng Nhập-NX]*(Data_Nhập[Year]=CT$1)*(Data_Nhập[Main SKU name_GOM]=$A8)*(Data_Nhập[SKU name_NHẬP_GOM]=CT$3)),SUMPRODUCT(Data_Nhập[Tổng Nhập-NX]*(Data_Nhập[Year]=CT$1)*(Data_Nhập[Month]=CT$2)*(Data_Nhập[Main SKU name_GOM]=$A8)*(Data_Nhập[SKU name_NHẬP_GOM]=CT$3)))</f>
        <v>0</v>
      </c>
      <c r="CU8" s="24" cm="1">
        <f t="array" ref="CU8">IF(CU$2="FY",SUMPRODUCT(Data_Nhập[Tổng Nhập-NX]*(Data_Nhập[Year]=CU$1)*(Data_Nhập[Main SKU name_GOM]=$A8)*(Data_Nhập[SKU name_NHẬP_GOM]=CU$3)),SUMPRODUCT(Data_Nhập[Tổng Nhập-NX]*(Data_Nhập[Year]=CU$1)*(Data_Nhập[Month]=CU$2)*(Data_Nhập[Main SKU name_GOM]=$A8)*(Data_Nhập[SKU name_NHẬP_GOM]=CU$3)))</f>
        <v>0</v>
      </c>
      <c r="CV8" s="24" cm="1">
        <f t="array" ref="CV8">IF(CV$2="FY",SUMPRODUCT(Data_Nhập[Tổng Nhập-NX]*(Data_Nhập[Year]=CV$1)*(Data_Nhập[Main SKU name_GOM]=$A8)*(Data_Nhập[SKU name_NHẬP_GOM]=CV$3)),SUMPRODUCT(Data_Nhập[Tổng Nhập-NX]*(Data_Nhập[Year]=CV$1)*(Data_Nhập[Month]=CV$2)*(Data_Nhập[Main SKU name_GOM]=$A8)*(Data_Nhập[SKU name_NHẬP_GOM]=CV$3)))</f>
        <v>0</v>
      </c>
      <c r="CW8" s="24" cm="1">
        <f t="array" ref="CW8">IF(CW$2="FY",SUMPRODUCT(Data_Nhập[Tổng Nhập-NX]*(Data_Nhập[Year]=CW$1)*(Data_Nhập[Main SKU name_GOM]=$A8)*(Data_Nhập[SKU name_NHẬP_GOM]=CW$3)),SUMPRODUCT(Data_Nhập[Tổng Nhập-NX]*(Data_Nhập[Year]=CW$1)*(Data_Nhập[Month]=CW$2)*(Data_Nhập[Main SKU name_GOM]=$A8)*(Data_Nhập[SKU name_NHẬP_GOM]=CW$3)))</f>
        <v>0</v>
      </c>
      <c r="CX8" s="24" cm="1">
        <f t="array" ref="CX8">IF(CX$2="FY",SUMPRODUCT(Data_Nhập[Tổng Nhập-NX]*(Data_Nhập[Year]=CX$1)*(Data_Nhập[Main SKU name_GOM]=$A8)*(Data_Nhập[SKU name_NHẬP_GOM]=CX$3)),SUMPRODUCT(Data_Nhập[Tổng Nhập-NX]*(Data_Nhập[Year]=CX$1)*(Data_Nhập[Month]=CX$2)*(Data_Nhập[Main SKU name_GOM]=$A8)*(Data_Nhập[SKU name_NHẬP_GOM]=CX$3)))</f>
        <v>0</v>
      </c>
      <c r="CY8" s="24" cm="1">
        <f t="array" ref="CY8">IF(CY$2="FY",SUMPRODUCT(Data_Nhập[Tổng Nhập-NX]*(Data_Nhập[Year]=CY$1)*(Data_Nhập[Main SKU name_GOM]=$A8)*(Data_Nhập[SKU name_NHẬP_GOM]=CY$3)),SUMPRODUCT(Data_Nhập[Tổng Nhập-NX]*(Data_Nhập[Year]=CY$1)*(Data_Nhập[Month]=CY$2)*(Data_Nhập[Main SKU name_GOM]=$A8)*(Data_Nhập[SKU name_NHẬP_GOM]=CY$3)))</f>
        <v>0</v>
      </c>
      <c r="CZ8" s="24" cm="1">
        <f t="array" ref="CZ8">IF(CZ$2="FY",SUMPRODUCT(Data_Nhập[Tổng Nhập-NX]*(Data_Nhập[Year]=CZ$1)*(Data_Nhập[Main SKU name_GOM]=$A8)*(Data_Nhập[SKU name_NHẬP_GOM]=CZ$3)),SUMPRODUCT(Data_Nhập[Tổng Nhập-NX]*(Data_Nhập[Year]=CZ$1)*(Data_Nhập[Month]=CZ$2)*(Data_Nhập[Main SKU name_GOM]=$A8)*(Data_Nhập[SKU name_NHẬP_GOM]=CZ$3)))</f>
        <v>0</v>
      </c>
      <c r="DA8" s="24" cm="1">
        <f t="array" ref="DA8">IF(DA$2="FY",SUMPRODUCT(Data_Nhập[Tổng Nhập-NX]*(Data_Nhập[Year]=DA$1)*(Data_Nhập[Main SKU name_GOM]=$A8)*(Data_Nhập[SKU name_NHẬP_GOM]=DA$3)),SUMPRODUCT(Data_Nhập[Tổng Nhập-NX]*(Data_Nhập[Year]=DA$1)*(Data_Nhập[Month]=DA$2)*(Data_Nhập[Main SKU name_GOM]=$A8)*(Data_Nhập[SKU name_NHẬP_GOM]=DA$3)))</f>
        <v>0</v>
      </c>
      <c r="DB8" s="24" cm="1">
        <f t="array" ref="DB8">IF(DB$2="FY",SUMPRODUCT(Data_Nhập[Tổng Nhập-NX]*(Data_Nhập[Year]=DB$1)*(Data_Nhập[Main SKU name_GOM]=$A8)*(Data_Nhập[SKU name_NHẬP_GOM]=DB$3)),SUMPRODUCT(Data_Nhập[Tổng Nhập-NX]*(Data_Nhập[Year]=DB$1)*(Data_Nhập[Month]=DB$2)*(Data_Nhập[Main SKU name_GOM]=$A8)*(Data_Nhập[SKU name_NHẬP_GOM]=DB$3)))</f>
        <v>0</v>
      </c>
      <c r="DC8" s="24" cm="1">
        <f t="array" ref="DC8">IF(DC$2="FY",SUMPRODUCT(Data_Nhập[Tổng Nhập-NX]*(Data_Nhập[Year]=DC$1)*(Data_Nhập[Main SKU name_GOM]=$A8)*(Data_Nhập[SKU name_NHẬP_GOM]=DC$3)),SUMPRODUCT(Data_Nhập[Tổng Nhập-NX]*(Data_Nhập[Year]=DC$1)*(Data_Nhập[Month]=DC$2)*(Data_Nhập[Main SKU name_GOM]=$A8)*(Data_Nhập[SKU name_NHẬP_GOM]=DC$3)))</f>
        <v>0</v>
      </c>
      <c r="DD8" s="24" cm="1">
        <f t="array" ref="DD8">IF(DD$2="FY",SUMPRODUCT(Data_Nhập[Tổng Nhập-NX]*(Data_Nhập[Year]=DD$1)*(Data_Nhập[Main SKU name_GOM]=$A8)*(Data_Nhập[SKU name_NHẬP_GOM]=DD$3)),SUMPRODUCT(Data_Nhập[Tổng Nhập-NX]*(Data_Nhập[Year]=DD$1)*(Data_Nhập[Month]=DD$2)*(Data_Nhập[Main SKU name_GOM]=$A8)*(Data_Nhập[SKU name_NHẬP_GOM]=DD$3)))</f>
        <v>0</v>
      </c>
      <c r="DE8" s="24" cm="1">
        <f t="array" ref="DE8">IF(DE$2="FY",SUMPRODUCT(Data_Nhập[Tổng Nhập-NX]*(Data_Nhập[Year]=DE$1)*(Data_Nhập[Main SKU name_GOM]=$A8)*(Data_Nhập[SKU name_NHẬP_GOM]=DE$3)),SUMPRODUCT(Data_Nhập[Tổng Nhập-NX]*(Data_Nhập[Year]=DE$1)*(Data_Nhập[Month]=DE$2)*(Data_Nhập[Main SKU name_GOM]=$A8)*(Data_Nhập[SKU name_NHẬP_GOM]=DE$3)))</f>
        <v>0</v>
      </c>
      <c r="DF8" s="25">
        <f t="shared" si="17"/>
        <v>0</v>
      </c>
      <c r="DH8" s="25" cm="1">
        <f t="array" ref="DH8">IF(DH$2="FY",SUMPRODUCT(Data_Xuất[Xuất-NX]*(Data_Xuất[Year]=DH$1)*(Data_Xuất[Main SKU name_GOM]=$A8)),SUMPRODUCT(Data_Xuất[Xuất-NX]*(Data_Xuất[Year]=DH$1)*(Data_Xuất[Main SKU name_GOM]=$A8)*(Data_Xuất[Month]=DH$2)))</f>
        <v>0</v>
      </c>
      <c r="DI8" s="24" cm="1">
        <f t="array" ref="DI8">IF(DI$2="FY",SUMPRODUCT(Data_Nhập[Tổng Nhập-NX]*(Data_Nhập[Year]=DI$1)*(Data_Nhập[Main SKU name_GOM]=$A8)*(Data_Nhập[SKU name_NHẬP_GOM]=DI$3)),SUMPRODUCT(Data_Nhập[Tổng Nhập-NX]*(Data_Nhập[Year]=DI$1)*(Data_Nhập[Month]=DI$2)*(Data_Nhập[Main SKU name_GOM]=$A8)*(Data_Nhập[SKU name_NHẬP_GOM]=DI$3)))</f>
        <v>0</v>
      </c>
      <c r="DJ8" s="24" cm="1">
        <f t="array" ref="DJ8">IF(DJ$2="FY",SUMPRODUCT(Data_Nhập[Tổng Nhập-NX]*(Data_Nhập[Year]=DJ$1)*(Data_Nhập[Main SKU name_GOM]=$A8)*(Data_Nhập[SKU name_NHẬP_GOM]=DJ$3)),SUMPRODUCT(Data_Nhập[Tổng Nhập-NX]*(Data_Nhập[Year]=DJ$1)*(Data_Nhập[Month]=DJ$2)*(Data_Nhập[Main SKU name_GOM]=$A8)*(Data_Nhập[SKU name_NHẬP_GOM]=DJ$3)))</f>
        <v>0</v>
      </c>
      <c r="DK8" s="24" cm="1">
        <f t="array" ref="DK8">IF(DK$2="FY",SUMPRODUCT(Data_Nhập[Tổng Nhập-NX]*(Data_Nhập[Year]=DK$1)*(Data_Nhập[Main SKU name_GOM]=$A8)*(Data_Nhập[SKU name_NHẬP_GOM]=DK$3)),SUMPRODUCT(Data_Nhập[Tổng Nhập-NX]*(Data_Nhập[Year]=DK$1)*(Data_Nhập[Month]=DK$2)*(Data_Nhập[Main SKU name_GOM]=$A8)*(Data_Nhập[SKU name_NHẬP_GOM]=DK$3)))</f>
        <v>0</v>
      </c>
      <c r="DL8" s="24" cm="1">
        <f t="array" ref="DL8">IF(DL$2="FY",SUMPRODUCT(Data_Nhập[Tổng Nhập-NX]*(Data_Nhập[Year]=DL$1)*(Data_Nhập[Main SKU name_GOM]=$A8)*(Data_Nhập[SKU name_NHẬP_GOM]=DL$3)),SUMPRODUCT(Data_Nhập[Tổng Nhập-NX]*(Data_Nhập[Year]=DL$1)*(Data_Nhập[Month]=DL$2)*(Data_Nhập[Main SKU name_GOM]=$A8)*(Data_Nhập[SKU name_NHẬP_GOM]=DL$3)))</f>
        <v>0</v>
      </c>
      <c r="DM8" s="24" cm="1">
        <f t="array" ref="DM8">IF(DM$2="FY",SUMPRODUCT(Data_Nhập[Tổng Nhập-NX]*(Data_Nhập[Year]=DM$1)*(Data_Nhập[Main SKU name_GOM]=$A8)*(Data_Nhập[SKU name_NHẬP_GOM]=DM$3)),SUMPRODUCT(Data_Nhập[Tổng Nhập-NX]*(Data_Nhập[Year]=DM$1)*(Data_Nhập[Month]=DM$2)*(Data_Nhập[Main SKU name_GOM]=$A8)*(Data_Nhập[SKU name_NHẬP_GOM]=DM$3)))</f>
        <v>0</v>
      </c>
      <c r="DN8" s="24" cm="1">
        <f t="array" ref="DN8">IF(DN$2="FY",SUMPRODUCT(Data_Nhập[Tổng Nhập-NX]*(Data_Nhập[Year]=DN$1)*(Data_Nhập[Main SKU name_GOM]=$A8)*(Data_Nhập[SKU name_NHẬP_GOM]=DN$3)),SUMPRODUCT(Data_Nhập[Tổng Nhập-NX]*(Data_Nhập[Year]=DN$1)*(Data_Nhập[Month]=DN$2)*(Data_Nhập[Main SKU name_GOM]=$A8)*(Data_Nhập[SKU name_NHẬP_GOM]=DN$3)))</f>
        <v>0</v>
      </c>
      <c r="DO8" s="24" cm="1">
        <f t="array" ref="DO8">IF(DO$2="FY",SUMPRODUCT(Data_Nhập[Tổng Nhập-NX]*(Data_Nhập[Year]=DO$1)*(Data_Nhập[Main SKU name_GOM]=$A8)*(Data_Nhập[SKU name_NHẬP_GOM]=DO$3)),SUMPRODUCT(Data_Nhập[Tổng Nhập-NX]*(Data_Nhập[Year]=DO$1)*(Data_Nhập[Month]=DO$2)*(Data_Nhập[Main SKU name_GOM]=$A8)*(Data_Nhập[SKU name_NHẬP_GOM]=DO$3)))</f>
        <v>0</v>
      </c>
      <c r="DP8" s="24" cm="1">
        <f t="array" ref="DP8">IF(DP$2="FY",SUMPRODUCT(Data_Nhập[Tổng Nhập-NX]*(Data_Nhập[Year]=DP$1)*(Data_Nhập[Main SKU name_GOM]=$A8)*(Data_Nhập[SKU name_NHẬP_GOM]=DP$3)),SUMPRODUCT(Data_Nhập[Tổng Nhập-NX]*(Data_Nhập[Year]=DP$1)*(Data_Nhập[Month]=DP$2)*(Data_Nhập[Main SKU name_GOM]=$A8)*(Data_Nhập[SKU name_NHẬP_GOM]=DP$3)))</f>
        <v>0</v>
      </c>
      <c r="DQ8" s="24" cm="1">
        <f t="array" ref="DQ8">IF(DQ$2="FY",SUMPRODUCT(Data_Nhập[Tổng Nhập-NX]*(Data_Nhập[Year]=DQ$1)*(Data_Nhập[Main SKU name_GOM]=$A8)*(Data_Nhập[SKU name_NHẬP_GOM]=DQ$3)),SUMPRODUCT(Data_Nhập[Tổng Nhập-NX]*(Data_Nhập[Year]=DQ$1)*(Data_Nhập[Month]=DQ$2)*(Data_Nhập[Main SKU name_GOM]=$A8)*(Data_Nhập[SKU name_NHẬP_GOM]=DQ$3)))</f>
        <v>0</v>
      </c>
      <c r="DR8" s="24" cm="1">
        <f t="array" ref="DR8">IF(DR$2="FY",SUMPRODUCT(Data_Nhập[Tổng Nhập-NX]*(Data_Nhập[Year]=DR$1)*(Data_Nhập[Main SKU name_GOM]=$A8)*(Data_Nhập[SKU name_NHẬP_GOM]=DR$3)),SUMPRODUCT(Data_Nhập[Tổng Nhập-NX]*(Data_Nhập[Year]=DR$1)*(Data_Nhập[Month]=DR$2)*(Data_Nhập[Main SKU name_GOM]=$A8)*(Data_Nhập[SKU name_NHẬP_GOM]=DR$3)))</f>
        <v>0</v>
      </c>
      <c r="DS8" s="24" cm="1">
        <f t="array" ref="DS8">IF(DS$2="FY",SUMPRODUCT(Data_Nhập[Tổng Nhập-NX]*(Data_Nhập[Year]=DS$1)*(Data_Nhập[Main SKU name_GOM]=$A8)*(Data_Nhập[SKU name_NHẬP_GOM]=DS$3)),SUMPRODUCT(Data_Nhập[Tổng Nhập-NX]*(Data_Nhập[Year]=DS$1)*(Data_Nhập[Month]=DS$2)*(Data_Nhập[Main SKU name_GOM]=$A8)*(Data_Nhập[SKU name_NHẬP_GOM]=DS$3)))</f>
        <v>0</v>
      </c>
      <c r="DT8" s="24" cm="1">
        <f t="array" ref="DT8">IF(DT$2="FY",SUMPRODUCT(Data_Nhập[Tổng Nhập-NX]*(Data_Nhập[Year]=DT$1)*(Data_Nhập[Main SKU name_GOM]=$A8)*(Data_Nhập[SKU name_NHẬP_GOM]=DT$3)),SUMPRODUCT(Data_Nhập[Tổng Nhập-NX]*(Data_Nhập[Year]=DT$1)*(Data_Nhập[Month]=DT$2)*(Data_Nhập[Main SKU name_GOM]=$A8)*(Data_Nhập[SKU name_NHẬP_GOM]=DT$3)))</f>
        <v>0</v>
      </c>
      <c r="DU8" s="24" cm="1">
        <f t="array" ref="DU8">IF(DU$2="FY",SUMPRODUCT(Data_Nhập[Tổng Nhập-NX]*(Data_Nhập[Year]=DU$1)*(Data_Nhập[Main SKU name_GOM]=$A8)*(Data_Nhập[SKU name_NHẬP_GOM]=DU$3)),SUMPRODUCT(Data_Nhập[Tổng Nhập-NX]*(Data_Nhập[Year]=DU$1)*(Data_Nhập[Month]=DU$2)*(Data_Nhập[Main SKU name_GOM]=$A8)*(Data_Nhập[SKU name_NHẬP_GOM]=DU$3)))</f>
        <v>0</v>
      </c>
      <c r="DV8" s="24" cm="1">
        <f t="array" ref="DV8">IF(DV$2="FY",SUMPRODUCT(Data_Nhập[Tổng Nhập-NX]*(Data_Nhập[Year]=DV$1)*(Data_Nhập[Main SKU name_GOM]=$A8)*(Data_Nhập[SKU name_NHẬP_GOM]=DV$3)),SUMPRODUCT(Data_Nhập[Tổng Nhập-NX]*(Data_Nhập[Year]=DV$1)*(Data_Nhập[Month]=DV$2)*(Data_Nhập[Main SKU name_GOM]=$A8)*(Data_Nhập[SKU name_NHẬP_GOM]=DV$3)))</f>
        <v>0</v>
      </c>
      <c r="DW8" s="24" cm="1">
        <f t="array" ref="DW8">IF(DW$2="FY",SUMPRODUCT(Data_Nhập[Tổng Nhập-NX]*(Data_Nhập[Year]=DW$1)*(Data_Nhập[Main SKU name_GOM]=$A8)*(Data_Nhập[SKU name_NHẬP_GOM]=DW$3)),SUMPRODUCT(Data_Nhập[Tổng Nhập-NX]*(Data_Nhập[Year]=DW$1)*(Data_Nhập[Month]=DW$2)*(Data_Nhập[Main SKU name_GOM]=$A8)*(Data_Nhập[SKU name_NHẬP_GOM]=DW$3)))</f>
        <v>0</v>
      </c>
      <c r="DX8" s="25">
        <f t="shared" si="18"/>
        <v>0</v>
      </c>
      <c r="DZ8" s="25" cm="1">
        <f t="array" ref="DZ8">IF(DZ$2="FY",SUMPRODUCT(Data_Xuất[Xuất-NX]*(Data_Xuất[Year]=DZ$1)*(Data_Xuất[Main SKU name_GOM]=$A8)),SUMPRODUCT(Data_Xuất[Xuất-NX]*(Data_Xuất[Year]=DZ$1)*(Data_Xuất[Main SKU name_GOM]=$A8)*(Data_Xuất[Month]=DZ$2)))</f>
        <v>0</v>
      </c>
      <c r="EA8" s="24" cm="1">
        <f t="array" ref="EA8">IF(EA$2="FY",SUMPRODUCT(Data_Nhập[Tổng Nhập-NX]*(Data_Nhập[Year]=EA$1)*(Data_Nhập[Main SKU name_GOM]=$A8)*(Data_Nhập[SKU name_NHẬP_GOM]=EA$3)),SUMPRODUCT(Data_Nhập[Tổng Nhập-NX]*(Data_Nhập[Year]=EA$1)*(Data_Nhập[Month]=EA$2)*(Data_Nhập[Main SKU name_GOM]=$A8)*(Data_Nhập[SKU name_NHẬP_GOM]=EA$3)))</f>
        <v>0</v>
      </c>
      <c r="EB8" s="24" cm="1">
        <f t="array" ref="EB8">IF(EB$2="FY",SUMPRODUCT(Data_Nhập[Tổng Nhập-NX]*(Data_Nhập[Year]=EB$1)*(Data_Nhập[Main SKU name_GOM]=$A8)*(Data_Nhập[SKU name_NHẬP_GOM]=EB$3)),SUMPRODUCT(Data_Nhập[Tổng Nhập-NX]*(Data_Nhập[Year]=EB$1)*(Data_Nhập[Month]=EB$2)*(Data_Nhập[Main SKU name_GOM]=$A8)*(Data_Nhập[SKU name_NHẬP_GOM]=EB$3)))</f>
        <v>0</v>
      </c>
      <c r="EC8" s="24" cm="1">
        <f t="array" ref="EC8">IF(EC$2="FY",SUMPRODUCT(Data_Nhập[Tổng Nhập-NX]*(Data_Nhập[Year]=EC$1)*(Data_Nhập[Main SKU name_GOM]=$A8)*(Data_Nhập[SKU name_NHẬP_GOM]=EC$3)),SUMPRODUCT(Data_Nhập[Tổng Nhập-NX]*(Data_Nhập[Year]=EC$1)*(Data_Nhập[Month]=EC$2)*(Data_Nhập[Main SKU name_GOM]=$A8)*(Data_Nhập[SKU name_NHẬP_GOM]=EC$3)))</f>
        <v>0</v>
      </c>
      <c r="ED8" s="24" cm="1">
        <f t="array" ref="ED8">IF(ED$2="FY",SUMPRODUCT(Data_Nhập[Tổng Nhập-NX]*(Data_Nhập[Year]=ED$1)*(Data_Nhập[Main SKU name_GOM]=$A8)*(Data_Nhập[SKU name_NHẬP_GOM]=ED$3)),SUMPRODUCT(Data_Nhập[Tổng Nhập-NX]*(Data_Nhập[Year]=ED$1)*(Data_Nhập[Month]=ED$2)*(Data_Nhập[Main SKU name_GOM]=$A8)*(Data_Nhập[SKU name_NHẬP_GOM]=ED$3)))</f>
        <v>0</v>
      </c>
      <c r="EE8" s="24" cm="1">
        <f t="array" ref="EE8">IF(EE$2="FY",SUMPRODUCT(Data_Nhập[Tổng Nhập-NX]*(Data_Nhập[Year]=EE$1)*(Data_Nhập[Main SKU name_GOM]=$A8)*(Data_Nhập[SKU name_NHẬP_GOM]=EE$3)),SUMPRODUCT(Data_Nhập[Tổng Nhập-NX]*(Data_Nhập[Year]=EE$1)*(Data_Nhập[Month]=EE$2)*(Data_Nhập[Main SKU name_GOM]=$A8)*(Data_Nhập[SKU name_NHẬP_GOM]=EE$3)))</f>
        <v>0</v>
      </c>
      <c r="EF8" s="24" cm="1">
        <f t="array" ref="EF8">IF(EF$2="FY",SUMPRODUCT(Data_Nhập[Tổng Nhập-NX]*(Data_Nhập[Year]=EF$1)*(Data_Nhập[Main SKU name_GOM]=$A8)*(Data_Nhập[SKU name_NHẬP_GOM]=EF$3)),SUMPRODUCT(Data_Nhập[Tổng Nhập-NX]*(Data_Nhập[Year]=EF$1)*(Data_Nhập[Month]=EF$2)*(Data_Nhập[Main SKU name_GOM]=$A8)*(Data_Nhập[SKU name_NHẬP_GOM]=EF$3)))</f>
        <v>0</v>
      </c>
      <c r="EG8" s="24" cm="1">
        <f t="array" ref="EG8">IF(EG$2="FY",SUMPRODUCT(Data_Nhập[Tổng Nhập-NX]*(Data_Nhập[Year]=EG$1)*(Data_Nhập[Main SKU name_GOM]=$A8)*(Data_Nhập[SKU name_NHẬP_GOM]=EG$3)),SUMPRODUCT(Data_Nhập[Tổng Nhập-NX]*(Data_Nhập[Year]=EG$1)*(Data_Nhập[Month]=EG$2)*(Data_Nhập[Main SKU name_GOM]=$A8)*(Data_Nhập[SKU name_NHẬP_GOM]=EG$3)))</f>
        <v>0</v>
      </c>
      <c r="EH8" s="24" cm="1">
        <f t="array" ref="EH8">IF(EH$2="FY",SUMPRODUCT(Data_Nhập[Tổng Nhập-NX]*(Data_Nhập[Year]=EH$1)*(Data_Nhập[Main SKU name_GOM]=$A8)*(Data_Nhập[SKU name_NHẬP_GOM]=EH$3)),SUMPRODUCT(Data_Nhập[Tổng Nhập-NX]*(Data_Nhập[Year]=EH$1)*(Data_Nhập[Month]=EH$2)*(Data_Nhập[Main SKU name_GOM]=$A8)*(Data_Nhập[SKU name_NHẬP_GOM]=EH$3)))</f>
        <v>0</v>
      </c>
      <c r="EI8" s="24" cm="1">
        <f t="array" ref="EI8">IF(EI$2="FY",SUMPRODUCT(Data_Nhập[Tổng Nhập-NX]*(Data_Nhập[Year]=EI$1)*(Data_Nhập[Main SKU name_GOM]=$A8)*(Data_Nhập[SKU name_NHẬP_GOM]=EI$3)),SUMPRODUCT(Data_Nhập[Tổng Nhập-NX]*(Data_Nhập[Year]=EI$1)*(Data_Nhập[Month]=EI$2)*(Data_Nhập[Main SKU name_GOM]=$A8)*(Data_Nhập[SKU name_NHẬP_GOM]=EI$3)))</f>
        <v>0</v>
      </c>
      <c r="EJ8" s="24" cm="1">
        <f t="array" ref="EJ8">IF(EJ$2="FY",SUMPRODUCT(Data_Nhập[Tổng Nhập-NX]*(Data_Nhập[Year]=EJ$1)*(Data_Nhập[Main SKU name_GOM]=$A8)*(Data_Nhập[SKU name_NHẬP_GOM]=EJ$3)),SUMPRODUCT(Data_Nhập[Tổng Nhập-NX]*(Data_Nhập[Year]=EJ$1)*(Data_Nhập[Month]=EJ$2)*(Data_Nhập[Main SKU name_GOM]=$A8)*(Data_Nhập[SKU name_NHẬP_GOM]=EJ$3)))</f>
        <v>0</v>
      </c>
      <c r="EK8" s="24" cm="1">
        <f t="array" ref="EK8">IF(EK$2="FY",SUMPRODUCT(Data_Nhập[Tổng Nhập-NX]*(Data_Nhập[Year]=EK$1)*(Data_Nhập[Main SKU name_GOM]=$A8)*(Data_Nhập[SKU name_NHẬP_GOM]=EK$3)),SUMPRODUCT(Data_Nhập[Tổng Nhập-NX]*(Data_Nhập[Year]=EK$1)*(Data_Nhập[Month]=EK$2)*(Data_Nhập[Main SKU name_GOM]=$A8)*(Data_Nhập[SKU name_NHẬP_GOM]=EK$3)))</f>
        <v>0</v>
      </c>
      <c r="EL8" s="24" cm="1">
        <f t="array" ref="EL8">IF(EL$2="FY",SUMPRODUCT(Data_Nhập[Tổng Nhập-NX]*(Data_Nhập[Year]=EL$1)*(Data_Nhập[Main SKU name_GOM]=$A8)*(Data_Nhập[SKU name_NHẬP_GOM]=EL$3)),SUMPRODUCT(Data_Nhập[Tổng Nhập-NX]*(Data_Nhập[Year]=EL$1)*(Data_Nhập[Month]=EL$2)*(Data_Nhập[Main SKU name_GOM]=$A8)*(Data_Nhập[SKU name_NHẬP_GOM]=EL$3)))</f>
        <v>0</v>
      </c>
      <c r="EM8" s="24" cm="1">
        <f t="array" ref="EM8">IF(EM$2="FY",SUMPRODUCT(Data_Nhập[Tổng Nhập-NX]*(Data_Nhập[Year]=EM$1)*(Data_Nhập[Main SKU name_GOM]=$A8)*(Data_Nhập[SKU name_NHẬP_GOM]=EM$3)),SUMPRODUCT(Data_Nhập[Tổng Nhập-NX]*(Data_Nhập[Year]=EM$1)*(Data_Nhập[Month]=EM$2)*(Data_Nhập[Main SKU name_GOM]=$A8)*(Data_Nhập[SKU name_NHẬP_GOM]=EM$3)))</f>
        <v>0</v>
      </c>
      <c r="EN8" s="24" cm="1">
        <f t="array" ref="EN8">IF(EN$2="FY",SUMPRODUCT(Data_Nhập[Tổng Nhập-NX]*(Data_Nhập[Year]=EN$1)*(Data_Nhập[Main SKU name_GOM]=$A8)*(Data_Nhập[SKU name_NHẬP_GOM]=EN$3)),SUMPRODUCT(Data_Nhập[Tổng Nhập-NX]*(Data_Nhập[Year]=EN$1)*(Data_Nhập[Month]=EN$2)*(Data_Nhập[Main SKU name_GOM]=$A8)*(Data_Nhập[SKU name_NHẬP_GOM]=EN$3)))</f>
        <v>0</v>
      </c>
      <c r="EO8" s="24" cm="1">
        <f t="array" ref="EO8">IF(EO$2="FY",SUMPRODUCT(Data_Nhập[Tổng Nhập-NX]*(Data_Nhập[Year]=EO$1)*(Data_Nhập[Main SKU name_GOM]=$A8)*(Data_Nhập[SKU name_NHẬP_GOM]=EO$3)),SUMPRODUCT(Data_Nhập[Tổng Nhập-NX]*(Data_Nhập[Year]=EO$1)*(Data_Nhập[Month]=EO$2)*(Data_Nhập[Main SKU name_GOM]=$A8)*(Data_Nhập[SKU name_NHẬP_GOM]=EO$3)))</f>
        <v>0</v>
      </c>
      <c r="EP8" s="25">
        <f t="shared" si="19"/>
        <v>0</v>
      </c>
      <c r="ER8" s="25" cm="1">
        <f t="array" ref="ER8">IF(ER$2="FY",SUMPRODUCT(Data_Xuất[Xuất-NX]*(Data_Xuất[Year]=ER$1)*(Data_Xuất[Main SKU name_GOM]=$A8)),SUMPRODUCT(Data_Xuất[Xuất-NX]*(Data_Xuất[Year]=ER$1)*(Data_Xuất[Main SKU name_GOM]=$A8)*(Data_Xuất[Month]=ER$2)))</f>
        <v>0</v>
      </c>
      <c r="ES8" s="24" cm="1">
        <f t="array" ref="ES8">IF(ES$2="FY",SUMPRODUCT(Data_Nhập[Tổng Nhập-NX]*(Data_Nhập[Year]=ES$1)*(Data_Nhập[Main SKU name_GOM]=$A8)*(Data_Nhập[SKU name_NHẬP_GOM]=ES$3)),SUMPRODUCT(Data_Nhập[Tổng Nhập-NX]*(Data_Nhập[Year]=ES$1)*(Data_Nhập[Month]=ES$2)*(Data_Nhập[Main SKU name_GOM]=$A8)*(Data_Nhập[SKU name_NHẬP_GOM]=ES$3)))</f>
        <v>0</v>
      </c>
      <c r="ET8" s="24" cm="1">
        <f t="array" ref="ET8">IF(ET$2="FY",SUMPRODUCT(Data_Nhập[Tổng Nhập-NX]*(Data_Nhập[Year]=ET$1)*(Data_Nhập[Main SKU name_GOM]=$A8)*(Data_Nhập[SKU name_NHẬP_GOM]=ET$3)),SUMPRODUCT(Data_Nhập[Tổng Nhập-NX]*(Data_Nhập[Year]=ET$1)*(Data_Nhập[Month]=ET$2)*(Data_Nhập[Main SKU name_GOM]=$A8)*(Data_Nhập[SKU name_NHẬP_GOM]=ET$3)))</f>
        <v>0</v>
      </c>
      <c r="EU8" s="24" cm="1">
        <f t="array" ref="EU8">IF(EU$2="FY",SUMPRODUCT(Data_Nhập[Tổng Nhập-NX]*(Data_Nhập[Year]=EU$1)*(Data_Nhập[Main SKU name_GOM]=$A8)*(Data_Nhập[SKU name_NHẬP_GOM]=EU$3)),SUMPRODUCT(Data_Nhập[Tổng Nhập-NX]*(Data_Nhập[Year]=EU$1)*(Data_Nhập[Month]=EU$2)*(Data_Nhập[Main SKU name_GOM]=$A8)*(Data_Nhập[SKU name_NHẬP_GOM]=EU$3)))</f>
        <v>0</v>
      </c>
      <c r="EV8" s="24" cm="1">
        <f t="array" ref="EV8">IF(EV$2="FY",SUMPRODUCT(Data_Nhập[Tổng Nhập-NX]*(Data_Nhập[Year]=EV$1)*(Data_Nhập[Main SKU name_GOM]=$A8)*(Data_Nhập[SKU name_NHẬP_GOM]=EV$3)),SUMPRODUCT(Data_Nhập[Tổng Nhập-NX]*(Data_Nhập[Year]=EV$1)*(Data_Nhập[Month]=EV$2)*(Data_Nhập[Main SKU name_GOM]=$A8)*(Data_Nhập[SKU name_NHẬP_GOM]=EV$3)))</f>
        <v>0</v>
      </c>
      <c r="EW8" s="24" cm="1">
        <f t="array" ref="EW8">IF(EW$2="FY",SUMPRODUCT(Data_Nhập[Tổng Nhập-NX]*(Data_Nhập[Year]=EW$1)*(Data_Nhập[Main SKU name_GOM]=$A8)*(Data_Nhập[SKU name_NHẬP_GOM]=EW$3)),SUMPRODUCT(Data_Nhập[Tổng Nhập-NX]*(Data_Nhập[Year]=EW$1)*(Data_Nhập[Month]=EW$2)*(Data_Nhập[Main SKU name_GOM]=$A8)*(Data_Nhập[SKU name_NHẬP_GOM]=EW$3)))</f>
        <v>0</v>
      </c>
      <c r="EX8" s="24" cm="1">
        <f t="array" ref="EX8">IF(EX$2="FY",SUMPRODUCT(Data_Nhập[Tổng Nhập-NX]*(Data_Nhập[Year]=EX$1)*(Data_Nhập[Main SKU name_GOM]=$A8)*(Data_Nhập[SKU name_NHẬP_GOM]=EX$3)),SUMPRODUCT(Data_Nhập[Tổng Nhập-NX]*(Data_Nhập[Year]=EX$1)*(Data_Nhập[Month]=EX$2)*(Data_Nhập[Main SKU name_GOM]=$A8)*(Data_Nhập[SKU name_NHẬP_GOM]=EX$3)))</f>
        <v>0</v>
      </c>
      <c r="EY8" s="24" cm="1">
        <f t="array" ref="EY8">IF(EY$2="FY",SUMPRODUCT(Data_Nhập[Tổng Nhập-NX]*(Data_Nhập[Year]=EY$1)*(Data_Nhập[Main SKU name_GOM]=$A8)*(Data_Nhập[SKU name_NHẬP_GOM]=EY$3)),SUMPRODUCT(Data_Nhập[Tổng Nhập-NX]*(Data_Nhập[Year]=EY$1)*(Data_Nhập[Month]=EY$2)*(Data_Nhập[Main SKU name_GOM]=$A8)*(Data_Nhập[SKU name_NHẬP_GOM]=EY$3)))</f>
        <v>0</v>
      </c>
      <c r="EZ8" s="24" cm="1">
        <f t="array" ref="EZ8">IF(EZ$2="FY",SUMPRODUCT(Data_Nhập[Tổng Nhập-NX]*(Data_Nhập[Year]=EZ$1)*(Data_Nhập[Main SKU name_GOM]=$A8)*(Data_Nhập[SKU name_NHẬP_GOM]=EZ$3)),SUMPRODUCT(Data_Nhập[Tổng Nhập-NX]*(Data_Nhập[Year]=EZ$1)*(Data_Nhập[Month]=EZ$2)*(Data_Nhập[Main SKU name_GOM]=$A8)*(Data_Nhập[SKU name_NHẬP_GOM]=EZ$3)))</f>
        <v>0</v>
      </c>
      <c r="FA8" s="24" cm="1">
        <f t="array" ref="FA8">IF(FA$2="FY",SUMPRODUCT(Data_Nhập[Tổng Nhập-NX]*(Data_Nhập[Year]=FA$1)*(Data_Nhập[Main SKU name_GOM]=$A8)*(Data_Nhập[SKU name_NHẬP_GOM]=FA$3)),SUMPRODUCT(Data_Nhập[Tổng Nhập-NX]*(Data_Nhập[Year]=FA$1)*(Data_Nhập[Month]=FA$2)*(Data_Nhập[Main SKU name_GOM]=$A8)*(Data_Nhập[SKU name_NHẬP_GOM]=FA$3)))</f>
        <v>0</v>
      </c>
      <c r="FB8" s="24" cm="1">
        <f t="array" ref="FB8">IF(FB$2="FY",SUMPRODUCT(Data_Nhập[Tổng Nhập-NX]*(Data_Nhập[Year]=FB$1)*(Data_Nhập[Main SKU name_GOM]=$A8)*(Data_Nhập[SKU name_NHẬP_GOM]=FB$3)),SUMPRODUCT(Data_Nhập[Tổng Nhập-NX]*(Data_Nhập[Year]=FB$1)*(Data_Nhập[Month]=FB$2)*(Data_Nhập[Main SKU name_GOM]=$A8)*(Data_Nhập[SKU name_NHẬP_GOM]=FB$3)))</f>
        <v>0</v>
      </c>
      <c r="FC8" s="24" cm="1">
        <f t="array" ref="FC8">IF(FC$2="FY",SUMPRODUCT(Data_Nhập[Tổng Nhập-NX]*(Data_Nhập[Year]=FC$1)*(Data_Nhập[Main SKU name_GOM]=$A8)*(Data_Nhập[SKU name_NHẬP_GOM]=FC$3)),SUMPRODUCT(Data_Nhập[Tổng Nhập-NX]*(Data_Nhập[Year]=FC$1)*(Data_Nhập[Month]=FC$2)*(Data_Nhập[Main SKU name_GOM]=$A8)*(Data_Nhập[SKU name_NHẬP_GOM]=FC$3)))</f>
        <v>0</v>
      </c>
      <c r="FD8" s="24" cm="1">
        <f t="array" ref="FD8">IF(FD$2="FY",SUMPRODUCT(Data_Nhập[Tổng Nhập-NX]*(Data_Nhập[Year]=FD$1)*(Data_Nhập[Main SKU name_GOM]=$A8)*(Data_Nhập[SKU name_NHẬP_GOM]=FD$3)),SUMPRODUCT(Data_Nhập[Tổng Nhập-NX]*(Data_Nhập[Year]=FD$1)*(Data_Nhập[Month]=FD$2)*(Data_Nhập[Main SKU name_GOM]=$A8)*(Data_Nhập[SKU name_NHẬP_GOM]=FD$3)))</f>
        <v>0</v>
      </c>
      <c r="FE8" s="24" cm="1">
        <f t="array" ref="FE8">IF(FE$2="FY",SUMPRODUCT(Data_Nhập[Tổng Nhập-NX]*(Data_Nhập[Year]=FE$1)*(Data_Nhập[Main SKU name_GOM]=$A8)*(Data_Nhập[SKU name_NHẬP_GOM]=FE$3)),SUMPRODUCT(Data_Nhập[Tổng Nhập-NX]*(Data_Nhập[Year]=FE$1)*(Data_Nhập[Month]=FE$2)*(Data_Nhập[Main SKU name_GOM]=$A8)*(Data_Nhập[SKU name_NHẬP_GOM]=FE$3)))</f>
        <v>0</v>
      </c>
      <c r="FF8" s="24" cm="1">
        <f t="array" ref="FF8">IF(FF$2="FY",SUMPRODUCT(Data_Nhập[Tổng Nhập-NX]*(Data_Nhập[Year]=FF$1)*(Data_Nhập[Main SKU name_GOM]=$A8)*(Data_Nhập[SKU name_NHẬP_GOM]=FF$3)),SUMPRODUCT(Data_Nhập[Tổng Nhập-NX]*(Data_Nhập[Year]=FF$1)*(Data_Nhập[Month]=FF$2)*(Data_Nhập[Main SKU name_GOM]=$A8)*(Data_Nhập[SKU name_NHẬP_GOM]=FF$3)))</f>
        <v>0</v>
      </c>
      <c r="FG8" s="24" cm="1">
        <f t="array" ref="FG8">IF(FG$2="FY",SUMPRODUCT(Data_Nhập[Tổng Nhập-NX]*(Data_Nhập[Year]=FG$1)*(Data_Nhập[Main SKU name_GOM]=$A8)*(Data_Nhập[SKU name_NHẬP_GOM]=FG$3)),SUMPRODUCT(Data_Nhập[Tổng Nhập-NX]*(Data_Nhập[Year]=FG$1)*(Data_Nhập[Month]=FG$2)*(Data_Nhập[Main SKU name_GOM]=$A8)*(Data_Nhập[SKU name_NHẬP_GOM]=FG$3)))</f>
        <v>0</v>
      </c>
      <c r="FH8" s="25">
        <f t="shared" si="20"/>
        <v>0</v>
      </c>
      <c r="FJ8" s="25" cm="1">
        <f t="array" ref="FJ8">IF(FJ$2="FY",SUMPRODUCT(Data_Xuất[Xuất-NX]*(Data_Xuất[Year]=FJ$1)*(Data_Xuất[Main SKU name_GOM]=$A8)),SUMPRODUCT(Data_Xuất[Xuất-NX]*(Data_Xuất[Year]=FJ$1)*(Data_Xuất[Main SKU name_GOM]=$A8)*(Data_Xuất[Month]=FJ$2)))</f>
        <v>0</v>
      </c>
      <c r="FK8" s="24" cm="1">
        <f t="array" ref="FK8">IF(FK$2="FY",SUMPRODUCT(Data_Nhập[Tổng Nhập-NX]*(Data_Nhập[Year]=FK$1)*(Data_Nhập[Main SKU name_GOM]=$A8)*(Data_Nhập[SKU name_NHẬP_GOM]=FK$3)),SUMPRODUCT(Data_Nhập[Tổng Nhập-NX]*(Data_Nhập[Year]=FK$1)*(Data_Nhập[Month]=FK$2)*(Data_Nhập[Main SKU name_GOM]=$A8)*(Data_Nhập[SKU name_NHẬP_GOM]=FK$3)))</f>
        <v>0</v>
      </c>
      <c r="FL8" s="24" cm="1">
        <f t="array" ref="FL8">IF(FL$2="FY",SUMPRODUCT(Data_Nhập[Tổng Nhập-NX]*(Data_Nhập[Year]=FL$1)*(Data_Nhập[Main SKU name_GOM]=$A8)*(Data_Nhập[SKU name_NHẬP_GOM]=FL$3)),SUMPRODUCT(Data_Nhập[Tổng Nhập-NX]*(Data_Nhập[Year]=FL$1)*(Data_Nhập[Month]=FL$2)*(Data_Nhập[Main SKU name_GOM]=$A8)*(Data_Nhập[SKU name_NHẬP_GOM]=FL$3)))</f>
        <v>0</v>
      </c>
      <c r="FM8" s="24" cm="1">
        <f t="array" ref="FM8">IF(FM$2="FY",SUMPRODUCT(Data_Nhập[Tổng Nhập-NX]*(Data_Nhập[Year]=FM$1)*(Data_Nhập[Main SKU name_GOM]=$A8)*(Data_Nhập[SKU name_NHẬP_GOM]=FM$3)),SUMPRODUCT(Data_Nhập[Tổng Nhập-NX]*(Data_Nhập[Year]=FM$1)*(Data_Nhập[Month]=FM$2)*(Data_Nhập[Main SKU name_GOM]=$A8)*(Data_Nhập[SKU name_NHẬP_GOM]=FM$3)))</f>
        <v>0</v>
      </c>
      <c r="FN8" s="24" cm="1">
        <f t="array" ref="FN8">IF(FN$2="FY",SUMPRODUCT(Data_Nhập[Tổng Nhập-NX]*(Data_Nhập[Year]=FN$1)*(Data_Nhập[Main SKU name_GOM]=$A8)*(Data_Nhập[SKU name_NHẬP_GOM]=FN$3)),SUMPRODUCT(Data_Nhập[Tổng Nhập-NX]*(Data_Nhập[Year]=FN$1)*(Data_Nhập[Month]=FN$2)*(Data_Nhập[Main SKU name_GOM]=$A8)*(Data_Nhập[SKU name_NHẬP_GOM]=FN$3)))</f>
        <v>0</v>
      </c>
      <c r="FO8" s="24" cm="1">
        <f t="array" ref="FO8">IF(FO$2="FY",SUMPRODUCT(Data_Nhập[Tổng Nhập-NX]*(Data_Nhập[Year]=FO$1)*(Data_Nhập[Main SKU name_GOM]=$A8)*(Data_Nhập[SKU name_NHẬP_GOM]=FO$3)),SUMPRODUCT(Data_Nhập[Tổng Nhập-NX]*(Data_Nhập[Year]=FO$1)*(Data_Nhập[Month]=FO$2)*(Data_Nhập[Main SKU name_GOM]=$A8)*(Data_Nhập[SKU name_NHẬP_GOM]=FO$3)))</f>
        <v>0</v>
      </c>
      <c r="FP8" s="24" cm="1">
        <f t="array" ref="FP8">IF(FP$2="FY",SUMPRODUCT(Data_Nhập[Tổng Nhập-NX]*(Data_Nhập[Year]=FP$1)*(Data_Nhập[Main SKU name_GOM]=$A8)*(Data_Nhập[SKU name_NHẬP_GOM]=FP$3)),SUMPRODUCT(Data_Nhập[Tổng Nhập-NX]*(Data_Nhập[Year]=FP$1)*(Data_Nhập[Month]=FP$2)*(Data_Nhập[Main SKU name_GOM]=$A8)*(Data_Nhập[SKU name_NHẬP_GOM]=FP$3)))</f>
        <v>0</v>
      </c>
      <c r="FQ8" s="24" cm="1">
        <f t="array" ref="FQ8">IF(FQ$2="FY",SUMPRODUCT(Data_Nhập[Tổng Nhập-NX]*(Data_Nhập[Year]=FQ$1)*(Data_Nhập[Main SKU name_GOM]=$A8)*(Data_Nhập[SKU name_NHẬP_GOM]=FQ$3)),SUMPRODUCT(Data_Nhập[Tổng Nhập-NX]*(Data_Nhập[Year]=FQ$1)*(Data_Nhập[Month]=FQ$2)*(Data_Nhập[Main SKU name_GOM]=$A8)*(Data_Nhập[SKU name_NHẬP_GOM]=FQ$3)))</f>
        <v>0</v>
      </c>
      <c r="FR8" s="24" cm="1">
        <f t="array" ref="FR8">IF(FR$2="FY",SUMPRODUCT(Data_Nhập[Tổng Nhập-NX]*(Data_Nhập[Year]=FR$1)*(Data_Nhập[Main SKU name_GOM]=$A8)*(Data_Nhập[SKU name_NHẬP_GOM]=FR$3)),SUMPRODUCT(Data_Nhập[Tổng Nhập-NX]*(Data_Nhập[Year]=FR$1)*(Data_Nhập[Month]=FR$2)*(Data_Nhập[Main SKU name_GOM]=$A8)*(Data_Nhập[SKU name_NHẬP_GOM]=FR$3)))</f>
        <v>0</v>
      </c>
      <c r="FS8" s="24" cm="1">
        <f t="array" ref="FS8">IF(FS$2="FY",SUMPRODUCT(Data_Nhập[Tổng Nhập-NX]*(Data_Nhập[Year]=FS$1)*(Data_Nhập[Main SKU name_GOM]=$A8)*(Data_Nhập[SKU name_NHẬP_GOM]=FS$3)),SUMPRODUCT(Data_Nhập[Tổng Nhập-NX]*(Data_Nhập[Year]=FS$1)*(Data_Nhập[Month]=FS$2)*(Data_Nhập[Main SKU name_GOM]=$A8)*(Data_Nhập[SKU name_NHẬP_GOM]=FS$3)))</f>
        <v>0</v>
      </c>
      <c r="FT8" s="24" cm="1">
        <f t="array" ref="FT8">IF(FT$2="FY",SUMPRODUCT(Data_Nhập[Tổng Nhập-NX]*(Data_Nhập[Year]=FT$1)*(Data_Nhập[Main SKU name_GOM]=$A8)*(Data_Nhập[SKU name_NHẬP_GOM]=FT$3)),SUMPRODUCT(Data_Nhập[Tổng Nhập-NX]*(Data_Nhập[Year]=FT$1)*(Data_Nhập[Month]=FT$2)*(Data_Nhập[Main SKU name_GOM]=$A8)*(Data_Nhập[SKU name_NHẬP_GOM]=FT$3)))</f>
        <v>0</v>
      </c>
      <c r="FU8" s="24" cm="1">
        <f t="array" ref="FU8">IF(FU$2="FY",SUMPRODUCT(Data_Nhập[Tổng Nhập-NX]*(Data_Nhập[Year]=FU$1)*(Data_Nhập[Main SKU name_GOM]=$A8)*(Data_Nhập[SKU name_NHẬP_GOM]=FU$3)),SUMPRODUCT(Data_Nhập[Tổng Nhập-NX]*(Data_Nhập[Year]=FU$1)*(Data_Nhập[Month]=FU$2)*(Data_Nhập[Main SKU name_GOM]=$A8)*(Data_Nhập[SKU name_NHẬP_GOM]=FU$3)))</f>
        <v>0</v>
      </c>
      <c r="FV8" s="24" cm="1">
        <f t="array" ref="FV8">IF(FV$2="FY",SUMPRODUCT(Data_Nhập[Tổng Nhập-NX]*(Data_Nhập[Year]=FV$1)*(Data_Nhập[Main SKU name_GOM]=$A8)*(Data_Nhập[SKU name_NHẬP_GOM]=FV$3)),SUMPRODUCT(Data_Nhập[Tổng Nhập-NX]*(Data_Nhập[Year]=FV$1)*(Data_Nhập[Month]=FV$2)*(Data_Nhập[Main SKU name_GOM]=$A8)*(Data_Nhập[SKU name_NHẬP_GOM]=FV$3)))</f>
        <v>0</v>
      </c>
      <c r="FW8" s="24" cm="1">
        <f t="array" ref="FW8">IF(FW$2="FY",SUMPRODUCT(Data_Nhập[Tổng Nhập-NX]*(Data_Nhập[Year]=FW$1)*(Data_Nhập[Main SKU name_GOM]=$A8)*(Data_Nhập[SKU name_NHẬP_GOM]=FW$3)),SUMPRODUCT(Data_Nhập[Tổng Nhập-NX]*(Data_Nhập[Year]=FW$1)*(Data_Nhập[Month]=FW$2)*(Data_Nhập[Main SKU name_GOM]=$A8)*(Data_Nhập[SKU name_NHẬP_GOM]=FW$3)))</f>
        <v>0</v>
      </c>
      <c r="FX8" s="24" cm="1">
        <f t="array" ref="FX8">IF(FX$2="FY",SUMPRODUCT(Data_Nhập[Tổng Nhập-NX]*(Data_Nhập[Year]=FX$1)*(Data_Nhập[Main SKU name_GOM]=$A8)*(Data_Nhập[SKU name_NHẬP_GOM]=FX$3)),SUMPRODUCT(Data_Nhập[Tổng Nhập-NX]*(Data_Nhập[Year]=FX$1)*(Data_Nhập[Month]=FX$2)*(Data_Nhập[Main SKU name_GOM]=$A8)*(Data_Nhập[SKU name_NHẬP_GOM]=FX$3)))</f>
        <v>0</v>
      </c>
      <c r="FY8" s="24" cm="1">
        <f t="array" ref="FY8">IF(FY$2="FY",SUMPRODUCT(Data_Nhập[Tổng Nhập-NX]*(Data_Nhập[Year]=FY$1)*(Data_Nhập[Main SKU name_GOM]=$A8)*(Data_Nhập[SKU name_NHẬP_GOM]=FY$3)),SUMPRODUCT(Data_Nhập[Tổng Nhập-NX]*(Data_Nhập[Year]=FY$1)*(Data_Nhập[Month]=FY$2)*(Data_Nhập[Main SKU name_GOM]=$A8)*(Data_Nhập[SKU name_NHẬP_GOM]=FY$3)))</f>
        <v>0</v>
      </c>
      <c r="FZ8" s="25">
        <f t="shared" si="21"/>
        <v>0</v>
      </c>
      <c r="GB8" s="25" cm="1">
        <f t="array" ref="GB8">IF(GB$2="FY",SUMPRODUCT(Data_Xuất[Xuất-NX]*(Data_Xuất[Year]=GB$1)*(Data_Xuất[Main SKU name_GOM]=$A8)),SUMPRODUCT(Data_Xuất[Xuất-NX]*(Data_Xuất[Year]=GB$1)*(Data_Xuất[Main SKU name_GOM]=$A8)*(Data_Xuất[Month]=GB$2)))</f>
        <v>0</v>
      </c>
      <c r="GC8" s="24" cm="1">
        <f t="array" ref="GC8">IF(GC$2="FY",SUMPRODUCT(Data_Nhập[Tổng Nhập-NX]*(Data_Nhập[Year]=GC$1)*(Data_Nhập[Main SKU name_GOM]=$A8)*(Data_Nhập[SKU name_NHẬP_GOM]=GC$3)),SUMPRODUCT(Data_Nhập[Tổng Nhập-NX]*(Data_Nhập[Year]=GC$1)*(Data_Nhập[Month]=GC$2)*(Data_Nhập[Main SKU name_GOM]=$A8)*(Data_Nhập[SKU name_NHẬP_GOM]=GC$3)))</f>
        <v>0</v>
      </c>
      <c r="GD8" s="24" cm="1">
        <f t="array" ref="GD8">IF(GD$2="FY",SUMPRODUCT(Data_Nhập[Tổng Nhập-NX]*(Data_Nhập[Year]=GD$1)*(Data_Nhập[Main SKU name_GOM]=$A8)*(Data_Nhập[SKU name_NHẬP_GOM]=GD$3)),SUMPRODUCT(Data_Nhập[Tổng Nhập-NX]*(Data_Nhập[Year]=GD$1)*(Data_Nhập[Month]=GD$2)*(Data_Nhập[Main SKU name_GOM]=$A8)*(Data_Nhập[SKU name_NHẬP_GOM]=GD$3)))</f>
        <v>0</v>
      </c>
      <c r="GE8" s="24" cm="1">
        <f t="array" ref="GE8">IF(GE$2="FY",SUMPRODUCT(Data_Nhập[Tổng Nhập-NX]*(Data_Nhập[Year]=GE$1)*(Data_Nhập[Main SKU name_GOM]=$A8)*(Data_Nhập[SKU name_NHẬP_GOM]=GE$3)),SUMPRODUCT(Data_Nhập[Tổng Nhập-NX]*(Data_Nhập[Year]=GE$1)*(Data_Nhập[Month]=GE$2)*(Data_Nhập[Main SKU name_GOM]=$A8)*(Data_Nhập[SKU name_NHẬP_GOM]=GE$3)))</f>
        <v>0</v>
      </c>
      <c r="GF8" s="24" cm="1">
        <f t="array" ref="GF8">IF(GF$2="FY",SUMPRODUCT(Data_Nhập[Tổng Nhập-NX]*(Data_Nhập[Year]=GF$1)*(Data_Nhập[Main SKU name_GOM]=$A8)*(Data_Nhập[SKU name_NHẬP_GOM]=GF$3)),SUMPRODUCT(Data_Nhập[Tổng Nhập-NX]*(Data_Nhập[Year]=GF$1)*(Data_Nhập[Month]=GF$2)*(Data_Nhập[Main SKU name_GOM]=$A8)*(Data_Nhập[SKU name_NHẬP_GOM]=GF$3)))</f>
        <v>0</v>
      </c>
      <c r="GG8" s="24" cm="1">
        <f t="array" ref="GG8">IF(GG$2="FY",SUMPRODUCT(Data_Nhập[Tổng Nhập-NX]*(Data_Nhập[Year]=GG$1)*(Data_Nhập[Main SKU name_GOM]=$A8)*(Data_Nhập[SKU name_NHẬP_GOM]=GG$3)),SUMPRODUCT(Data_Nhập[Tổng Nhập-NX]*(Data_Nhập[Year]=GG$1)*(Data_Nhập[Month]=GG$2)*(Data_Nhập[Main SKU name_GOM]=$A8)*(Data_Nhập[SKU name_NHẬP_GOM]=GG$3)))</f>
        <v>0</v>
      </c>
      <c r="GH8" s="24" cm="1">
        <f t="array" ref="GH8">IF(GH$2="FY",SUMPRODUCT(Data_Nhập[Tổng Nhập-NX]*(Data_Nhập[Year]=GH$1)*(Data_Nhập[Main SKU name_GOM]=$A8)*(Data_Nhập[SKU name_NHẬP_GOM]=GH$3)),SUMPRODUCT(Data_Nhập[Tổng Nhập-NX]*(Data_Nhập[Year]=GH$1)*(Data_Nhập[Month]=GH$2)*(Data_Nhập[Main SKU name_GOM]=$A8)*(Data_Nhập[SKU name_NHẬP_GOM]=GH$3)))</f>
        <v>0</v>
      </c>
      <c r="GI8" s="24" cm="1">
        <f t="array" ref="GI8">IF(GI$2="FY",SUMPRODUCT(Data_Nhập[Tổng Nhập-NX]*(Data_Nhập[Year]=GI$1)*(Data_Nhập[Main SKU name_GOM]=$A8)*(Data_Nhập[SKU name_NHẬP_GOM]=GI$3)),SUMPRODUCT(Data_Nhập[Tổng Nhập-NX]*(Data_Nhập[Year]=GI$1)*(Data_Nhập[Month]=GI$2)*(Data_Nhập[Main SKU name_GOM]=$A8)*(Data_Nhập[SKU name_NHẬP_GOM]=GI$3)))</f>
        <v>0</v>
      </c>
      <c r="GJ8" s="24" cm="1">
        <f t="array" ref="GJ8">IF(GJ$2="FY",SUMPRODUCT(Data_Nhập[Tổng Nhập-NX]*(Data_Nhập[Year]=GJ$1)*(Data_Nhập[Main SKU name_GOM]=$A8)*(Data_Nhập[SKU name_NHẬP_GOM]=GJ$3)),SUMPRODUCT(Data_Nhập[Tổng Nhập-NX]*(Data_Nhập[Year]=GJ$1)*(Data_Nhập[Month]=GJ$2)*(Data_Nhập[Main SKU name_GOM]=$A8)*(Data_Nhập[SKU name_NHẬP_GOM]=GJ$3)))</f>
        <v>0</v>
      </c>
      <c r="GK8" s="24" cm="1">
        <f t="array" ref="GK8">IF(GK$2="FY",SUMPRODUCT(Data_Nhập[Tổng Nhập-NX]*(Data_Nhập[Year]=GK$1)*(Data_Nhập[Main SKU name_GOM]=$A8)*(Data_Nhập[SKU name_NHẬP_GOM]=GK$3)),SUMPRODUCT(Data_Nhập[Tổng Nhập-NX]*(Data_Nhập[Year]=GK$1)*(Data_Nhập[Month]=GK$2)*(Data_Nhập[Main SKU name_GOM]=$A8)*(Data_Nhập[SKU name_NHẬP_GOM]=GK$3)))</f>
        <v>0</v>
      </c>
      <c r="GL8" s="24" cm="1">
        <f t="array" ref="GL8">IF(GL$2="FY",SUMPRODUCT(Data_Nhập[Tổng Nhập-NX]*(Data_Nhập[Year]=GL$1)*(Data_Nhập[Main SKU name_GOM]=$A8)*(Data_Nhập[SKU name_NHẬP_GOM]=GL$3)),SUMPRODUCT(Data_Nhập[Tổng Nhập-NX]*(Data_Nhập[Year]=GL$1)*(Data_Nhập[Month]=GL$2)*(Data_Nhập[Main SKU name_GOM]=$A8)*(Data_Nhập[SKU name_NHẬP_GOM]=GL$3)))</f>
        <v>0</v>
      </c>
      <c r="GM8" s="24" cm="1">
        <f t="array" ref="GM8">IF(GM$2="FY",SUMPRODUCT(Data_Nhập[Tổng Nhập-NX]*(Data_Nhập[Year]=GM$1)*(Data_Nhập[Main SKU name_GOM]=$A8)*(Data_Nhập[SKU name_NHẬP_GOM]=GM$3)),SUMPRODUCT(Data_Nhập[Tổng Nhập-NX]*(Data_Nhập[Year]=GM$1)*(Data_Nhập[Month]=GM$2)*(Data_Nhập[Main SKU name_GOM]=$A8)*(Data_Nhập[SKU name_NHẬP_GOM]=GM$3)))</f>
        <v>0</v>
      </c>
      <c r="GN8" s="24" cm="1">
        <f t="array" ref="GN8">IF(GN$2="FY",SUMPRODUCT(Data_Nhập[Tổng Nhập-NX]*(Data_Nhập[Year]=GN$1)*(Data_Nhập[Main SKU name_GOM]=$A8)*(Data_Nhập[SKU name_NHẬP_GOM]=GN$3)),SUMPRODUCT(Data_Nhập[Tổng Nhập-NX]*(Data_Nhập[Year]=GN$1)*(Data_Nhập[Month]=GN$2)*(Data_Nhập[Main SKU name_GOM]=$A8)*(Data_Nhập[SKU name_NHẬP_GOM]=GN$3)))</f>
        <v>0</v>
      </c>
      <c r="GO8" s="24" cm="1">
        <f t="array" ref="GO8">IF(GO$2="FY",SUMPRODUCT(Data_Nhập[Tổng Nhập-NX]*(Data_Nhập[Year]=GO$1)*(Data_Nhập[Main SKU name_GOM]=$A8)*(Data_Nhập[SKU name_NHẬP_GOM]=GO$3)),SUMPRODUCT(Data_Nhập[Tổng Nhập-NX]*(Data_Nhập[Year]=GO$1)*(Data_Nhập[Month]=GO$2)*(Data_Nhập[Main SKU name_GOM]=$A8)*(Data_Nhập[SKU name_NHẬP_GOM]=GO$3)))</f>
        <v>0</v>
      </c>
      <c r="GP8" s="24" cm="1">
        <f t="array" ref="GP8">IF(GP$2="FY",SUMPRODUCT(Data_Nhập[Tổng Nhập-NX]*(Data_Nhập[Year]=GP$1)*(Data_Nhập[Main SKU name_GOM]=$A8)*(Data_Nhập[SKU name_NHẬP_GOM]=GP$3)),SUMPRODUCT(Data_Nhập[Tổng Nhập-NX]*(Data_Nhập[Year]=GP$1)*(Data_Nhập[Month]=GP$2)*(Data_Nhập[Main SKU name_GOM]=$A8)*(Data_Nhập[SKU name_NHẬP_GOM]=GP$3)))</f>
        <v>0</v>
      </c>
      <c r="GQ8" s="24" cm="1">
        <f t="array" ref="GQ8">IF(GQ$2="FY",SUMPRODUCT(Data_Nhập[Tổng Nhập-NX]*(Data_Nhập[Year]=GQ$1)*(Data_Nhập[Main SKU name_GOM]=$A8)*(Data_Nhập[SKU name_NHẬP_GOM]=GQ$3)),SUMPRODUCT(Data_Nhập[Tổng Nhập-NX]*(Data_Nhập[Year]=GQ$1)*(Data_Nhập[Month]=GQ$2)*(Data_Nhập[Main SKU name_GOM]=$A8)*(Data_Nhập[SKU name_NHẬP_GOM]=GQ$3)))</f>
        <v>0</v>
      </c>
      <c r="GR8" s="25">
        <f t="shared" si="22"/>
        <v>0</v>
      </c>
      <c r="GT8" s="25" cm="1">
        <f t="array" ref="GT8">IF(GT$2="FY",SUMPRODUCT(Data_Xuất[Xuất-NX]*(Data_Xuất[Year]=GT$1)*(Data_Xuất[Main SKU name_GOM]=$A8)),SUMPRODUCT(Data_Xuất[Xuất-NX]*(Data_Xuất[Year]=GT$1)*(Data_Xuất[Main SKU name_GOM]=$A8)*(Data_Xuất[Month]=GT$2)))</f>
        <v>0</v>
      </c>
      <c r="GU8" s="24" cm="1">
        <f t="array" ref="GU8">IF(GU$2="FY",SUMPRODUCT(Data_Nhập[Tổng Nhập-NX]*(Data_Nhập[Year]=GU$1)*(Data_Nhập[Main SKU name_GOM]=$A8)*(Data_Nhập[SKU name_NHẬP_GOM]=GU$3)),SUMPRODUCT(Data_Nhập[Tổng Nhập-NX]*(Data_Nhập[Year]=GU$1)*(Data_Nhập[Month]=GU$2)*(Data_Nhập[Main SKU name_GOM]=$A8)*(Data_Nhập[SKU name_NHẬP_GOM]=GU$3)))</f>
        <v>0</v>
      </c>
      <c r="GV8" s="24" cm="1">
        <f t="array" ref="GV8">IF(GV$2="FY",SUMPRODUCT(Data_Nhập[Tổng Nhập-NX]*(Data_Nhập[Year]=GV$1)*(Data_Nhập[Main SKU name_GOM]=$A8)*(Data_Nhập[SKU name_NHẬP_GOM]=GV$3)),SUMPRODUCT(Data_Nhập[Tổng Nhập-NX]*(Data_Nhập[Year]=GV$1)*(Data_Nhập[Month]=GV$2)*(Data_Nhập[Main SKU name_GOM]=$A8)*(Data_Nhập[SKU name_NHẬP_GOM]=GV$3)))</f>
        <v>0</v>
      </c>
      <c r="GW8" s="24" cm="1">
        <f t="array" ref="GW8">IF(GW$2="FY",SUMPRODUCT(Data_Nhập[Tổng Nhập-NX]*(Data_Nhập[Year]=GW$1)*(Data_Nhập[Main SKU name_GOM]=$A8)*(Data_Nhập[SKU name_NHẬP_GOM]=GW$3)),SUMPRODUCT(Data_Nhập[Tổng Nhập-NX]*(Data_Nhập[Year]=GW$1)*(Data_Nhập[Month]=GW$2)*(Data_Nhập[Main SKU name_GOM]=$A8)*(Data_Nhập[SKU name_NHẬP_GOM]=GW$3)))</f>
        <v>0</v>
      </c>
      <c r="GX8" s="24" cm="1">
        <f t="array" ref="GX8">IF(GX$2="FY",SUMPRODUCT(Data_Nhập[Tổng Nhập-NX]*(Data_Nhập[Year]=GX$1)*(Data_Nhập[Main SKU name_GOM]=$A8)*(Data_Nhập[SKU name_NHẬP_GOM]=GX$3)),SUMPRODUCT(Data_Nhập[Tổng Nhập-NX]*(Data_Nhập[Year]=GX$1)*(Data_Nhập[Month]=GX$2)*(Data_Nhập[Main SKU name_GOM]=$A8)*(Data_Nhập[SKU name_NHẬP_GOM]=GX$3)))</f>
        <v>0</v>
      </c>
      <c r="GY8" s="24" cm="1">
        <f t="array" ref="GY8">IF(GY$2="FY",SUMPRODUCT(Data_Nhập[Tổng Nhập-NX]*(Data_Nhập[Year]=GY$1)*(Data_Nhập[Main SKU name_GOM]=$A8)*(Data_Nhập[SKU name_NHẬP_GOM]=GY$3)),SUMPRODUCT(Data_Nhập[Tổng Nhập-NX]*(Data_Nhập[Year]=GY$1)*(Data_Nhập[Month]=GY$2)*(Data_Nhập[Main SKU name_GOM]=$A8)*(Data_Nhập[SKU name_NHẬP_GOM]=GY$3)))</f>
        <v>0</v>
      </c>
      <c r="GZ8" s="24" cm="1">
        <f t="array" ref="GZ8">IF(GZ$2="FY",SUMPRODUCT(Data_Nhập[Tổng Nhập-NX]*(Data_Nhập[Year]=GZ$1)*(Data_Nhập[Main SKU name_GOM]=$A8)*(Data_Nhập[SKU name_NHẬP_GOM]=GZ$3)),SUMPRODUCT(Data_Nhập[Tổng Nhập-NX]*(Data_Nhập[Year]=GZ$1)*(Data_Nhập[Month]=GZ$2)*(Data_Nhập[Main SKU name_GOM]=$A8)*(Data_Nhập[SKU name_NHẬP_GOM]=GZ$3)))</f>
        <v>0</v>
      </c>
      <c r="HA8" s="24" cm="1">
        <f t="array" ref="HA8">IF(HA$2="FY",SUMPRODUCT(Data_Nhập[Tổng Nhập-NX]*(Data_Nhập[Year]=HA$1)*(Data_Nhập[Main SKU name_GOM]=$A8)*(Data_Nhập[SKU name_NHẬP_GOM]=HA$3)),SUMPRODUCT(Data_Nhập[Tổng Nhập-NX]*(Data_Nhập[Year]=HA$1)*(Data_Nhập[Month]=HA$2)*(Data_Nhập[Main SKU name_GOM]=$A8)*(Data_Nhập[SKU name_NHẬP_GOM]=HA$3)))</f>
        <v>0</v>
      </c>
      <c r="HB8" s="24" cm="1">
        <f t="array" ref="HB8">IF(HB$2="FY",SUMPRODUCT(Data_Nhập[Tổng Nhập-NX]*(Data_Nhập[Year]=HB$1)*(Data_Nhập[Main SKU name_GOM]=$A8)*(Data_Nhập[SKU name_NHẬP_GOM]=HB$3)),SUMPRODUCT(Data_Nhập[Tổng Nhập-NX]*(Data_Nhập[Year]=HB$1)*(Data_Nhập[Month]=HB$2)*(Data_Nhập[Main SKU name_GOM]=$A8)*(Data_Nhập[SKU name_NHẬP_GOM]=HB$3)))</f>
        <v>0</v>
      </c>
      <c r="HC8" s="24" cm="1">
        <f t="array" ref="HC8">IF(HC$2="FY",SUMPRODUCT(Data_Nhập[Tổng Nhập-NX]*(Data_Nhập[Year]=HC$1)*(Data_Nhập[Main SKU name_GOM]=$A8)*(Data_Nhập[SKU name_NHẬP_GOM]=HC$3)),SUMPRODUCT(Data_Nhập[Tổng Nhập-NX]*(Data_Nhập[Year]=HC$1)*(Data_Nhập[Month]=HC$2)*(Data_Nhập[Main SKU name_GOM]=$A8)*(Data_Nhập[SKU name_NHẬP_GOM]=HC$3)))</f>
        <v>0</v>
      </c>
      <c r="HD8" s="24" cm="1">
        <f t="array" ref="HD8">IF(HD$2="FY",SUMPRODUCT(Data_Nhập[Tổng Nhập-NX]*(Data_Nhập[Year]=HD$1)*(Data_Nhập[Main SKU name_GOM]=$A8)*(Data_Nhập[SKU name_NHẬP_GOM]=HD$3)),SUMPRODUCT(Data_Nhập[Tổng Nhập-NX]*(Data_Nhập[Year]=HD$1)*(Data_Nhập[Month]=HD$2)*(Data_Nhập[Main SKU name_GOM]=$A8)*(Data_Nhập[SKU name_NHẬP_GOM]=HD$3)))</f>
        <v>0</v>
      </c>
      <c r="HE8" s="24" cm="1">
        <f t="array" ref="HE8">IF(HE$2="FY",SUMPRODUCT(Data_Nhập[Tổng Nhập-NX]*(Data_Nhập[Year]=HE$1)*(Data_Nhập[Main SKU name_GOM]=$A8)*(Data_Nhập[SKU name_NHẬP_GOM]=HE$3)),SUMPRODUCT(Data_Nhập[Tổng Nhập-NX]*(Data_Nhập[Year]=HE$1)*(Data_Nhập[Month]=HE$2)*(Data_Nhập[Main SKU name_GOM]=$A8)*(Data_Nhập[SKU name_NHẬP_GOM]=HE$3)))</f>
        <v>0</v>
      </c>
      <c r="HF8" s="24" cm="1">
        <f t="array" ref="HF8">IF(HF$2="FY",SUMPRODUCT(Data_Nhập[Tổng Nhập-NX]*(Data_Nhập[Year]=HF$1)*(Data_Nhập[Main SKU name_GOM]=$A8)*(Data_Nhập[SKU name_NHẬP_GOM]=HF$3)),SUMPRODUCT(Data_Nhập[Tổng Nhập-NX]*(Data_Nhập[Year]=HF$1)*(Data_Nhập[Month]=HF$2)*(Data_Nhập[Main SKU name_GOM]=$A8)*(Data_Nhập[SKU name_NHẬP_GOM]=HF$3)))</f>
        <v>0</v>
      </c>
      <c r="HG8" s="24" cm="1">
        <f t="array" ref="HG8">IF(HG$2="FY",SUMPRODUCT(Data_Nhập[Tổng Nhập-NX]*(Data_Nhập[Year]=HG$1)*(Data_Nhập[Main SKU name_GOM]=$A8)*(Data_Nhập[SKU name_NHẬP_GOM]=HG$3)),SUMPRODUCT(Data_Nhập[Tổng Nhập-NX]*(Data_Nhập[Year]=HG$1)*(Data_Nhập[Month]=HG$2)*(Data_Nhập[Main SKU name_GOM]=$A8)*(Data_Nhập[SKU name_NHẬP_GOM]=HG$3)))</f>
        <v>0</v>
      </c>
      <c r="HH8" s="24" cm="1">
        <f t="array" ref="HH8">IF(HH$2="FY",SUMPRODUCT(Data_Nhập[Tổng Nhập-NX]*(Data_Nhập[Year]=HH$1)*(Data_Nhập[Main SKU name_GOM]=$A8)*(Data_Nhập[SKU name_NHẬP_GOM]=HH$3)),SUMPRODUCT(Data_Nhập[Tổng Nhập-NX]*(Data_Nhập[Year]=HH$1)*(Data_Nhập[Month]=HH$2)*(Data_Nhập[Main SKU name_GOM]=$A8)*(Data_Nhập[SKU name_NHẬP_GOM]=HH$3)))</f>
        <v>0</v>
      </c>
      <c r="HI8" s="24" cm="1">
        <f t="array" ref="HI8">IF(HI$2="FY",SUMPRODUCT(Data_Nhập[Tổng Nhập-NX]*(Data_Nhập[Year]=HI$1)*(Data_Nhập[Main SKU name_GOM]=$A8)*(Data_Nhập[SKU name_NHẬP_GOM]=HI$3)),SUMPRODUCT(Data_Nhập[Tổng Nhập-NX]*(Data_Nhập[Year]=HI$1)*(Data_Nhập[Month]=HI$2)*(Data_Nhập[Main SKU name_GOM]=$A8)*(Data_Nhập[SKU name_NHẬP_GOM]=HI$3)))</f>
        <v>0</v>
      </c>
      <c r="HJ8" s="25">
        <f t="shared" si="23"/>
        <v>0</v>
      </c>
      <c r="HL8" s="25" cm="1">
        <f t="array" ref="HL8">IF(HL$2="FY",SUMPRODUCT(Data_Xuất[Xuất-NX]*(Data_Xuất[Year]=HL$1)*(Data_Xuất[Main SKU name_GOM]=$A8)),SUMPRODUCT(Data_Xuất[Xuất-NX]*(Data_Xuất[Year]=HL$1)*(Data_Xuất[Main SKU name_GOM]=$A8)*(Data_Xuất[Month]=HL$2)))</f>
        <v>0</v>
      </c>
      <c r="HM8" s="24" cm="1">
        <f t="array" ref="HM8">IF(HM$2="FY",SUMPRODUCT(Data_Nhập[Tổng Nhập-NX]*(Data_Nhập[Year]=HM$1)*(Data_Nhập[Main SKU name_GOM]=$A8)*(Data_Nhập[SKU name_NHẬP_GOM]=HM$3)),SUMPRODUCT(Data_Nhập[Tổng Nhập-NX]*(Data_Nhập[Year]=HM$1)*(Data_Nhập[Month]=HM$2)*(Data_Nhập[Main SKU name_GOM]=$A8)*(Data_Nhập[SKU name_NHẬP_GOM]=HM$3)))</f>
        <v>0</v>
      </c>
      <c r="HN8" s="24" cm="1">
        <f t="array" ref="HN8">IF(HN$2="FY",SUMPRODUCT(Data_Nhập[Tổng Nhập-NX]*(Data_Nhập[Year]=HN$1)*(Data_Nhập[Main SKU name_GOM]=$A8)*(Data_Nhập[SKU name_NHẬP_GOM]=HN$3)),SUMPRODUCT(Data_Nhập[Tổng Nhập-NX]*(Data_Nhập[Year]=HN$1)*(Data_Nhập[Month]=HN$2)*(Data_Nhập[Main SKU name_GOM]=$A8)*(Data_Nhập[SKU name_NHẬP_GOM]=HN$3)))</f>
        <v>0</v>
      </c>
      <c r="HO8" s="24" cm="1">
        <f t="array" ref="HO8">IF(HO$2="FY",SUMPRODUCT(Data_Nhập[Tổng Nhập-NX]*(Data_Nhập[Year]=HO$1)*(Data_Nhập[Main SKU name_GOM]=$A8)*(Data_Nhập[SKU name_NHẬP_GOM]=HO$3)),SUMPRODUCT(Data_Nhập[Tổng Nhập-NX]*(Data_Nhập[Year]=HO$1)*(Data_Nhập[Month]=HO$2)*(Data_Nhập[Main SKU name_GOM]=$A8)*(Data_Nhập[SKU name_NHẬP_GOM]=HO$3)))</f>
        <v>0</v>
      </c>
      <c r="HP8" s="24" cm="1">
        <f t="array" ref="HP8">IF(HP$2="FY",SUMPRODUCT(Data_Nhập[Tổng Nhập-NX]*(Data_Nhập[Year]=HP$1)*(Data_Nhập[Main SKU name_GOM]=$A8)*(Data_Nhập[SKU name_NHẬP_GOM]=HP$3)),SUMPRODUCT(Data_Nhập[Tổng Nhập-NX]*(Data_Nhập[Year]=HP$1)*(Data_Nhập[Month]=HP$2)*(Data_Nhập[Main SKU name_GOM]=$A8)*(Data_Nhập[SKU name_NHẬP_GOM]=HP$3)))</f>
        <v>0</v>
      </c>
      <c r="HQ8" s="24" cm="1">
        <f t="array" ref="HQ8">IF(HQ$2="FY",SUMPRODUCT(Data_Nhập[Tổng Nhập-NX]*(Data_Nhập[Year]=HQ$1)*(Data_Nhập[Main SKU name_GOM]=$A8)*(Data_Nhập[SKU name_NHẬP_GOM]=HQ$3)),SUMPRODUCT(Data_Nhập[Tổng Nhập-NX]*(Data_Nhập[Year]=HQ$1)*(Data_Nhập[Month]=HQ$2)*(Data_Nhập[Main SKU name_GOM]=$A8)*(Data_Nhập[SKU name_NHẬP_GOM]=HQ$3)))</f>
        <v>0</v>
      </c>
      <c r="HR8" s="24" cm="1">
        <f t="array" ref="HR8">IF(HR$2="FY",SUMPRODUCT(Data_Nhập[Tổng Nhập-NX]*(Data_Nhập[Year]=HR$1)*(Data_Nhập[Main SKU name_GOM]=$A8)*(Data_Nhập[SKU name_NHẬP_GOM]=HR$3)),SUMPRODUCT(Data_Nhập[Tổng Nhập-NX]*(Data_Nhập[Year]=HR$1)*(Data_Nhập[Month]=HR$2)*(Data_Nhập[Main SKU name_GOM]=$A8)*(Data_Nhập[SKU name_NHẬP_GOM]=HR$3)))</f>
        <v>0</v>
      </c>
      <c r="HS8" s="24" cm="1">
        <f t="array" ref="HS8">IF(HS$2="FY",SUMPRODUCT(Data_Nhập[Tổng Nhập-NX]*(Data_Nhập[Year]=HS$1)*(Data_Nhập[Main SKU name_GOM]=$A8)*(Data_Nhập[SKU name_NHẬP_GOM]=HS$3)),SUMPRODUCT(Data_Nhập[Tổng Nhập-NX]*(Data_Nhập[Year]=HS$1)*(Data_Nhập[Month]=HS$2)*(Data_Nhập[Main SKU name_GOM]=$A8)*(Data_Nhập[SKU name_NHẬP_GOM]=HS$3)))</f>
        <v>0</v>
      </c>
      <c r="HT8" s="24" cm="1">
        <f t="array" ref="HT8">IF(HT$2="FY",SUMPRODUCT(Data_Nhập[Tổng Nhập-NX]*(Data_Nhập[Year]=HT$1)*(Data_Nhập[Main SKU name_GOM]=$A8)*(Data_Nhập[SKU name_NHẬP_GOM]=HT$3)),SUMPRODUCT(Data_Nhập[Tổng Nhập-NX]*(Data_Nhập[Year]=HT$1)*(Data_Nhập[Month]=HT$2)*(Data_Nhập[Main SKU name_GOM]=$A8)*(Data_Nhập[SKU name_NHẬP_GOM]=HT$3)))</f>
        <v>0</v>
      </c>
      <c r="HU8" s="24" cm="1">
        <f t="array" ref="HU8">IF(HU$2="FY",SUMPRODUCT(Data_Nhập[Tổng Nhập-NX]*(Data_Nhập[Year]=HU$1)*(Data_Nhập[Main SKU name_GOM]=$A8)*(Data_Nhập[SKU name_NHẬP_GOM]=HU$3)),SUMPRODUCT(Data_Nhập[Tổng Nhập-NX]*(Data_Nhập[Year]=HU$1)*(Data_Nhập[Month]=HU$2)*(Data_Nhập[Main SKU name_GOM]=$A8)*(Data_Nhập[SKU name_NHẬP_GOM]=HU$3)))</f>
        <v>0</v>
      </c>
      <c r="HV8" s="24" cm="1">
        <f t="array" ref="HV8">IF(HV$2="FY",SUMPRODUCT(Data_Nhập[Tổng Nhập-NX]*(Data_Nhập[Year]=HV$1)*(Data_Nhập[Main SKU name_GOM]=$A8)*(Data_Nhập[SKU name_NHẬP_GOM]=HV$3)),SUMPRODUCT(Data_Nhập[Tổng Nhập-NX]*(Data_Nhập[Year]=HV$1)*(Data_Nhập[Month]=HV$2)*(Data_Nhập[Main SKU name_GOM]=$A8)*(Data_Nhập[SKU name_NHẬP_GOM]=HV$3)))</f>
        <v>0</v>
      </c>
      <c r="HW8" s="24" cm="1">
        <f t="array" ref="HW8">IF(HW$2="FY",SUMPRODUCT(Data_Nhập[Tổng Nhập-NX]*(Data_Nhập[Year]=HW$1)*(Data_Nhập[Main SKU name_GOM]=$A8)*(Data_Nhập[SKU name_NHẬP_GOM]=HW$3)),SUMPRODUCT(Data_Nhập[Tổng Nhập-NX]*(Data_Nhập[Year]=HW$1)*(Data_Nhập[Month]=HW$2)*(Data_Nhập[Main SKU name_GOM]=$A8)*(Data_Nhập[SKU name_NHẬP_GOM]=HW$3)))</f>
        <v>0</v>
      </c>
      <c r="HX8" s="24" cm="1">
        <f t="array" ref="HX8">IF(HX$2="FY",SUMPRODUCT(Data_Nhập[Tổng Nhập-NX]*(Data_Nhập[Year]=HX$1)*(Data_Nhập[Main SKU name_GOM]=$A8)*(Data_Nhập[SKU name_NHẬP_GOM]=HX$3)),SUMPRODUCT(Data_Nhập[Tổng Nhập-NX]*(Data_Nhập[Year]=HX$1)*(Data_Nhập[Month]=HX$2)*(Data_Nhập[Main SKU name_GOM]=$A8)*(Data_Nhập[SKU name_NHẬP_GOM]=HX$3)))</f>
        <v>0</v>
      </c>
      <c r="HY8" s="24" cm="1">
        <f t="array" ref="HY8">IF(HY$2="FY",SUMPRODUCT(Data_Nhập[Tổng Nhập-NX]*(Data_Nhập[Year]=HY$1)*(Data_Nhập[Main SKU name_GOM]=$A8)*(Data_Nhập[SKU name_NHẬP_GOM]=HY$3)),SUMPRODUCT(Data_Nhập[Tổng Nhập-NX]*(Data_Nhập[Year]=HY$1)*(Data_Nhập[Month]=HY$2)*(Data_Nhập[Main SKU name_GOM]=$A8)*(Data_Nhập[SKU name_NHẬP_GOM]=HY$3)))</f>
        <v>0</v>
      </c>
      <c r="HZ8" s="24" cm="1">
        <f t="array" ref="HZ8">IF(HZ$2="FY",SUMPRODUCT(Data_Nhập[Tổng Nhập-NX]*(Data_Nhập[Year]=HZ$1)*(Data_Nhập[Main SKU name_GOM]=$A8)*(Data_Nhập[SKU name_NHẬP_GOM]=HZ$3)),SUMPRODUCT(Data_Nhập[Tổng Nhập-NX]*(Data_Nhập[Year]=HZ$1)*(Data_Nhập[Month]=HZ$2)*(Data_Nhập[Main SKU name_GOM]=$A8)*(Data_Nhập[SKU name_NHẬP_GOM]=HZ$3)))</f>
        <v>0</v>
      </c>
      <c r="IA8" s="24" cm="1">
        <f t="array" ref="IA8">IF(IA$2="FY",SUMPRODUCT(Data_Nhập[Tổng Nhập-NX]*(Data_Nhập[Year]=IA$1)*(Data_Nhập[Main SKU name_GOM]=$A8)*(Data_Nhập[SKU name_NHẬP_GOM]=IA$3)),SUMPRODUCT(Data_Nhập[Tổng Nhập-NX]*(Data_Nhập[Year]=IA$1)*(Data_Nhập[Month]=IA$2)*(Data_Nhập[Main SKU name_GOM]=$A8)*(Data_Nhập[SKU name_NHẬP_GOM]=IA$3)))</f>
        <v>0</v>
      </c>
      <c r="IB8" s="25">
        <f t="shared" si="24"/>
        <v>0</v>
      </c>
    </row>
    <row r="9" spans="1:236" x14ac:dyDescent="0.35">
      <c r="A9" s="5" t="s">
        <v>71</v>
      </c>
      <c r="B9" s="22" t="s">
        <v>71</v>
      </c>
      <c r="D9" s="25" cm="1">
        <f t="array" ref="D9">IF(D$2="FY",SUMPRODUCT(Data_Xuất[Xuất-NX]*(Data_Xuất[Year]=D$1)*(Data_Xuất[Main SKU name_GOM]=$A9)),SUMPRODUCT(Data_Xuất[Xuất-NX]*(Data_Xuất[Year]=D$1)*(Data_Xuất[Main SKU name_GOM]=$A9)*Data_Xuất[Month]=D$2))</f>
        <v>1759853.0000000002</v>
      </c>
      <c r="E9" s="24" cm="1">
        <f t="array" ref="E9">IF(E$2="FY",SUMPRODUCT(Data_Nhập[Tổng Nhập-NX]*(Data_Nhập[Year]=E$1)*(Data_Nhập[Main SKU name_GOM]=$A9)*(Data_Nhập[SKU name_NHẬP_GOM]=E$3)),SUMPRODUCT(Data_Nhập[Tổng Nhập-NX]*(Data_Nhập[Year]=E$1)*(Data_Nhập[Month]=E$2)*(Data_Nhập[Main SKU name_GOM]=$A9)*(Data_Nhập[SKU name_NHẬP_GOM]=E$3)))</f>
        <v>0</v>
      </c>
      <c r="F9" s="24" cm="1">
        <f t="array" ref="F9">IF(F$2="FY",SUMPRODUCT(Data_Nhập[Tổng Nhập-NX]*(Data_Nhập[Year]=F$1)*(Data_Nhập[Main SKU name_GOM]=$A9)*(Data_Nhập[SKU name_NHẬP_GOM]=F$3)),SUMPRODUCT(Data_Nhập[Tổng Nhập-NX]*(Data_Nhập[Year]=F$1)*(Data_Nhập[Month]=F$2)*(Data_Nhập[Main SKU name_GOM]=$A9)*(Data_Nhập[SKU name_NHẬP_GOM]=F$3)))</f>
        <v>0</v>
      </c>
      <c r="G9" s="24" cm="1">
        <f t="array" ref="G9">IF(G$2="FY",SUMPRODUCT(Data_Nhập[Tổng Nhập-NX]*(Data_Nhập[Year]=G$1)*(Data_Nhập[Main SKU name_GOM]=$A9)*(Data_Nhập[SKU name_NHẬP_GOM]=G$3)),SUMPRODUCT(Data_Nhập[Tổng Nhập-NX]*(Data_Nhập[Year]=G$1)*(Data_Nhập[Month]=G$2)*(Data_Nhập[Main SKU name_GOM]=$A9)*(Data_Nhập[SKU name_NHẬP_GOM]=G$3)))</f>
        <v>0</v>
      </c>
      <c r="H9" s="24" cm="1">
        <f t="array" ref="H9">IF(H$2="FY",SUMPRODUCT(Data_Nhập[Tổng Nhập-NX]*(Data_Nhập[Year]=H$1)*(Data_Nhập[Main SKU name_GOM]=$A9)*(Data_Nhập[SKU name_NHẬP_GOM]=H$3)),SUMPRODUCT(Data_Nhập[Tổng Nhập-NX]*(Data_Nhập[Year]=H$1)*(Data_Nhập[Month]=H$2)*(Data_Nhập[Main SKU name_GOM]=$A9)*(Data_Nhập[SKU name_NHẬP_GOM]=H$3)))</f>
        <v>0</v>
      </c>
      <c r="I9" s="24" cm="1">
        <f t="array" ref="I9">IF(I$2="FY",SUMPRODUCT(Data_Nhập[Tổng Nhập-NX]*(Data_Nhập[Year]=I$1)*(Data_Nhập[Main SKU name_GOM]=$A9)*(Data_Nhập[SKU name_NHẬP_GOM]=I$3)),SUMPRODUCT(Data_Nhập[Tổng Nhập-NX]*(Data_Nhập[Year]=I$1)*(Data_Nhập[Month]=I$2)*(Data_Nhập[Main SKU name_GOM]=$A9)*(Data_Nhập[SKU name_NHẬP_GOM]=I$3)))</f>
        <v>1655500</v>
      </c>
      <c r="J9" s="24" cm="1">
        <f t="array" ref="J9">IF(J$2="FY",SUMPRODUCT(Data_Nhập[Tổng Nhập-NX]*(Data_Nhập[Year]=J$1)*(Data_Nhập[Main SKU name_GOM]=$A9)*(Data_Nhập[SKU name_NHẬP_GOM]=J$3)),SUMPRODUCT(Data_Nhập[Tổng Nhập-NX]*(Data_Nhập[Year]=J$1)*(Data_Nhập[Month]=J$2)*(Data_Nhập[Main SKU name_GOM]=$A9)*(Data_Nhập[SKU name_NHẬP_GOM]=J$3)))</f>
        <v>0</v>
      </c>
      <c r="K9" s="24" cm="1">
        <f t="array" ref="K9">IF(K$2="FY",SUMPRODUCT(Data_Nhập[Tổng Nhập-NX]*(Data_Nhập[Year]=K$1)*(Data_Nhập[Main SKU name_GOM]=$A9)*(Data_Nhập[SKU name_NHẬP_GOM]=K$3)),SUMPRODUCT(Data_Nhập[Tổng Nhập-NX]*(Data_Nhập[Year]=K$1)*(Data_Nhập[Month]=K$2)*(Data_Nhập[Main SKU name_GOM]=$A9)*(Data_Nhập[SKU name_NHẬP_GOM]=K$3)))</f>
        <v>0</v>
      </c>
      <c r="L9" s="24" cm="1">
        <f t="array" ref="L9">IF(L$2="FY",SUMPRODUCT(Data_Nhập[Tổng Nhập-NX]*(Data_Nhập[Year]=L$1)*(Data_Nhập[Main SKU name_GOM]=$A9)*(Data_Nhập[SKU name_NHẬP_GOM]=L$3)),SUMPRODUCT(Data_Nhập[Tổng Nhập-NX]*(Data_Nhập[Year]=L$1)*(Data_Nhập[Month]=L$2)*(Data_Nhập[Main SKU name_GOM]=$A9)*(Data_Nhập[SKU name_NHẬP_GOM]=L$3)))</f>
        <v>0</v>
      </c>
      <c r="M9" s="24" cm="1">
        <f t="array" ref="M9">IF(M$2="FY",SUMPRODUCT(Data_Nhập[Tổng Nhập-NX]*(Data_Nhập[Year]=M$1)*(Data_Nhập[Main SKU name_GOM]=$A9)*(Data_Nhập[SKU name_NHẬP_GOM]=M$3)),SUMPRODUCT(Data_Nhập[Tổng Nhập-NX]*(Data_Nhập[Year]=M$1)*(Data_Nhập[Month]=M$2)*(Data_Nhập[Main SKU name_GOM]=$A9)*(Data_Nhập[SKU name_NHẬP_GOM]=M$3)))</f>
        <v>0</v>
      </c>
      <c r="N9" s="24" cm="1">
        <f t="array" ref="N9">IF(N$2="FY",SUMPRODUCT(Data_Nhập[Tổng Nhập-NX]*(Data_Nhập[Year]=N$1)*(Data_Nhập[Main SKU name_GOM]=$A9)*(Data_Nhập[SKU name_NHẬP_GOM]=N$3)),SUMPRODUCT(Data_Nhập[Tổng Nhập-NX]*(Data_Nhập[Year]=N$1)*(Data_Nhập[Month]=N$2)*(Data_Nhập[Main SKU name_GOM]=$A9)*(Data_Nhập[SKU name_NHẬP_GOM]=N$3)))</f>
        <v>0</v>
      </c>
      <c r="O9" s="24" cm="1">
        <f t="array" ref="O9">IF(O$2="FY",SUMPRODUCT(Data_Nhập[Tổng Nhập-NX]*(Data_Nhập[Year]=O$1)*(Data_Nhập[Main SKU name_GOM]=$A9)*(Data_Nhập[SKU name_NHẬP_GOM]=O$3)),SUMPRODUCT(Data_Nhập[Tổng Nhập-NX]*(Data_Nhập[Year]=O$1)*(Data_Nhập[Month]=O$2)*(Data_Nhập[Main SKU name_GOM]=$A9)*(Data_Nhập[SKU name_NHẬP_GOM]=O$3)))</f>
        <v>0</v>
      </c>
      <c r="P9" s="24" cm="1">
        <f t="array" ref="P9">IF(P$2="FY",SUMPRODUCT(Data_Nhập[Tổng Nhập-NX]*(Data_Nhập[Year]=P$1)*(Data_Nhập[Main SKU name_GOM]=$A9)*(Data_Nhập[SKU name_NHẬP_GOM]=P$3)),SUMPRODUCT(Data_Nhập[Tổng Nhập-NX]*(Data_Nhập[Year]=P$1)*(Data_Nhập[Month]=P$2)*(Data_Nhập[Main SKU name_GOM]=$A9)*(Data_Nhập[SKU name_NHẬP_GOM]=P$3)))</f>
        <v>33000</v>
      </c>
      <c r="Q9" s="24" cm="1">
        <f t="array" ref="Q9">IF(Q$2="FY",SUMPRODUCT(Data_Nhập[Tổng Nhập-NX]*(Data_Nhập[Year]=Q$1)*(Data_Nhập[Main SKU name_GOM]=$A9)*(Data_Nhập[SKU name_NHẬP_GOM]=Q$3)),SUMPRODUCT(Data_Nhập[Tổng Nhập-NX]*(Data_Nhập[Year]=Q$1)*(Data_Nhập[Month]=Q$2)*(Data_Nhập[Main SKU name_GOM]=$A9)*(Data_Nhập[SKU name_NHẬP_GOM]=Q$3)))</f>
        <v>0</v>
      </c>
      <c r="R9" s="24" cm="1">
        <f t="array" ref="R9">IF(R$2="FY",SUMPRODUCT(Data_Nhập[Tổng Nhập-NX]*(Data_Nhập[Year]=R$1)*(Data_Nhập[Main SKU name_GOM]=$A9)*(Data_Nhập[SKU name_NHẬP_GOM]=R$3)),SUMPRODUCT(Data_Nhập[Tổng Nhập-NX]*(Data_Nhập[Year]=R$1)*(Data_Nhập[Month]=R$2)*(Data_Nhập[Main SKU name_GOM]=$A9)*(Data_Nhập[SKU name_NHẬP_GOM]=R$3)))</f>
        <v>46566</v>
      </c>
      <c r="S9" s="24" cm="1">
        <f t="array" ref="S9">IF(S$2="FY",SUMPRODUCT(Data_Nhập[Tổng Nhập-NX]*(Data_Nhập[Year]=S$1)*(Data_Nhập[Main SKU name_GOM]=$A9)*(Data_Nhập[SKU name_NHẬP_GOM]=S$3)),SUMPRODUCT(Data_Nhập[Tổng Nhập-NX]*(Data_Nhập[Year]=S$1)*(Data_Nhập[Month]=S$2)*(Data_Nhập[Main SKU name_GOM]=$A9)*(Data_Nhập[SKU name_NHẬP_GOM]=S$3)))</f>
        <v>0</v>
      </c>
      <c r="T9" s="25">
        <f t="shared" si="12"/>
        <v>1735066</v>
      </c>
      <c r="V9" s="25" cm="1">
        <f t="array" ref="V9">IF(V$2="FY",SUMPRODUCT(Data_Xuất[Xuất-NX]*(Data_Xuất[Year]=V$1)*(Data_Xuất[Main SKU name_GOM]=$A9)),SUMPRODUCT(Data_Xuất[Xuất-NX]*(Data_Xuất[Year]=V$1)*(Data_Xuất[Main SKU name_GOM]=$A9)*(Data_Xuất[Month]=V$2)))</f>
        <v>398283</v>
      </c>
      <c r="W9" s="24" cm="1">
        <f t="array" ref="W9">IF(W$2="FY",SUMPRODUCT(Data_Nhập[Tổng Nhập-NX]*(Data_Nhập[Year]=W$1)*(Data_Nhập[Main SKU name_GOM]=$A9)*(Data_Nhập[SKU name_NHẬP_GOM]=W$3)),SUMPRODUCT(Data_Nhập[Tổng Nhập-NX]*(Data_Nhập[Year]=W$1)*(Data_Nhập[Month]=W$2)*(Data_Nhập[Main SKU name_GOM]=$A9)*(Data_Nhập[SKU name_NHẬP_GOM]=W$3)))</f>
        <v>0</v>
      </c>
      <c r="X9" s="24" cm="1">
        <f t="array" ref="X9">IF(X$2="FY",SUMPRODUCT(Data_Nhập[Tổng Nhập-NX]*(Data_Nhập[Year]=X$1)*(Data_Nhập[Main SKU name_GOM]=$A9)*(Data_Nhập[SKU name_NHẬP_GOM]=X$3)),SUMPRODUCT(Data_Nhập[Tổng Nhập-NX]*(Data_Nhập[Year]=X$1)*(Data_Nhập[Month]=X$2)*(Data_Nhập[Main SKU name_GOM]=$A9)*(Data_Nhập[SKU name_NHẬP_GOM]=X$3)))</f>
        <v>0</v>
      </c>
      <c r="Y9" s="24" cm="1">
        <f t="array" ref="Y9">IF(Y$2="FY",SUMPRODUCT(Data_Nhập[Tổng Nhập-NX]*(Data_Nhập[Year]=Y$1)*(Data_Nhập[Main SKU name_GOM]=$A9)*(Data_Nhập[SKU name_NHẬP_GOM]=Y$3)),SUMPRODUCT(Data_Nhập[Tổng Nhập-NX]*(Data_Nhập[Year]=Y$1)*(Data_Nhập[Month]=Y$2)*(Data_Nhập[Main SKU name_GOM]=$A9)*(Data_Nhập[SKU name_NHẬP_GOM]=Y$3)))</f>
        <v>0</v>
      </c>
      <c r="Z9" s="24" cm="1">
        <f t="array" ref="Z9">IF(Z$2="FY",SUMPRODUCT(Data_Nhập[Tổng Nhập-NX]*(Data_Nhập[Year]=Z$1)*(Data_Nhập[Main SKU name_GOM]=$A9)*(Data_Nhập[SKU name_NHẬP_GOM]=Z$3)),SUMPRODUCT(Data_Nhập[Tổng Nhập-NX]*(Data_Nhập[Year]=Z$1)*(Data_Nhập[Month]=Z$2)*(Data_Nhập[Main SKU name_GOM]=$A9)*(Data_Nhập[SKU name_NHẬP_GOM]=Z$3)))</f>
        <v>0</v>
      </c>
      <c r="AA9" s="24" cm="1">
        <f t="array" ref="AA9">IF(AA$2="FY",SUMPRODUCT(Data_Nhập[Tổng Nhập-NX]*(Data_Nhập[Year]=AA$1)*(Data_Nhập[Main SKU name_GOM]=$A9)*(Data_Nhập[SKU name_NHẬP_GOM]=AA$3)),SUMPRODUCT(Data_Nhập[Tổng Nhập-NX]*(Data_Nhập[Year]=AA$1)*(Data_Nhập[Month]=AA$2)*(Data_Nhập[Main SKU name_GOM]=$A9)*(Data_Nhập[SKU name_NHẬP_GOM]=AA$3)))</f>
        <v>376200</v>
      </c>
      <c r="AB9" s="24" cm="1">
        <f t="array" ref="AB9">IF(AB$2="FY",SUMPRODUCT(Data_Nhập[Tổng Nhập-NX]*(Data_Nhập[Year]=AB$1)*(Data_Nhập[Main SKU name_GOM]=$A9)*(Data_Nhập[SKU name_NHẬP_GOM]=AB$3)),SUMPRODUCT(Data_Nhập[Tổng Nhập-NX]*(Data_Nhập[Year]=AB$1)*(Data_Nhập[Month]=AB$2)*(Data_Nhập[Main SKU name_GOM]=$A9)*(Data_Nhập[SKU name_NHẬP_GOM]=AB$3)))</f>
        <v>0</v>
      </c>
      <c r="AC9" s="24" cm="1">
        <f t="array" ref="AC9">IF(AC$2="FY",SUMPRODUCT(Data_Nhập[Tổng Nhập-NX]*(Data_Nhập[Year]=AC$1)*(Data_Nhập[Main SKU name_GOM]=$A9)*(Data_Nhập[SKU name_NHẬP_GOM]=AC$3)),SUMPRODUCT(Data_Nhập[Tổng Nhập-NX]*(Data_Nhập[Year]=AC$1)*(Data_Nhập[Month]=AC$2)*(Data_Nhập[Main SKU name_GOM]=$A9)*(Data_Nhập[SKU name_NHẬP_GOM]=AC$3)))</f>
        <v>0</v>
      </c>
      <c r="AD9" s="24" cm="1">
        <f t="array" ref="AD9">IF(AD$2="FY",SUMPRODUCT(Data_Nhập[Tổng Nhập-NX]*(Data_Nhập[Year]=AD$1)*(Data_Nhập[Main SKU name_GOM]=$A9)*(Data_Nhập[SKU name_NHẬP_GOM]=AD$3)),SUMPRODUCT(Data_Nhập[Tổng Nhập-NX]*(Data_Nhập[Year]=AD$1)*(Data_Nhập[Month]=AD$2)*(Data_Nhập[Main SKU name_GOM]=$A9)*(Data_Nhập[SKU name_NHẬP_GOM]=AD$3)))</f>
        <v>0</v>
      </c>
      <c r="AE9" s="24" cm="1">
        <f t="array" ref="AE9">IF(AE$2="FY",SUMPRODUCT(Data_Nhập[Tổng Nhập-NX]*(Data_Nhập[Year]=AE$1)*(Data_Nhập[Main SKU name_GOM]=$A9)*(Data_Nhập[SKU name_NHẬP_GOM]=AE$3)),SUMPRODUCT(Data_Nhập[Tổng Nhập-NX]*(Data_Nhập[Year]=AE$1)*(Data_Nhập[Month]=AE$2)*(Data_Nhập[Main SKU name_GOM]=$A9)*(Data_Nhập[SKU name_NHẬP_GOM]=AE$3)))</f>
        <v>0</v>
      </c>
      <c r="AF9" s="24" cm="1">
        <f t="array" ref="AF9">IF(AF$2="FY",SUMPRODUCT(Data_Nhập[Tổng Nhập-NX]*(Data_Nhập[Year]=AF$1)*(Data_Nhập[Main SKU name_GOM]=$A9)*(Data_Nhập[SKU name_NHẬP_GOM]=AF$3)),SUMPRODUCT(Data_Nhập[Tổng Nhập-NX]*(Data_Nhập[Year]=AF$1)*(Data_Nhập[Month]=AF$2)*(Data_Nhập[Main SKU name_GOM]=$A9)*(Data_Nhập[SKU name_NHẬP_GOM]=AF$3)))</f>
        <v>0</v>
      </c>
      <c r="AG9" s="24" cm="1">
        <f t="array" ref="AG9">IF(AG$2="FY",SUMPRODUCT(Data_Nhập[Tổng Nhập-NX]*(Data_Nhập[Year]=AG$1)*(Data_Nhập[Main SKU name_GOM]=$A9)*(Data_Nhập[SKU name_NHẬP_GOM]=AG$3)),SUMPRODUCT(Data_Nhập[Tổng Nhập-NX]*(Data_Nhập[Year]=AG$1)*(Data_Nhập[Month]=AG$2)*(Data_Nhập[Main SKU name_GOM]=$A9)*(Data_Nhập[SKU name_NHẬP_GOM]=AG$3)))</f>
        <v>0</v>
      </c>
      <c r="AH9" s="24" cm="1">
        <f t="array" ref="AH9">IF(AH$2="FY",SUMPRODUCT(Data_Nhập[Tổng Nhập-NX]*(Data_Nhập[Year]=AH$1)*(Data_Nhập[Main SKU name_GOM]=$A9)*(Data_Nhập[SKU name_NHẬP_GOM]=AH$3)),SUMPRODUCT(Data_Nhập[Tổng Nhập-NX]*(Data_Nhập[Year]=AH$1)*(Data_Nhập[Month]=AH$2)*(Data_Nhập[Main SKU name_GOM]=$A9)*(Data_Nhập[SKU name_NHẬP_GOM]=AH$3)))</f>
        <v>2200</v>
      </c>
      <c r="AI9" s="24" cm="1">
        <f t="array" ref="AI9">IF(AI$2="FY",SUMPRODUCT(Data_Nhập[Tổng Nhập-NX]*(Data_Nhập[Year]=AI$1)*(Data_Nhập[Main SKU name_GOM]=$A9)*(Data_Nhập[SKU name_NHẬP_GOM]=AI$3)),SUMPRODUCT(Data_Nhập[Tổng Nhập-NX]*(Data_Nhập[Year]=AI$1)*(Data_Nhập[Month]=AI$2)*(Data_Nhập[Main SKU name_GOM]=$A9)*(Data_Nhập[SKU name_NHẬP_GOM]=AI$3)))</f>
        <v>0</v>
      </c>
      <c r="AJ9" s="24" cm="1">
        <f t="array" ref="AJ9">IF(AJ$2="FY",SUMPRODUCT(Data_Nhập[Tổng Nhập-NX]*(Data_Nhập[Year]=AJ$1)*(Data_Nhập[Main SKU name_GOM]=$A9)*(Data_Nhập[SKU name_NHẬP_GOM]=AJ$3)),SUMPRODUCT(Data_Nhập[Tổng Nhập-NX]*(Data_Nhập[Year]=AJ$1)*(Data_Nhập[Month]=AJ$2)*(Data_Nhập[Main SKU name_GOM]=$A9)*(Data_Nhập[SKU name_NHẬP_GOM]=AJ$3)))</f>
        <v>13789</v>
      </c>
      <c r="AK9" s="24" cm="1">
        <f t="array" ref="AK9">IF(AK$2="FY",SUMPRODUCT(Data_Nhập[Tổng Nhập-NX]*(Data_Nhập[Year]=AK$1)*(Data_Nhập[Main SKU name_GOM]=$A9)*(Data_Nhập[SKU name_NHẬP_GOM]=AK$3)),SUMPRODUCT(Data_Nhập[Tổng Nhập-NX]*(Data_Nhập[Year]=AK$1)*(Data_Nhập[Month]=AK$2)*(Data_Nhập[Main SKU name_GOM]=$A9)*(Data_Nhập[SKU name_NHẬP_GOM]=AK$3)))</f>
        <v>0</v>
      </c>
      <c r="AL9" s="25">
        <f t="shared" si="13"/>
        <v>392189</v>
      </c>
      <c r="AN9" s="25" cm="1">
        <f t="array" ref="AN9">IF(AN$2="FY",SUMPRODUCT(Data_Xuất[Xuất-NX]*(Data_Xuất[Year]=AN$1)*(Data_Xuất[Main SKU name_GOM]=$A9)),SUMPRODUCT(Data_Xuất[Xuất-NX]*(Data_Xuất[Year]=AN$1)*(Data_Xuất[Main SKU name_GOM]=$A9)*(Data_Xuất[Month]=AN$2)))</f>
        <v>0</v>
      </c>
      <c r="AO9" s="24" cm="1">
        <f t="array" ref="AO9">IF(AO$2="FY",SUMPRODUCT(Data_Nhập[Tổng Nhập-NX]*(Data_Nhập[Year]=AO$1)*(Data_Nhập[Main SKU name_GOM]=$A9)*(Data_Nhập[SKU name_NHẬP_GOM]=AO$3)),SUMPRODUCT(Data_Nhập[Tổng Nhập-NX]*(Data_Nhập[Year]=AO$1)*(Data_Nhập[Month]=AO$2)*(Data_Nhập[Main SKU name_GOM]=$A9)*(Data_Nhập[SKU name_NHẬP_GOM]=AO$3)))</f>
        <v>0</v>
      </c>
      <c r="AP9" s="24" cm="1">
        <f t="array" ref="AP9">IF(AP$2="FY",SUMPRODUCT(Data_Nhập[Tổng Nhập-NX]*(Data_Nhập[Year]=AP$1)*(Data_Nhập[Main SKU name_GOM]=$A9)*(Data_Nhập[SKU name_NHẬP_GOM]=AP$3)),SUMPRODUCT(Data_Nhập[Tổng Nhập-NX]*(Data_Nhập[Year]=AP$1)*(Data_Nhập[Month]=AP$2)*(Data_Nhập[Main SKU name_GOM]=$A9)*(Data_Nhập[SKU name_NHẬP_GOM]=AP$3)))</f>
        <v>0</v>
      </c>
      <c r="AQ9" s="24" cm="1">
        <f t="array" ref="AQ9">IF(AQ$2="FY",SUMPRODUCT(Data_Nhập[Tổng Nhập-NX]*(Data_Nhập[Year]=AQ$1)*(Data_Nhập[Main SKU name_GOM]=$A9)*(Data_Nhập[SKU name_NHẬP_GOM]=AQ$3)),SUMPRODUCT(Data_Nhập[Tổng Nhập-NX]*(Data_Nhập[Year]=AQ$1)*(Data_Nhập[Month]=AQ$2)*(Data_Nhập[Main SKU name_GOM]=$A9)*(Data_Nhập[SKU name_NHẬP_GOM]=AQ$3)))</f>
        <v>0</v>
      </c>
      <c r="AR9" s="24" cm="1">
        <f t="array" ref="AR9">IF(AR$2="FY",SUMPRODUCT(Data_Nhập[Tổng Nhập-NX]*(Data_Nhập[Year]=AR$1)*(Data_Nhập[Main SKU name_GOM]=$A9)*(Data_Nhập[SKU name_NHẬP_GOM]=AR$3)),SUMPRODUCT(Data_Nhập[Tổng Nhập-NX]*(Data_Nhập[Year]=AR$1)*(Data_Nhập[Month]=AR$2)*(Data_Nhập[Main SKU name_GOM]=$A9)*(Data_Nhập[SKU name_NHẬP_GOM]=AR$3)))</f>
        <v>0</v>
      </c>
      <c r="AS9" s="24" cm="1">
        <f t="array" ref="AS9">IF(AS$2="FY",SUMPRODUCT(Data_Nhập[Tổng Nhập-NX]*(Data_Nhập[Year]=AS$1)*(Data_Nhập[Main SKU name_GOM]=$A9)*(Data_Nhập[SKU name_NHẬP_GOM]=AS$3)),SUMPRODUCT(Data_Nhập[Tổng Nhập-NX]*(Data_Nhập[Year]=AS$1)*(Data_Nhập[Month]=AS$2)*(Data_Nhập[Main SKU name_GOM]=$A9)*(Data_Nhập[SKU name_NHẬP_GOM]=AS$3)))</f>
        <v>0</v>
      </c>
      <c r="AT9" s="24" cm="1">
        <f t="array" ref="AT9">IF(AT$2="FY",SUMPRODUCT(Data_Nhập[Tổng Nhập-NX]*(Data_Nhập[Year]=AT$1)*(Data_Nhập[Main SKU name_GOM]=$A9)*(Data_Nhập[SKU name_NHẬP_GOM]=AT$3)),SUMPRODUCT(Data_Nhập[Tổng Nhập-NX]*(Data_Nhập[Year]=AT$1)*(Data_Nhập[Month]=AT$2)*(Data_Nhập[Main SKU name_GOM]=$A9)*(Data_Nhập[SKU name_NHẬP_GOM]=AT$3)))</f>
        <v>0</v>
      </c>
      <c r="AU9" s="24" cm="1">
        <f t="array" ref="AU9">IF(AU$2="FY",SUMPRODUCT(Data_Nhập[Tổng Nhập-NX]*(Data_Nhập[Year]=AU$1)*(Data_Nhập[Main SKU name_GOM]=$A9)*(Data_Nhập[SKU name_NHẬP_GOM]=AU$3)),SUMPRODUCT(Data_Nhập[Tổng Nhập-NX]*(Data_Nhập[Year]=AU$1)*(Data_Nhập[Month]=AU$2)*(Data_Nhập[Main SKU name_GOM]=$A9)*(Data_Nhập[SKU name_NHẬP_GOM]=AU$3)))</f>
        <v>0</v>
      </c>
      <c r="AV9" s="24" cm="1">
        <f t="array" ref="AV9">IF(AV$2="FY",SUMPRODUCT(Data_Nhập[Tổng Nhập-NX]*(Data_Nhập[Year]=AV$1)*(Data_Nhập[Main SKU name_GOM]=$A9)*(Data_Nhập[SKU name_NHẬP_GOM]=AV$3)),SUMPRODUCT(Data_Nhập[Tổng Nhập-NX]*(Data_Nhập[Year]=AV$1)*(Data_Nhập[Month]=AV$2)*(Data_Nhập[Main SKU name_GOM]=$A9)*(Data_Nhập[SKU name_NHẬP_GOM]=AV$3)))</f>
        <v>0</v>
      </c>
      <c r="AW9" s="24" cm="1">
        <f t="array" ref="AW9">IF(AW$2="FY",SUMPRODUCT(Data_Nhập[Tổng Nhập-NX]*(Data_Nhập[Year]=AW$1)*(Data_Nhập[Main SKU name_GOM]=$A9)*(Data_Nhập[SKU name_NHẬP_GOM]=AW$3)),SUMPRODUCT(Data_Nhập[Tổng Nhập-NX]*(Data_Nhập[Year]=AW$1)*(Data_Nhập[Month]=AW$2)*(Data_Nhập[Main SKU name_GOM]=$A9)*(Data_Nhập[SKU name_NHẬP_GOM]=AW$3)))</f>
        <v>0</v>
      </c>
      <c r="AX9" s="24" cm="1">
        <f t="array" ref="AX9">IF(AX$2="FY",SUMPRODUCT(Data_Nhập[Tổng Nhập-NX]*(Data_Nhập[Year]=AX$1)*(Data_Nhập[Main SKU name_GOM]=$A9)*(Data_Nhập[SKU name_NHẬP_GOM]=AX$3)),SUMPRODUCT(Data_Nhập[Tổng Nhập-NX]*(Data_Nhập[Year]=AX$1)*(Data_Nhập[Month]=AX$2)*(Data_Nhập[Main SKU name_GOM]=$A9)*(Data_Nhập[SKU name_NHẬP_GOM]=AX$3)))</f>
        <v>0</v>
      </c>
      <c r="AY9" s="24" cm="1">
        <f t="array" ref="AY9">IF(AY$2="FY",SUMPRODUCT(Data_Nhập[Tổng Nhập-NX]*(Data_Nhập[Year]=AY$1)*(Data_Nhập[Main SKU name_GOM]=$A9)*(Data_Nhập[SKU name_NHẬP_GOM]=AY$3)),SUMPRODUCT(Data_Nhập[Tổng Nhập-NX]*(Data_Nhập[Year]=AY$1)*(Data_Nhập[Month]=AY$2)*(Data_Nhập[Main SKU name_GOM]=$A9)*(Data_Nhập[SKU name_NHẬP_GOM]=AY$3)))</f>
        <v>0</v>
      </c>
      <c r="AZ9" s="24" cm="1">
        <f t="array" ref="AZ9">IF(AZ$2="FY",SUMPRODUCT(Data_Nhập[Tổng Nhập-NX]*(Data_Nhập[Year]=AZ$1)*(Data_Nhập[Main SKU name_GOM]=$A9)*(Data_Nhập[SKU name_NHẬP_GOM]=AZ$3)),SUMPRODUCT(Data_Nhập[Tổng Nhập-NX]*(Data_Nhập[Year]=AZ$1)*(Data_Nhập[Month]=AZ$2)*(Data_Nhập[Main SKU name_GOM]=$A9)*(Data_Nhập[SKU name_NHẬP_GOM]=AZ$3)))</f>
        <v>0</v>
      </c>
      <c r="BA9" s="24" cm="1">
        <f t="array" ref="BA9">IF(BA$2="FY",SUMPRODUCT(Data_Nhập[Tổng Nhập-NX]*(Data_Nhập[Year]=BA$1)*(Data_Nhập[Main SKU name_GOM]=$A9)*(Data_Nhập[SKU name_NHẬP_GOM]=BA$3)),SUMPRODUCT(Data_Nhập[Tổng Nhập-NX]*(Data_Nhập[Year]=BA$1)*(Data_Nhập[Month]=BA$2)*(Data_Nhập[Main SKU name_GOM]=$A9)*(Data_Nhập[SKU name_NHẬP_GOM]=BA$3)))</f>
        <v>0</v>
      </c>
      <c r="BB9" s="24" cm="1">
        <f t="array" ref="BB9">IF(BB$2="FY",SUMPRODUCT(Data_Nhập[Tổng Nhập-NX]*(Data_Nhập[Year]=BB$1)*(Data_Nhập[Main SKU name_GOM]=$A9)*(Data_Nhập[SKU name_NHẬP_GOM]=BB$3)),SUMPRODUCT(Data_Nhập[Tổng Nhập-NX]*(Data_Nhập[Year]=BB$1)*(Data_Nhập[Month]=BB$2)*(Data_Nhập[Main SKU name_GOM]=$A9)*(Data_Nhập[SKU name_NHẬP_GOM]=BB$3)))</f>
        <v>0</v>
      </c>
      <c r="BC9" s="24" cm="1">
        <f t="array" ref="BC9">IF(BC$2="FY",SUMPRODUCT(Data_Nhập[Tổng Nhập-NX]*(Data_Nhập[Year]=BC$1)*(Data_Nhập[Main SKU name_GOM]=$A9)*(Data_Nhập[SKU name_NHẬP_GOM]=BC$3)),SUMPRODUCT(Data_Nhập[Tổng Nhập-NX]*(Data_Nhập[Year]=BC$1)*(Data_Nhập[Month]=BC$2)*(Data_Nhập[Main SKU name_GOM]=$A9)*(Data_Nhập[SKU name_NHẬP_GOM]=BC$3)))</f>
        <v>0</v>
      </c>
      <c r="BD9" s="25">
        <f t="shared" si="14"/>
        <v>0</v>
      </c>
      <c r="BF9" s="25" cm="1">
        <f t="array" ref="BF9">IF(BF$2="FY",SUMPRODUCT(Data_Xuất[Xuất-NX]*(Data_Xuất[Year]=BF$1)*(Data_Xuất[Main SKU name_GOM]=$A9)),SUMPRODUCT(Data_Xuất[Xuất-NX]*(Data_Xuất[Year]=BF$1)*(Data_Xuất[Main SKU name_GOM]=$A9)*(Data_Xuất[Month]=BF$2)))</f>
        <v>283377.99999999994</v>
      </c>
      <c r="BG9" s="24" cm="1">
        <f t="array" ref="BG9">IF(BG$2="FY",SUMPRODUCT(Data_Nhập[Tổng Nhập-NX]*(Data_Nhập[Year]=BG$1)*(Data_Nhập[Main SKU name_GOM]=$A9)*(Data_Nhập[SKU name_NHẬP_GOM]=BG$3)),SUMPRODUCT(Data_Nhập[Tổng Nhập-NX]*(Data_Nhập[Year]=BG$1)*(Data_Nhập[Month]=BG$2)*(Data_Nhập[Main SKU name_GOM]=$A9)*(Data_Nhập[SKU name_NHẬP_GOM]=BG$3)))</f>
        <v>0</v>
      </c>
      <c r="BH9" s="24" cm="1">
        <f t="array" ref="BH9">IF(BH$2="FY",SUMPRODUCT(Data_Nhập[Tổng Nhập-NX]*(Data_Nhập[Year]=BH$1)*(Data_Nhập[Main SKU name_GOM]=$A9)*(Data_Nhập[SKU name_NHẬP_GOM]=BH$3)),SUMPRODUCT(Data_Nhập[Tổng Nhập-NX]*(Data_Nhập[Year]=BH$1)*(Data_Nhập[Month]=BH$2)*(Data_Nhập[Main SKU name_GOM]=$A9)*(Data_Nhập[SKU name_NHẬP_GOM]=BH$3)))</f>
        <v>0</v>
      </c>
      <c r="BI9" s="24" cm="1">
        <f t="array" ref="BI9">IF(BI$2="FY",SUMPRODUCT(Data_Nhập[Tổng Nhập-NX]*(Data_Nhập[Year]=BI$1)*(Data_Nhập[Main SKU name_GOM]=$A9)*(Data_Nhập[SKU name_NHẬP_GOM]=BI$3)),SUMPRODUCT(Data_Nhập[Tổng Nhập-NX]*(Data_Nhập[Year]=BI$1)*(Data_Nhập[Month]=BI$2)*(Data_Nhập[Main SKU name_GOM]=$A9)*(Data_Nhập[SKU name_NHẬP_GOM]=BI$3)))</f>
        <v>0</v>
      </c>
      <c r="BJ9" s="24" cm="1">
        <f t="array" ref="BJ9">IF(BJ$2="FY",SUMPRODUCT(Data_Nhập[Tổng Nhập-NX]*(Data_Nhập[Year]=BJ$1)*(Data_Nhập[Main SKU name_GOM]=$A9)*(Data_Nhập[SKU name_NHẬP_GOM]=BJ$3)),SUMPRODUCT(Data_Nhập[Tổng Nhập-NX]*(Data_Nhập[Year]=BJ$1)*(Data_Nhập[Month]=BJ$2)*(Data_Nhập[Main SKU name_GOM]=$A9)*(Data_Nhập[SKU name_NHẬP_GOM]=BJ$3)))</f>
        <v>0</v>
      </c>
      <c r="BK9" s="24" cm="1">
        <f t="array" ref="BK9">IF(BK$2="FY",SUMPRODUCT(Data_Nhập[Tổng Nhập-NX]*(Data_Nhập[Year]=BK$1)*(Data_Nhập[Main SKU name_GOM]=$A9)*(Data_Nhập[SKU name_NHẬP_GOM]=BK$3)),SUMPRODUCT(Data_Nhập[Tổng Nhập-NX]*(Data_Nhập[Year]=BK$1)*(Data_Nhập[Month]=BK$2)*(Data_Nhập[Main SKU name_GOM]=$A9)*(Data_Nhập[SKU name_NHẬP_GOM]=BK$3)))</f>
        <v>248600.00000000003</v>
      </c>
      <c r="BL9" s="24" cm="1">
        <f t="array" ref="BL9">IF(BL$2="FY",SUMPRODUCT(Data_Nhập[Tổng Nhập-NX]*(Data_Nhập[Year]=BL$1)*(Data_Nhập[Main SKU name_GOM]=$A9)*(Data_Nhập[SKU name_NHẬP_GOM]=BL$3)),SUMPRODUCT(Data_Nhập[Tổng Nhập-NX]*(Data_Nhập[Year]=BL$1)*(Data_Nhập[Month]=BL$2)*(Data_Nhập[Main SKU name_GOM]=$A9)*(Data_Nhập[SKU name_NHẬP_GOM]=BL$3)))</f>
        <v>0</v>
      </c>
      <c r="BM9" s="24" cm="1">
        <f t="array" ref="BM9">IF(BM$2="FY",SUMPRODUCT(Data_Nhập[Tổng Nhập-NX]*(Data_Nhập[Year]=BM$1)*(Data_Nhập[Main SKU name_GOM]=$A9)*(Data_Nhập[SKU name_NHẬP_GOM]=BM$3)),SUMPRODUCT(Data_Nhập[Tổng Nhập-NX]*(Data_Nhập[Year]=BM$1)*(Data_Nhập[Month]=BM$2)*(Data_Nhập[Main SKU name_GOM]=$A9)*(Data_Nhập[SKU name_NHẬP_GOM]=BM$3)))</f>
        <v>0</v>
      </c>
      <c r="BN9" s="24" cm="1">
        <f t="array" ref="BN9">IF(BN$2="FY",SUMPRODUCT(Data_Nhập[Tổng Nhập-NX]*(Data_Nhập[Year]=BN$1)*(Data_Nhập[Main SKU name_GOM]=$A9)*(Data_Nhập[SKU name_NHẬP_GOM]=BN$3)),SUMPRODUCT(Data_Nhập[Tổng Nhập-NX]*(Data_Nhập[Year]=BN$1)*(Data_Nhập[Month]=BN$2)*(Data_Nhập[Main SKU name_GOM]=$A9)*(Data_Nhập[SKU name_NHẬP_GOM]=BN$3)))</f>
        <v>0</v>
      </c>
      <c r="BO9" s="24" cm="1">
        <f t="array" ref="BO9">IF(BO$2="FY",SUMPRODUCT(Data_Nhập[Tổng Nhập-NX]*(Data_Nhập[Year]=BO$1)*(Data_Nhập[Main SKU name_GOM]=$A9)*(Data_Nhập[SKU name_NHẬP_GOM]=BO$3)),SUMPRODUCT(Data_Nhập[Tổng Nhập-NX]*(Data_Nhập[Year]=BO$1)*(Data_Nhập[Month]=BO$2)*(Data_Nhập[Main SKU name_GOM]=$A9)*(Data_Nhập[SKU name_NHẬP_GOM]=BO$3)))</f>
        <v>0</v>
      </c>
      <c r="BP9" s="24" cm="1">
        <f t="array" ref="BP9">IF(BP$2="FY",SUMPRODUCT(Data_Nhập[Tổng Nhập-NX]*(Data_Nhập[Year]=BP$1)*(Data_Nhập[Main SKU name_GOM]=$A9)*(Data_Nhập[SKU name_NHẬP_GOM]=BP$3)),SUMPRODUCT(Data_Nhập[Tổng Nhập-NX]*(Data_Nhập[Year]=BP$1)*(Data_Nhập[Month]=BP$2)*(Data_Nhập[Main SKU name_GOM]=$A9)*(Data_Nhập[SKU name_NHẬP_GOM]=BP$3)))</f>
        <v>0</v>
      </c>
      <c r="BQ9" s="24" cm="1">
        <f t="array" ref="BQ9">IF(BQ$2="FY",SUMPRODUCT(Data_Nhập[Tổng Nhập-NX]*(Data_Nhập[Year]=BQ$1)*(Data_Nhập[Main SKU name_GOM]=$A9)*(Data_Nhập[SKU name_NHẬP_GOM]=BQ$3)),SUMPRODUCT(Data_Nhập[Tổng Nhập-NX]*(Data_Nhập[Year]=BQ$1)*(Data_Nhập[Month]=BQ$2)*(Data_Nhập[Main SKU name_GOM]=$A9)*(Data_Nhập[SKU name_NHẬP_GOM]=BQ$3)))</f>
        <v>0</v>
      </c>
      <c r="BR9" s="24" cm="1">
        <f t="array" ref="BR9">IF(BR$2="FY",SUMPRODUCT(Data_Nhập[Tổng Nhập-NX]*(Data_Nhập[Year]=BR$1)*(Data_Nhập[Main SKU name_GOM]=$A9)*(Data_Nhập[SKU name_NHẬP_GOM]=BR$3)),SUMPRODUCT(Data_Nhập[Tổng Nhập-NX]*(Data_Nhập[Year]=BR$1)*(Data_Nhập[Month]=BR$2)*(Data_Nhập[Main SKU name_GOM]=$A9)*(Data_Nhập[SKU name_NHẬP_GOM]=BR$3)))</f>
        <v>23100</v>
      </c>
      <c r="BS9" s="24" cm="1">
        <f t="array" ref="BS9">IF(BS$2="FY",SUMPRODUCT(Data_Nhập[Tổng Nhập-NX]*(Data_Nhập[Year]=BS$1)*(Data_Nhập[Main SKU name_GOM]=$A9)*(Data_Nhập[SKU name_NHẬP_GOM]=BS$3)),SUMPRODUCT(Data_Nhập[Tổng Nhập-NX]*(Data_Nhập[Year]=BS$1)*(Data_Nhập[Month]=BS$2)*(Data_Nhập[Main SKU name_GOM]=$A9)*(Data_Nhập[SKU name_NHẬP_GOM]=BS$3)))</f>
        <v>0</v>
      </c>
      <c r="BT9" s="24" cm="1">
        <f t="array" ref="BT9">IF(BT$2="FY",SUMPRODUCT(Data_Nhập[Tổng Nhập-NX]*(Data_Nhập[Year]=BT$1)*(Data_Nhập[Main SKU name_GOM]=$A9)*(Data_Nhập[SKU name_NHẬP_GOM]=BT$3)),SUMPRODUCT(Data_Nhập[Tổng Nhập-NX]*(Data_Nhập[Year]=BT$1)*(Data_Nhập[Month]=BT$2)*(Data_Nhập[Main SKU name_GOM]=$A9)*(Data_Nhập[SKU name_NHẬP_GOM]=BT$3)))</f>
        <v>7437.9999999999991</v>
      </c>
      <c r="BU9" s="24" cm="1">
        <f t="array" ref="BU9">IF(BU$2="FY",SUMPRODUCT(Data_Nhập[Tổng Nhập-NX]*(Data_Nhập[Year]=BU$1)*(Data_Nhập[Main SKU name_GOM]=$A9)*(Data_Nhập[SKU name_NHẬP_GOM]=BU$3)),SUMPRODUCT(Data_Nhập[Tổng Nhập-NX]*(Data_Nhập[Year]=BU$1)*(Data_Nhập[Month]=BU$2)*(Data_Nhập[Main SKU name_GOM]=$A9)*(Data_Nhập[SKU name_NHẬP_GOM]=BU$3)))</f>
        <v>0</v>
      </c>
      <c r="BV9" s="25">
        <f t="shared" si="15"/>
        <v>279138</v>
      </c>
      <c r="BX9" s="25" cm="1">
        <f t="array" ref="BX9">IF(BX$2="FY",SUMPRODUCT(Data_Xuất[Xuất-NX]*(Data_Xuất[Year]=BX$1)*(Data_Xuất[Main SKU name_GOM]=$A9)),SUMPRODUCT(Data_Xuất[Xuất-NX]*(Data_Xuất[Year]=BX$1)*(Data_Xuất[Main SKU name_GOM]=$A9)*(Data_Xuất[Month]=BX$2)))</f>
        <v>1078192.0000000005</v>
      </c>
      <c r="BY9" s="24" cm="1">
        <f t="array" ref="BY9">IF(BY$2="FY",SUMPRODUCT(Data_Nhập[Tổng Nhập-NX]*(Data_Nhập[Year]=BY$1)*(Data_Nhập[Main SKU name_GOM]=$A9)*(Data_Nhập[SKU name_NHẬP_GOM]=BY$3)),SUMPRODUCT(Data_Nhập[Tổng Nhập-NX]*(Data_Nhập[Year]=BY$1)*(Data_Nhập[Month]=BY$2)*(Data_Nhập[Main SKU name_GOM]=$A9)*(Data_Nhập[SKU name_NHẬP_GOM]=BY$3)))</f>
        <v>0</v>
      </c>
      <c r="BZ9" s="24" cm="1">
        <f t="array" ref="BZ9">IF(BZ$2="FY",SUMPRODUCT(Data_Nhập[Tổng Nhập-NX]*(Data_Nhập[Year]=BZ$1)*(Data_Nhập[Main SKU name_GOM]=$A9)*(Data_Nhập[SKU name_NHẬP_GOM]=BZ$3)),SUMPRODUCT(Data_Nhập[Tổng Nhập-NX]*(Data_Nhập[Year]=BZ$1)*(Data_Nhập[Month]=BZ$2)*(Data_Nhập[Main SKU name_GOM]=$A9)*(Data_Nhập[SKU name_NHẬP_GOM]=BZ$3)))</f>
        <v>0</v>
      </c>
      <c r="CA9" s="24" cm="1">
        <f t="array" ref="CA9">IF(CA$2="FY",SUMPRODUCT(Data_Nhập[Tổng Nhập-NX]*(Data_Nhập[Year]=CA$1)*(Data_Nhập[Main SKU name_GOM]=$A9)*(Data_Nhập[SKU name_NHẬP_GOM]=CA$3)),SUMPRODUCT(Data_Nhập[Tổng Nhập-NX]*(Data_Nhập[Year]=CA$1)*(Data_Nhập[Month]=CA$2)*(Data_Nhập[Main SKU name_GOM]=$A9)*(Data_Nhập[SKU name_NHẬP_GOM]=CA$3)))</f>
        <v>0</v>
      </c>
      <c r="CB9" s="24" cm="1">
        <f t="array" ref="CB9">IF(CB$2="FY",SUMPRODUCT(Data_Nhập[Tổng Nhập-NX]*(Data_Nhập[Year]=CB$1)*(Data_Nhập[Main SKU name_GOM]=$A9)*(Data_Nhập[SKU name_NHẬP_GOM]=CB$3)),SUMPRODUCT(Data_Nhập[Tổng Nhập-NX]*(Data_Nhập[Year]=CB$1)*(Data_Nhập[Month]=CB$2)*(Data_Nhập[Main SKU name_GOM]=$A9)*(Data_Nhập[SKU name_NHẬP_GOM]=CB$3)))</f>
        <v>0</v>
      </c>
      <c r="CC9" s="24" cm="1">
        <f t="array" ref="CC9">IF(CC$2="FY",SUMPRODUCT(Data_Nhập[Tổng Nhập-NX]*(Data_Nhập[Year]=CC$1)*(Data_Nhập[Main SKU name_GOM]=$A9)*(Data_Nhập[SKU name_NHẬP_GOM]=CC$3)),SUMPRODUCT(Data_Nhập[Tổng Nhập-NX]*(Data_Nhập[Year]=CC$1)*(Data_Nhập[Month]=CC$2)*(Data_Nhập[Main SKU name_GOM]=$A9)*(Data_Nhập[SKU name_NHẬP_GOM]=CC$3)))</f>
        <v>1030700</v>
      </c>
      <c r="CD9" s="24" cm="1">
        <f t="array" ref="CD9">IF(CD$2="FY",SUMPRODUCT(Data_Nhập[Tổng Nhập-NX]*(Data_Nhập[Year]=CD$1)*(Data_Nhập[Main SKU name_GOM]=$A9)*(Data_Nhập[SKU name_NHẬP_GOM]=CD$3)),SUMPRODUCT(Data_Nhập[Tổng Nhập-NX]*(Data_Nhập[Year]=CD$1)*(Data_Nhập[Month]=CD$2)*(Data_Nhập[Main SKU name_GOM]=$A9)*(Data_Nhập[SKU name_NHẬP_GOM]=CD$3)))</f>
        <v>0</v>
      </c>
      <c r="CE9" s="24" cm="1">
        <f t="array" ref="CE9">IF(CE$2="FY",SUMPRODUCT(Data_Nhập[Tổng Nhập-NX]*(Data_Nhập[Year]=CE$1)*(Data_Nhập[Main SKU name_GOM]=$A9)*(Data_Nhập[SKU name_NHẬP_GOM]=CE$3)),SUMPRODUCT(Data_Nhập[Tổng Nhập-NX]*(Data_Nhập[Year]=CE$1)*(Data_Nhập[Month]=CE$2)*(Data_Nhập[Main SKU name_GOM]=$A9)*(Data_Nhập[SKU name_NHẬP_GOM]=CE$3)))</f>
        <v>0</v>
      </c>
      <c r="CF9" s="24" cm="1">
        <f t="array" ref="CF9">IF(CF$2="FY",SUMPRODUCT(Data_Nhập[Tổng Nhập-NX]*(Data_Nhập[Year]=CF$1)*(Data_Nhập[Main SKU name_GOM]=$A9)*(Data_Nhập[SKU name_NHẬP_GOM]=CF$3)),SUMPRODUCT(Data_Nhập[Tổng Nhập-NX]*(Data_Nhập[Year]=CF$1)*(Data_Nhập[Month]=CF$2)*(Data_Nhập[Main SKU name_GOM]=$A9)*(Data_Nhập[SKU name_NHẬP_GOM]=CF$3)))</f>
        <v>0</v>
      </c>
      <c r="CG9" s="24" cm="1">
        <f t="array" ref="CG9">IF(CG$2="FY",SUMPRODUCT(Data_Nhập[Tổng Nhập-NX]*(Data_Nhập[Year]=CG$1)*(Data_Nhập[Main SKU name_GOM]=$A9)*(Data_Nhập[SKU name_NHẬP_GOM]=CG$3)),SUMPRODUCT(Data_Nhập[Tổng Nhập-NX]*(Data_Nhập[Year]=CG$1)*(Data_Nhập[Month]=CG$2)*(Data_Nhập[Main SKU name_GOM]=$A9)*(Data_Nhập[SKU name_NHẬP_GOM]=CG$3)))</f>
        <v>0</v>
      </c>
      <c r="CH9" s="24" cm="1">
        <f t="array" ref="CH9">IF(CH$2="FY",SUMPRODUCT(Data_Nhập[Tổng Nhập-NX]*(Data_Nhập[Year]=CH$1)*(Data_Nhập[Main SKU name_GOM]=$A9)*(Data_Nhập[SKU name_NHẬP_GOM]=CH$3)),SUMPRODUCT(Data_Nhập[Tổng Nhập-NX]*(Data_Nhập[Year]=CH$1)*(Data_Nhập[Month]=CH$2)*(Data_Nhập[Main SKU name_GOM]=$A9)*(Data_Nhập[SKU name_NHẬP_GOM]=CH$3)))</f>
        <v>0</v>
      </c>
      <c r="CI9" s="24" cm="1">
        <f t="array" ref="CI9">IF(CI$2="FY",SUMPRODUCT(Data_Nhập[Tổng Nhập-NX]*(Data_Nhập[Year]=CI$1)*(Data_Nhập[Main SKU name_GOM]=$A9)*(Data_Nhập[SKU name_NHẬP_GOM]=CI$3)),SUMPRODUCT(Data_Nhập[Tổng Nhập-NX]*(Data_Nhập[Year]=CI$1)*(Data_Nhập[Month]=CI$2)*(Data_Nhập[Main SKU name_GOM]=$A9)*(Data_Nhập[SKU name_NHẬP_GOM]=CI$3)))</f>
        <v>0</v>
      </c>
      <c r="CJ9" s="24" cm="1">
        <f t="array" ref="CJ9">IF(CJ$2="FY",SUMPRODUCT(Data_Nhập[Tổng Nhập-NX]*(Data_Nhập[Year]=CJ$1)*(Data_Nhập[Main SKU name_GOM]=$A9)*(Data_Nhập[SKU name_NHẬP_GOM]=CJ$3)),SUMPRODUCT(Data_Nhập[Tổng Nhập-NX]*(Data_Nhập[Year]=CJ$1)*(Data_Nhập[Month]=CJ$2)*(Data_Nhập[Main SKU name_GOM]=$A9)*(Data_Nhập[SKU name_NHẬP_GOM]=CJ$3)))</f>
        <v>7700</v>
      </c>
      <c r="CK9" s="24" cm="1">
        <f t="array" ref="CK9">IF(CK$2="FY",SUMPRODUCT(Data_Nhập[Tổng Nhập-NX]*(Data_Nhập[Year]=CK$1)*(Data_Nhập[Main SKU name_GOM]=$A9)*(Data_Nhập[SKU name_NHẬP_GOM]=CK$3)),SUMPRODUCT(Data_Nhập[Tổng Nhập-NX]*(Data_Nhập[Year]=CK$1)*(Data_Nhập[Month]=CK$2)*(Data_Nhập[Main SKU name_GOM]=$A9)*(Data_Nhập[SKU name_NHẬP_GOM]=CK$3)))</f>
        <v>0</v>
      </c>
      <c r="CL9" s="24" cm="1">
        <f t="array" ref="CL9">IF(CL$2="FY",SUMPRODUCT(Data_Nhập[Tổng Nhập-NX]*(Data_Nhập[Year]=CL$1)*(Data_Nhập[Main SKU name_GOM]=$A9)*(Data_Nhập[SKU name_NHẬP_GOM]=CL$3)),SUMPRODUCT(Data_Nhập[Tổng Nhập-NX]*(Data_Nhập[Year]=CL$1)*(Data_Nhập[Month]=CL$2)*(Data_Nhập[Main SKU name_GOM]=$A9)*(Data_Nhập[SKU name_NHẬP_GOM]=CL$3)))</f>
        <v>25339</v>
      </c>
      <c r="CM9" s="24" cm="1">
        <f t="array" ref="CM9">IF(CM$2="FY",SUMPRODUCT(Data_Nhập[Tổng Nhập-NX]*(Data_Nhập[Year]=CM$1)*(Data_Nhập[Main SKU name_GOM]=$A9)*(Data_Nhập[SKU name_NHẬP_GOM]=CM$3)),SUMPRODUCT(Data_Nhập[Tổng Nhập-NX]*(Data_Nhập[Year]=CM$1)*(Data_Nhập[Month]=CM$2)*(Data_Nhập[Main SKU name_GOM]=$A9)*(Data_Nhập[SKU name_NHẬP_GOM]=CM$3)))</f>
        <v>0</v>
      </c>
      <c r="CN9" s="25">
        <f t="shared" si="16"/>
        <v>1063739</v>
      </c>
      <c r="CP9" s="25" cm="1">
        <f t="array" ref="CP9">IF(CP$2="FY",SUMPRODUCT(Data_Xuất[Xuất-NX]*(Data_Xuất[Year]=CP$1)*(Data_Xuất[Main SKU name_GOM]=$A9)),SUMPRODUCT(Data_Xuất[Xuất-NX]*(Data_Xuất[Year]=CP$1)*(Data_Xuất[Main SKU name_GOM]=$A9)*(Data_Xuất[Month]=CP$2)))</f>
        <v>0</v>
      </c>
      <c r="CQ9" s="24" cm="1">
        <f t="array" ref="CQ9">IF(CQ$2="FY",SUMPRODUCT(Data_Nhập[Tổng Nhập-NX]*(Data_Nhập[Year]=CQ$1)*(Data_Nhập[Main SKU name_GOM]=$A9)*(Data_Nhập[SKU name_NHẬP_GOM]=CQ$3)),SUMPRODUCT(Data_Nhập[Tổng Nhập-NX]*(Data_Nhập[Year]=CQ$1)*(Data_Nhập[Month]=CQ$2)*(Data_Nhập[Main SKU name_GOM]=$A9)*(Data_Nhập[SKU name_NHẬP_GOM]=CQ$3)))</f>
        <v>0</v>
      </c>
      <c r="CR9" s="24" cm="1">
        <f t="array" ref="CR9">IF(CR$2="FY",SUMPRODUCT(Data_Nhập[Tổng Nhập-NX]*(Data_Nhập[Year]=CR$1)*(Data_Nhập[Main SKU name_GOM]=$A9)*(Data_Nhập[SKU name_NHẬP_GOM]=CR$3)),SUMPRODUCT(Data_Nhập[Tổng Nhập-NX]*(Data_Nhập[Year]=CR$1)*(Data_Nhập[Month]=CR$2)*(Data_Nhập[Main SKU name_GOM]=$A9)*(Data_Nhập[SKU name_NHẬP_GOM]=CR$3)))</f>
        <v>0</v>
      </c>
      <c r="CS9" s="24" cm="1">
        <f t="array" ref="CS9">IF(CS$2="FY",SUMPRODUCT(Data_Nhập[Tổng Nhập-NX]*(Data_Nhập[Year]=CS$1)*(Data_Nhập[Main SKU name_GOM]=$A9)*(Data_Nhập[SKU name_NHẬP_GOM]=CS$3)),SUMPRODUCT(Data_Nhập[Tổng Nhập-NX]*(Data_Nhập[Year]=CS$1)*(Data_Nhập[Month]=CS$2)*(Data_Nhập[Main SKU name_GOM]=$A9)*(Data_Nhập[SKU name_NHẬP_GOM]=CS$3)))</f>
        <v>0</v>
      </c>
      <c r="CT9" s="24" cm="1">
        <f t="array" ref="CT9">IF(CT$2="FY",SUMPRODUCT(Data_Nhập[Tổng Nhập-NX]*(Data_Nhập[Year]=CT$1)*(Data_Nhập[Main SKU name_GOM]=$A9)*(Data_Nhập[SKU name_NHẬP_GOM]=CT$3)),SUMPRODUCT(Data_Nhập[Tổng Nhập-NX]*(Data_Nhập[Year]=CT$1)*(Data_Nhập[Month]=CT$2)*(Data_Nhập[Main SKU name_GOM]=$A9)*(Data_Nhập[SKU name_NHẬP_GOM]=CT$3)))</f>
        <v>0</v>
      </c>
      <c r="CU9" s="24" cm="1">
        <f t="array" ref="CU9">IF(CU$2="FY",SUMPRODUCT(Data_Nhập[Tổng Nhập-NX]*(Data_Nhập[Year]=CU$1)*(Data_Nhập[Main SKU name_GOM]=$A9)*(Data_Nhập[SKU name_NHẬP_GOM]=CU$3)),SUMPRODUCT(Data_Nhập[Tổng Nhập-NX]*(Data_Nhập[Year]=CU$1)*(Data_Nhập[Month]=CU$2)*(Data_Nhập[Main SKU name_GOM]=$A9)*(Data_Nhập[SKU name_NHẬP_GOM]=CU$3)))</f>
        <v>0</v>
      </c>
      <c r="CV9" s="24" cm="1">
        <f t="array" ref="CV9">IF(CV$2="FY",SUMPRODUCT(Data_Nhập[Tổng Nhập-NX]*(Data_Nhập[Year]=CV$1)*(Data_Nhập[Main SKU name_GOM]=$A9)*(Data_Nhập[SKU name_NHẬP_GOM]=CV$3)),SUMPRODUCT(Data_Nhập[Tổng Nhập-NX]*(Data_Nhập[Year]=CV$1)*(Data_Nhập[Month]=CV$2)*(Data_Nhập[Main SKU name_GOM]=$A9)*(Data_Nhập[SKU name_NHẬP_GOM]=CV$3)))</f>
        <v>0</v>
      </c>
      <c r="CW9" s="24" cm="1">
        <f t="array" ref="CW9">IF(CW$2="FY",SUMPRODUCT(Data_Nhập[Tổng Nhập-NX]*(Data_Nhập[Year]=CW$1)*(Data_Nhập[Main SKU name_GOM]=$A9)*(Data_Nhập[SKU name_NHẬP_GOM]=CW$3)),SUMPRODUCT(Data_Nhập[Tổng Nhập-NX]*(Data_Nhập[Year]=CW$1)*(Data_Nhập[Month]=CW$2)*(Data_Nhập[Main SKU name_GOM]=$A9)*(Data_Nhập[SKU name_NHẬP_GOM]=CW$3)))</f>
        <v>0</v>
      </c>
      <c r="CX9" s="24" cm="1">
        <f t="array" ref="CX9">IF(CX$2="FY",SUMPRODUCT(Data_Nhập[Tổng Nhập-NX]*(Data_Nhập[Year]=CX$1)*(Data_Nhập[Main SKU name_GOM]=$A9)*(Data_Nhập[SKU name_NHẬP_GOM]=CX$3)),SUMPRODUCT(Data_Nhập[Tổng Nhập-NX]*(Data_Nhập[Year]=CX$1)*(Data_Nhập[Month]=CX$2)*(Data_Nhập[Main SKU name_GOM]=$A9)*(Data_Nhập[SKU name_NHẬP_GOM]=CX$3)))</f>
        <v>0</v>
      </c>
      <c r="CY9" s="24" cm="1">
        <f t="array" ref="CY9">IF(CY$2="FY",SUMPRODUCT(Data_Nhập[Tổng Nhập-NX]*(Data_Nhập[Year]=CY$1)*(Data_Nhập[Main SKU name_GOM]=$A9)*(Data_Nhập[SKU name_NHẬP_GOM]=CY$3)),SUMPRODUCT(Data_Nhập[Tổng Nhập-NX]*(Data_Nhập[Year]=CY$1)*(Data_Nhập[Month]=CY$2)*(Data_Nhập[Main SKU name_GOM]=$A9)*(Data_Nhập[SKU name_NHẬP_GOM]=CY$3)))</f>
        <v>0</v>
      </c>
      <c r="CZ9" s="24" cm="1">
        <f t="array" ref="CZ9">IF(CZ$2="FY",SUMPRODUCT(Data_Nhập[Tổng Nhập-NX]*(Data_Nhập[Year]=CZ$1)*(Data_Nhập[Main SKU name_GOM]=$A9)*(Data_Nhập[SKU name_NHẬP_GOM]=CZ$3)),SUMPRODUCT(Data_Nhập[Tổng Nhập-NX]*(Data_Nhập[Year]=CZ$1)*(Data_Nhập[Month]=CZ$2)*(Data_Nhập[Main SKU name_GOM]=$A9)*(Data_Nhập[SKU name_NHẬP_GOM]=CZ$3)))</f>
        <v>0</v>
      </c>
      <c r="DA9" s="24" cm="1">
        <f t="array" ref="DA9">IF(DA$2="FY",SUMPRODUCT(Data_Nhập[Tổng Nhập-NX]*(Data_Nhập[Year]=DA$1)*(Data_Nhập[Main SKU name_GOM]=$A9)*(Data_Nhập[SKU name_NHẬP_GOM]=DA$3)),SUMPRODUCT(Data_Nhập[Tổng Nhập-NX]*(Data_Nhập[Year]=DA$1)*(Data_Nhập[Month]=DA$2)*(Data_Nhập[Main SKU name_GOM]=$A9)*(Data_Nhập[SKU name_NHẬP_GOM]=DA$3)))</f>
        <v>0</v>
      </c>
      <c r="DB9" s="24" cm="1">
        <f t="array" ref="DB9">IF(DB$2="FY",SUMPRODUCT(Data_Nhập[Tổng Nhập-NX]*(Data_Nhập[Year]=DB$1)*(Data_Nhập[Main SKU name_GOM]=$A9)*(Data_Nhập[SKU name_NHẬP_GOM]=DB$3)),SUMPRODUCT(Data_Nhập[Tổng Nhập-NX]*(Data_Nhập[Year]=DB$1)*(Data_Nhập[Month]=DB$2)*(Data_Nhập[Main SKU name_GOM]=$A9)*(Data_Nhập[SKU name_NHẬP_GOM]=DB$3)))</f>
        <v>0</v>
      </c>
      <c r="DC9" s="24" cm="1">
        <f t="array" ref="DC9">IF(DC$2="FY",SUMPRODUCT(Data_Nhập[Tổng Nhập-NX]*(Data_Nhập[Year]=DC$1)*(Data_Nhập[Main SKU name_GOM]=$A9)*(Data_Nhập[SKU name_NHẬP_GOM]=DC$3)),SUMPRODUCT(Data_Nhập[Tổng Nhập-NX]*(Data_Nhập[Year]=DC$1)*(Data_Nhập[Month]=DC$2)*(Data_Nhập[Main SKU name_GOM]=$A9)*(Data_Nhập[SKU name_NHẬP_GOM]=DC$3)))</f>
        <v>0</v>
      </c>
      <c r="DD9" s="24" cm="1">
        <f t="array" ref="DD9">IF(DD$2="FY",SUMPRODUCT(Data_Nhập[Tổng Nhập-NX]*(Data_Nhập[Year]=DD$1)*(Data_Nhập[Main SKU name_GOM]=$A9)*(Data_Nhập[SKU name_NHẬP_GOM]=DD$3)),SUMPRODUCT(Data_Nhập[Tổng Nhập-NX]*(Data_Nhập[Year]=DD$1)*(Data_Nhập[Month]=DD$2)*(Data_Nhập[Main SKU name_GOM]=$A9)*(Data_Nhập[SKU name_NHẬP_GOM]=DD$3)))</f>
        <v>0</v>
      </c>
      <c r="DE9" s="24" cm="1">
        <f t="array" ref="DE9">IF(DE$2="FY",SUMPRODUCT(Data_Nhập[Tổng Nhập-NX]*(Data_Nhập[Year]=DE$1)*(Data_Nhập[Main SKU name_GOM]=$A9)*(Data_Nhập[SKU name_NHẬP_GOM]=DE$3)),SUMPRODUCT(Data_Nhập[Tổng Nhập-NX]*(Data_Nhập[Year]=DE$1)*(Data_Nhập[Month]=DE$2)*(Data_Nhập[Main SKU name_GOM]=$A9)*(Data_Nhập[SKU name_NHẬP_GOM]=DE$3)))</f>
        <v>0</v>
      </c>
      <c r="DF9" s="25">
        <f t="shared" si="17"/>
        <v>0</v>
      </c>
      <c r="DH9" s="25" cm="1">
        <f t="array" ref="DH9">IF(DH$2="FY",SUMPRODUCT(Data_Xuất[Xuất-NX]*(Data_Xuất[Year]=DH$1)*(Data_Xuất[Main SKU name_GOM]=$A9)),SUMPRODUCT(Data_Xuất[Xuất-NX]*(Data_Xuất[Year]=DH$1)*(Data_Xuất[Main SKU name_GOM]=$A9)*(Data_Xuất[Month]=DH$2)))</f>
        <v>0</v>
      </c>
      <c r="DI9" s="24" cm="1">
        <f t="array" ref="DI9">IF(DI$2="FY",SUMPRODUCT(Data_Nhập[Tổng Nhập-NX]*(Data_Nhập[Year]=DI$1)*(Data_Nhập[Main SKU name_GOM]=$A9)*(Data_Nhập[SKU name_NHẬP_GOM]=DI$3)),SUMPRODUCT(Data_Nhập[Tổng Nhập-NX]*(Data_Nhập[Year]=DI$1)*(Data_Nhập[Month]=DI$2)*(Data_Nhập[Main SKU name_GOM]=$A9)*(Data_Nhập[SKU name_NHẬP_GOM]=DI$3)))</f>
        <v>0</v>
      </c>
      <c r="DJ9" s="24" cm="1">
        <f t="array" ref="DJ9">IF(DJ$2="FY",SUMPRODUCT(Data_Nhập[Tổng Nhập-NX]*(Data_Nhập[Year]=DJ$1)*(Data_Nhập[Main SKU name_GOM]=$A9)*(Data_Nhập[SKU name_NHẬP_GOM]=DJ$3)),SUMPRODUCT(Data_Nhập[Tổng Nhập-NX]*(Data_Nhập[Year]=DJ$1)*(Data_Nhập[Month]=DJ$2)*(Data_Nhập[Main SKU name_GOM]=$A9)*(Data_Nhập[SKU name_NHẬP_GOM]=DJ$3)))</f>
        <v>0</v>
      </c>
      <c r="DK9" s="24" cm="1">
        <f t="array" ref="DK9">IF(DK$2="FY",SUMPRODUCT(Data_Nhập[Tổng Nhập-NX]*(Data_Nhập[Year]=DK$1)*(Data_Nhập[Main SKU name_GOM]=$A9)*(Data_Nhập[SKU name_NHẬP_GOM]=DK$3)),SUMPRODUCT(Data_Nhập[Tổng Nhập-NX]*(Data_Nhập[Year]=DK$1)*(Data_Nhập[Month]=DK$2)*(Data_Nhập[Main SKU name_GOM]=$A9)*(Data_Nhập[SKU name_NHẬP_GOM]=DK$3)))</f>
        <v>0</v>
      </c>
      <c r="DL9" s="24" cm="1">
        <f t="array" ref="DL9">IF(DL$2="FY",SUMPRODUCT(Data_Nhập[Tổng Nhập-NX]*(Data_Nhập[Year]=DL$1)*(Data_Nhập[Main SKU name_GOM]=$A9)*(Data_Nhập[SKU name_NHẬP_GOM]=DL$3)),SUMPRODUCT(Data_Nhập[Tổng Nhập-NX]*(Data_Nhập[Year]=DL$1)*(Data_Nhập[Month]=DL$2)*(Data_Nhập[Main SKU name_GOM]=$A9)*(Data_Nhập[SKU name_NHẬP_GOM]=DL$3)))</f>
        <v>0</v>
      </c>
      <c r="DM9" s="24" cm="1">
        <f t="array" ref="DM9">IF(DM$2="FY",SUMPRODUCT(Data_Nhập[Tổng Nhập-NX]*(Data_Nhập[Year]=DM$1)*(Data_Nhập[Main SKU name_GOM]=$A9)*(Data_Nhập[SKU name_NHẬP_GOM]=DM$3)),SUMPRODUCT(Data_Nhập[Tổng Nhập-NX]*(Data_Nhập[Year]=DM$1)*(Data_Nhập[Month]=DM$2)*(Data_Nhập[Main SKU name_GOM]=$A9)*(Data_Nhập[SKU name_NHẬP_GOM]=DM$3)))</f>
        <v>0</v>
      </c>
      <c r="DN9" s="24" cm="1">
        <f t="array" ref="DN9">IF(DN$2="FY",SUMPRODUCT(Data_Nhập[Tổng Nhập-NX]*(Data_Nhập[Year]=DN$1)*(Data_Nhập[Main SKU name_GOM]=$A9)*(Data_Nhập[SKU name_NHẬP_GOM]=DN$3)),SUMPRODUCT(Data_Nhập[Tổng Nhập-NX]*(Data_Nhập[Year]=DN$1)*(Data_Nhập[Month]=DN$2)*(Data_Nhập[Main SKU name_GOM]=$A9)*(Data_Nhập[SKU name_NHẬP_GOM]=DN$3)))</f>
        <v>0</v>
      </c>
      <c r="DO9" s="24" cm="1">
        <f t="array" ref="DO9">IF(DO$2="FY",SUMPRODUCT(Data_Nhập[Tổng Nhập-NX]*(Data_Nhập[Year]=DO$1)*(Data_Nhập[Main SKU name_GOM]=$A9)*(Data_Nhập[SKU name_NHẬP_GOM]=DO$3)),SUMPRODUCT(Data_Nhập[Tổng Nhập-NX]*(Data_Nhập[Year]=DO$1)*(Data_Nhập[Month]=DO$2)*(Data_Nhập[Main SKU name_GOM]=$A9)*(Data_Nhập[SKU name_NHẬP_GOM]=DO$3)))</f>
        <v>0</v>
      </c>
      <c r="DP9" s="24" cm="1">
        <f t="array" ref="DP9">IF(DP$2="FY",SUMPRODUCT(Data_Nhập[Tổng Nhập-NX]*(Data_Nhập[Year]=DP$1)*(Data_Nhập[Main SKU name_GOM]=$A9)*(Data_Nhập[SKU name_NHẬP_GOM]=DP$3)),SUMPRODUCT(Data_Nhập[Tổng Nhập-NX]*(Data_Nhập[Year]=DP$1)*(Data_Nhập[Month]=DP$2)*(Data_Nhập[Main SKU name_GOM]=$A9)*(Data_Nhập[SKU name_NHẬP_GOM]=DP$3)))</f>
        <v>0</v>
      </c>
      <c r="DQ9" s="24" cm="1">
        <f t="array" ref="DQ9">IF(DQ$2="FY",SUMPRODUCT(Data_Nhập[Tổng Nhập-NX]*(Data_Nhập[Year]=DQ$1)*(Data_Nhập[Main SKU name_GOM]=$A9)*(Data_Nhập[SKU name_NHẬP_GOM]=DQ$3)),SUMPRODUCT(Data_Nhập[Tổng Nhập-NX]*(Data_Nhập[Year]=DQ$1)*(Data_Nhập[Month]=DQ$2)*(Data_Nhập[Main SKU name_GOM]=$A9)*(Data_Nhập[SKU name_NHẬP_GOM]=DQ$3)))</f>
        <v>0</v>
      </c>
      <c r="DR9" s="24" cm="1">
        <f t="array" ref="DR9">IF(DR$2="FY",SUMPRODUCT(Data_Nhập[Tổng Nhập-NX]*(Data_Nhập[Year]=DR$1)*(Data_Nhập[Main SKU name_GOM]=$A9)*(Data_Nhập[SKU name_NHẬP_GOM]=DR$3)),SUMPRODUCT(Data_Nhập[Tổng Nhập-NX]*(Data_Nhập[Year]=DR$1)*(Data_Nhập[Month]=DR$2)*(Data_Nhập[Main SKU name_GOM]=$A9)*(Data_Nhập[SKU name_NHẬP_GOM]=DR$3)))</f>
        <v>0</v>
      </c>
      <c r="DS9" s="24" cm="1">
        <f t="array" ref="DS9">IF(DS$2="FY",SUMPRODUCT(Data_Nhập[Tổng Nhập-NX]*(Data_Nhập[Year]=DS$1)*(Data_Nhập[Main SKU name_GOM]=$A9)*(Data_Nhập[SKU name_NHẬP_GOM]=DS$3)),SUMPRODUCT(Data_Nhập[Tổng Nhập-NX]*(Data_Nhập[Year]=DS$1)*(Data_Nhập[Month]=DS$2)*(Data_Nhập[Main SKU name_GOM]=$A9)*(Data_Nhập[SKU name_NHẬP_GOM]=DS$3)))</f>
        <v>0</v>
      </c>
      <c r="DT9" s="24" cm="1">
        <f t="array" ref="DT9">IF(DT$2="FY",SUMPRODUCT(Data_Nhập[Tổng Nhập-NX]*(Data_Nhập[Year]=DT$1)*(Data_Nhập[Main SKU name_GOM]=$A9)*(Data_Nhập[SKU name_NHẬP_GOM]=DT$3)),SUMPRODUCT(Data_Nhập[Tổng Nhập-NX]*(Data_Nhập[Year]=DT$1)*(Data_Nhập[Month]=DT$2)*(Data_Nhập[Main SKU name_GOM]=$A9)*(Data_Nhập[SKU name_NHẬP_GOM]=DT$3)))</f>
        <v>0</v>
      </c>
      <c r="DU9" s="24" cm="1">
        <f t="array" ref="DU9">IF(DU$2="FY",SUMPRODUCT(Data_Nhập[Tổng Nhập-NX]*(Data_Nhập[Year]=DU$1)*(Data_Nhập[Main SKU name_GOM]=$A9)*(Data_Nhập[SKU name_NHẬP_GOM]=DU$3)),SUMPRODUCT(Data_Nhập[Tổng Nhập-NX]*(Data_Nhập[Year]=DU$1)*(Data_Nhập[Month]=DU$2)*(Data_Nhập[Main SKU name_GOM]=$A9)*(Data_Nhập[SKU name_NHẬP_GOM]=DU$3)))</f>
        <v>0</v>
      </c>
      <c r="DV9" s="24" cm="1">
        <f t="array" ref="DV9">IF(DV$2="FY",SUMPRODUCT(Data_Nhập[Tổng Nhập-NX]*(Data_Nhập[Year]=DV$1)*(Data_Nhập[Main SKU name_GOM]=$A9)*(Data_Nhập[SKU name_NHẬP_GOM]=DV$3)),SUMPRODUCT(Data_Nhập[Tổng Nhập-NX]*(Data_Nhập[Year]=DV$1)*(Data_Nhập[Month]=DV$2)*(Data_Nhập[Main SKU name_GOM]=$A9)*(Data_Nhập[SKU name_NHẬP_GOM]=DV$3)))</f>
        <v>0</v>
      </c>
      <c r="DW9" s="24" cm="1">
        <f t="array" ref="DW9">IF(DW$2="FY",SUMPRODUCT(Data_Nhập[Tổng Nhập-NX]*(Data_Nhập[Year]=DW$1)*(Data_Nhập[Main SKU name_GOM]=$A9)*(Data_Nhập[SKU name_NHẬP_GOM]=DW$3)),SUMPRODUCT(Data_Nhập[Tổng Nhập-NX]*(Data_Nhập[Year]=DW$1)*(Data_Nhập[Month]=DW$2)*(Data_Nhập[Main SKU name_GOM]=$A9)*(Data_Nhập[SKU name_NHẬP_GOM]=DW$3)))</f>
        <v>0</v>
      </c>
      <c r="DX9" s="25">
        <f t="shared" si="18"/>
        <v>0</v>
      </c>
      <c r="DZ9" s="25" cm="1">
        <f t="array" ref="DZ9">IF(DZ$2="FY",SUMPRODUCT(Data_Xuất[Xuất-NX]*(Data_Xuất[Year]=DZ$1)*(Data_Xuất[Main SKU name_GOM]=$A9)),SUMPRODUCT(Data_Xuất[Xuất-NX]*(Data_Xuất[Year]=DZ$1)*(Data_Xuất[Main SKU name_GOM]=$A9)*(Data_Xuất[Month]=DZ$2)))</f>
        <v>0</v>
      </c>
      <c r="EA9" s="24" cm="1">
        <f t="array" ref="EA9">IF(EA$2="FY",SUMPRODUCT(Data_Nhập[Tổng Nhập-NX]*(Data_Nhập[Year]=EA$1)*(Data_Nhập[Main SKU name_GOM]=$A9)*(Data_Nhập[SKU name_NHẬP_GOM]=EA$3)),SUMPRODUCT(Data_Nhập[Tổng Nhập-NX]*(Data_Nhập[Year]=EA$1)*(Data_Nhập[Month]=EA$2)*(Data_Nhập[Main SKU name_GOM]=$A9)*(Data_Nhập[SKU name_NHẬP_GOM]=EA$3)))</f>
        <v>0</v>
      </c>
      <c r="EB9" s="24" cm="1">
        <f t="array" ref="EB9">IF(EB$2="FY",SUMPRODUCT(Data_Nhập[Tổng Nhập-NX]*(Data_Nhập[Year]=EB$1)*(Data_Nhập[Main SKU name_GOM]=$A9)*(Data_Nhập[SKU name_NHẬP_GOM]=EB$3)),SUMPRODUCT(Data_Nhập[Tổng Nhập-NX]*(Data_Nhập[Year]=EB$1)*(Data_Nhập[Month]=EB$2)*(Data_Nhập[Main SKU name_GOM]=$A9)*(Data_Nhập[SKU name_NHẬP_GOM]=EB$3)))</f>
        <v>0</v>
      </c>
      <c r="EC9" s="24" cm="1">
        <f t="array" ref="EC9">IF(EC$2="FY",SUMPRODUCT(Data_Nhập[Tổng Nhập-NX]*(Data_Nhập[Year]=EC$1)*(Data_Nhập[Main SKU name_GOM]=$A9)*(Data_Nhập[SKU name_NHẬP_GOM]=EC$3)),SUMPRODUCT(Data_Nhập[Tổng Nhập-NX]*(Data_Nhập[Year]=EC$1)*(Data_Nhập[Month]=EC$2)*(Data_Nhập[Main SKU name_GOM]=$A9)*(Data_Nhập[SKU name_NHẬP_GOM]=EC$3)))</f>
        <v>0</v>
      </c>
      <c r="ED9" s="24" cm="1">
        <f t="array" ref="ED9">IF(ED$2="FY",SUMPRODUCT(Data_Nhập[Tổng Nhập-NX]*(Data_Nhập[Year]=ED$1)*(Data_Nhập[Main SKU name_GOM]=$A9)*(Data_Nhập[SKU name_NHẬP_GOM]=ED$3)),SUMPRODUCT(Data_Nhập[Tổng Nhập-NX]*(Data_Nhập[Year]=ED$1)*(Data_Nhập[Month]=ED$2)*(Data_Nhập[Main SKU name_GOM]=$A9)*(Data_Nhập[SKU name_NHẬP_GOM]=ED$3)))</f>
        <v>0</v>
      </c>
      <c r="EE9" s="24" cm="1">
        <f t="array" ref="EE9">IF(EE$2="FY",SUMPRODUCT(Data_Nhập[Tổng Nhập-NX]*(Data_Nhập[Year]=EE$1)*(Data_Nhập[Main SKU name_GOM]=$A9)*(Data_Nhập[SKU name_NHẬP_GOM]=EE$3)),SUMPRODUCT(Data_Nhập[Tổng Nhập-NX]*(Data_Nhập[Year]=EE$1)*(Data_Nhập[Month]=EE$2)*(Data_Nhập[Main SKU name_GOM]=$A9)*(Data_Nhập[SKU name_NHẬP_GOM]=EE$3)))</f>
        <v>0</v>
      </c>
      <c r="EF9" s="24" cm="1">
        <f t="array" ref="EF9">IF(EF$2="FY",SUMPRODUCT(Data_Nhập[Tổng Nhập-NX]*(Data_Nhập[Year]=EF$1)*(Data_Nhập[Main SKU name_GOM]=$A9)*(Data_Nhập[SKU name_NHẬP_GOM]=EF$3)),SUMPRODUCT(Data_Nhập[Tổng Nhập-NX]*(Data_Nhập[Year]=EF$1)*(Data_Nhập[Month]=EF$2)*(Data_Nhập[Main SKU name_GOM]=$A9)*(Data_Nhập[SKU name_NHẬP_GOM]=EF$3)))</f>
        <v>0</v>
      </c>
      <c r="EG9" s="24" cm="1">
        <f t="array" ref="EG9">IF(EG$2="FY",SUMPRODUCT(Data_Nhập[Tổng Nhập-NX]*(Data_Nhập[Year]=EG$1)*(Data_Nhập[Main SKU name_GOM]=$A9)*(Data_Nhập[SKU name_NHẬP_GOM]=EG$3)),SUMPRODUCT(Data_Nhập[Tổng Nhập-NX]*(Data_Nhập[Year]=EG$1)*(Data_Nhập[Month]=EG$2)*(Data_Nhập[Main SKU name_GOM]=$A9)*(Data_Nhập[SKU name_NHẬP_GOM]=EG$3)))</f>
        <v>0</v>
      </c>
      <c r="EH9" s="24" cm="1">
        <f t="array" ref="EH9">IF(EH$2="FY",SUMPRODUCT(Data_Nhập[Tổng Nhập-NX]*(Data_Nhập[Year]=EH$1)*(Data_Nhập[Main SKU name_GOM]=$A9)*(Data_Nhập[SKU name_NHẬP_GOM]=EH$3)),SUMPRODUCT(Data_Nhập[Tổng Nhập-NX]*(Data_Nhập[Year]=EH$1)*(Data_Nhập[Month]=EH$2)*(Data_Nhập[Main SKU name_GOM]=$A9)*(Data_Nhập[SKU name_NHẬP_GOM]=EH$3)))</f>
        <v>0</v>
      </c>
      <c r="EI9" s="24" cm="1">
        <f t="array" ref="EI9">IF(EI$2="FY",SUMPRODUCT(Data_Nhập[Tổng Nhập-NX]*(Data_Nhập[Year]=EI$1)*(Data_Nhập[Main SKU name_GOM]=$A9)*(Data_Nhập[SKU name_NHẬP_GOM]=EI$3)),SUMPRODUCT(Data_Nhập[Tổng Nhập-NX]*(Data_Nhập[Year]=EI$1)*(Data_Nhập[Month]=EI$2)*(Data_Nhập[Main SKU name_GOM]=$A9)*(Data_Nhập[SKU name_NHẬP_GOM]=EI$3)))</f>
        <v>0</v>
      </c>
      <c r="EJ9" s="24" cm="1">
        <f t="array" ref="EJ9">IF(EJ$2="FY",SUMPRODUCT(Data_Nhập[Tổng Nhập-NX]*(Data_Nhập[Year]=EJ$1)*(Data_Nhập[Main SKU name_GOM]=$A9)*(Data_Nhập[SKU name_NHẬP_GOM]=EJ$3)),SUMPRODUCT(Data_Nhập[Tổng Nhập-NX]*(Data_Nhập[Year]=EJ$1)*(Data_Nhập[Month]=EJ$2)*(Data_Nhập[Main SKU name_GOM]=$A9)*(Data_Nhập[SKU name_NHẬP_GOM]=EJ$3)))</f>
        <v>0</v>
      </c>
      <c r="EK9" s="24" cm="1">
        <f t="array" ref="EK9">IF(EK$2="FY",SUMPRODUCT(Data_Nhập[Tổng Nhập-NX]*(Data_Nhập[Year]=EK$1)*(Data_Nhập[Main SKU name_GOM]=$A9)*(Data_Nhập[SKU name_NHẬP_GOM]=EK$3)),SUMPRODUCT(Data_Nhập[Tổng Nhập-NX]*(Data_Nhập[Year]=EK$1)*(Data_Nhập[Month]=EK$2)*(Data_Nhập[Main SKU name_GOM]=$A9)*(Data_Nhập[SKU name_NHẬP_GOM]=EK$3)))</f>
        <v>0</v>
      </c>
      <c r="EL9" s="24" cm="1">
        <f t="array" ref="EL9">IF(EL$2="FY",SUMPRODUCT(Data_Nhập[Tổng Nhập-NX]*(Data_Nhập[Year]=EL$1)*(Data_Nhập[Main SKU name_GOM]=$A9)*(Data_Nhập[SKU name_NHẬP_GOM]=EL$3)),SUMPRODUCT(Data_Nhập[Tổng Nhập-NX]*(Data_Nhập[Year]=EL$1)*(Data_Nhập[Month]=EL$2)*(Data_Nhập[Main SKU name_GOM]=$A9)*(Data_Nhập[SKU name_NHẬP_GOM]=EL$3)))</f>
        <v>0</v>
      </c>
      <c r="EM9" s="24" cm="1">
        <f t="array" ref="EM9">IF(EM$2="FY",SUMPRODUCT(Data_Nhập[Tổng Nhập-NX]*(Data_Nhập[Year]=EM$1)*(Data_Nhập[Main SKU name_GOM]=$A9)*(Data_Nhập[SKU name_NHẬP_GOM]=EM$3)),SUMPRODUCT(Data_Nhập[Tổng Nhập-NX]*(Data_Nhập[Year]=EM$1)*(Data_Nhập[Month]=EM$2)*(Data_Nhập[Main SKU name_GOM]=$A9)*(Data_Nhập[SKU name_NHẬP_GOM]=EM$3)))</f>
        <v>0</v>
      </c>
      <c r="EN9" s="24" cm="1">
        <f t="array" ref="EN9">IF(EN$2="FY",SUMPRODUCT(Data_Nhập[Tổng Nhập-NX]*(Data_Nhập[Year]=EN$1)*(Data_Nhập[Main SKU name_GOM]=$A9)*(Data_Nhập[SKU name_NHẬP_GOM]=EN$3)),SUMPRODUCT(Data_Nhập[Tổng Nhập-NX]*(Data_Nhập[Year]=EN$1)*(Data_Nhập[Month]=EN$2)*(Data_Nhập[Main SKU name_GOM]=$A9)*(Data_Nhập[SKU name_NHẬP_GOM]=EN$3)))</f>
        <v>0</v>
      </c>
      <c r="EO9" s="24" cm="1">
        <f t="array" ref="EO9">IF(EO$2="FY",SUMPRODUCT(Data_Nhập[Tổng Nhập-NX]*(Data_Nhập[Year]=EO$1)*(Data_Nhập[Main SKU name_GOM]=$A9)*(Data_Nhập[SKU name_NHẬP_GOM]=EO$3)),SUMPRODUCT(Data_Nhập[Tổng Nhập-NX]*(Data_Nhập[Year]=EO$1)*(Data_Nhập[Month]=EO$2)*(Data_Nhập[Main SKU name_GOM]=$A9)*(Data_Nhập[SKU name_NHẬP_GOM]=EO$3)))</f>
        <v>0</v>
      </c>
      <c r="EP9" s="25">
        <f t="shared" si="19"/>
        <v>0</v>
      </c>
      <c r="ER9" s="25" cm="1">
        <f t="array" ref="ER9">IF(ER$2="FY",SUMPRODUCT(Data_Xuất[Xuất-NX]*(Data_Xuất[Year]=ER$1)*(Data_Xuất[Main SKU name_GOM]=$A9)),SUMPRODUCT(Data_Xuất[Xuất-NX]*(Data_Xuất[Year]=ER$1)*(Data_Xuất[Main SKU name_GOM]=$A9)*(Data_Xuất[Month]=ER$2)))</f>
        <v>0</v>
      </c>
      <c r="ES9" s="24" cm="1">
        <f t="array" ref="ES9">IF(ES$2="FY",SUMPRODUCT(Data_Nhập[Tổng Nhập-NX]*(Data_Nhập[Year]=ES$1)*(Data_Nhập[Main SKU name_GOM]=$A9)*(Data_Nhập[SKU name_NHẬP_GOM]=ES$3)),SUMPRODUCT(Data_Nhập[Tổng Nhập-NX]*(Data_Nhập[Year]=ES$1)*(Data_Nhập[Month]=ES$2)*(Data_Nhập[Main SKU name_GOM]=$A9)*(Data_Nhập[SKU name_NHẬP_GOM]=ES$3)))</f>
        <v>0</v>
      </c>
      <c r="ET9" s="24" cm="1">
        <f t="array" ref="ET9">IF(ET$2="FY",SUMPRODUCT(Data_Nhập[Tổng Nhập-NX]*(Data_Nhập[Year]=ET$1)*(Data_Nhập[Main SKU name_GOM]=$A9)*(Data_Nhập[SKU name_NHẬP_GOM]=ET$3)),SUMPRODUCT(Data_Nhập[Tổng Nhập-NX]*(Data_Nhập[Year]=ET$1)*(Data_Nhập[Month]=ET$2)*(Data_Nhập[Main SKU name_GOM]=$A9)*(Data_Nhập[SKU name_NHẬP_GOM]=ET$3)))</f>
        <v>0</v>
      </c>
      <c r="EU9" s="24" cm="1">
        <f t="array" ref="EU9">IF(EU$2="FY",SUMPRODUCT(Data_Nhập[Tổng Nhập-NX]*(Data_Nhập[Year]=EU$1)*(Data_Nhập[Main SKU name_GOM]=$A9)*(Data_Nhập[SKU name_NHẬP_GOM]=EU$3)),SUMPRODUCT(Data_Nhập[Tổng Nhập-NX]*(Data_Nhập[Year]=EU$1)*(Data_Nhập[Month]=EU$2)*(Data_Nhập[Main SKU name_GOM]=$A9)*(Data_Nhập[SKU name_NHẬP_GOM]=EU$3)))</f>
        <v>0</v>
      </c>
      <c r="EV9" s="24" cm="1">
        <f t="array" ref="EV9">IF(EV$2="FY",SUMPRODUCT(Data_Nhập[Tổng Nhập-NX]*(Data_Nhập[Year]=EV$1)*(Data_Nhập[Main SKU name_GOM]=$A9)*(Data_Nhập[SKU name_NHẬP_GOM]=EV$3)),SUMPRODUCT(Data_Nhập[Tổng Nhập-NX]*(Data_Nhập[Year]=EV$1)*(Data_Nhập[Month]=EV$2)*(Data_Nhập[Main SKU name_GOM]=$A9)*(Data_Nhập[SKU name_NHẬP_GOM]=EV$3)))</f>
        <v>0</v>
      </c>
      <c r="EW9" s="24" cm="1">
        <f t="array" ref="EW9">IF(EW$2="FY",SUMPRODUCT(Data_Nhập[Tổng Nhập-NX]*(Data_Nhập[Year]=EW$1)*(Data_Nhập[Main SKU name_GOM]=$A9)*(Data_Nhập[SKU name_NHẬP_GOM]=EW$3)),SUMPRODUCT(Data_Nhập[Tổng Nhập-NX]*(Data_Nhập[Year]=EW$1)*(Data_Nhập[Month]=EW$2)*(Data_Nhập[Main SKU name_GOM]=$A9)*(Data_Nhập[SKU name_NHẬP_GOM]=EW$3)))</f>
        <v>0</v>
      </c>
      <c r="EX9" s="24" cm="1">
        <f t="array" ref="EX9">IF(EX$2="FY",SUMPRODUCT(Data_Nhập[Tổng Nhập-NX]*(Data_Nhập[Year]=EX$1)*(Data_Nhập[Main SKU name_GOM]=$A9)*(Data_Nhập[SKU name_NHẬP_GOM]=EX$3)),SUMPRODUCT(Data_Nhập[Tổng Nhập-NX]*(Data_Nhập[Year]=EX$1)*(Data_Nhập[Month]=EX$2)*(Data_Nhập[Main SKU name_GOM]=$A9)*(Data_Nhập[SKU name_NHẬP_GOM]=EX$3)))</f>
        <v>0</v>
      </c>
      <c r="EY9" s="24" cm="1">
        <f t="array" ref="EY9">IF(EY$2="FY",SUMPRODUCT(Data_Nhập[Tổng Nhập-NX]*(Data_Nhập[Year]=EY$1)*(Data_Nhập[Main SKU name_GOM]=$A9)*(Data_Nhập[SKU name_NHẬP_GOM]=EY$3)),SUMPRODUCT(Data_Nhập[Tổng Nhập-NX]*(Data_Nhập[Year]=EY$1)*(Data_Nhập[Month]=EY$2)*(Data_Nhập[Main SKU name_GOM]=$A9)*(Data_Nhập[SKU name_NHẬP_GOM]=EY$3)))</f>
        <v>0</v>
      </c>
      <c r="EZ9" s="24" cm="1">
        <f t="array" ref="EZ9">IF(EZ$2="FY",SUMPRODUCT(Data_Nhập[Tổng Nhập-NX]*(Data_Nhập[Year]=EZ$1)*(Data_Nhập[Main SKU name_GOM]=$A9)*(Data_Nhập[SKU name_NHẬP_GOM]=EZ$3)),SUMPRODUCT(Data_Nhập[Tổng Nhập-NX]*(Data_Nhập[Year]=EZ$1)*(Data_Nhập[Month]=EZ$2)*(Data_Nhập[Main SKU name_GOM]=$A9)*(Data_Nhập[SKU name_NHẬP_GOM]=EZ$3)))</f>
        <v>0</v>
      </c>
      <c r="FA9" s="24" cm="1">
        <f t="array" ref="FA9">IF(FA$2="FY",SUMPRODUCT(Data_Nhập[Tổng Nhập-NX]*(Data_Nhập[Year]=FA$1)*(Data_Nhập[Main SKU name_GOM]=$A9)*(Data_Nhập[SKU name_NHẬP_GOM]=FA$3)),SUMPRODUCT(Data_Nhập[Tổng Nhập-NX]*(Data_Nhập[Year]=FA$1)*(Data_Nhập[Month]=FA$2)*(Data_Nhập[Main SKU name_GOM]=$A9)*(Data_Nhập[SKU name_NHẬP_GOM]=FA$3)))</f>
        <v>0</v>
      </c>
      <c r="FB9" s="24" cm="1">
        <f t="array" ref="FB9">IF(FB$2="FY",SUMPRODUCT(Data_Nhập[Tổng Nhập-NX]*(Data_Nhập[Year]=FB$1)*(Data_Nhập[Main SKU name_GOM]=$A9)*(Data_Nhập[SKU name_NHẬP_GOM]=FB$3)),SUMPRODUCT(Data_Nhập[Tổng Nhập-NX]*(Data_Nhập[Year]=FB$1)*(Data_Nhập[Month]=FB$2)*(Data_Nhập[Main SKU name_GOM]=$A9)*(Data_Nhập[SKU name_NHẬP_GOM]=FB$3)))</f>
        <v>0</v>
      </c>
      <c r="FC9" s="24" cm="1">
        <f t="array" ref="FC9">IF(FC$2="FY",SUMPRODUCT(Data_Nhập[Tổng Nhập-NX]*(Data_Nhập[Year]=FC$1)*(Data_Nhập[Main SKU name_GOM]=$A9)*(Data_Nhập[SKU name_NHẬP_GOM]=FC$3)),SUMPRODUCT(Data_Nhập[Tổng Nhập-NX]*(Data_Nhập[Year]=FC$1)*(Data_Nhập[Month]=FC$2)*(Data_Nhập[Main SKU name_GOM]=$A9)*(Data_Nhập[SKU name_NHẬP_GOM]=FC$3)))</f>
        <v>0</v>
      </c>
      <c r="FD9" s="24" cm="1">
        <f t="array" ref="FD9">IF(FD$2="FY",SUMPRODUCT(Data_Nhập[Tổng Nhập-NX]*(Data_Nhập[Year]=FD$1)*(Data_Nhập[Main SKU name_GOM]=$A9)*(Data_Nhập[SKU name_NHẬP_GOM]=FD$3)),SUMPRODUCT(Data_Nhập[Tổng Nhập-NX]*(Data_Nhập[Year]=FD$1)*(Data_Nhập[Month]=FD$2)*(Data_Nhập[Main SKU name_GOM]=$A9)*(Data_Nhập[SKU name_NHẬP_GOM]=FD$3)))</f>
        <v>0</v>
      </c>
      <c r="FE9" s="24" cm="1">
        <f t="array" ref="FE9">IF(FE$2="FY",SUMPRODUCT(Data_Nhập[Tổng Nhập-NX]*(Data_Nhập[Year]=FE$1)*(Data_Nhập[Main SKU name_GOM]=$A9)*(Data_Nhập[SKU name_NHẬP_GOM]=FE$3)),SUMPRODUCT(Data_Nhập[Tổng Nhập-NX]*(Data_Nhập[Year]=FE$1)*(Data_Nhập[Month]=FE$2)*(Data_Nhập[Main SKU name_GOM]=$A9)*(Data_Nhập[SKU name_NHẬP_GOM]=FE$3)))</f>
        <v>0</v>
      </c>
      <c r="FF9" s="24" cm="1">
        <f t="array" ref="FF9">IF(FF$2="FY",SUMPRODUCT(Data_Nhập[Tổng Nhập-NX]*(Data_Nhập[Year]=FF$1)*(Data_Nhập[Main SKU name_GOM]=$A9)*(Data_Nhập[SKU name_NHẬP_GOM]=FF$3)),SUMPRODUCT(Data_Nhập[Tổng Nhập-NX]*(Data_Nhập[Year]=FF$1)*(Data_Nhập[Month]=FF$2)*(Data_Nhập[Main SKU name_GOM]=$A9)*(Data_Nhập[SKU name_NHẬP_GOM]=FF$3)))</f>
        <v>0</v>
      </c>
      <c r="FG9" s="24" cm="1">
        <f t="array" ref="FG9">IF(FG$2="FY",SUMPRODUCT(Data_Nhập[Tổng Nhập-NX]*(Data_Nhập[Year]=FG$1)*(Data_Nhập[Main SKU name_GOM]=$A9)*(Data_Nhập[SKU name_NHẬP_GOM]=FG$3)),SUMPRODUCT(Data_Nhập[Tổng Nhập-NX]*(Data_Nhập[Year]=FG$1)*(Data_Nhập[Month]=FG$2)*(Data_Nhập[Main SKU name_GOM]=$A9)*(Data_Nhập[SKU name_NHẬP_GOM]=FG$3)))</f>
        <v>0</v>
      </c>
      <c r="FH9" s="25">
        <f t="shared" si="20"/>
        <v>0</v>
      </c>
      <c r="FJ9" s="25" cm="1">
        <f t="array" ref="FJ9">IF(FJ$2="FY",SUMPRODUCT(Data_Xuất[Xuất-NX]*(Data_Xuất[Year]=FJ$1)*(Data_Xuất[Main SKU name_GOM]=$A9)),SUMPRODUCT(Data_Xuất[Xuất-NX]*(Data_Xuất[Year]=FJ$1)*(Data_Xuất[Main SKU name_GOM]=$A9)*(Data_Xuất[Month]=FJ$2)))</f>
        <v>0</v>
      </c>
      <c r="FK9" s="24" cm="1">
        <f t="array" ref="FK9">IF(FK$2="FY",SUMPRODUCT(Data_Nhập[Tổng Nhập-NX]*(Data_Nhập[Year]=FK$1)*(Data_Nhập[Main SKU name_GOM]=$A9)*(Data_Nhập[SKU name_NHẬP_GOM]=FK$3)),SUMPRODUCT(Data_Nhập[Tổng Nhập-NX]*(Data_Nhập[Year]=FK$1)*(Data_Nhập[Month]=FK$2)*(Data_Nhập[Main SKU name_GOM]=$A9)*(Data_Nhập[SKU name_NHẬP_GOM]=FK$3)))</f>
        <v>0</v>
      </c>
      <c r="FL9" s="24" cm="1">
        <f t="array" ref="FL9">IF(FL$2="FY",SUMPRODUCT(Data_Nhập[Tổng Nhập-NX]*(Data_Nhập[Year]=FL$1)*(Data_Nhập[Main SKU name_GOM]=$A9)*(Data_Nhập[SKU name_NHẬP_GOM]=FL$3)),SUMPRODUCT(Data_Nhập[Tổng Nhập-NX]*(Data_Nhập[Year]=FL$1)*(Data_Nhập[Month]=FL$2)*(Data_Nhập[Main SKU name_GOM]=$A9)*(Data_Nhập[SKU name_NHẬP_GOM]=FL$3)))</f>
        <v>0</v>
      </c>
      <c r="FM9" s="24" cm="1">
        <f t="array" ref="FM9">IF(FM$2="FY",SUMPRODUCT(Data_Nhập[Tổng Nhập-NX]*(Data_Nhập[Year]=FM$1)*(Data_Nhập[Main SKU name_GOM]=$A9)*(Data_Nhập[SKU name_NHẬP_GOM]=FM$3)),SUMPRODUCT(Data_Nhập[Tổng Nhập-NX]*(Data_Nhập[Year]=FM$1)*(Data_Nhập[Month]=FM$2)*(Data_Nhập[Main SKU name_GOM]=$A9)*(Data_Nhập[SKU name_NHẬP_GOM]=FM$3)))</f>
        <v>0</v>
      </c>
      <c r="FN9" s="24" cm="1">
        <f t="array" ref="FN9">IF(FN$2="FY",SUMPRODUCT(Data_Nhập[Tổng Nhập-NX]*(Data_Nhập[Year]=FN$1)*(Data_Nhập[Main SKU name_GOM]=$A9)*(Data_Nhập[SKU name_NHẬP_GOM]=FN$3)),SUMPRODUCT(Data_Nhập[Tổng Nhập-NX]*(Data_Nhập[Year]=FN$1)*(Data_Nhập[Month]=FN$2)*(Data_Nhập[Main SKU name_GOM]=$A9)*(Data_Nhập[SKU name_NHẬP_GOM]=FN$3)))</f>
        <v>0</v>
      </c>
      <c r="FO9" s="24" cm="1">
        <f t="array" ref="FO9">IF(FO$2="FY",SUMPRODUCT(Data_Nhập[Tổng Nhập-NX]*(Data_Nhập[Year]=FO$1)*(Data_Nhập[Main SKU name_GOM]=$A9)*(Data_Nhập[SKU name_NHẬP_GOM]=FO$3)),SUMPRODUCT(Data_Nhập[Tổng Nhập-NX]*(Data_Nhập[Year]=FO$1)*(Data_Nhập[Month]=FO$2)*(Data_Nhập[Main SKU name_GOM]=$A9)*(Data_Nhập[SKU name_NHẬP_GOM]=FO$3)))</f>
        <v>0</v>
      </c>
      <c r="FP9" s="24" cm="1">
        <f t="array" ref="FP9">IF(FP$2="FY",SUMPRODUCT(Data_Nhập[Tổng Nhập-NX]*(Data_Nhập[Year]=FP$1)*(Data_Nhập[Main SKU name_GOM]=$A9)*(Data_Nhập[SKU name_NHẬP_GOM]=FP$3)),SUMPRODUCT(Data_Nhập[Tổng Nhập-NX]*(Data_Nhập[Year]=FP$1)*(Data_Nhập[Month]=FP$2)*(Data_Nhập[Main SKU name_GOM]=$A9)*(Data_Nhập[SKU name_NHẬP_GOM]=FP$3)))</f>
        <v>0</v>
      </c>
      <c r="FQ9" s="24" cm="1">
        <f t="array" ref="FQ9">IF(FQ$2="FY",SUMPRODUCT(Data_Nhập[Tổng Nhập-NX]*(Data_Nhập[Year]=FQ$1)*(Data_Nhập[Main SKU name_GOM]=$A9)*(Data_Nhập[SKU name_NHẬP_GOM]=FQ$3)),SUMPRODUCT(Data_Nhập[Tổng Nhập-NX]*(Data_Nhập[Year]=FQ$1)*(Data_Nhập[Month]=FQ$2)*(Data_Nhập[Main SKU name_GOM]=$A9)*(Data_Nhập[SKU name_NHẬP_GOM]=FQ$3)))</f>
        <v>0</v>
      </c>
      <c r="FR9" s="24" cm="1">
        <f t="array" ref="FR9">IF(FR$2="FY",SUMPRODUCT(Data_Nhập[Tổng Nhập-NX]*(Data_Nhập[Year]=FR$1)*(Data_Nhập[Main SKU name_GOM]=$A9)*(Data_Nhập[SKU name_NHẬP_GOM]=FR$3)),SUMPRODUCT(Data_Nhập[Tổng Nhập-NX]*(Data_Nhập[Year]=FR$1)*(Data_Nhập[Month]=FR$2)*(Data_Nhập[Main SKU name_GOM]=$A9)*(Data_Nhập[SKU name_NHẬP_GOM]=FR$3)))</f>
        <v>0</v>
      </c>
      <c r="FS9" s="24" cm="1">
        <f t="array" ref="FS9">IF(FS$2="FY",SUMPRODUCT(Data_Nhập[Tổng Nhập-NX]*(Data_Nhập[Year]=FS$1)*(Data_Nhập[Main SKU name_GOM]=$A9)*(Data_Nhập[SKU name_NHẬP_GOM]=FS$3)),SUMPRODUCT(Data_Nhập[Tổng Nhập-NX]*(Data_Nhập[Year]=FS$1)*(Data_Nhập[Month]=FS$2)*(Data_Nhập[Main SKU name_GOM]=$A9)*(Data_Nhập[SKU name_NHẬP_GOM]=FS$3)))</f>
        <v>0</v>
      </c>
      <c r="FT9" s="24" cm="1">
        <f t="array" ref="FT9">IF(FT$2="FY",SUMPRODUCT(Data_Nhập[Tổng Nhập-NX]*(Data_Nhập[Year]=FT$1)*(Data_Nhập[Main SKU name_GOM]=$A9)*(Data_Nhập[SKU name_NHẬP_GOM]=FT$3)),SUMPRODUCT(Data_Nhập[Tổng Nhập-NX]*(Data_Nhập[Year]=FT$1)*(Data_Nhập[Month]=FT$2)*(Data_Nhập[Main SKU name_GOM]=$A9)*(Data_Nhập[SKU name_NHẬP_GOM]=FT$3)))</f>
        <v>0</v>
      </c>
      <c r="FU9" s="24" cm="1">
        <f t="array" ref="FU9">IF(FU$2="FY",SUMPRODUCT(Data_Nhập[Tổng Nhập-NX]*(Data_Nhập[Year]=FU$1)*(Data_Nhập[Main SKU name_GOM]=$A9)*(Data_Nhập[SKU name_NHẬP_GOM]=FU$3)),SUMPRODUCT(Data_Nhập[Tổng Nhập-NX]*(Data_Nhập[Year]=FU$1)*(Data_Nhập[Month]=FU$2)*(Data_Nhập[Main SKU name_GOM]=$A9)*(Data_Nhập[SKU name_NHẬP_GOM]=FU$3)))</f>
        <v>0</v>
      </c>
      <c r="FV9" s="24" cm="1">
        <f t="array" ref="FV9">IF(FV$2="FY",SUMPRODUCT(Data_Nhập[Tổng Nhập-NX]*(Data_Nhập[Year]=FV$1)*(Data_Nhập[Main SKU name_GOM]=$A9)*(Data_Nhập[SKU name_NHẬP_GOM]=FV$3)),SUMPRODUCT(Data_Nhập[Tổng Nhập-NX]*(Data_Nhập[Year]=FV$1)*(Data_Nhập[Month]=FV$2)*(Data_Nhập[Main SKU name_GOM]=$A9)*(Data_Nhập[SKU name_NHẬP_GOM]=FV$3)))</f>
        <v>0</v>
      </c>
      <c r="FW9" s="24" cm="1">
        <f t="array" ref="FW9">IF(FW$2="FY",SUMPRODUCT(Data_Nhập[Tổng Nhập-NX]*(Data_Nhập[Year]=FW$1)*(Data_Nhập[Main SKU name_GOM]=$A9)*(Data_Nhập[SKU name_NHẬP_GOM]=FW$3)),SUMPRODUCT(Data_Nhập[Tổng Nhập-NX]*(Data_Nhập[Year]=FW$1)*(Data_Nhập[Month]=FW$2)*(Data_Nhập[Main SKU name_GOM]=$A9)*(Data_Nhập[SKU name_NHẬP_GOM]=FW$3)))</f>
        <v>0</v>
      </c>
      <c r="FX9" s="24" cm="1">
        <f t="array" ref="FX9">IF(FX$2="FY",SUMPRODUCT(Data_Nhập[Tổng Nhập-NX]*(Data_Nhập[Year]=FX$1)*(Data_Nhập[Main SKU name_GOM]=$A9)*(Data_Nhập[SKU name_NHẬP_GOM]=FX$3)),SUMPRODUCT(Data_Nhập[Tổng Nhập-NX]*(Data_Nhập[Year]=FX$1)*(Data_Nhập[Month]=FX$2)*(Data_Nhập[Main SKU name_GOM]=$A9)*(Data_Nhập[SKU name_NHẬP_GOM]=FX$3)))</f>
        <v>0</v>
      </c>
      <c r="FY9" s="24" cm="1">
        <f t="array" ref="FY9">IF(FY$2="FY",SUMPRODUCT(Data_Nhập[Tổng Nhập-NX]*(Data_Nhập[Year]=FY$1)*(Data_Nhập[Main SKU name_GOM]=$A9)*(Data_Nhập[SKU name_NHẬP_GOM]=FY$3)),SUMPRODUCT(Data_Nhập[Tổng Nhập-NX]*(Data_Nhập[Year]=FY$1)*(Data_Nhập[Month]=FY$2)*(Data_Nhập[Main SKU name_GOM]=$A9)*(Data_Nhập[SKU name_NHẬP_GOM]=FY$3)))</f>
        <v>0</v>
      </c>
      <c r="FZ9" s="25">
        <f t="shared" si="21"/>
        <v>0</v>
      </c>
      <c r="GB9" s="25" cm="1">
        <f t="array" ref="GB9">IF(GB$2="FY",SUMPRODUCT(Data_Xuất[Xuất-NX]*(Data_Xuất[Year]=GB$1)*(Data_Xuất[Main SKU name_GOM]=$A9)),SUMPRODUCT(Data_Xuất[Xuất-NX]*(Data_Xuất[Year]=GB$1)*(Data_Xuất[Main SKU name_GOM]=$A9)*(Data_Xuất[Month]=GB$2)))</f>
        <v>0</v>
      </c>
      <c r="GC9" s="24" cm="1">
        <f t="array" ref="GC9">IF(GC$2="FY",SUMPRODUCT(Data_Nhập[Tổng Nhập-NX]*(Data_Nhập[Year]=GC$1)*(Data_Nhập[Main SKU name_GOM]=$A9)*(Data_Nhập[SKU name_NHẬP_GOM]=GC$3)),SUMPRODUCT(Data_Nhập[Tổng Nhập-NX]*(Data_Nhập[Year]=GC$1)*(Data_Nhập[Month]=GC$2)*(Data_Nhập[Main SKU name_GOM]=$A9)*(Data_Nhập[SKU name_NHẬP_GOM]=GC$3)))</f>
        <v>0</v>
      </c>
      <c r="GD9" s="24" cm="1">
        <f t="array" ref="GD9">IF(GD$2="FY",SUMPRODUCT(Data_Nhập[Tổng Nhập-NX]*(Data_Nhập[Year]=GD$1)*(Data_Nhập[Main SKU name_GOM]=$A9)*(Data_Nhập[SKU name_NHẬP_GOM]=GD$3)),SUMPRODUCT(Data_Nhập[Tổng Nhập-NX]*(Data_Nhập[Year]=GD$1)*(Data_Nhập[Month]=GD$2)*(Data_Nhập[Main SKU name_GOM]=$A9)*(Data_Nhập[SKU name_NHẬP_GOM]=GD$3)))</f>
        <v>0</v>
      </c>
      <c r="GE9" s="24" cm="1">
        <f t="array" ref="GE9">IF(GE$2="FY",SUMPRODUCT(Data_Nhập[Tổng Nhập-NX]*(Data_Nhập[Year]=GE$1)*(Data_Nhập[Main SKU name_GOM]=$A9)*(Data_Nhập[SKU name_NHẬP_GOM]=GE$3)),SUMPRODUCT(Data_Nhập[Tổng Nhập-NX]*(Data_Nhập[Year]=GE$1)*(Data_Nhập[Month]=GE$2)*(Data_Nhập[Main SKU name_GOM]=$A9)*(Data_Nhập[SKU name_NHẬP_GOM]=GE$3)))</f>
        <v>0</v>
      </c>
      <c r="GF9" s="24" cm="1">
        <f t="array" ref="GF9">IF(GF$2="FY",SUMPRODUCT(Data_Nhập[Tổng Nhập-NX]*(Data_Nhập[Year]=GF$1)*(Data_Nhập[Main SKU name_GOM]=$A9)*(Data_Nhập[SKU name_NHẬP_GOM]=GF$3)),SUMPRODUCT(Data_Nhập[Tổng Nhập-NX]*(Data_Nhập[Year]=GF$1)*(Data_Nhập[Month]=GF$2)*(Data_Nhập[Main SKU name_GOM]=$A9)*(Data_Nhập[SKU name_NHẬP_GOM]=GF$3)))</f>
        <v>0</v>
      </c>
      <c r="GG9" s="24" cm="1">
        <f t="array" ref="GG9">IF(GG$2="FY",SUMPRODUCT(Data_Nhập[Tổng Nhập-NX]*(Data_Nhập[Year]=GG$1)*(Data_Nhập[Main SKU name_GOM]=$A9)*(Data_Nhập[SKU name_NHẬP_GOM]=GG$3)),SUMPRODUCT(Data_Nhập[Tổng Nhập-NX]*(Data_Nhập[Year]=GG$1)*(Data_Nhập[Month]=GG$2)*(Data_Nhập[Main SKU name_GOM]=$A9)*(Data_Nhập[SKU name_NHẬP_GOM]=GG$3)))</f>
        <v>0</v>
      </c>
      <c r="GH9" s="24" cm="1">
        <f t="array" ref="GH9">IF(GH$2="FY",SUMPRODUCT(Data_Nhập[Tổng Nhập-NX]*(Data_Nhập[Year]=GH$1)*(Data_Nhập[Main SKU name_GOM]=$A9)*(Data_Nhập[SKU name_NHẬP_GOM]=GH$3)),SUMPRODUCT(Data_Nhập[Tổng Nhập-NX]*(Data_Nhập[Year]=GH$1)*(Data_Nhập[Month]=GH$2)*(Data_Nhập[Main SKU name_GOM]=$A9)*(Data_Nhập[SKU name_NHẬP_GOM]=GH$3)))</f>
        <v>0</v>
      </c>
      <c r="GI9" s="24" cm="1">
        <f t="array" ref="GI9">IF(GI$2="FY",SUMPRODUCT(Data_Nhập[Tổng Nhập-NX]*(Data_Nhập[Year]=GI$1)*(Data_Nhập[Main SKU name_GOM]=$A9)*(Data_Nhập[SKU name_NHẬP_GOM]=GI$3)),SUMPRODUCT(Data_Nhập[Tổng Nhập-NX]*(Data_Nhập[Year]=GI$1)*(Data_Nhập[Month]=GI$2)*(Data_Nhập[Main SKU name_GOM]=$A9)*(Data_Nhập[SKU name_NHẬP_GOM]=GI$3)))</f>
        <v>0</v>
      </c>
      <c r="GJ9" s="24" cm="1">
        <f t="array" ref="GJ9">IF(GJ$2="FY",SUMPRODUCT(Data_Nhập[Tổng Nhập-NX]*(Data_Nhập[Year]=GJ$1)*(Data_Nhập[Main SKU name_GOM]=$A9)*(Data_Nhập[SKU name_NHẬP_GOM]=GJ$3)),SUMPRODUCT(Data_Nhập[Tổng Nhập-NX]*(Data_Nhập[Year]=GJ$1)*(Data_Nhập[Month]=GJ$2)*(Data_Nhập[Main SKU name_GOM]=$A9)*(Data_Nhập[SKU name_NHẬP_GOM]=GJ$3)))</f>
        <v>0</v>
      </c>
      <c r="GK9" s="24" cm="1">
        <f t="array" ref="GK9">IF(GK$2="FY",SUMPRODUCT(Data_Nhập[Tổng Nhập-NX]*(Data_Nhập[Year]=GK$1)*(Data_Nhập[Main SKU name_GOM]=$A9)*(Data_Nhập[SKU name_NHẬP_GOM]=GK$3)),SUMPRODUCT(Data_Nhập[Tổng Nhập-NX]*(Data_Nhập[Year]=GK$1)*(Data_Nhập[Month]=GK$2)*(Data_Nhập[Main SKU name_GOM]=$A9)*(Data_Nhập[SKU name_NHẬP_GOM]=GK$3)))</f>
        <v>0</v>
      </c>
      <c r="GL9" s="24" cm="1">
        <f t="array" ref="GL9">IF(GL$2="FY",SUMPRODUCT(Data_Nhập[Tổng Nhập-NX]*(Data_Nhập[Year]=GL$1)*(Data_Nhập[Main SKU name_GOM]=$A9)*(Data_Nhập[SKU name_NHẬP_GOM]=GL$3)),SUMPRODUCT(Data_Nhập[Tổng Nhập-NX]*(Data_Nhập[Year]=GL$1)*(Data_Nhập[Month]=GL$2)*(Data_Nhập[Main SKU name_GOM]=$A9)*(Data_Nhập[SKU name_NHẬP_GOM]=GL$3)))</f>
        <v>0</v>
      </c>
      <c r="GM9" s="24" cm="1">
        <f t="array" ref="GM9">IF(GM$2="FY",SUMPRODUCT(Data_Nhập[Tổng Nhập-NX]*(Data_Nhập[Year]=GM$1)*(Data_Nhập[Main SKU name_GOM]=$A9)*(Data_Nhập[SKU name_NHẬP_GOM]=GM$3)),SUMPRODUCT(Data_Nhập[Tổng Nhập-NX]*(Data_Nhập[Year]=GM$1)*(Data_Nhập[Month]=GM$2)*(Data_Nhập[Main SKU name_GOM]=$A9)*(Data_Nhập[SKU name_NHẬP_GOM]=GM$3)))</f>
        <v>0</v>
      </c>
      <c r="GN9" s="24" cm="1">
        <f t="array" ref="GN9">IF(GN$2="FY",SUMPRODUCT(Data_Nhập[Tổng Nhập-NX]*(Data_Nhập[Year]=GN$1)*(Data_Nhập[Main SKU name_GOM]=$A9)*(Data_Nhập[SKU name_NHẬP_GOM]=GN$3)),SUMPRODUCT(Data_Nhập[Tổng Nhập-NX]*(Data_Nhập[Year]=GN$1)*(Data_Nhập[Month]=GN$2)*(Data_Nhập[Main SKU name_GOM]=$A9)*(Data_Nhập[SKU name_NHẬP_GOM]=GN$3)))</f>
        <v>0</v>
      </c>
      <c r="GO9" s="24" cm="1">
        <f t="array" ref="GO9">IF(GO$2="FY",SUMPRODUCT(Data_Nhập[Tổng Nhập-NX]*(Data_Nhập[Year]=GO$1)*(Data_Nhập[Main SKU name_GOM]=$A9)*(Data_Nhập[SKU name_NHẬP_GOM]=GO$3)),SUMPRODUCT(Data_Nhập[Tổng Nhập-NX]*(Data_Nhập[Year]=GO$1)*(Data_Nhập[Month]=GO$2)*(Data_Nhập[Main SKU name_GOM]=$A9)*(Data_Nhập[SKU name_NHẬP_GOM]=GO$3)))</f>
        <v>0</v>
      </c>
      <c r="GP9" s="24" cm="1">
        <f t="array" ref="GP9">IF(GP$2="FY",SUMPRODUCT(Data_Nhập[Tổng Nhập-NX]*(Data_Nhập[Year]=GP$1)*(Data_Nhập[Main SKU name_GOM]=$A9)*(Data_Nhập[SKU name_NHẬP_GOM]=GP$3)),SUMPRODUCT(Data_Nhập[Tổng Nhập-NX]*(Data_Nhập[Year]=GP$1)*(Data_Nhập[Month]=GP$2)*(Data_Nhập[Main SKU name_GOM]=$A9)*(Data_Nhập[SKU name_NHẬP_GOM]=GP$3)))</f>
        <v>0</v>
      </c>
      <c r="GQ9" s="24" cm="1">
        <f t="array" ref="GQ9">IF(GQ$2="FY",SUMPRODUCT(Data_Nhập[Tổng Nhập-NX]*(Data_Nhập[Year]=GQ$1)*(Data_Nhập[Main SKU name_GOM]=$A9)*(Data_Nhập[SKU name_NHẬP_GOM]=GQ$3)),SUMPRODUCT(Data_Nhập[Tổng Nhập-NX]*(Data_Nhập[Year]=GQ$1)*(Data_Nhập[Month]=GQ$2)*(Data_Nhập[Main SKU name_GOM]=$A9)*(Data_Nhập[SKU name_NHẬP_GOM]=GQ$3)))</f>
        <v>0</v>
      </c>
      <c r="GR9" s="25">
        <f t="shared" si="22"/>
        <v>0</v>
      </c>
      <c r="GT9" s="25" cm="1">
        <f t="array" ref="GT9">IF(GT$2="FY",SUMPRODUCT(Data_Xuất[Xuất-NX]*(Data_Xuất[Year]=GT$1)*(Data_Xuất[Main SKU name_GOM]=$A9)),SUMPRODUCT(Data_Xuất[Xuất-NX]*(Data_Xuất[Year]=GT$1)*(Data_Xuất[Main SKU name_GOM]=$A9)*(Data_Xuất[Month]=GT$2)))</f>
        <v>0</v>
      </c>
      <c r="GU9" s="24" cm="1">
        <f t="array" ref="GU9">IF(GU$2="FY",SUMPRODUCT(Data_Nhập[Tổng Nhập-NX]*(Data_Nhập[Year]=GU$1)*(Data_Nhập[Main SKU name_GOM]=$A9)*(Data_Nhập[SKU name_NHẬP_GOM]=GU$3)),SUMPRODUCT(Data_Nhập[Tổng Nhập-NX]*(Data_Nhập[Year]=GU$1)*(Data_Nhập[Month]=GU$2)*(Data_Nhập[Main SKU name_GOM]=$A9)*(Data_Nhập[SKU name_NHẬP_GOM]=GU$3)))</f>
        <v>0</v>
      </c>
      <c r="GV9" s="24" cm="1">
        <f t="array" ref="GV9">IF(GV$2="FY",SUMPRODUCT(Data_Nhập[Tổng Nhập-NX]*(Data_Nhập[Year]=GV$1)*(Data_Nhập[Main SKU name_GOM]=$A9)*(Data_Nhập[SKU name_NHẬP_GOM]=GV$3)),SUMPRODUCT(Data_Nhập[Tổng Nhập-NX]*(Data_Nhập[Year]=GV$1)*(Data_Nhập[Month]=GV$2)*(Data_Nhập[Main SKU name_GOM]=$A9)*(Data_Nhập[SKU name_NHẬP_GOM]=GV$3)))</f>
        <v>0</v>
      </c>
      <c r="GW9" s="24" cm="1">
        <f t="array" ref="GW9">IF(GW$2="FY",SUMPRODUCT(Data_Nhập[Tổng Nhập-NX]*(Data_Nhập[Year]=GW$1)*(Data_Nhập[Main SKU name_GOM]=$A9)*(Data_Nhập[SKU name_NHẬP_GOM]=GW$3)),SUMPRODUCT(Data_Nhập[Tổng Nhập-NX]*(Data_Nhập[Year]=GW$1)*(Data_Nhập[Month]=GW$2)*(Data_Nhập[Main SKU name_GOM]=$A9)*(Data_Nhập[SKU name_NHẬP_GOM]=GW$3)))</f>
        <v>0</v>
      </c>
      <c r="GX9" s="24" cm="1">
        <f t="array" ref="GX9">IF(GX$2="FY",SUMPRODUCT(Data_Nhập[Tổng Nhập-NX]*(Data_Nhập[Year]=GX$1)*(Data_Nhập[Main SKU name_GOM]=$A9)*(Data_Nhập[SKU name_NHẬP_GOM]=GX$3)),SUMPRODUCT(Data_Nhập[Tổng Nhập-NX]*(Data_Nhập[Year]=GX$1)*(Data_Nhập[Month]=GX$2)*(Data_Nhập[Main SKU name_GOM]=$A9)*(Data_Nhập[SKU name_NHẬP_GOM]=GX$3)))</f>
        <v>0</v>
      </c>
      <c r="GY9" s="24" cm="1">
        <f t="array" ref="GY9">IF(GY$2="FY",SUMPRODUCT(Data_Nhập[Tổng Nhập-NX]*(Data_Nhập[Year]=GY$1)*(Data_Nhập[Main SKU name_GOM]=$A9)*(Data_Nhập[SKU name_NHẬP_GOM]=GY$3)),SUMPRODUCT(Data_Nhập[Tổng Nhập-NX]*(Data_Nhập[Year]=GY$1)*(Data_Nhập[Month]=GY$2)*(Data_Nhập[Main SKU name_GOM]=$A9)*(Data_Nhập[SKU name_NHẬP_GOM]=GY$3)))</f>
        <v>0</v>
      </c>
      <c r="GZ9" s="24" cm="1">
        <f t="array" ref="GZ9">IF(GZ$2="FY",SUMPRODUCT(Data_Nhập[Tổng Nhập-NX]*(Data_Nhập[Year]=GZ$1)*(Data_Nhập[Main SKU name_GOM]=$A9)*(Data_Nhập[SKU name_NHẬP_GOM]=GZ$3)),SUMPRODUCT(Data_Nhập[Tổng Nhập-NX]*(Data_Nhập[Year]=GZ$1)*(Data_Nhập[Month]=GZ$2)*(Data_Nhập[Main SKU name_GOM]=$A9)*(Data_Nhập[SKU name_NHẬP_GOM]=GZ$3)))</f>
        <v>0</v>
      </c>
      <c r="HA9" s="24" cm="1">
        <f t="array" ref="HA9">IF(HA$2="FY",SUMPRODUCT(Data_Nhập[Tổng Nhập-NX]*(Data_Nhập[Year]=HA$1)*(Data_Nhập[Main SKU name_GOM]=$A9)*(Data_Nhập[SKU name_NHẬP_GOM]=HA$3)),SUMPRODUCT(Data_Nhập[Tổng Nhập-NX]*(Data_Nhập[Year]=HA$1)*(Data_Nhập[Month]=HA$2)*(Data_Nhập[Main SKU name_GOM]=$A9)*(Data_Nhập[SKU name_NHẬP_GOM]=HA$3)))</f>
        <v>0</v>
      </c>
      <c r="HB9" s="24" cm="1">
        <f t="array" ref="HB9">IF(HB$2="FY",SUMPRODUCT(Data_Nhập[Tổng Nhập-NX]*(Data_Nhập[Year]=HB$1)*(Data_Nhập[Main SKU name_GOM]=$A9)*(Data_Nhập[SKU name_NHẬP_GOM]=HB$3)),SUMPRODUCT(Data_Nhập[Tổng Nhập-NX]*(Data_Nhập[Year]=HB$1)*(Data_Nhập[Month]=HB$2)*(Data_Nhập[Main SKU name_GOM]=$A9)*(Data_Nhập[SKU name_NHẬP_GOM]=HB$3)))</f>
        <v>0</v>
      </c>
      <c r="HC9" s="24" cm="1">
        <f t="array" ref="HC9">IF(HC$2="FY",SUMPRODUCT(Data_Nhập[Tổng Nhập-NX]*(Data_Nhập[Year]=HC$1)*(Data_Nhập[Main SKU name_GOM]=$A9)*(Data_Nhập[SKU name_NHẬP_GOM]=HC$3)),SUMPRODUCT(Data_Nhập[Tổng Nhập-NX]*(Data_Nhập[Year]=HC$1)*(Data_Nhập[Month]=HC$2)*(Data_Nhập[Main SKU name_GOM]=$A9)*(Data_Nhập[SKU name_NHẬP_GOM]=HC$3)))</f>
        <v>0</v>
      </c>
      <c r="HD9" s="24" cm="1">
        <f t="array" ref="HD9">IF(HD$2="FY",SUMPRODUCT(Data_Nhập[Tổng Nhập-NX]*(Data_Nhập[Year]=HD$1)*(Data_Nhập[Main SKU name_GOM]=$A9)*(Data_Nhập[SKU name_NHẬP_GOM]=HD$3)),SUMPRODUCT(Data_Nhập[Tổng Nhập-NX]*(Data_Nhập[Year]=HD$1)*(Data_Nhập[Month]=HD$2)*(Data_Nhập[Main SKU name_GOM]=$A9)*(Data_Nhập[SKU name_NHẬP_GOM]=HD$3)))</f>
        <v>0</v>
      </c>
      <c r="HE9" s="24" cm="1">
        <f t="array" ref="HE9">IF(HE$2="FY",SUMPRODUCT(Data_Nhập[Tổng Nhập-NX]*(Data_Nhập[Year]=HE$1)*(Data_Nhập[Main SKU name_GOM]=$A9)*(Data_Nhập[SKU name_NHẬP_GOM]=HE$3)),SUMPRODUCT(Data_Nhập[Tổng Nhập-NX]*(Data_Nhập[Year]=HE$1)*(Data_Nhập[Month]=HE$2)*(Data_Nhập[Main SKU name_GOM]=$A9)*(Data_Nhập[SKU name_NHẬP_GOM]=HE$3)))</f>
        <v>0</v>
      </c>
      <c r="HF9" s="24" cm="1">
        <f t="array" ref="HF9">IF(HF$2="FY",SUMPRODUCT(Data_Nhập[Tổng Nhập-NX]*(Data_Nhập[Year]=HF$1)*(Data_Nhập[Main SKU name_GOM]=$A9)*(Data_Nhập[SKU name_NHẬP_GOM]=HF$3)),SUMPRODUCT(Data_Nhập[Tổng Nhập-NX]*(Data_Nhập[Year]=HF$1)*(Data_Nhập[Month]=HF$2)*(Data_Nhập[Main SKU name_GOM]=$A9)*(Data_Nhập[SKU name_NHẬP_GOM]=HF$3)))</f>
        <v>0</v>
      </c>
      <c r="HG9" s="24" cm="1">
        <f t="array" ref="HG9">IF(HG$2="FY",SUMPRODUCT(Data_Nhập[Tổng Nhập-NX]*(Data_Nhập[Year]=HG$1)*(Data_Nhập[Main SKU name_GOM]=$A9)*(Data_Nhập[SKU name_NHẬP_GOM]=HG$3)),SUMPRODUCT(Data_Nhập[Tổng Nhập-NX]*(Data_Nhập[Year]=HG$1)*(Data_Nhập[Month]=HG$2)*(Data_Nhập[Main SKU name_GOM]=$A9)*(Data_Nhập[SKU name_NHẬP_GOM]=HG$3)))</f>
        <v>0</v>
      </c>
      <c r="HH9" s="24" cm="1">
        <f t="array" ref="HH9">IF(HH$2="FY",SUMPRODUCT(Data_Nhập[Tổng Nhập-NX]*(Data_Nhập[Year]=HH$1)*(Data_Nhập[Main SKU name_GOM]=$A9)*(Data_Nhập[SKU name_NHẬP_GOM]=HH$3)),SUMPRODUCT(Data_Nhập[Tổng Nhập-NX]*(Data_Nhập[Year]=HH$1)*(Data_Nhập[Month]=HH$2)*(Data_Nhập[Main SKU name_GOM]=$A9)*(Data_Nhập[SKU name_NHẬP_GOM]=HH$3)))</f>
        <v>0</v>
      </c>
      <c r="HI9" s="24" cm="1">
        <f t="array" ref="HI9">IF(HI$2="FY",SUMPRODUCT(Data_Nhập[Tổng Nhập-NX]*(Data_Nhập[Year]=HI$1)*(Data_Nhập[Main SKU name_GOM]=$A9)*(Data_Nhập[SKU name_NHẬP_GOM]=HI$3)),SUMPRODUCT(Data_Nhập[Tổng Nhập-NX]*(Data_Nhập[Year]=HI$1)*(Data_Nhập[Month]=HI$2)*(Data_Nhập[Main SKU name_GOM]=$A9)*(Data_Nhập[SKU name_NHẬP_GOM]=HI$3)))</f>
        <v>0</v>
      </c>
      <c r="HJ9" s="25">
        <f t="shared" si="23"/>
        <v>0</v>
      </c>
      <c r="HL9" s="25" cm="1">
        <f t="array" ref="HL9">IF(HL$2="FY",SUMPRODUCT(Data_Xuất[Xuất-NX]*(Data_Xuất[Year]=HL$1)*(Data_Xuất[Main SKU name_GOM]=$A9)),SUMPRODUCT(Data_Xuất[Xuất-NX]*(Data_Xuất[Year]=HL$1)*(Data_Xuất[Main SKU name_GOM]=$A9)*(Data_Xuất[Month]=HL$2)))</f>
        <v>0</v>
      </c>
      <c r="HM9" s="24" cm="1">
        <f t="array" ref="HM9">IF(HM$2="FY",SUMPRODUCT(Data_Nhập[Tổng Nhập-NX]*(Data_Nhập[Year]=HM$1)*(Data_Nhập[Main SKU name_GOM]=$A9)*(Data_Nhập[SKU name_NHẬP_GOM]=HM$3)),SUMPRODUCT(Data_Nhập[Tổng Nhập-NX]*(Data_Nhập[Year]=HM$1)*(Data_Nhập[Month]=HM$2)*(Data_Nhập[Main SKU name_GOM]=$A9)*(Data_Nhập[SKU name_NHẬP_GOM]=HM$3)))</f>
        <v>0</v>
      </c>
      <c r="HN9" s="24" cm="1">
        <f t="array" ref="HN9">IF(HN$2="FY",SUMPRODUCT(Data_Nhập[Tổng Nhập-NX]*(Data_Nhập[Year]=HN$1)*(Data_Nhập[Main SKU name_GOM]=$A9)*(Data_Nhập[SKU name_NHẬP_GOM]=HN$3)),SUMPRODUCT(Data_Nhập[Tổng Nhập-NX]*(Data_Nhập[Year]=HN$1)*(Data_Nhập[Month]=HN$2)*(Data_Nhập[Main SKU name_GOM]=$A9)*(Data_Nhập[SKU name_NHẬP_GOM]=HN$3)))</f>
        <v>0</v>
      </c>
      <c r="HO9" s="24" cm="1">
        <f t="array" ref="HO9">IF(HO$2="FY",SUMPRODUCT(Data_Nhập[Tổng Nhập-NX]*(Data_Nhập[Year]=HO$1)*(Data_Nhập[Main SKU name_GOM]=$A9)*(Data_Nhập[SKU name_NHẬP_GOM]=HO$3)),SUMPRODUCT(Data_Nhập[Tổng Nhập-NX]*(Data_Nhập[Year]=HO$1)*(Data_Nhập[Month]=HO$2)*(Data_Nhập[Main SKU name_GOM]=$A9)*(Data_Nhập[SKU name_NHẬP_GOM]=HO$3)))</f>
        <v>0</v>
      </c>
      <c r="HP9" s="24" cm="1">
        <f t="array" ref="HP9">IF(HP$2="FY",SUMPRODUCT(Data_Nhập[Tổng Nhập-NX]*(Data_Nhập[Year]=HP$1)*(Data_Nhập[Main SKU name_GOM]=$A9)*(Data_Nhập[SKU name_NHẬP_GOM]=HP$3)),SUMPRODUCT(Data_Nhập[Tổng Nhập-NX]*(Data_Nhập[Year]=HP$1)*(Data_Nhập[Month]=HP$2)*(Data_Nhập[Main SKU name_GOM]=$A9)*(Data_Nhập[SKU name_NHẬP_GOM]=HP$3)))</f>
        <v>0</v>
      </c>
      <c r="HQ9" s="24" cm="1">
        <f t="array" ref="HQ9">IF(HQ$2="FY",SUMPRODUCT(Data_Nhập[Tổng Nhập-NX]*(Data_Nhập[Year]=HQ$1)*(Data_Nhập[Main SKU name_GOM]=$A9)*(Data_Nhập[SKU name_NHẬP_GOM]=HQ$3)),SUMPRODUCT(Data_Nhập[Tổng Nhập-NX]*(Data_Nhập[Year]=HQ$1)*(Data_Nhập[Month]=HQ$2)*(Data_Nhập[Main SKU name_GOM]=$A9)*(Data_Nhập[SKU name_NHẬP_GOM]=HQ$3)))</f>
        <v>0</v>
      </c>
      <c r="HR9" s="24" cm="1">
        <f t="array" ref="HR9">IF(HR$2="FY",SUMPRODUCT(Data_Nhập[Tổng Nhập-NX]*(Data_Nhập[Year]=HR$1)*(Data_Nhập[Main SKU name_GOM]=$A9)*(Data_Nhập[SKU name_NHẬP_GOM]=HR$3)),SUMPRODUCT(Data_Nhập[Tổng Nhập-NX]*(Data_Nhập[Year]=HR$1)*(Data_Nhập[Month]=HR$2)*(Data_Nhập[Main SKU name_GOM]=$A9)*(Data_Nhập[SKU name_NHẬP_GOM]=HR$3)))</f>
        <v>0</v>
      </c>
      <c r="HS9" s="24" cm="1">
        <f t="array" ref="HS9">IF(HS$2="FY",SUMPRODUCT(Data_Nhập[Tổng Nhập-NX]*(Data_Nhập[Year]=HS$1)*(Data_Nhập[Main SKU name_GOM]=$A9)*(Data_Nhập[SKU name_NHẬP_GOM]=HS$3)),SUMPRODUCT(Data_Nhập[Tổng Nhập-NX]*(Data_Nhập[Year]=HS$1)*(Data_Nhập[Month]=HS$2)*(Data_Nhập[Main SKU name_GOM]=$A9)*(Data_Nhập[SKU name_NHẬP_GOM]=HS$3)))</f>
        <v>0</v>
      </c>
      <c r="HT9" s="24" cm="1">
        <f t="array" ref="HT9">IF(HT$2="FY",SUMPRODUCT(Data_Nhập[Tổng Nhập-NX]*(Data_Nhập[Year]=HT$1)*(Data_Nhập[Main SKU name_GOM]=$A9)*(Data_Nhập[SKU name_NHẬP_GOM]=HT$3)),SUMPRODUCT(Data_Nhập[Tổng Nhập-NX]*(Data_Nhập[Year]=HT$1)*(Data_Nhập[Month]=HT$2)*(Data_Nhập[Main SKU name_GOM]=$A9)*(Data_Nhập[SKU name_NHẬP_GOM]=HT$3)))</f>
        <v>0</v>
      </c>
      <c r="HU9" s="24" cm="1">
        <f t="array" ref="HU9">IF(HU$2="FY",SUMPRODUCT(Data_Nhập[Tổng Nhập-NX]*(Data_Nhập[Year]=HU$1)*(Data_Nhập[Main SKU name_GOM]=$A9)*(Data_Nhập[SKU name_NHẬP_GOM]=HU$3)),SUMPRODUCT(Data_Nhập[Tổng Nhập-NX]*(Data_Nhập[Year]=HU$1)*(Data_Nhập[Month]=HU$2)*(Data_Nhập[Main SKU name_GOM]=$A9)*(Data_Nhập[SKU name_NHẬP_GOM]=HU$3)))</f>
        <v>0</v>
      </c>
      <c r="HV9" s="24" cm="1">
        <f t="array" ref="HV9">IF(HV$2="FY",SUMPRODUCT(Data_Nhập[Tổng Nhập-NX]*(Data_Nhập[Year]=HV$1)*(Data_Nhập[Main SKU name_GOM]=$A9)*(Data_Nhập[SKU name_NHẬP_GOM]=HV$3)),SUMPRODUCT(Data_Nhập[Tổng Nhập-NX]*(Data_Nhập[Year]=HV$1)*(Data_Nhập[Month]=HV$2)*(Data_Nhập[Main SKU name_GOM]=$A9)*(Data_Nhập[SKU name_NHẬP_GOM]=HV$3)))</f>
        <v>0</v>
      </c>
      <c r="HW9" s="24" cm="1">
        <f t="array" ref="HW9">IF(HW$2="FY",SUMPRODUCT(Data_Nhập[Tổng Nhập-NX]*(Data_Nhập[Year]=HW$1)*(Data_Nhập[Main SKU name_GOM]=$A9)*(Data_Nhập[SKU name_NHẬP_GOM]=HW$3)),SUMPRODUCT(Data_Nhập[Tổng Nhập-NX]*(Data_Nhập[Year]=HW$1)*(Data_Nhập[Month]=HW$2)*(Data_Nhập[Main SKU name_GOM]=$A9)*(Data_Nhập[SKU name_NHẬP_GOM]=HW$3)))</f>
        <v>0</v>
      </c>
      <c r="HX9" s="24" cm="1">
        <f t="array" ref="HX9">IF(HX$2="FY",SUMPRODUCT(Data_Nhập[Tổng Nhập-NX]*(Data_Nhập[Year]=HX$1)*(Data_Nhập[Main SKU name_GOM]=$A9)*(Data_Nhập[SKU name_NHẬP_GOM]=HX$3)),SUMPRODUCT(Data_Nhập[Tổng Nhập-NX]*(Data_Nhập[Year]=HX$1)*(Data_Nhập[Month]=HX$2)*(Data_Nhập[Main SKU name_GOM]=$A9)*(Data_Nhập[SKU name_NHẬP_GOM]=HX$3)))</f>
        <v>0</v>
      </c>
      <c r="HY9" s="24" cm="1">
        <f t="array" ref="HY9">IF(HY$2="FY",SUMPRODUCT(Data_Nhập[Tổng Nhập-NX]*(Data_Nhập[Year]=HY$1)*(Data_Nhập[Main SKU name_GOM]=$A9)*(Data_Nhập[SKU name_NHẬP_GOM]=HY$3)),SUMPRODUCT(Data_Nhập[Tổng Nhập-NX]*(Data_Nhập[Year]=HY$1)*(Data_Nhập[Month]=HY$2)*(Data_Nhập[Main SKU name_GOM]=$A9)*(Data_Nhập[SKU name_NHẬP_GOM]=HY$3)))</f>
        <v>0</v>
      </c>
      <c r="HZ9" s="24" cm="1">
        <f t="array" ref="HZ9">IF(HZ$2="FY",SUMPRODUCT(Data_Nhập[Tổng Nhập-NX]*(Data_Nhập[Year]=HZ$1)*(Data_Nhập[Main SKU name_GOM]=$A9)*(Data_Nhập[SKU name_NHẬP_GOM]=HZ$3)),SUMPRODUCT(Data_Nhập[Tổng Nhập-NX]*(Data_Nhập[Year]=HZ$1)*(Data_Nhập[Month]=HZ$2)*(Data_Nhập[Main SKU name_GOM]=$A9)*(Data_Nhập[SKU name_NHẬP_GOM]=HZ$3)))</f>
        <v>0</v>
      </c>
      <c r="IA9" s="24" cm="1">
        <f t="array" ref="IA9">IF(IA$2="FY",SUMPRODUCT(Data_Nhập[Tổng Nhập-NX]*(Data_Nhập[Year]=IA$1)*(Data_Nhập[Main SKU name_GOM]=$A9)*(Data_Nhập[SKU name_NHẬP_GOM]=IA$3)),SUMPRODUCT(Data_Nhập[Tổng Nhập-NX]*(Data_Nhập[Year]=IA$1)*(Data_Nhập[Month]=IA$2)*(Data_Nhập[Main SKU name_GOM]=$A9)*(Data_Nhập[SKU name_NHẬP_GOM]=IA$3)))</f>
        <v>0</v>
      </c>
      <c r="IB9" s="25">
        <f t="shared" si="24"/>
        <v>0</v>
      </c>
    </row>
    <row r="10" spans="1:236" x14ac:dyDescent="0.35">
      <c r="A10" s="5" t="s">
        <v>148</v>
      </c>
      <c r="B10" s="22" t="s">
        <v>148</v>
      </c>
      <c r="D10" s="25" cm="1">
        <f t="array" ref="D10">IF(D$2="FY",SUMPRODUCT(Data_Xuất[Xuất-NX]*(Data_Xuất[Year]=D$1)*(Data_Xuất[Main SKU name_GOM]=$A10)),SUMPRODUCT(Data_Xuất[Xuất-NX]*(Data_Xuất[Year]=D$1)*(Data_Xuất[Main SKU name_GOM]=$A10)*Data_Xuất[Month]=D$2))</f>
        <v>36170</v>
      </c>
      <c r="E10" s="24" cm="1">
        <f t="array" ref="E10">IF(E$2="FY",SUMPRODUCT(Data_Nhập[Tổng Nhập-NX]*(Data_Nhập[Year]=E$1)*(Data_Nhập[Main SKU name_GOM]=$A10)*(Data_Nhập[SKU name_NHẬP_GOM]=E$3)),SUMPRODUCT(Data_Nhập[Tổng Nhập-NX]*(Data_Nhập[Year]=E$1)*(Data_Nhập[Month]=E$2)*(Data_Nhập[Main SKU name_GOM]=$A10)*(Data_Nhập[SKU name_NHẬP_GOM]=E$3)))</f>
        <v>0</v>
      </c>
      <c r="F10" s="24" cm="1">
        <f t="array" ref="F10">IF(F$2="FY",SUMPRODUCT(Data_Nhập[Tổng Nhập-NX]*(Data_Nhập[Year]=F$1)*(Data_Nhập[Main SKU name_GOM]=$A10)*(Data_Nhập[SKU name_NHẬP_GOM]=F$3)),SUMPRODUCT(Data_Nhập[Tổng Nhập-NX]*(Data_Nhập[Year]=F$1)*(Data_Nhập[Month]=F$2)*(Data_Nhập[Main SKU name_GOM]=$A10)*(Data_Nhập[SKU name_NHẬP_GOM]=F$3)))</f>
        <v>0</v>
      </c>
      <c r="G10" s="24" cm="1">
        <f t="array" ref="G10">IF(G$2="FY",SUMPRODUCT(Data_Nhập[Tổng Nhập-NX]*(Data_Nhập[Year]=G$1)*(Data_Nhập[Main SKU name_GOM]=$A10)*(Data_Nhập[SKU name_NHẬP_GOM]=G$3)),SUMPRODUCT(Data_Nhập[Tổng Nhập-NX]*(Data_Nhập[Year]=G$1)*(Data_Nhập[Month]=G$2)*(Data_Nhập[Main SKU name_GOM]=$A10)*(Data_Nhập[SKU name_NHẬP_GOM]=G$3)))</f>
        <v>0</v>
      </c>
      <c r="H10" s="24" cm="1">
        <f t="array" ref="H10">IF(H$2="FY",SUMPRODUCT(Data_Nhập[Tổng Nhập-NX]*(Data_Nhập[Year]=H$1)*(Data_Nhập[Main SKU name_GOM]=$A10)*(Data_Nhập[SKU name_NHẬP_GOM]=H$3)),SUMPRODUCT(Data_Nhập[Tổng Nhập-NX]*(Data_Nhập[Year]=H$1)*(Data_Nhập[Month]=H$2)*(Data_Nhập[Main SKU name_GOM]=$A10)*(Data_Nhập[SKU name_NHẬP_GOM]=H$3)))</f>
        <v>0</v>
      </c>
      <c r="I10" s="24" cm="1">
        <f t="array" ref="I10">IF(I$2="FY",SUMPRODUCT(Data_Nhập[Tổng Nhập-NX]*(Data_Nhập[Year]=I$1)*(Data_Nhập[Main SKU name_GOM]=$A10)*(Data_Nhập[SKU name_NHẬP_GOM]=I$3)),SUMPRODUCT(Data_Nhập[Tổng Nhập-NX]*(Data_Nhập[Year]=I$1)*(Data_Nhập[Month]=I$2)*(Data_Nhập[Main SKU name_GOM]=$A10)*(Data_Nhập[SKU name_NHẬP_GOM]=I$3)))</f>
        <v>0</v>
      </c>
      <c r="J10" s="24" cm="1">
        <f t="array" ref="J10">IF(J$2="FY",SUMPRODUCT(Data_Nhập[Tổng Nhập-NX]*(Data_Nhập[Year]=J$1)*(Data_Nhập[Main SKU name_GOM]=$A10)*(Data_Nhập[SKU name_NHẬP_GOM]=J$3)),SUMPRODUCT(Data_Nhập[Tổng Nhập-NX]*(Data_Nhập[Year]=J$1)*(Data_Nhập[Month]=J$2)*(Data_Nhập[Main SKU name_GOM]=$A10)*(Data_Nhập[SKU name_NHẬP_GOM]=J$3)))</f>
        <v>15238</v>
      </c>
      <c r="K10" s="24" cm="1">
        <f t="array" ref="K10">IF(K$2="FY",SUMPRODUCT(Data_Nhập[Tổng Nhập-NX]*(Data_Nhập[Year]=K$1)*(Data_Nhập[Main SKU name_GOM]=$A10)*(Data_Nhập[SKU name_NHẬP_GOM]=K$3)),SUMPRODUCT(Data_Nhập[Tổng Nhập-NX]*(Data_Nhập[Year]=K$1)*(Data_Nhập[Month]=K$2)*(Data_Nhập[Main SKU name_GOM]=$A10)*(Data_Nhập[SKU name_NHẬP_GOM]=K$3)))</f>
        <v>13700</v>
      </c>
      <c r="L10" s="24" cm="1">
        <f t="array" ref="L10">IF(L$2="FY",SUMPRODUCT(Data_Nhập[Tổng Nhập-NX]*(Data_Nhập[Year]=L$1)*(Data_Nhập[Main SKU name_GOM]=$A10)*(Data_Nhập[SKU name_NHẬP_GOM]=L$3)),SUMPRODUCT(Data_Nhập[Tổng Nhập-NX]*(Data_Nhập[Year]=L$1)*(Data_Nhập[Month]=L$2)*(Data_Nhập[Main SKU name_GOM]=$A10)*(Data_Nhập[SKU name_NHẬP_GOM]=L$3)))</f>
        <v>0</v>
      </c>
      <c r="M10" s="24" cm="1">
        <f t="array" ref="M10">IF(M$2="FY",SUMPRODUCT(Data_Nhập[Tổng Nhập-NX]*(Data_Nhập[Year]=M$1)*(Data_Nhập[Main SKU name_GOM]=$A10)*(Data_Nhập[SKU name_NHẬP_GOM]=M$3)),SUMPRODUCT(Data_Nhập[Tổng Nhập-NX]*(Data_Nhập[Year]=M$1)*(Data_Nhập[Month]=M$2)*(Data_Nhập[Main SKU name_GOM]=$A10)*(Data_Nhập[SKU name_NHẬP_GOM]=M$3)))</f>
        <v>0</v>
      </c>
      <c r="N10" s="24" cm="1">
        <f t="array" ref="N10">IF(N$2="FY",SUMPRODUCT(Data_Nhập[Tổng Nhập-NX]*(Data_Nhập[Year]=N$1)*(Data_Nhập[Main SKU name_GOM]=$A10)*(Data_Nhập[SKU name_NHẬP_GOM]=N$3)),SUMPRODUCT(Data_Nhập[Tổng Nhập-NX]*(Data_Nhập[Year]=N$1)*(Data_Nhập[Month]=N$2)*(Data_Nhập[Main SKU name_GOM]=$A10)*(Data_Nhập[SKU name_NHẬP_GOM]=N$3)))</f>
        <v>0</v>
      </c>
      <c r="O10" s="24" cm="1">
        <f t="array" ref="O10">IF(O$2="FY",SUMPRODUCT(Data_Nhập[Tổng Nhập-NX]*(Data_Nhập[Year]=O$1)*(Data_Nhập[Main SKU name_GOM]=$A10)*(Data_Nhập[SKU name_NHẬP_GOM]=O$3)),SUMPRODUCT(Data_Nhập[Tổng Nhập-NX]*(Data_Nhập[Year]=O$1)*(Data_Nhập[Month]=O$2)*(Data_Nhập[Main SKU name_GOM]=$A10)*(Data_Nhập[SKU name_NHẬP_GOM]=O$3)))</f>
        <v>0</v>
      </c>
      <c r="P10" s="24" cm="1">
        <f t="array" ref="P10">IF(P$2="FY",SUMPRODUCT(Data_Nhập[Tổng Nhập-NX]*(Data_Nhập[Year]=P$1)*(Data_Nhập[Main SKU name_GOM]=$A10)*(Data_Nhập[SKU name_NHẬP_GOM]=P$3)),SUMPRODUCT(Data_Nhập[Tổng Nhập-NX]*(Data_Nhập[Year]=P$1)*(Data_Nhập[Month]=P$2)*(Data_Nhập[Main SKU name_GOM]=$A10)*(Data_Nhập[SKU name_NHẬP_GOM]=P$3)))</f>
        <v>0</v>
      </c>
      <c r="Q10" s="24" cm="1">
        <f t="array" ref="Q10">IF(Q$2="FY",SUMPRODUCT(Data_Nhập[Tổng Nhập-NX]*(Data_Nhập[Year]=Q$1)*(Data_Nhập[Main SKU name_GOM]=$A10)*(Data_Nhập[SKU name_NHẬP_GOM]=Q$3)),SUMPRODUCT(Data_Nhập[Tổng Nhập-NX]*(Data_Nhập[Year]=Q$1)*(Data_Nhập[Month]=Q$2)*(Data_Nhập[Main SKU name_GOM]=$A10)*(Data_Nhập[SKU name_NHẬP_GOM]=Q$3)))</f>
        <v>1402</v>
      </c>
      <c r="R10" s="24" cm="1">
        <f t="array" ref="R10">IF(R$2="FY",SUMPRODUCT(Data_Nhập[Tổng Nhập-NX]*(Data_Nhập[Year]=R$1)*(Data_Nhập[Main SKU name_GOM]=$A10)*(Data_Nhập[SKU name_NHẬP_GOM]=R$3)),SUMPRODUCT(Data_Nhập[Tổng Nhập-NX]*(Data_Nhập[Year]=R$1)*(Data_Nhập[Month]=R$2)*(Data_Nhập[Main SKU name_GOM]=$A10)*(Data_Nhập[SKU name_NHẬP_GOM]=R$3)))</f>
        <v>3669</v>
      </c>
      <c r="S10" s="24" cm="1">
        <f t="array" ref="S10">IF(S$2="FY",SUMPRODUCT(Data_Nhập[Tổng Nhập-NX]*(Data_Nhập[Year]=S$1)*(Data_Nhập[Main SKU name_GOM]=$A10)*(Data_Nhập[SKU name_NHẬP_GOM]=S$3)),SUMPRODUCT(Data_Nhập[Tổng Nhập-NX]*(Data_Nhập[Year]=S$1)*(Data_Nhập[Month]=S$2)*(Data_Nhập[Main SKU name_GOM]=$A10)*(Data_Nhập[SKU name_NHẬP_GOM]=S$3)))</f>
        <v>0</v>
      </c>
      <c r="T10" s="25">
        <f t="shared" si="12"/>
        <v>34009</v>
      </c>
      <c r="V10" s="25" cm="1">
        <f t="array" ref="V10">IF(V$2="FY",SUMPRODUCT(Data_Xuất[Xuất-NX]*(Data_Xuất[Year]=V$1)*(Data_Xuất[Main SKU name_GOM]=$A10)),SUMPRODUCT(Data_Xuất[Xuất-NX]*(Data_Xuất[Year]=V$1)*(Data_Xuất[Main SKU name_GOM]=$A10)*(Data_Xuất[Month]=V$2)))</f>
        <v>11570</v>
      </c>
      <c r="W10" s="24" cm="1">
        <f t="array" ref="W10">IF(W$2="FY",SUMPRODUCT(Data_Nhập[Tổng Nhập-NX]*(Data_Nhập[Year]=W$1)*(Data_Nhập[Main SKU name_GOM]=$A10)*(Data_Nhập[SKU name_NHẬP_GOM]=W$3)),SUMPRODUCT(Data_Nhập[Tổng Nhập-NX]*(Data_Nhập[Year]=W$1)*(Data_Nhập[Month]=W$2)*(Data_Nhập[Main SKU name_GOM]=$A10)*(Data_Nhập[SKU name_NHẬP_GOM]=W$3)))</f>
        <v>0</v>
      </c>
      <c r="X10" s="24" cm="1">
        <f t="array" ref="X10">IF(X$2="FY",SUMPRODUCT(Data_Nhập[Tổng Nhập-NX]*(Data_Nhập[Year]=X$1)*(Data_Nhập[Main SKU name_GOM]=$A10)*(Data_Nhập[SKU name_NHẬP_GOM]=X$3)),SUMPRODUCT(Data_Nhập[Tổng Nhập-NX]*(Data_Nhập[Year]=X$1)*(Data_Nhập[Month]=X$2)*(Data_Nhập[Main SKU name_GOM]=$A10)*(Data_Nhập[SKU name_NHẬP_GOM]=X$3)))</f>
        <v>0</v>
      </c>
      <c r="Y10" s="24" cm="1">
        <f t="array" ref="Y10">IF(Y$2="FY",SUMPRODUCT(Data_Nhập[Tổng Nhập-NX]*(Data_Nhập[Year]=Y$1)*(Data_Nhập[Main SKU name_GOM]=$A10)*(Data_Nhập[SKU name_NHẬP_GOM]=Y$3)),SUMPRODUCT(Data_Nhập[Tổng Nhập-NX]*(Data_Nhập[Year]=Y$1)*(Data_Nhập[Month]=Y$2)*(Data_Nhập[Main SKU name_GOM]=$A10)*(Data_Nhập[SKU name_NHẬP_GOM]=Y$3)))</f>
        <v>0</v>
      </c>
      <c r="Z10" s="24" cm="1">
        <f t="array" ref="Z10">IF(Z$2="FY",SUMPRODUCT(Data_Nhập[Tổng Nhập-NX]*(Data_Nhập[Year]=Z$1)*(Data_Nhập[Main SKU name_GOM]=$A10)*(Data_Nhập[SKU name_NHẬP_GOM]=Z$3)),SUMPRODUCT(Data_Nhập[Tổng Nhập-NX]*(Data_Nhập[Year]=Z$1)*(Data_Nhập[Month]=Z$2)*(Data_Nhập[Main SKU name_GOM]=$A10)*(Data_Nhập[SKU name_NHẬP_GOM]=Z$3)))</f>
        <v>0</v>
      </c>
      <c r="AA10" s="24" cm="1">
        <f t="array" ref="AA10">IF(AA$2="FY",SUMPRODUCT(Data_Nhập[Tổng Nhập-NX]*(Data_Nhập[Year]=AA$1)*(Data_Nhập[Main SKU name_GOM]=$A10)*(Data_Nhập[SKU name_NHẬP_GOM]=AA$3)),SUMPRODUCT(Data_Nhập[Tổng Nhập-NX]*(Data_Nhập[Year]=AA$1)*(Data_Nhập[Month]=AA$2)*(Data_Nhập[Main SKU name_GOM]=$A10)*(Data_Nhập[SKU name_NHẬP_GOM]=AA$3)))</f>
        <v>0</v>
      </c>
      <c r="AB10" s="24" cm="1">
        <f t="array" ref="AB10">IF(AB$2="FY",SUMPRODUCT(Data_Nhập[Tổng Nhập-NX]*(Data_Nhập[Year]=AB$1)*(Data_Nhập[Main SKU name_GOM]=$A10)*(Data_Nhập[SKU name_NHẬP_GOM]=AB$3)),SUMPRODUCT(Data_Nhập[Tổng Nhập-NX]*(Data_Nhập[Year]=AB$1)*(Data_Nhập[Month]=AB$2)*(Data_Nhập[Main SKU name_GOM]=$A10)*(Data_Nhập[SKU name_NHẬP_GOM]=AB$3)))</f>
        <v>1365</v>
      </c>
      <c r="AC10" s="24" cm="1">
        <f t="array" ref="AC10">IF(AC$2="FY",SUMPRODUCT(Data_Nhập[Tổng Nhập-NX]*(Data_Nhập[Year]=AC$1)*(Data_Nhập[Main SKU name_GOM]=$A10)*(Data_Nhập[SKU name_NHẬP_GOM]=AC$3)),SUMPRODUCT(Data_Nhập[Tổng Nhập-NX]*(Data_Nhập[Year]=AC$1)*(Data_Nhập[Month]=AC$2)*(Data_Nhập[Main SKU name_GOM]=$A10)*(Data_Nhập[SKU name_NHẬP_GOM]=AC$3)))</f>
        <v>7225</v>
      </c>
      <c r="AD10" s="24" cm="1">
        <f t="array" ref="AD10">IF(AD$2="FY",SUMPRODUCT(Data_Nhập[Tổng Nhập-NX]*(Data_Nhập[Year]=AD$1)*(Data_Nhập[Main SKU name_GOM]=$A10)*(Data_Nhập[SKU name_NHẬP_GOM]=AD$3)),SUMPRODUCT(Data_Nhập[Tổng Nhập-NX]*(Data_Nhập[Year]=AD$1)*(Data_Nhập[Month]=AD$2)*(Data_Nhập[Main SKU name_GOM]=$A10)*(Data_Nhập[SKU name_NHẬP_GOM]=AD$3)))</f>
        <v>0</v>
      </c>
      <c r="AE10" s="24" cm="1">
        <f t="array" ref="AE10">IF(AE$2="FY",SUMPRODUCT(Data_Nhập[Tổng Nhập-NX]*(Data_Nhập[Year]=AE$1)*(Data_Nhập[Main SKU name_GOM]=$A10)*(Data_Nhập[SKU name_NHẬP_GOM]=AE$3)),SUMPRODUCT(Data_Nhập[Tổng Nhập-NX]*(Data_Nhập[Year]=AE$1)*(Data_Nhập[Month]=AE$2)*(Data_Nhập[Main SKU name_GOM]=$A10)*(Data_Nhập[SKU name_NHẬP_GOM]=AE$3)))</f>
        <v>0</v>
      </c>
      <c r="AF10" s="24" cm="1">
        <f t="array" ref="AF10">IF(AF$2="FY",SUMPRODUCT(Data_Nhập[Tổng Nhập-NX]*(Data_Nhập[Year]=AF$1)*(Data_Nhập[Main SKU name_GOM]=$A10)*(Data_Nhập[SKU name_NHẬP_GOM]=AF$3)),SUMPRODUCT(Data_Nhập[Tổng Nhập-NX]*(Data_Nhập[Year]=AF$1)*(Data_Nhập[Month]=AF$2)*(Data_Nhập[Main SKU name_GOM]=$A10)*(Data_Nhập[SKU name_NHẬP_GOM]=AF$3)))</f>
        <v>0</v>
      </c>
      <c r="AG10" s="24" cm="1">
        <f t="array" ref="AG10">IF(AG$2="FY",SUMPRODUCT(Data_Nhập[Tổng Nhập-NX]*(Data_Nhập[Year]=AG$1)*(Data_Nhập[Main SKU name_GOM]=$A10)*(Data_Nhập[SKU name_NHẬP_GOM]=AG$3)),SUMPRODUCT(Data_Nhập[Tổng Nhập-NX]*(Data_Nhập[Year]=AG$1)*(Data_Nhập[Month]=AG$2)*(Data_Nhập[Main SKU name_GOM]=$A10)*(Data_Nhập[SKU name_NHẬP_GOM]=AG$3)))</f>
        <v>0</v>
      </c>
      <c r="AH10" s="24" cm="1">
        <f t="array" ref="AH10">IF(AH$2="FY",SUMPRODUCT(Data_Nhập[Tổng Nhập-NX]*(Data_Nhập[Year]=AH$1)*(Data_Nhập[Main SKU name_GOM]=$A10)*(Data_Nhập[SKU name_NHẬP_GOM]=AH$3)),SUMPRODUCT(Data_Nhập[Tổng Nhập-NX]*(Data_Nhập[Year]=AH$1)*(Data_Nhập[Month]=AH$2)*(Data_Nhập[Main SKU name_GOM]=$A10)*(Data_Nhập[SKU name_NHẬP_GOM]=AH$3)))</f>
        <v>0</v>
      </c>
      <c r="AI10" s="24" cm="1">
        <f t="array" ref="AI10">IF(AI$2="FY",SUMPRODUCT(Data_Nhập[Tổng Nhập-NX]*(Data_Nhập[Year]=AI$1)*(Data_Nhập[Main SKU name_GOM]=$A10)*(Data_Nhập[SKU name_NHẬP_GOM]=AI$3)),SUMPRODUCT(Data_Nhập[Tổng Nhập-NX]*(Data_Nhập[Year]=AI$1)*(Data_Nhập[Month]=AI$2)*(Data_Nhập[Main SKU name_GOM]=$A10)*(Data_Nhập[SKU name_NHẬP_GOM]=AI$3)))</f>
        <v>0</v>
      </c>
      <c r="AJ10" s="24" cm="1">
        <f t="array" ref="AJ10">IF(AJ$2="FY",SUMPRODUCT(Data_Nhập[Tổng Nhập-NX]*(Data_Nhập[Year]=AJ$1)*(Data_Nhập[Main SKU name_GOM]=$A10)*(Data_Nhập[SKU name_NHẬP_GOM]=AJ$3)),SUMPRODUCT(Data_Nhập[Tổng Nhập-NX]*(Data_Nhập[Year]=AJ$1)*(Data_Nhập[Month]=AJ$2)*(Data_Nhập[Main SKU name_GOM]=$A10)*(Data_Nhập[SKU name_NHẬP_GOM]=AJ$3)))</f>
        <v>1750</v>
      </c>
      <c r="AK10" s="24" cm="1">
        <f t="array" ref="AK10">IF(AK$2="FY",SUMPRODUCT(Data_Nhập[Tổng Nhập-NX]*(Data_Nhập[Year]=AK$1)*(Data_Nhập[Main SKU name_GOM]=$A10)*(Data_Nhập[SKU name_NHẬP_GOM]=AK$3)),SUMPRODUCT(Data_Nhập[Tổng Nhập-NX]*(Data_Nhập[Year]=AK$1)*(Data_Nhập[Month]=AK$2)*(Data_Nhập[Main SKU name_GOM]=$A10)*(Data_Nhập[SKU name_NHẬP_GOM]=AK$3)))</f>
        <v>0</v>
      </c>
      <c r="AL10" s="25">
        <f t="shared" si="13"/>
        <v>10340</v>
      </c>
      <c r="AN10" s="25" cm="1">
        <f t="array" ref="AN10">IF(AN$2="FY",SUMPRODUCT(Data_Xuất[Xuất-NX]*(Data_Xuất[Year]=AN$1)*(Data_Xuất[Main SKU name_GOM]=$A10)),SUMPRODUCT(Data_Xuất[Xuất-NX]*(Data_Xuất[Year]=AN$1)*(Data_Xuất[Main SKU name_GOM]=$A10)*(Data_Xuất[Month]=AN$2)))</f>
        <v>18500</v>
      </c>
      <c r="AO10" s="24" cm="1">
        <f t="array" ref="AO10">IF(AO$2="FY",SUMPRODUCT(Data_Nhập[Tổng Nhập-NX]*(Data_Nhập[Year]=AO$1)*(Data_Nhập[Main SKU name_GOM]=$A10)*(Data_Nhập[SKU name_NHẬP_GOM]=AO$3)),SUMPRODUCT(Data_Nhập[Tổng Nhập-NX]*(Data_Nhập[Year]=AO$1)*(Data_Nhập[Month]=AO$2)*(Data_Nhập[Main SKU name_GOM]=$A10)*(Data_Nhập[SKU name_NHẬP_GOM]=AO$3)))</f>
        <v>0</v>
      </c>
      <c r="AP10" s="24" cm="1">
        <f t="array" ref="AP10">IF(AP$2="FY",SUMPRODUCT(Data_Nhập[Tổng Nhập-NX]*(Data_Nhập[Year]=AP$1)*(Data_Nhập[Main SKU name_GOM]=$A10)*(Data_Nhập[SKU name_NHẬP_GOM]=AP$3)),SUMPRODUCT(Data_Nhập[Tổng Nhập-NX]*(Data_Nhập[Year]=AP$1)*(Data_Nhập[Month]=AP$2)*(Data_Nhập[Main SKU name_GOM]=$A10)*(Data_Nhập[SKU name_NHẬP_GOM]=AP$3)))</f>
        <v>0</v>
      </c>
      <c r="AQ10" s="24" cm="1">
        <f t="array" ref="AQ10">IF(AQ$2="FY",SUMPRODUCT(Data_Nhập[Tổng Nhập-NX]*(Data_Nhập[Year]=AQ$1)*(Data_Nhập[Main SKU name_GOM]=$A10)*(Data_Nhập[SKU name_NHẬP_GOM]=AQ$3)),SUMPRODUCT(Data_Nhập[Tổng Nhập-NX]*(Data_Nhập[Year]=AQ$1)*(Data_Nhập[Month]=AQ$2)*(Data_Nhập[Main SKU name_GOM]=$A10)*(Data_Nhập[SKU name_NHẬP_GOM]=AQ$3)))</f>
        <v>0</v>
      </c>
      <c r="AR10" s="24" cm="1">
        <f t="array" ref="AR10">IF(AR$2="FY",SUMPRODUCT(Data_Nhập[Tổng Nhập-NX]*(Data_Nhập[Year]=AR$1)*(Data_Nhập[Main SKU name_GOM]=$A10)*(Data_Nhập[SKU name_NHẬP_GOM]=AR$3)),SUMPRODUCT(Data_Nhập[Tổng Nhập-NX]*(Data_Nhập[Year]=AR$1)*(Data_Nhập[Month]=AR$2)*(Data_Nhập[Main SKU name_GOM]=$A10)*(Data_Nhập[SKU name_NHẬP_GOM]=AR$3)))</f>
        <v>0</v>
      </c>
      <c r="AS10" s="24" cm="1">
        <f t="array" ref="AS10">IF(AS$2="FY",SUMPRODUCT(Data_Nhập[Tổng Nhập-NX]*(Data_Nhập[Year]=AS$1)*(Data_Nhập[Main SKU name_GOM]=$A10)*(Data_Nhập[SKU name_NHẬP_GOM]=AS$3)),SUMPRODUCT(Data_Nhập[Tổng Nhập-NX]*(Data_Nhập[Year]=AS$1)*(Data_Nhập[Month]=AS$2)*(Data_Nhập[Main SKU name_GOM]=$A10)*(Data_Nhập[SKU name_NHẬP_GOM]=AS$3)))</f>
        <v>0</v>
      </c>
      <c r="AT10" s="24" cm="1">
        <f t="array" ref="AT10">IF(AT$2="FY",SUMPRODUCT(Data_Nhập[Tổng Nhập-NX]*(Data_Nhập[Year]=AT$1)*(Data_Nhập[Main SKU name_GOM]=$A10)*(Data_Nhập[SKU name_NHẬP_GOM]=AT$3)),SUMPRODUCT(Data_Nhập[Tổng Nhập-NX]*(Data_Nhập[Year]=AT$1)*(Data_Nhập[Month]=AT$2)*(Data_Nhập[Main SKU name_GOM]=$A10)*(Data_Nhập[SKU name_NHẬP_GOM]=AT$3)))</f>
        <v>11550</v>
      </c>
      <c r="AU10" s="24" cm="1">
        <f t="array" ref="AU10">IF(AU$2="FY",SUMPRODUCT(Data_Nhập[Tổng Nhập-NX]*(Data_Nhập[Year]=AU$1)*(Data_Nhập[Main SKU name_GOM]=$A10)*(Data_Nhập[SKU name_NHẬP_GOM]=AU$3)),SUMPRODUCT(Data_Nhập[Tổng Nhập-NX]*(Data_Nhập[Year]=AU$1)*(Data_Nhập[Month]=AU$2)*(Data_Nhập[Main SKU name_GOM]=$A10)*(Data_Nhập[SKU name_NHẬP_GOM]=AU$3)))</f>
        <v>4782</v>
      </c>
      <c r="AV10" s="24" cm="1">
        <f t="array" ref="AV10">IF(AV$2="FY",SUMPRODUCT(Data_Nhập[Tổng Nhập-NX]*(Data_Nhập[Year]=AV$1)*(Data_Nhập[Main SKU name_GOM]=$A10)*(Data_Nhập[SKU name_NHẬP_GOM]=AV$3)),SUMPRODUCT(Data_Nhập[Tổng Nhập-NX]*(Data_Nhập[Year]=AV$1)*(Data_Nhập[Month]=AV$2)*(Data_Nhập[Main SKU name_GOM]=$A10)*(Data_Nhập[SKU name_NHẬP_GOM]=AV$3)))</f>
        <v>0</v>
      </c>
      <c r="AW10" s="24" cm="1">
        <f t="array" ref="AW10">IF(AW$2="FY",SUMPRODUCT(Data_Nhập[Tổng Nhập-NX]*(Data_Nhập[Year]=AW$1)*(Data_Nhập[Main SKU name_GOM]=$A10)*(Data_Nhập[SKU name_NHẬP_GOM]=AW$3)),SUMPRODUCT(Data_Nhập[Tổng Nhập-NX]*(Data_Nhập[Year]=AW$1)*(Data_Nhập[Month]=AW$2)*(Data_Nhập[Main SKU name_GOM]=$A10)*(Data_Nhập[SKU name_NHẬP_GOM]=AW$3)))</f>
        <v>0</v>
      </c>
      <c r="AX10" s="24" cm="1">
        <f t="array" ref="AX10">IF(AX$2="FY",SUMPRODUCT(Data_Nhập[Tổng Nhập-NX]*(Data_Nhập[Year]=AX$1)*(Data_Nhập[Main SKU name_GOM]=$A10)*(Data_Nhập[SKU name_NHẬP_GOM]=AX$3)),SUMPRODUCT(Data_Nhập[Tổng Nhập-NX]*(Data_Nhập[Year]=AX$1)*(Data_Nhập[Month]=AX$2)*(Data_Nhập[Main SKU name_GOM]=$A10)*(Data_Nhập[SKU name_NHẬP_GOM]=AX$3)))</f>
        <v>0</v>
      </c>
      <c r="AY10" s="24" cm="1">
        <f t="array" ref="AY10">IF(AY$2="FY",SUMPRODUCT(Data_Nhập[Tổng Nhập-NX]*(Data_Nhập[Year]=AY$1)*(Data_Nhập[Main SKU name_GOM]=$A10)*(Data_Nhập[SKU name_NHẬP_GOM]=AY$3)),SUMPRODUCT(Data_Nhập[Tổng Nhập-NX]*(Data_Nhập[Year]=AY$1)*(Data_Nhập[Month]=AY$2)*(Data_Nhập[Main SKU name_GOM]=$A10)*(Data_Nhập[SKU name_NHẬP_GOM]=AY$3)))</f>
        <v>0</v>
      </c>
      <c r="AZ10" s="24" cm="1">
        <f t="array" ref="AZ10">IF(AZ$2="FY",SUMPRODUCT(Data_Nhập[Tổng Nhập-NX]*(Data_Nhập[Year]=AZ$1)*(Data_Nhập[Main SKU name_GOM]=$A10)*(Data_Nhập[SKU name_NHẬP_GOM]=AZ$3)),SUMPRODUCT(Data_Nhập[Tổng Nhập-NX]*(Data_Nhập[Year]=AZ$1)*(Data_Nhập[Month]=AZ$2)*(Data_Nhập[Main SKU name_GOM]=$A10)*(Data_Nhập[SKU name_NHẬP_GOM]=AZ$3)))</f>
        <v>0</v>
      </c>
      <c r="BA10" s="24" cm="1">
        <f t="array" ref="BA10">IF(BA$2="FY",SUMPRODUCT(Data_Nhập[Tổng Nhập-NX]*(Data_Nhập[Year]=BA$1)*(Data_Nhập[Main SKU name_GOM]=$A10)*(Data_Nhập[SKU name_NHẬP_GOM]=BA$3)),SUMPRODUCT(Data_Nhập[Tổng Nhập-NX]*(Data_Nhập[Year]=BA$1)*(Data_Nhập[Month]=BA$2)*(Data_Nhập[Main SKU name_GOM]=$A10)*(Data_Nhập[SKU name_NHẬP_GOM]=BA$3)))</f>
        <v>0</v>
      </c>
      <c r="BB10" s="24" cm="1">
        <f t="array" ref="BB10">IF(BB$2="FY",SUMPRODUCT(Data_Nhập[Tổng Nhập-NX]*(Data_Nhập[Year]=BB$1)*(Data_Nhập[Main SKU name_GOM]=$A10)*(Data_Nhập[SKU name_NHẬP_GOM]=BB$3)),SUMPRODUCT(Data_Nhập[Tổng Nhập-NX]*(Data_Nhập[Year]=BB$1)*(Data_Nhập[Month]=BB$2)*(Data_Nhập[Main SKU name_GOM]=$A10)*(Data_Nhập[SKU name_NHẬP_GOM]=BB$3)))</f>
        <v>1424</v>
      </c>
      <c r="BC10" s="24" cm="1">
        <f t="array" ref="BC10">IF(BC$2="FY",SUMPRODUCT(Data_Nhập[Tổng Nhập-NX]*(Data_Nhập[Year]=BC$1)*(Data_Nhập[Main SKU name_GOM]=$A10)*(Data_Nhập[SKU name_NHẬP_GOM]=BC$3)),SUMPRODUCT(Data_Nhập[Tổng Nhập-NX]*(Data_Nhập[Year]=BC$1)*(Data_Nhập[Month]=BC$2)*(Data_Nhập[Main SKU name_GOM]=$A10)*(Data_Nhập[SKU name_NHẬP_GOM]=BC$3)))</f>
        <v>0</v>
      </c>
      <c r="BD10" s="25">
        <f t="shared" si="14"/>
        <v>17756</v>
      </c>
      <c r="BF10" s="25" cm="1">
        <f t="array" ref="BF10">IF(BF$2="FY",SUMPRODUCT(Data_Xuất[Xuất-NX]*(Data_Xuất[Year]=BF$1)*(Data_Xuất[Main SKU name_GOM]=$A10)),SUMPRODUCT(Data_Xuất[Xuất-NX]*(Data_Xuất[Year]=BF$1)*(Data_Xuất[Main SKU name_GOM]=$A10)*(Data_Xuất[Month]=BF$2)))</f>
        <v>4500</v>
      </c>
      <c r="BG10" s="24" cm="1">
        <f t="array" ref="BG10">IF(BG$2="FY",SUMPRODUCT(Data_Nhập[Tổng Nhập-NX]*(Data_Nhập[Year]=BG$1)*(Data_Nhập[Main SKU name_GOM]=$A10)*(Data_Nhập[SKU name_NHẬP_GOM]=BG$3)),SUMPRODUCT(Data_Nhập[Tổng Nhập-NX]*(Data_Nhập[Year]=BG$1)*(Data_Nhập[Month]=BG$2)*(Data_Nhập[Main SKU name_GOM]=$A10)*(Data_Nhập[SKU name_NHẬP_GOM]=BG$3)))</f>
        <v>0</v>
      </c>
      <c r="BH10" s="24" cm="1">
        <f t="array" ref="BH10">IF(BH$2="FY",SUMPRODUCT(Data_Nhập[Tổng Nhập-NX]*(Data_Nhập[Year]=BH$1)*(Data_Nhập[Main SKU name_GOM]=$A10)*(Data_Nhập[SKU name_NHẬP_GOM]=BH$3)),SUMPRODUCT(Data_Nhập[Tổng Nhập-NX]*(Data_Nhập[Year]=BH$1)*(Data_Nhập[Month]=BH$2)*(Data_Nhập[Main SKU name_GOM]=$A10)*(Data_Nhập[SKU name_NHẬP_GOM]=BH$3)))</f>
        <v>0</v>
      </c>
      <c r="BI10" s="24" cm="1">
        <f t="array" ref="BI10">IF(BI$2="FY",SUMPRODUCT(Data_Nhập[Tổng Nhập-NX]*(Data_Nhập[Year]=BI$1)*(Data_Nhập[Main SKU name_GOM]=$A10)*(Data_Nhập[SKU name_NHẬP_GOM]=BI$3)),SUMPRODUCT(Data_Nhập[Tổng Nhập-NX]*(Data_Nhập[Year]=BI$1)*(Data_Nhập[Month]=BI$2)*(Data_Nhập[Main SKU name_GOM]=$A10)*(Data_Nhập[SKU name_NHẬP_GOM]=BI$3)))</f>
        <v>0</v>
      </c>
      <c r="BJ10" s="24" cm="1">
        <f t="array" ref="BJ10">IF(BJ$2="FY",SUMPRODUCT(Data_Nhập[Tổng Nhập-NX]*(Data_Nhập[Year]=BJ$1)*(Data_Nhập[Main SKU name_GOM]=$A10)*(Data_Nhập[SKU name_NHẬP_GOM]=BJ$3)),SUMPRODUCT(Data_Nhập[Tổng Nhập-NX]*(Data_Nhập[Year]=BJ$1)*(Data_Nhập[Month]=BJ$2)*(Data_Nhập[Main SKU name_GOM]=$A10)*(Data_Nhập[SKU name_NHẬP_GOM]=BJ$3)))</f>
        <v>0</v>
      </c>
      <c r="BK10" s="24" cm="1">
        <f t="array" ref="BK10">IF(BK$2="FY",SUMPRODUCT(Data_Nhập[Tổng Nhập-NX]*(Data_Nhập[Year]=BK$1)*(Data_Nhập[Main SKU name_GOM]=$A10)*(Data_Nhập[SKU name_NHẬP_GOM]=BK$3)),SUMPRODUCT(Data_Nhập[Tổng Nhập-NX]*(Data_Nhập[Year]=BK$1)*(Data_Nhập[Month]=BK$2)*(Data_Nhập[Main SKU name_GOM]=$A10)*(Data_Nhập[SKU name_NHẬP_GOM]=BK$3)))</f>
        <v>0</v>
      </c>
      <c r="BL10" s="24" cm="1">
        <f t="array" ref="BL10">IF(BL$2="FY",SUMPRODUCT(Data_Nhập[Tổng Nhập-NX]*(Data_Nhập[Year]=BL$1)*(Data_Nhập[Main SKU name_GOM]=$A10)*(Data_Nhập[SKU name_NHẬP_GOM]=BL$3)),SUMPRODUCT(Data_Nhập[Tổng Nhập-NX]*(Data_Nhập[Year]=BL$1)*(Data_Nhập[Month]=BL$2)*(Data_Nhập[Main SKU name_GOM]=$A10)*(Data_Nhập[SKU name_NHẬP_GOM]=BL$3)))</f>
        <v>2323</v>
      </c>
      <c r="BM10" s="24" cm="1">
        <f t="array" ref="BM10">IF(BM$2="FY",SUMPRODUCT(Data_Nhập[Tổng Nhập-NX]*(Data_Nhập[Year]=BM$1)*(Data_Nhập[Main SKU name_GOM]=$A10)*(Data_Nhập[SKU name_NHẬP_GOM]=BM$3)),SUMPRODUCT(Data_Nhập[Tổng Nhập-NX]*(Data_Nhập[Year]=BM$1)*(Data_Nhập[Month]=BM$2)*(Data_Nhập[Main SKU name_GOM]=$A10)*(Data_Nhập[SKU name_NHẬP_GOM]=BM$3)))</f>
        <v>1693</v>
      </c>
      <c r="BN10" s="24" cm="1">
        <f t="array" ref="BN10">IF(BN$2="FY",SUMPRODUCT(Data_Nhập[Tổng Nhập-NX]*(Data_Nhập[Year]=BN$1)*(Data_Nhập[Main SKU name_GOM]=$A10)*(Data_Nhập[SKU name_NHẬP_GOM]=BN$3)),SUMPRODUCT(Data_Nhập[Tổng Nhập-NX]*(Data_Nhập[Year]=BN$1)*(Data_Nhập[Month]=BN$2)*(Data_Nhập[Main SKU name_GOM]=$A10)*(Data_Nhập[SKU name_NHẬP_GOM]=BN$3)))</f>
        <v>0</v>
      </c>
      <c r="BO10" s="24" cm="1">
        <f t="array" ref="BO10">IF(BO$2="FY",SUMPRODUCT(Data_Nhập[Tổng Nhập-NX]*(Data_Nhập[Year]=BO$1)*(Data_Nhập[Main SKU name_GOM]=$A10)*(Data_Nhập[SKU name_NHẬP_GOM]=BO$3)),SUMPRODUCT(Data_Nhập[Tổng Nhập-NX]*(Data_Nhập[Year]=BO$1)*(Data_Nhập[Month]=BO$2)*(Data_Nhập[Main SKU name_GOM]=$A10)*(Data_Nhập[SKU name_NHẬP_GOM]=BO$3)))</f>
        <v>0</v>
      </c>
      <c r="BP10" s="24" cm="1">
        <f t="array" ref="BP10">IF(BP$2="FY",SUMPRODUCT(Data_Nhập[Tổng Nhập-NX]*(Data_Nhập[Year]=BP$1)*(Data_Nhập[Main SKU name_GOM]=$A10)*(Data_Nhập[SKU name_NHẬP_GOM]=BP$3)),SUMPRODUCT(Data_Nhập[Tổng Nhập-NX]*(Data_Nhập[Year]=BP$1)*(Data_Nhập[Month]=BP$2)*(Data_Nhập[Main SKU name_GOM]=$A10)*(Data_Nhập[SKU name_NHẬP_GOM]=BP$3)))</f>
        <v>0</v>
      </c>
      <c r="BQ10" s="24" cm="1">
        <f t="array" ref="BQ10">IF(BQ$2="FY",SUMPRODUCT(Data_Nhập[Tổng Nhập-NX]*(Data_Nhập[Year]=BQ$1)*(Data_Nhập[Main SKU name_GOM]=$A10)*(Data_Nhập[SKU name_NHẬP_GOM]=BQ$3)),SUMPRODUCT(Data_Nhập[Tổng Nhập-NX]*(Data_Nhập[Year]=BQ$1)*(Data_Nhập[Month]=BQ$2)*(Data_Nhập[Main SKU name_GOM]=$A10)*(Data_Nhập[SKU name_NHẬP_GOM]=BQ$3)))</f>
        <v>0</v>
      </c>
      <c r="BR10" s="24" cm="1">
        <f t="array" ref="BR10">IF(BR$2="FY",SUMPRODUCT(Data_Nhập[Tổng Nhập-NX]*(Data_Nhập[Year]=BR$1)*(Data_Nhập[Main SKU name_GOM]=$A10)*(Data_Nhập[SKU name_NHẬP_GOM]=BR$3)),SUMPRODUCT(Data_Nhập[Tổng Nhập-NX]*(Data_Nhập[Year]=BR$1)*(Data_Nhập[Month]=BR$2)*(Data_Nhập[Main SKU name_GOM]=$A10)*(Data_Nhập[SKU name_NHẬP_GOM]=BR$3)))</f>
        <v>0</v>
      </c>
      <c r="BS10" s="24" cm="1">
        <f t="array" ref="BS10">IF(BS$2="FY",SUMPRODUCT(Data_Nhập[Tổng Nhập-NX]*(Data_Nhập[Year]=BS$1)*(Data_Nhập[Main SKU name_GOM]=$A10)*(Data_Nhập[SKU name_NHẬP_GOM]=BS$3)),SUMPRODUCT(Data_Nhập[Tổng Nhập-NX]*(Data_Nhập[Year]=BS$1)*(Data_Nhập[Month]=BS$2)*(Data_Nhập[Main SKU name_GOM]=$A10)*(Data_Nhập[SKU name_NHẬP_GOM]=BS$3)))</f>
        <v>0</v>
      </c>
      <c r="BT10" s="24" cm="1">
        <f t="array" ref="BT10">IF(BT$2="FY",SUMPRODUCT(Data_Nhập[Tổng Nhập-NX]*(Data_Nhập[Year]=BT$1)*(Data_Nhập[Main SKU name_GOM]=$A10)*(Data_Nhập[SKU name_NHẬP_GOM]=BT$3)),SUMPRODUCT(Data_Nhập[Tổng Nhập-NX]*(Data_Nhập[Year]=BT$1)*(Data_Nhập[Month]=BT$2)*(Data_Nhập[Main SKU name_GOM]=$A10)*(Data_Nhập[SKU name_NHẬP_GOM]=BT$3)))</f>
        <v>375</v>
      </c>
      <c r="BU10" s="24" cm="1">
        <f t="array" ref="BU10">IF(BU$2="FY",SUMPRODUCT(Data_Nhập[Tổng Nhập-NX]*(Data_Nhập[Year]=BU$1)*(Data_Nhập[Main SKU name_GOM]=$A10)*(Data_Nhập[SKU name_NHẬP_GOM]=BU$3)),SUMPRODUCT(Data_Nhập[Tổng Nhập-NX]*(Data_Nhập[Year]=BU$1)*(Data_Nhập[Month]=BU$2)*(Data_Nhập[Main SKU name_GOM]=$A10)*(Data_Nhập[SKU name_NHẬP_GOM]=BU$3)))</f>
        <v>0</v>
      </c>
      <c r="BV10" s="25">
        <f t="shared" si="15"/>
        <v>4391</v>
      </c>
      <c r="BX10" s="25" cm="1">
        <f t="array" ref="BX10">IF(BX$2="FY",SUMPRODUCT(Data_Xuất[Xuất-NX]*(Data_Xuất[Year]=BX$1)*(Data_Xuất[Main SKU name_GOM]=$A10)),SUMPRODUCT(Data_Xuất[Xuất-NX]*(Data_Xuất[Year]=BX$1)*(Data_Xuất[Main SKU name_GOM]=$A10)*(Data_Xuất[Month]=BX$2)))</f>
        <v>1600</v>
      </c>
      <c r="BY10" s="24" cm="1">
        <f t="array" ref="BY10">IF(BY$2="FY",SUMPRODUCT(Data_Nhập[Tổng Nhập-NX]*(Data_Nhập[Year]=BY$1)*(Data_Nhập[Main SKU name_GOM]=$A10)*(Data_Nhập[SKU name_NHẬP_GOM]=BY$3)),SUMPRODUCT(Data_Nhập[Tổng Nhập-NX]*(Data_Nhập[Year]=BY$1)*(Data_Nhập[Month]=BY$2)*(Data_Nhập[Main SKU name_GOM]=$A10)*(Data_Nhập[SKU name_NHẬP_GOM]=BY$3)))</f>
        <v>0</v>
      </c>
      <c r="BZ10" s="24" cm="1">
        <f t="array" ref="BZ10">IF(BZ$2="FY",SUMPRODUCT(Data_Nhập[Tổng Nhập-NX]*(Data_Nhập[Year]=BZ$1)*(Data_Nhập[Main SKU name_GOM]=$A10)*(Data_Nhập[SKU name_NHẬP_GOM]=BZ$3)),SUMPRODUCT(Data_Nhập[Tổng Nhập-NX]*(Data_Nhập[Year]=BZ$1)*(Data_Nhập[Month]=BZ$2)*(Data_Nhập[Main SKU name_GOM]=$A10)*(Data_Nhập[SKU name_NHẬP_GOM]=BZ$3)))</f>
        <v>0</v>
      </c>
      <c r="CA10" s="24" cm="1">
        <f t="array" ref="CA10">IF(CA$2="FY",SUMPRODUCT(Data_Nhập[Tổng Nhập-NX]*(Data_Nhập[Year]=CA$1)*(Data_Nhập[Main SKU name_GOM]=$A10)*(Data_Nhập[SKU name_NHẬP_GOM]=CA$3)),SUMPRODUCT(Data_Nhập[Tổng Nhập-NX]*(Data_Nhập[Year]=CA$1)*(Data_Nhập[Month]=CA$2)*(Data_Nhập[Main SKU name_GOM]=$A10)*(Data_Nhập[SKU name_NHẬP_GOM]=CA$3)))</f>
        <v>0</v>
      </c>
      <c r="CB10" s="24" cm="1">
        <f t="array" ref="CB10">IF(CB$2="FY",SUMPRODUCT(Data_Nhập[Tổng Nhập-NX]*(Data_Nhập[Year]=CB$1)*(Data_Nhập[Main SKU name_GOM]=$A10)*(Data_Nhập[SKU name_NHẬP_GOM]=CB$3)),SUMPRODUCT(Data_Nhập[Tổng Nhập-NX]*(Data_Nhập[Year]=CB$1)*(Data_Nhập[Month]=CB$2)*(Data_Nhập[Main SKU name_GOM]=$A10)*(Data_Nhập[SKU name_NHẬP_GOM]=CB$3)))</f>
        <v>0</v>
      </c>
      <c r="CC10" s="24" cm="1">
        <f t="array" ref="CC10">IF(CC$2="FY",SUMPRODUCT(Data_Nhập[Tổng Nhập-NX]*(Data_Nhập[Year]=CC$1)*(Data_Nhập[Main SKU name_GOM]=$A10)*(Data_Nhập[SKU name_NHẬP_GOM]=CC$3)),SUMPRODUCT(Data_Nhập[Tổng Nhập-NX]*(Data_Nhập[Year]=CC$1)*(Data_Nhập[Month]=CC$2)*(Data_Nhập[Main SKU name_GOM]=$A10)*(Data_Nhập[SKU name_NHẬP_GOM]=CC$3)))</f>
        <v>0</v>
      </c>
      <c r="CD10" s="24" cm="1">
        <f t="array" ref="CD10">IF(CD$2="FY",SUMPRODUCT(Data_Nhập[Tổng Nhập-NX]*(Data_Nhập[Year]=CD$1)*(Data_Nhập[Main SKU name_GOM]=$A10)*(Data_Nhập[SKU name_NHẬP_GOM]=CD$3)),SUMPRODUCT(Data_Nhập[Tổng Nhập-NX]*(Data_Nhập[Year]=CD$1)*(Data_Nhập[Month]=CD$2)*(Data_Nhập[Main SKU name_GOM]=$A10)*(Data_Nhập[SKU name_NHẬP_GOM]=CD$3)))</f>
        <v>0</v>
      </c>
      <c r="CE10" s="24" cm="1">
        <f t="array" ref="CE10">IF(CE$2="FY",SUMPRODUCT(Data_Nhập[Tổng Nhập-NX]*(Data_Nhập[Year]=CE$1)*(Data_Nhập[Main SKU name_GOM]=$A10)*(Data_Nhập[SKU name_NHẬP_GOM]=CE$3)),SUMPRODUCT(Data_Nhập[Tổng Nhập-NX]*(Data_Nhập[Year]=CE$1)*(Data_Nhập[Month]=CE$2)*(Data_Nhập[Main SKU name_GOM]=$A10)*(Data_Nhập[SKU name_NHẬP_GOM]=CE$3)))</f>
        <v>0</v>
      </c>
      <c r="CF10" s="24" cm="1">
        <f t="array" ref="CF10">IF(CF$2="FY",SUMPRODUCT(Data_Nhập[Tổng Nhập-NX]*(Data_Nhập[Year]=CF$1)*(Data_Nhập[Main SKU name_GOM]=$A10)*(Data_Nhập[SKU name_NHẬP_GOM]=CF$3)),SUMPRODUCT(Data_Nhập[Tổng Nhập-NX]*(Data_Nhập[Year]=CF$1)*(Data_Nhập[Month]=CF$2)*(Data_Nhập[Main SKU name_GOM]=$A10)*(Data_Nhập[SKU name_NHẬP_GOM]=CF$3)))</f>
        <v>0</v>
      </c>
      <c r="CG10" s="24" cm="1">
        <f t="array" ref="CG10">IF(CG$2="FY",SUMPRODUCT(Data_Nhập[Tổng Nhập-NX]*(Data_Nhập[Year]=CG$1)*(Data_Nhập[Main SKU name_GOM]=$A10)*(Data_Nhập[SKU name_NHẬP_GOM]=CG$3)),SUMPRODUCT(Data_Nhập[Tổng Nhập-NX]*(Data_Nhập[Year]=CG$1)*(Data_Nhập[Month]=CG$2)*(Data_Nhập[Main SKU name_GOM]=$A10)*(Data_Nhập[SKU name_NHẬP_GOM]=CG$3)))</f>
        <v>0</v>
      </c>
      <c r="CH10" s="24" cm="1">
        <f t="array" ref="CH10">IF(CH$2="FY",SUMPRODUCT(Data_Nhập[Tổng Nhập-NX]*(Data_Nhập[Year]=CH$1)*(Data_Nhập[Main SKU name_GOM]=$A10)*(Data_Nhập[SKU name_NHẬP_GOM]=CH$3)),SUMPRODUCT(Data_Nhập[Tổng Nhập-NX]*(Data_Nhập[Year]=CH$1)*(Data_Nhập[Month]=CH$2)*(Data_Nhập[Main SKU name_GOM]=$A10)*(Data_Nhập[SKU name_NHẬP_GOM]=CH$3)))</f>
        <v>0</v>
      </c>
      <c r="CI10" s="24" cm="1">
        <f t="array" ref="CI10">IF(CI$2="FY",SUMPRODUCT(Data_Nhập[Tổng Nhập-NX]*(Data_Nhập[Year]=CI$1)*(Data_Nhập[Main SKU name_GOM]=$A10)*(Data_Nhập[SKU name_NHẬP_GOM]=CI$3)),SUMPRODUCT(Data_Nhập[Tổng Nhập-NX]*(Data_Nhập[Year]=CI$1)*(Data_Nhập[Month]=CI$2)*(Data_Nhập[Main SKU name_GOM]=$A10)*(Data_Nhập[SKU name_NHẬP_GOM]=CI$3)))</f>
        <v>0</v>
      </c>
      <c r="CJ10" s="24" cm="1">
        <f t="array" ref="CJ10">IF(CJ$2="FY",SUMPRODUCT(Data_Nhập[Tổng Nhập-NX]*(Data_Nhập[Year]=CJ$1)*(Data_Nhập[Main SKU name_GOM]=$A10)*(Data_Nhập[SKU name_NHẬP_GOM]=CJ$3)),SUMPRODUCT(Data_Nhập[Tổng Nhập-NX]*(Data_Nhập[Year]=CJ$1)*(Data_Nhập[Month]=CJ$2)*(Data_Nhập[Main SKU name_GOM]=$A10)*(Data_Nhập[SKU name_NHẬP_GOM]=CJ$3)))</f>
        <v>0</v>
      </c>
      <c r="CK10" s="24" cm="1">
        <f t="array" ref="CK10">IF(CK$2="FY",SUMPRODUCT(Data_Nhập[Tổng Nhập-NX]*(Data_Nhập[Year]=CK$1)*(Data_Nhập[Main SKU name_GOM]=$A10)*(Data_Nhập[SKU name_NHẬP_GOM]=CK$3)),SUMPRODUCT(Data_Nhập[Tổng Nhập-NX]*(Data_Nhập[Year]=CK$1)*(Data_Nhập[Month]=CK$2)*(Data_Nhập[Main SKU name_GOM]=$A10)*(Data_Nhập[SKU name_NHẬP_GOM]=CK$3)))</f>
        <v>1402</v>
      </c>
      <c r="CL10" s="24" cm="1">
        <f t="array" ref="CL10">IF(CL$2="FY",SUMPRODUCT(Data_Nhập[Tổng Nhập-NX]*(Data_Nhập[Year]=CL$1)*(Data_Nhập[Main SKU name_GOM]=$A10)*(Data_Nhập[SKU name_NHẬP_GOM]=CL$3)),SUMPRODUCT(Data_Nhập[Tổng Nhập-NX]*(Data_Nhập[Year]=CL$1)*(Data_Nhập[Month]=CL$2)*(Data_Nhập[Main SKU name_GOM]=$A10)*(Data_Nhập[SKU name_NHẬP_GOM]=CL$3)))</f>
        <v>120</v>
      </c>
      <c r="CM10" s="24" cm="1">
        <f t="array" ref="CM10">IF(CM$2="FY",SUMPRODUCT(Data_Nhập[Tổng Nhập-NX]*(Data_Nhập[Year]=CM$1)*(Data_Nhập[Main SKU name_GOM]=$A10)*(Data_Nhập[SKU name_NHẬP_GOM]=CM$3)),SUMPRODUCT(Data_Nhập[Tổng Nhập-NX]*(Data_Nhập[Year]=CM$1)*(Data_Nhập[Month]=CM$2)*(Data_Nhập[Main SKU name_GOM]=$A10)*(Data_Nhập[SKU name_NHẬP_GOM]=CM$3)))</f>
        <v>0</v>
      </c>
      <c r="CN10" s="25">
        <f t="shared" si="16"/>
        <v>1522</v>
      </c>
      <c r="CP10" s="25" cm="1">
        <f t="array" ref="CP10">IF(CP$2="FY",SUMPRODUCT(Data_Xuất[Xuất-NX]*(Data_Xuất[Year]=CP$1)*(Data_Xuất[Main SKU name_GOM]=$A10)),SUMPRODUCT(Data_Xuất[Xuất-NX]*(Data_Xuất[Year]=CP$1)*(Data_Xuất[Main SKU name_GOM]=$A10)*(Data_Xuất[Month]=CP$2)))</f>
        <v>0</v>
      </c>
      <c r="CQ10" s="24" cm="1">
        <f t="array" ref="CQ10">IF(CQ$2="FY",SUMPRODUCT(Data_Nhập[Tổng Nhập-NX]*(Data_Nhập[Year]=CQ$1)*(Data_Nhập[Main SKU name_GOM]=$A10)*(Data_Nhập[SKU name_NHẬP_GOM]=CQ$3)),SUMPRODUCT(Data_Nhập[Tổng Nhập-NX]*(Data_Nhập[Year]=CQ$1)*(Data_Nhập[Month]=CQ$2)*(Data_Nhập[Main SKU name_GOM]=$A10)*(Data_Nhập[SKU name_NHẬP_GOM]=CQ$3)))</f>
        <v>0</v>
      </c>
      <c r="CR10" s="24" cm="1">
        <f t="array" ref="CR10">IF(CR$2="FY",SUMPRODUCT(Data_Nhập[Tổng Nhập-NX]*(Data_Nhập[Year]=CR$1)*(Data_Nhập[Main SKU name_GOM]=$A10)*(Data_Nhập[SKU name_NHẬP_GOM]=CR$3)),SUMPRODUCT(Data_Nhập[Tổng Nhập-NX]*(Data_Nhập[Year]=CR$1)*(Data_Nhập[Month]=CR$2)*(Data_Nhập[Main SKU name_GOM]=$A10)*(Data_Nhập[SKU name_NHẬP_GOM]=CR$3)))</f>
        <v>0</v>
      </c>
      <c r="CS10" s="24" cm="1">
        <f t="array" ref="CS10">IF(CS$2="FY",SUMPRODUCT(Data_Nhập[Tổng Nhập-NX]*(Data_Nhập[Year]=CS$1)*(Data_Nhập[Main SKU name_GOM]=$A10)*(Data_Nhập[SKU name_NHẬP_GOM]=CS$3)),SUMPRODUCT(Data_Nhập[Tổng Nhập-NX]*(Data_Nhập[Year]=CS$1)*(Data_Nhập[Month]=CS$2)*(Data_Nhập[Main SKU name_GOM]=$A10)*(Data_Nhập[SKU name_NHẬP_GOM]=CS$3)))</f>
        <v>0</v>
      </c>
      <c r="CT10" s="24" cm="1">
        <f t="array" ref="CT10">IF(CT$2="FY",SUMPRODUCT(Data_Nhập[Tổng Nhập-NX]*(Data_Nhập[Year]=CT$1)*(Data_Nhập[Main SKU name_GOM]=$A10)*(Data_Nhập[SKU name_NHẬP_GOM]=CT$3)),SUMPRODUCT(Data_Nhập[Tổng Nhập-NX]*(Data_Nhập[Year]=CT$1)*(Data_Nhập[Month]=CT$2)*(Data_Nhập[Main SKU name_GOM]=$A10)*(Data_Nhập[SKU name_NHẬP_GOM]=CT$3)))</f>
        <v>0</v>
      </c>
      <c r="CU10" s="24" cm="1">
        <f t="array" ref="CU10">IF(CU$2="FY",SUMPRODUCT(Data_Nhập[Tổng Nhập-NX]*(Data_Nhập[Year]=CU$1)*(Data_Nhập[Main SKU name_GOM]=$A10)*(Data_Nhập[SKU name_NHẬP_GOM]=CU$3)),SUMPRODUCT(Data_Nhập[Tổng Nhập-NX]*(Data_Nhập[Year]=CU$1)*(Data_Nhập[Month]=CU$2)*(Data_Nhập[Main SKU name_GOM]=$A10)*(Data_Nhập[SKU name_NHẬP_GOM]=CU$3)))</f>
        <v>0</v>
      </c>
      <c r="CV10" s="24" cm="1">
        <f t="array" ref="CV10">IF(CV$2="FY",SUMPRODUCT(Data_Nhập[Tổng Nhập-NX]*(Data_Nhập[Year]=CV$1)*(Data_Nhập[Main SKU name_GOM]=$A10)*(Data_Nhập[SKU name_NHẬP_GOM]=CV$3)),SUMPRODUCT(Data_Nhập[Tổng Nhập-NX]*(Data_Nhập[Year]=CV$1)*(Data_Nhập[Month]=CV$2)*(Data_Nhập[Main SKU name_GOM]=$A10)*(Data_Nhập[SKU name_NHẬP_GOM]=CV$3)))</f>
        <v>0</v>
      </c>
      <c r="CW10" s="24" cm="1">
        <f t="array" ref="CW10">IF(CW$2="FY",SUMPRODUCT(Data_Nhập[Tổng Nhập-NX]*(Data_Nhập[Year]=CW$1)*(Data_Nhập[Main SKU name_GOM]=$A10)*(Data_Nhập[SKU name_NHẬP_GOM]=CW$3)),SUMPRODUCT(Data_Nhập[Tổng Nhập-NX]*(Data_Nhập[Year]=CW$1)*(Data_Nhập[Month]=CW$2)*(Data_Nhập[Main SKU name_GOM]=$A10)*(Data_Nhập[SKU name_NHẬP_GOM]=CW$3)))</f>
        <v>0</v>
      </c>
      <c r="CX10" s="24" cm="1">
        <f t="array" ref="CX10">IF(CX$2="FY",SUMPRODUCT(Data_Nhập[Tổng Nhập-NX]*(Data_Nhập[Year]=CX$1)*(Data_Nhập[Main SKU name_GOM]=$A10)*(Data_Nhập[SKU name_NHẬP_GOM]=CX$3)),SUMPRODUCT(Data_Nhập[Tổng Nhập-NX]*(Data_Nhập[Year]=CX$1)*(Data_Nhập[Month]=CX$2)*(Data_Nhập[Main SKU name_GOM]=$A10)*(Data_Nhập[SKU name_NHẬP_GOM]=CX$3)))</f>
        <v>0</v>
      </c>
      <c r="CY10" s="24" cm="1">
        <f t="array" ref="CY10">IF(CY$2="FY",SUMPRODUCT(Data_Nhập[Tổng Nhập-NX]*(Data_Nhập[Year]=CY$1)*(Data_Nhập[Main SKU name_GOM]=$A10)*(Data_Nhập[SKU name_NHẬP_GOM]=CY$3)),SUMPRODUCT(Data_Nhập[Tổng Nhập-NX]*(Data_Nhập[Year]=CY$1)*(Data_Nhập[Month]=CY$2)*(Data_Nhập[Main SKU name_GOM]=$A10)*(Data_Nhập[SKU name_NHẬP_GOM]=CY$3)))</f>
        <v>0</v>
      </c>
      <c r="CZ10" s="24" cm="1">
        <f t="array" ref="CZ10">IF(CZ$2="FY",SUMPRODUCT(Data_Nhập[Tổng Nhập-NX]*(Data_Nhập[Year]=CZ$1)*(Data_Nhập[Main SKU name_GOM]=$A10)*(Data_Nhập[SKU name_NHẬP_GOM]=CZ$3)),SUMPRODUCT(Data_Nhập[Tổng Nhập-NX]*(Data_Nhập[Year]=CZ$1)*(Data_Nhập[Month]=CZ$2)*(Data_Nhập[Main SKU name_GOM]=$A10)*(Data_Nhập[SKU name_NHẬP_GOM]=CZ$3)))</f>
        <v>0</v>
      </c>
      <c r="DA10" s="24" cm="1">
        <f t="array" ref="DA10">IF(DA$2="FY",SUMPRODUCT(Data_Nhập[Tổng Nhập-NX]*(Data_Nhập[Year]=DA$1)*(Data_Nhập[Main SKU name_GOM]=$A10)*(Data_Nhập[SKU name_NHẬP_GOM]=DA$3)),SUMPRODUCT(Data_Nhập[Tổng Nhập-NX]*(Data_Nhập[Year]=DA$1)*(Data_Nhập[Month]=DA$2)*(Data_Nhập[Main SKU name_GOM]=$A10)*(Data_Nhập[SKU name_NHẬP_GOM]=DA$3)))</f>
        <v>0</v>
      </c>
      <c r="DB10" s="24" cm="1">
        <f t="array" ref="DB10">IF(DB$2="FY",SUMPRODUCT(Data_Nhập[Tổng Nhập-NX]*(Data_Nhập[Year]=DB$1)*(Data_Nhập[Main SKU name_GOM]=$A10)*(Data_Nhập[SKU name_NHẬP_GOM]=DB$3)),SUMPRODUCT(Data_Nhập[Tổng Nhập-NX]*(Data_Nhập[Year]=DB$1)*(Data_Nhập[Month]=DB$2)*(Data_Nhập[Main SKU name_GOM]=$A10)*(Data_Nhập[SKU name_NHẬP_GOM]=DB$3)))</f>
        <v>0</v>
      </c>
      <c r="DC10" s="24" cm="1">
        <f t="array" ref="DC10">IF(DC$2="FY",SUMPRODUCT(Data_Nhập[Tổng Nhập-NX]*(Data_Nhập[Year]=DC$1)*(Data_Nhập[Main SKU name_GOM]=$A10)*(Data_Nhập[SKU name_NHẬP_GOM]=DC$3)),SUMPRODUCT(Data_Nhập[Tổng Nhập-NX]*(Data_Nhập[Year]=DC$1)*(Data_Nhập[Month]=DC$2)*(Data_Nhập[Main SKU name_GOM]=$A10)*(Data_Nhập[SKU name_NHẬP_GOM]=DC$3)))</f>
        <v>0</v>
      </c>
      <c r="DD10" s="24" cm="1">
        <f t="array" ref="DD10">IF(DD$2="FY",SUMPRODUCT(Data_Nhập[Tổng Nhập-NX]*(Data_Nhập[Year]=DD$1)*(Data_Nhập[Main SKU name_GOM]=$A10)*(Data_Nhập[SKU name_NHẬP_GOM]=DD$3)),SUMPRODUCT(Data_Nhập[Tổng Nhập-NX]*(Data_Nhập[Year]=DD$1)*(Data_Nhập[Month]=DD$2)*(Data_Nhập[Main SKU name_GOM]=$A10)*(Data_Nhập[SKU name_NHẬP_GOM]=DD$3)))</f>
        <v>0</v>
      </c>
      <c r="DE10" s="24" cm="1">
        <f t="array" ref="DE10">IF(DE$2="FY",SUMPRODUCT(Data_Nhập[Tổng Nhập-NX]*(Data_Nhập[Year]=DE$1)*(Data_Nhập[Main SKU name_GOM]=$A10)*(Data_Nhập[SKU name_NHẬP_GOM]=DE$3)),SUMPRODUCT(Data_Nhập[Tổng Nhập-NX]*(Data_Nhập[Year]=DE$1)*(Data_Nhập[Month]=DE$2)*(Data_Nhập[Main SKU name_GOM]=$A10)*(Data_Nhập[SKU name_NHẬP_GOM]=DE$3)))</f>
        <v>0</v>
      </c>
      <c r="DF10" s="25">
        <f t="shared" si="17"/>
        <v>0</v>
      </c>
      <c r="DH10" s="25" cm="1">
        <f t="array" ref="DH10">IF(DH$2="FY",SUMPRODUCT(Data_Xuất[Xuất-NX]*(Data_Xuất[Year]=DH$1)*(Data_Xuất[Main SKU name_GOM]=$A10)),SUMPRODUCT(Data_Xuất[Xuất-NX]*(Data_Xuất[Year]=DH$1)*(Data_Xuất[Main SKU name_GOM]=$A10)*(Data_Xuất[Month]=DH$2)))</f>
        <v>0</v>
      </c>
      <c r="DI10" s="24" cm="1">
        <f t="array" ref="DI10">IF(DI$2="FY",SUMPRODUCT(Data_Nhập[Tổng Nhập-NX]*(Data_Nhập[Year]=DI$1)*(Data_Nhập[Main SKU name_GOM]=$A10)*(Data_Nhập[SKU name_NHẬP_GOM]=DI$3)),SUMPRODUCT(Data_Nhập[Tổng Nhập-NX]*(Data_Nhập[Year]=DI$1)*(Data_Nhập[Month]=DI$2)*(Data_Nhập[Main SKU name_GOM]=$A10)*(Data_Nhập[SKU name_NHẬP_GOM]=DI$3)))</f>
        <v>0</v>
      </c>
      <c r="DJ10" s="24" cm="1">
        <f t="array" ref="DJ10">IF(DJ$2="FY",SUMPRODUCT(Data_Nhập[Tổng Nhập-NX]*(Data_Nhập[Year]=DJ$1)*(Data_Nhập[Main SKU name_GOM]=$A10)*(Data_Nhập[SKU name_NHẬP_GOM]=DJ$3)),SUMPRODUCT(Data_Nhập[Tổng Nhập-NX]*(Data_Nhập[Year]=DJ$1)*(Data_Nhập[Month]=DJ$2)*(Data_Nhập[Main SKU name_GOM]=$A10)*(Data_Nhập[SKU name_NHẬP_GOM]=DJ$3)))</f>
        <v>0</v>
      </c>
      <c r="DK10" s="24" cm="1">
        <f t="array" ref="DK10">IF(DK$2="FY",SUMPRODUCT(Data_Nhập[Tổng Nhập-NX]*(Data_Nhập[Year]=DK$1)*(Data_Nhập[Main SKU name_GOM]=$A10)*(Data_Nhập[SKU name_NHẬP_GOM]=DK$3)),SUMPRODUCT(Data_Nhập[Tổng Nhập-NX]*(Data_Nhập[Year]=DK$1)*(Data_Nhập[Month]=DK$2)*(Data_Nhập[Main SKU name_GOM]=$A10)*(Data_Nhập[SKU name_NHẬP_GOM]=DK$3)))</f>
        <v>0</v>
      </c>
      <c r="DL10" s="24" cm="1">
        <f t="array" ref="DL10">IF(DL$2="FY",SUMPRODUCT(Data_Nhập[Tổng Nhập-NX]*(Data_Nhập[Year]=DL$1)*(Data_Nhập[Main SKU name_GOM]=$A10)*(Data_Nhập[SKU name_NHẬP_GOM]=DL$3)),SUMPRODUCT(Data_Nhập[Tổng Nhập-NX]*(Data_Nhập[Year]=DL$1)*(Data_Nhập[Month]=DL$2)*(Data_Nhập[Main SKU name_GOM]=$A10)*(Data_Nhập[SKU name_NHẬP_GOM]=DL$3)))</f>
        <v>0</v>
      </c>
      <c r="DM10" s="24" cm="1">
        <f t="array" ref="DM10">IF(DM$2="FY",SUMPRODUCT(Data_Nhập[Tổng Nhập-NX]*(Data_Nhập[Year]=DM$1)*(Data_Nhập[Main SKU name_GOM]=$A10)*(Data_Nhập[SKU name_NHẬP_GOM]=DM$3)),SUMPRODUCT(Data_Nhập[Tổng Nhập-NX]*(Data_Nhập[Year]=DM$1)*(Data_Nhập[Month]=DM$2)*(Data_Nhập[Main SKU name_GOM]=$A10)*(Data_Nhập[SKU name_NHẬP_GOM]=DM$3)))</f>
        <v>0</v>
      </c>
      <c r="DN10" s="24" cm="1">
        <f t="array" ref="DN10">IF(DN$2="FY",SUMPRODUCT(Data_Nhập[Tổng Nhập-NX]*(Data_Nhập[Year]=DN$1)*(Data_Nhập[Main SKU name_GOM]=$A10)*(Data_Nhập[SKU name_NHẬP_GOM]=DN$3)),SUMPRODUCT(Data_Nhập[Tổng Nhập-NX]*(Data_Nhập[Year]=DN$1)*(Data_Nhập[Month]=DN$2)*(Data_Nhập[Main SKU name_GOM]=$A10)*(Data_Nhập[SKU name_NHẬP_GOM]=DN$3)))</f>
        <v>0</v>
      </c>
      <c r="DO10" s="24" cm="1">
        <f t="array" ref="DO10">IF(DO$2="FY",SUMPRODUCT(Data_Nhập[Tổng Nhập-NX]*(Data_Nhập[Year]=DO$1)*(Data_Nhập[Main SKU name_GOM]=$A10)*(Data_Nhập[SKU name_NHẬP_GOM]=DO$3)),SUMPRODUCT(Data_Nhập[Tổng Nhập-NX]*(Data_Nhập[Year]=DO$1)*(Data_Nhập[Month]=DO$2)*(Data_Nhập[Main SKU name_GOM]=$A10)*(Data_Nhập[SKU name_NHẬP_GOM]=DO$3)))</f>
        <v>0</v>
      </c>
      <c r="DP10" s="24" cm="1">
        <f t="array" ref="DP10">IF(DP$2="FY",SUMPRODUCT(Data_Nhập[Tổng Nhập-NX]*(Data_Nhập[Year]=DP$1)*(Data_Nhập[Main SKU name_GOM]=$A10)*(Data_Nhập[SKU name_NHẬP_GOM]=DP$3)),SUMPRODUCT(Data_Nhập[Tổng Nhập-NX]*(Data_Nhập[Year]=DP$1)*(Data_Nhập[Month]=DP$2)*(Data_Nhập[Main SKU name_GOM]=$A10)*(Data_Nhập[SKU name_NHẬP_GOM]=DP$3)))</f>
        <v>0</v>
      </c>
      <c r="DQ10" s="24" cm="1">
        <f t="array" ref="DQ10">IF(DQ$2="FY",SUMPRODUCT(Data_Nhập[Tổng Nhập-NX]*(Data_Nhập[Year]=DQ$1)*(Data_Nhập[Main SKU name_GOM]=$A10)*(Data_Nhập[SKU name_NHẬP_GOM]=DQ$3)),SUMPRODUCT(Data_Nhập[Tổng Nhập-NX]*(Data_Nhập[Year]=DQ$1)*(Data_Nhập[Month]=DQ$2)*(Data_Nhập[Main SKU name_GOM]=$A10)*(Data_Nhập[SKU name_NHẬP_GOM]=DQ$3)))</f>
        <v>0</v>
      </c>
      <c r="DR10" s="24" cm="1">
        <f t="array" ref="DR10">IF(DR$2="FY",SUMPRODUCT(Data_Nhập[Tổng Nhập-NX]*(Data_Nhập[Year]=DR$1)*(Data_Nhập[Main SKU name_GOM]=$A10)*(Data_Nhập[SKU name_NHẬP_GOM]=DR$3)),SUMPRODUCT(Data_Nhập[Tổng Nhập-NX]*(Data_Nhập[Year]=DR$1)*(Data_Nhập[Month]=DR$2)*(Data_Nhập[Main SKU name_GOM]=$A10)*(Data_Nhập[SKU name_NHẬP_GOM]=DR$3)))</f>
        <v>0</v>
      </c>
      <c r="DS10" s="24" cm="1">
        <f t="array" ref="DS10">IF(DS$2="FY",SUMPRODUCT(Data_Nhập[Tổng Nhập-NX]*(Data_Nhập[Year]=DS$1)*(Data_Nhập[Main SKU name_GOM]=$A10)*(Data_Nhập[SKU name_NHẬP_GOM]=DS$3)),SUMPRODUCT(Data_Nhập[Tổng Nhập-NX]*(Data_Nhập[Year]=DS$1)*(Data_Nhập[Month]=DS$2)*(Data_Nhập[Main SKU name_GOM]=$A10)*(Data_Nhập[SKU name_NHẬP_GOM]=DS$3)))</f>
        <v>0</v>
      </c>
      <c r="DT10" s="24" cm="1">
        <f t="array" ref="DT10">IF(DT$2="FY",SUMPRODUCT(Data_Nhập[Tổng Nhập-NX]*(Data_Nhập[Year]=DT$1)*(Data_Nhập[Main SKU name_GOM]=$A10)*(Data_Nhập[SKU name_NHẬP_GOM]=DT$3)),SUMPRODUCT(Data_Nhập[Tổng Nhập-NX]*(Data_Nhập[Year]=DT$1)*(Data_Nhập[Month]=DT$2)*(Data_Nhập[Main SKU name_GOM]=$A10)*(Data_Nhập[SKU name_NHẬP_GOM]=DT$3)))</f>
        <v>0</v>
      </c>
      <c r="DU10" s="24" cm="1">
        <f t="array" ref="DU10">IF(DU$2="FY",SUMPRODUCT(Data_Nhập[Tổng Nhập-NX]*(Data_Nhập[Year]=DU$1)*(Data_Nhập[Main SKU name_GOM]=$A10)*(Data_Nhập[SKU name_NHẬP_GOM]=DU$3)),SUMPRODUCT(Data_Nhập[Tổng Nhập-NX]*(Data_Nhập[Year]=DU$1)*(Data_Nhập[Month]=DU$2)*(Data_Nhập[Main SKU name_GOM]=$A10)*(Data_Nhập[SKU name_NHẬP_GOM]=DU$3)))</f>
        <v>0</v>
      </c>
      <c r="DV10" s="24" cm="1">
        <f t="array" ref="DV10">IF(DV$2="FY",SUMPRODUCT(Data_Nhập[Tổng Nhập-NX]*(Data_Nhập[Year]=DV$1)*(Data_Nhập[Main SKU name_GOM]=$A10)*(Data_Nhập[SKU name_NHẬP_GOM]=DV$3)),SUMPRODUCT(Data_Nhập[Tổng Nhập-NX]*(Data_Nhập[Year]=DV$1)*(Data_Nhập[Month]=DV$2)*(Data_Nhập[Main SKU name_GOM]=$A10)*(Data_Nhập[SKU name_NHẬP_GOM]=DV$3)))</f>
        <v>0</v>
      </c>
      <c r="DW10" s="24" cm="1">
        <f t="array" ref="DW10">IF(DW$2="FY",SUMPRODUCT(Data_Nhập[Tổng Nhập-NX]*(Data_Nhập[Year]=DW$1)*(Data_Nhập[Main SKU name_GOM]=$A10)*(Data_Nhập[SKU name_NHẬP_GOM]=DW$3)),SUMPRODUCT(Data_Nhập[Tổng Nhập-NX]*(Data_Nhập[Year]=DW$1)*(Data_Nhập[Month]=DW$2)*(Data_Nhập[Main SKU name_GOM]=$A10)*(Data_Nhập[SKU name_NHẬP_GOM]=DW$3)))</f>
        <v>0</v>
      </c>
      <c r="DX10" s="25">
        <f t="shared" si="18"/>
        <v>0</v>
      </c>
      <c r="DZ10" s="25" cm="1">
        <f t="array" ref="DZ10">IF(DZ$2="FY",SUMPRODUCT(Data_Xuất[Xuất-NX]*(Data_Xuất[Year]=DZ$1)*(Data_Xuất[Main SKU name_GOM]=$A10)),SUMPRODUCT(Data_Xuất[Xuất-NX]*(Data_Xuất[Year]=DZ$1)*(Data_Xuất[Main SKU name_GOM]=$A10)*(Data_Xuất[Month]=DZ$2)))</f>
        <v>0</v>
      </c>
      <c r="EA10" s="24" cm="1">
        <f t="array" ref="EA10">IF(EA$2="FY",SUMPRODUCT(Data_Nhập[Tổng Nhập-NX]*(Data_Nhập[Year]=EA$1)*(Data_Nhập[Main SKU name_GOM]=$A10)*(Data_Nhập[SKU name_NHẬP_GOM]=EA$3)),SUMPRODUCT(Data_Nhập[Tổng Nhập-NX]*(Data_Nhập[Year]=EA$1)*(Data_Nhập[Month]=EA$2)*(Data_Nhập[Main SKU name_GOM]=$A10)*(Data_Nhập[SKU name_NHẬP_GOM]=EA$3)))</f>
        <v>0</v>
      </c>
      <c r="EB10" s="24" cm="1">
        <f t="array" ref="EB10">IF(EB$2="FY",SUMPRODUCT(Data_Nhập[Tổng Nhập-NX]*(Data_Nhập[Year]=EB$1)*(Data_Nhập[Main SKU name_GOM]=$A10)*(Data_Nhập[SKU name_NHẬP_GOM]=EB$3)),SUMPRODUCT(Data_Nhập[Tổng Nhập-NX]*(Data_Nhập[Year]=EB$1)*(Data_Nhập[Month]=EB$2)*(Data_Nhập[Main SKU name_GOM]=$A10)*(Data_Nhập[SKU name_NHẬP_GOM]=EB$3)))</f>
        <v>0</v>
      </c>
      <c r="EC10" s="24" cm="1">
        <f t="array" ref="EC10">IF(EC$2="FY",SUMPRODUCT(Data_Nhập[Tổng Nhập-NX]*(Data_Nhập[Year]=EC$1)*(Data_Nhập[Main SKU name_GOM]=$A10)*(Data_Nhập[SKU name_NHẬP_GOM]=EC$3)),SUMPRODUCT(Data_Nhập[Tổng Nhập-NX]*(Data_Nhập[Year]=EC$1)*(Data_Nhập[Month]=EC$2)*(Data_Nhập[Main SKU name_GOM]=$A10)*(Data_Nhập[SKU name_NHẬP_GOM]=EC$3)))</f>
        <v>0</v>
      </c>
      <c r="ED10" s="24" cm="1">
        <f t="array" ref="ED10">IF(ED$2="FY",SUMPRODUCT(Data_Nhập[Tổng Nhập-NX]*(Data_Nhập[Year]=ED$1)*(Data_Nhập[Main SKU name_GOM]=$A10)*(Data_Nhập[SKU name_NHẬP_GOM]=ED$3)),SUMPRODUCT(Data_Nhập[Tổng Nhập-NX]*(Data_Nhập[Year]=ED$1)*(Data_Nhập[Month]=ED$2)*(Data_Nhập[Main SKU name_GOM]=$A10)*(Data_Nhập[SKU name_NHẬP_GOM]=ED$3)))</f>
        <v>0</v>
      </c>
      <c r="EE10" s="24" cm="1">
        <f t="array" ref="EE10">IF(EE$2="FY",SUMPRODUCT(Data_Nhập[Tổng Nhập-NX]*(Data_Nhập[Year]=EE$1)*(Data_Nhập[Main SKU name_GOM]=$A10)*(Data_Nhập[SKU name_NHẬP_GOM]=EE$3)),SUMPRODUCT(Data_Nhập[Tổng Nhập-NX]*(Data_Nhập[Year]=EE$1)*(Data_Nhập[Month]=EE$2)*(Data_Nhập[Main SKU name_GOM]=$A10)*(Data_Nhập[SKU name_NHẬP_GOM]=EE$3)))</f>
        <v>0</v>
      </c>
      <c r="EF10" s="24" cm="1">
        <f t="array" ref="EF10">IF(EF$2="FY",SUMPRODUCT(Data_Nhập[Tổng Nhập-NX]*(Data_Nhập[Year]=EF$1)*(Data_Nhập[Main SKU name_GOM]=$A10)*(Data_Nhập[SKU name_NHẬP_GOM]=EF$3)),SUMPRODUCT(Data_Nhập[Tổng Nhập-NX]*(Data_Nhập[Year]=EF$1)*(Data_Nhập[Month]=EF$2)*(Data_Nhập[Main SKU name_GOM]=$A10)*(Data_Nhập[SKU name_NHẬP_GOM]=EF$3)))</f>
        <v>0</v>
      </c>
      <c r="EG10" s="24" cm="1">
        <f t="array" ref="EG10">IF(EG$2="FY",SUMPRODUCT(Data_Nhập[Tổng Nhập-NX]*(Data_Nhập[Year]=EG$1)*(Data_Nhập[Main SKU name_GOM]=$A10)*(Data_Nhập[SKU name_NHẬP_GOM]=EG$3)),SUMPRODUCT(Data_Nhập[Tổng Nhập-NX]*(Data_Nhập[Year]=EG$1)*(Data_Nhập[Month]=EG$2)*(Data_Nhập[Main SKU name_GOM]=$A10)*(Data_Nhập[SKU name_NHẬP_GOM]=EG$3)))</f>
        <v>0</v>
      </c>
      <c r="EH10" s="24" cm="1">
        <f t="array" ref="EH10">IF(EH$2="FY",SUMPRODUCT(Data_Nhập[Tổng Nhập-NX]*(Data_Nhập[Year]=EH$1)*(Data_Nhập[Main SKU name_GOM]=$A10)*(Data_Nhập[SKU name_NHẬP_GOM]=EH$3)),SUMPRODUCT(Data_Nhập[Tổng Nhập-NX]*(Data_Nhập[Year]=EH$1)*(Data_Nhập[Month]=EH$2)*(Data_Nhập[Main SKU name_GOM]=$A10)*(Data_Nhập[SKU name_NHẬP_GOM]=EH$3)))</f>
        <v>0</v>
      </c>
      <c r="EI10" s="24" cm="1">
        <f t="array" ref="EI10">IF(EI$2="FY",SUMPRODUCT(Data_Nhập[Tổng Nhập-NX]*(Data_Nhập[Year]=EI$1)*(Data_Nhập[Main SKU name_GOM]=$A10)*(Data_Nhập[SKU name_NHẬP_GOM]=EI$3)),SUMPRODUCT(Data_Nhập[Tổng Nhập-NX]*(Data_Nhập[Year]=EI$1)*(Data_Nhập[Month]=EI$2)*(Data_Nhập[Main SKU name_GOM]=$A10)*(Data_Nhập[SKU name_NHẬP_GOM]=EI$3)))</f>
        <v>0</v>
      </c>
      <c r="EJ10" s="24" cm="1">
        <f t="array" ref="EJ10">IF(EJ$2="FY",SUMPRODUCT(Data_Nhập[Tổng Nhập-NX]*(Data_Nhập[Year]=EJ$1)*(Data_Nhập[Main SKU name_GOM]=$A10)*(Data_Nhập[SKU name_NHẬP_GOM]=EJ$3)),SUMPRODUCT(Data_Nhập[Tổng Nhập-NX]*(Data_Nhập[Year]=EJ$1)*(Data_Nhập[Month]=EJ$2)*(Data_Nhập[Main SKU name_GOM]=$A10)*(Data_Nhập[SKU name_NHẬP_GOM]=EJ$3)))</f>
        <v>0</v>
      </c>
      <c r="EK10" s="24" cm="1">
        <f t="array" ref="EK10">IF(EK$2="FY",SUMPRODUCT(Data_Nhập[Tổng Nhập-NX]*(Data_Nhập[Year]=EK$1)*(Data_Nhập[Main SKU name_GOM]=$A10)*(Data_Nhập[SKU name_NHẬP_GOM]=EK$3)),SUMPRODUCT(Data_Nhập[Tổng Nhập-NX]*(Data_Nhập[Year]=EK$1)*(Data_Nhập[Month]=EK$2)*(Data_Nhập[Main SKU name_GOM]=$A10)*(Data_Nhập[SKU name_NHẬP_GOM]=EK$3)))</f>
        <v>0</v>
      </c>
      <c r="EL10" s="24" cm="1">
        <f t="array" ref="EL10">IF(EL$2="FY",SUMPRODUCT(Data_Nhập[Tổng Nhập-NX]*(Data_Nhập[Year]=EL$1)*(Data_Nhập[Main SKU name_GOM]=$A10)*(Data_Nhập[SKU name_NHẬP_GOM]=EL$3)),SUMPRODUCT(Data_Nhập[Tổng Nhập-NX]*(Data_Nhập[Year]=EL$1)*(Data_Nhập[Month]=EL$2)*(Data_Nhập[Main SKU name_GOM]=$A10)*(Data_Nhập[SKU name_NHẬP_GOM]=EL$3)))</f>
        <v>0</v>
      </c>
      <c r="EM10" s="24" cm="1">
        <f t="array" ref="EM10">IF(EM$2="FY",SUMPRODUCT(Data_Nhập[Tổng Nhập-NX]*(Data_Nhập[Year]=EM$1)*(Data_Nhập[Main SKU name_GOM]=$A10)*(Data_Nhập[SKU name_NHẬP_GOM]=EM$3)),SUMPRODUCT(Data_Nhập[Tổng Nhập-NX]*(Data_Nhập[Year]=EM$1)*(Data_Nhập[Month]=EM$2)*(Data_Nhập[Main SKU name_GOM]=$A10)*(Data_Nhập[SKU name_NHẬP_GOM]=EM$3)))</f>
        <v>0</v>
      </c>
      <c r="EN10" s="24" cm="1">
        <f t="array" ref="EN10">IF(EN$2="FY",SUMPRODUCT(Data_Nhập[Tổng Nhập-NX]*(Data_Nhập[Year]=EN$1)*(Data_Nhập[Main SKU name_GOM]=$A10)*(Data_Nhập[SKU name_NHẬP_GOM]=EN$3)),SUMPRODUCT(Data_Nhập[Tổng Nhập-NX]*(Data_Nhập[Year]=EN$1)*(Data_Nhập[Month]=EN$2)*(Data_Nhập[Main SKU name_GOM]=$A10)*(Data_Nhập[SKU name_NHẬP_GOM]=EN$3)))</f>
        <v>0</v>
      </c>
      <c r="EO10" s="24" cm="1">
        <f t="array" ref="EO10">IF(EO$2="FY",SUMPRODUCT(Data_Nhập[Tổng Nhập-NX]*(Data_Nhập[Year]=EO$1)*(Data_Nhập[Main SKU name_GOM]=$A10)*(Data_Nhập[SKU name_NHẬP_GOM]=EO$3)),SUMPRODUCT(Data_Nhập[Tổng Nhập-NX]*(Data_Nhập[Year]=EO$1)*(Data_Nhập[Month]=EO$2)*(Data_Nhập[Main SKU name_GOM]=$A10)*(Data_Nhập[SKU name_NHẬP_GOM]=EO$3)))</f>
        <v>0</v>
      </c>
      <c r="EP10" s="25">
        <f t="shared" si="19"/>
        <v>0</v>
      </c>
      <c r="ER10" s="25" cm="1">
        <f t="array" ref="ER10">IF(ER$2="FY",SUMPRODUCT(Data_Xuất[Xuất-NX]*(Data_Xuất[Year]=ER$1)*(Data_Xuất[Main SKU name_GOM]=$A10)),SUMPRODUCT(Data_Xuất[Xuất-NX]*(Data_Xuất[Year]=ER$1)*(Data_Xuất[Main SKU name_GOM]=$A10)*(Data_Xuất[Month]=ER$2)))</f>
        <v>0</v>
      </c>
      <c r="ES10" s="24" cm="1">
        <f t="array" ref="ES10">IF(ES$2="FY",SUMPRODUCT(Data_Nhập[Tổng Nhập-NX]*(Data_Nhập[Year]=ES$1)*(Data_Nhập[Main SKU name_GOM]=$A10)*(Data_Nhập[SKU name_NHẬP_GOM]=ES$3)),SUMPRODUCT(Data_Nhập[Tổng Nhập-NX]*(Data_Nhập[Year]=ES$1)*(Data_Nhập[Month]=ES$2)*(Data_Nhập[Main SKU name_GOM]=$A10)*(Data_Nhập[SKU name_NHẬP_GOM]=ES$3)))</f>
        <v>0</v>
      </c>
      <c r="ET10" s="24" cm="1">
        <f t="array" ref="ET10">IF(ET$2="FY",SUMPRODUCT(Data_Nhập[Tổng Nhập-NX]*(Data_Nhập[Year]=ET$1)*(Data_Nhập[Main SKU name_GOM]=$A10)*(Data_Nhập[SKU name_NHẬP_GOM]=ET$3)),SUMPRODUCT(Data_Nhập[Tổng Nhập-NX]*(Data_Nhập[Year]=ET$1)*(Data_Nhập[Month]=ET$2)*(Data_Nhập[Main SKU name_GOM]=$A10)*(Data_Nhập[SKU name_NHẬP_GOM]=ET$3)))</f>
        <v>0</v>
      </c>
      <c r="EU10" s="24" cm="1">
        <f t="array" ref="EU10">IF(EU$2="FY",SUMPRODUCT(Data_Nhập[Tổng Nhập-NX]*(Data_Nhập[Year]=EU$1)*(Data_Nhập[Main SKU name_GOM]=$A10)*(Data_Nhập[SKU name_NHẬP_GOM]=EU$3)),SUMPRODUCT(Data_Nhập[Tổng Nhập-NX]*(Data_Nhập[Year]=EU$1)*(Data_Nhập[Month]=EU$2)*(Data_Nhập[Main SKU name_GOM]=$A10)*(Data_Nhập[SKU name_NHẬP_GOM]=EU$3)))</f>
        <v>0</v>
      </c>
      <c r="EV10" s="24" cm="1">
        <f t="array" ref="EV10">IF(EV$2="FY",SUMPRODUCT(Data_Nhập[Tổng Nhập-NX]*(Data_Nhập[Year]=EV$1)*(Data_Nhập[Main SKU name_GOM]=$A10)*(Data_Nhập[SKU name_NHẬP_GOM]=EV$3)),SUMPRODUCT(Data_Nhập[Tổng Nhập-NX]*(Data_Nhập[Year]=EV$1)*(Data_Nhập[Month]=EV$2)*(Data_Nhập[Main SKU name_GOM]=$A10)*(Data_Nhập[SKU name_NHẬP_GOM]=EV$3)))</f>
        <v>0</v>
      </c>
      <c r="EW10" s="24" cm="1">
        <f t="array" ref="EW10">IF(EW$2="FY",SUMPRODUCT(Data_Nhập[Tổng Nhập-NX]*(Data_Nhập[Year]=EW$1)*(Data_Nhập[Main SKU name_GOM]=$A10)*(Data_Nhập[SKU name_NHẬP_GOM]=EW$3)),SUMPRODUCT(Data_Nhập[Tổng Nhập-NX]*(Data_Nhập[Year]=EW$1)*(Data_Nhập[Month]=EW$2)*(Data_Nhập[Main SKU name_GOM]=$A10)*(Data_Nhập[SKU name_NHẬP_GOM]=EW$3)))</f>
        <v>0</v>
      </c>
      <c r="EX10" s="24" cm="1">
        <f t="array" ref="EX10">IF(EX$2="FY",SUMPRODUCT(Data_Nhập[Tổng Nhập-NX]*(Data_Nhập[Year]=EX$1)*(Data_Nhập[Main SKU name_GOM]=$A10)*(Data_Nhập[SKU name_NHẬP_GOM]=EX$3)),SUMPRODUCT(Data_Nhập[Tổng Nhập-NX]*(Data_Nhập[Year]=EX$1)*(Data_Nhập[Month]=EX$2)*(Data_Nhập[Main SKU name_GOM]=$A10)*(Data_Nhập[SKU name_NHẬP_GOM]=EX$3)))</f>
        <v>0</v>
      </c>
      <c r="EY10" s="24" cm="1">
        <f t="array" ref="EY10">IF(EY$2="FY",SUMPRODUCT(Data_Nhập[Tổng Nhập-NX]*(Data_Nhập[Year]=EY$1)*(Data_Nhập[Main SKU name_GOM]=$A10)*(Data_Nhập[SKU name_NHẬP_GOM]=EY$3)),SUMPRODUCT(Data_Nhập[Tổng Nhập-NX]*(Data_Nhập[Year]=EY$1)*(Data_Nhập[Month]=EY$2)*(Data_Nhập[Main SKU name_GOM]=$A10)*(Data_Nhập[SKU name_NHẬP_GOM]=EY$3)))</f>
        <v>0</v>
      </c>
      <c r="EZ10" s="24" cm="1">
        <f t="array" ref="EZ10">IF(EZ$2="FY",SUMPRODUCT(Data_Nhập[Tổng Nhập-NX]*(Data_Nhập[Year]=EZ$1)*(Data_Nhập[Main SKU name_GOM]=$A10)*(Data_Nhập[SKU name_NHẬP_GOM]=EZ$3)),SUMPRODUCT(Data_Nhập[Tổng Nhập-NX]*(Data_Nhập[Year]=EZ$1)*(Data_Nhập[Month]=EZ$2)*(Data_Nhập[Main SKU name_GOM]=$A10)*(Data_Nhập[SKU name_NHẬP_GOM]=EZ$3)))</f>
        <v>0</v>
      </c>
      <c r="FA10" s="24" cm="1">
        <f t="array" ref="FA10">IF(FA$2="FY",SUMPRODUCT(Data_Nhập[Tổng Nhập-NX]*(Data_Nhập[Year]=FA$1)*(Data_Nhập[Main SKU name_GOM]=$A10)*(Data_Nhập[SKU name_NHẬP_GOM]=FA$3)),SUMPRODUCT(Data_Nhập[Tổng Nhập-NX]*(Data_Nhập[Year]=FA$1)*(Data_Nhập[Month]=FA$2)*(Data_Nhập[Main SKU name_GOM]=$A10)*(Data_Nhập[SKU name_NHẬP_GOM]=FA$3)))</f>
        <v>0</v>
      </c>
      <c r="FB10" s="24" cm="1">
        <f t="array" ref="FB10">IF(FB$2="FY",SUMPRODUCT(Data_Nhập[Tổng Nhập-NX]*(Data_Nhập[Year]=FB$1)*(Data_Nhập[Main SKU name_GOM]=$A10)*(Data_Nhập[SKU name_NHẬP_GOM]=FB$3)),SUMPRODUCT(Data_Nhập[Tổng Nhập-NX]*(Data_Nhập[Year]=FB$1)*(Data_Nhập[Month]=FB$2)*(Data_Nhập[Main SKU name_GOM]=$A10)*(Data_Nhập[SKU name_NHẬP_GOM]=FB$3)))</f>
        <v>0</v>
      </c>
      <c r="FC10" s="24" cm="1">
        <f t="array" ref="FC10">IF(FC$2="FY",SUMPRODUCT(Data_Nhập[Tổng Nhập-NX]*(Data_Nhập[Year]=FC$1)*(Data_Nhập[Main SKU name_GOM]=$A10)*(Data_Nhập[SKU name_NHẬP_GOM]=FC$3)),SUMPRODUCT(Data_Nhập[Tổng Nhập-NX]*(Data_Nhập[Year]=FC$1)*(Data_Nhập[Month]=FC$2)*(Data_Nhập[Main SKU name_GOM]=$A10)*(Data_Nhập[SKU name_NHẬP_GOM]=FC$3)))</f>
        <v>0</v>
      </c>
      <c r="FD10" s="24" cm="1">
        <f t="array" ref="FD10">IF(FD$2="FY",SUMPRODUCT(Data_Nhập[Tổng Nhập-NX]*(Data_Nhập[Year]=FD$1)*(Data_Nhập[Main SKU name_GOM]=$A10)*(Data_Nhập[SKU name_NHẬP_GOM]=FD$3)),SUMPRODUCT(Data_Nhập[Tổng Nhập-NX]*(Data_Nhập[Year]=FD$1)*(Data_Nhập[Month]=FD$2)*(Data_Nhập[Main SKU name_GOM]=$A10)*(Data_Nhập[SKU name_NHẬP_GOM]=FD$3)))</f>
        <v>0</v>
      </c>
      <c r="FE10" s="24" cm="1">
        <f t="array" ref="FE10">IF(FE$2="FY",SUMPRODUCT(Data_Nhập[Tổng Nhập-NX]*(Data_Nhập[Year]=FE$1)*(Data_Nhập[Main SKU name_GOM]=$A10)*(Data_Nhập[SKU name_NHẬP_GOM]=FE$3)),SUMPRODUCT(Data_Nhập[Tổng Nhập-NX]*(Data_Nhập[Year]=FE$1)*(Data_Nhập[Month]=FE$2)*(Data_Nhập[Main SKU name_GOM]=$A10)*(Data_Nhập[SKU name_NHẬP_GOM]=FE$3)))</f>
        <v>0</v>
      </c>
      <c r="FF10" s="24" cm="1">
        <f t="array" ref="FF10">IF(FF$2="FY",SUMPRODUCT(Data_Nhập[Tổng Nhập-NX]*(Data_Nhập[Year]=FF$1)*(Data_Nhập[Main SKU name_GOM]=$A10)*(Data_Nhập[SKU name_NHẬP_GOM]=FF$3)),SUMPRODUCT(Data_Nhập[Tổng Nhập-NX]*(Data_Nhập[Year]=FF$1)*(Data_Nhập[Month]=FF$2)*(Data_Nhập[Main SKU name_GOM]=$A10)*(Data_Nhập[SKU name_NHẬP_GOM]=FF$3)))</f>
        <v>0</v>
      </c>
      <c r="FG10" s="24" cm="1">
        <f t="array" ref="FG10">IF(FG$2="FY",SUMPRODUCT(Data_Nhập[Tổng Nhập-NX]*(Data_Nhập[Year]=FG$1)*(Data_Nhập[Main SKU name_GOM]=$A10)*(Data_Nhập[SKU name_NHẬP_GOM]=FG$3)),SUMPRODUCT(Data_Nhập[Tổng Nhập-NX]*(Data_Nhập[Year]=FG$1)*(Data_Nhập[Month]=FG$2)*(Data_Nhập[Main SKU name_GOM]=$A10)*(Data_Nhập[SKU name_NHẬP_GOM]=FG$3)))</f>
        <v>0</v>
      </c>
      <c r="FH10" s="25">
        <f t="shared" si="20"/>
        <v>0</v>
      </c>
      <c r="FJ10" s="25" cm="1">
        <f t="array" ref="FJ10">IF(FJ$2="FY",SUMPRODUCT(Data_Xuất[Xuất-NX]*(Data_Xuất[Year]=FJ$1)*(Data_Xuất[Main SKU name_GOM]=$A10)),SUMPRODUCT(Data_Xuất[Xuất-NX]*(Data_Xuất[Year]=FJ$1)*(Data_Xuất[Main SKU name_GOM]=$A10)*(Data_Xuất[Month]=FJ$2)))</f>
        <v>0</v>
      </c>
      <c r="FK10" s="24" cm="1">
        <f t="array" ref="FK10">IF(FK$2="FY",SUMPRODUCT(Data_Nhập[Tổng Nhập-NX]*(Data_Nhập[Year]=FK$1)*(Data_Nhập[Main SKU name_GOM]=$A10)*(Data_Nhập[SKU name_NHẬP_GOM]=FK$3)),SUMPRODUCT(Data_Nhập[Tổng Nhập-NX]*(Data_Nhập[Year]=FK$1)*(Data_Nhập[Month]=FK$2)*(Data_Nhập[Main SKU name_GOM]=$A10)*(Data_Nhập[SKU name_NHẬP_GOM]=FK$3)))</f>
        <v>0</v>
      </c>
      <c r="FL10" s="24" cm="1">
        <f t="array" ref="FL10">IF(FL$2="FY",SUMPRODUCT(Data_Nhập[Tổng Nhập-NX]*(Data_Nhập[Year]=FL$1)*(Data_Nhập[Main SKU name_GOM]=$A10)*(Data_Nhập[SKU name_NHẬP_GOM]=FL$3)),SUMPRODUCT(Data_Nhập[Tổng Nhập-NX]*(Data_Nhập[Year]=FL$1)*(Data_Nhập[Month]=FL$2)*(Data_Nhập[Main SKU name_GOM]=$A10)*(Data_Nhập[SKU name_NHẬP_GOM]=FL$3)))</f>
        <v>0</v>
      </c>
      <c r="FM10" s="24" cm="1">
        <f t="array" ref="FM10">IF(FM$2="FY",SUMPRODUCT(Data_Nhập[Tổng Nhập-NX]*(Data_Nhập[Year]=FM$1)*(Data_Nhập[Main SKU name_GOM]=$A10)*(Data_Nhập[SKU name_NHẬP_GOM]=FM$3)),SUMPRODUCT(Data_Nhập[Tổng Nhập-NX]*(Data_Nhập[Year]=FM$1)*(Data_Nhập[Month]=FM$2)*(Data_Nhập[Main SKU name_GOM]=$A10)*(Data_Nhập[SKU name_NHẬP_GOM]=FM$3)))</f>
        <v>0</v>
      </c>
      <c r="FN10" s="24" cm="1">
        <f t="array" ref="FN10">IF(FN$2="FY",SUMPRODUCT(Data_Nhập[Tổng Nhập-NX]*(Data_Nhập[Year]=FN$1)*(Data_Nhập[Main SKU name_GOM]=$A10)*(Data_Nhập[SKU name_NHẬP_GOM]=FN$3)),SUMPRODUCT(Data_Nhập[Tổng Nhập-NX]*(Data_Nhập[Year]=FN$1)*(Data_Nhập[Month]=FN$2)*(Data_Nhập[Main SKU name_GOM]=$A10)*(Data_Nhập[SKU name_NHẬP_GOM]=FN$3)))</f>
        <v>0</v>
      </c>
      <c r="FO10" s="24" cm="1">
        <f t="array" ref="FO10">IF(FO$2="FY",SUMPRODUCT(Data_Nhập[Tổng Nhập-NX]*(Data_Nhập[Year]=FO$1)*(Data_Nhập[Main SKU name_GOM]=$A10)*(Data_Nhập[SKU name_NHẬP_GOM]=FO$3)),SUMPRODUCT(Data_Nhập[Tổng Nhập-NX]*(Data_Nhập[Year]=FO$1)*(Data_Nhập[Month]=FO$2)*(Data_Nhập[Main SKU name_GOM]=$A10)*(Data_Nhập[SKU name_NHẬP_GOM]=FO$3)))</f>
        <v>0</v>
      </c>
      <c r="FP10" s="24" cm="1">
        <f t="array" ref="FP10">IF(FP$2="FY",SUMPRODUCT(Data_Nhập[Tổng Nhập-NX]*(Data_Nhập[Year]=FP$1)*(Data_Nhập[Main SKU name_GOM]=$A10)*(Data_Nhập[SKU name_NHẬP_GOM]=FP$3)),SUMPRODUCT(Data_Nhập[Tổng Nhập-NX]*(Data_Nhập[Year]=FP$1)*(Data_Nhập[Month]=FP$2)*(Data_Nhập[Main SKU name_GOM]=$A10)*(Data_Nhập[SKU name_NHẬP_GOM]=FP$3)))</f>
        <v>0</v>
      </c>
      <c r="FQ10" s="24" cm="1">
        <f t="array" ref="FQ10">IF(FQ$2="FY",SUMPRODUCT(Data_Nhập[Tổng Nhập-NX]*(Data_Nhập[Year]=FQ$1)*(Data_Nhập[Main SKU name_GOM]=$A10)*(Data_Nhập[SKU name_NHẬP_GOM]=FQ$3)),SUMPRODUCT(Data_Nhập[Tổng Nhập-NX]*(Data_Nhập[Year]=FQ$1)*(Data_Nhập[Month]=FQ$2)*(Data_Nhập[Main SKU name_GOM]=$A10)*(Data_Nhập[SKU name_NHẬP_GOM]=FQ$3)))</f>
        <v>0</v>
      </c>
      <c r="FR10" s="24" cm="1">
        <f t="array" ref="FR10">IF(FR$2="FY",SUMPRODUCT(Data_Nhập[Tổng Nhập-NX]*(Data_Nhập[Year]=FR$1)*(Data_Nhập[Main SKU name_GOM]=$A10)*(Data_Nhập[SKU name_NHẬP_GOM]=FR$3)),SUMPRODUCT(Data_Nhập[Tổng Nhập-NX]*(Data_Nhập[Year]=FR$1)*(Data_Nhập[Month]=FR$2)*(Data_Nhập[Main SKU name_GOM]=$A10)*(Data_Nhập[SKU name_NHẬP_GOM]=FR$3)))</f>
        <v>0</v>
      </c>
      <c r="FS10" s="24" cm="1">
        <f t="array" ref="FS10">IF(FS$2="FY",SUMPRODUCT(Data_Nhập[Tổng Nhập-NX]*(Data_Nhập[Year]=FS$1)*(Data_Nhập[Main SKU name_GOM]=$A10)*(Data_Nhập[SKU name_NHẬP_GOM]=FS$3)),SUMPRODUCT(Data_Nhập[Tổng Nhập-NX]*(Data_Nhập[Year]=FS$1)*(Data_Nhập[Month]=FS$2)*(Data_Nhập[Main SKU name_GOM]=$A10)*(Data_Nhập[SKU name_NHẬP_GOM]=FS$3)))</f>
        <v>0</v>
      </c>
      <c r="FT10" s="24" cm="1">
        <f t="array" ref="FT10">IF(FT$2="FY",SUMPRODUCT(Data_Nhập[Tổng Nhập-NX]*(Data_Nhập[Year]=FT$1)*(Data_Nhập[Main SKU name_GOM]=$A10)*(Data_Nhập[SKU name_NHẬP_GOM]=FT$3)),SUMPRODUCT(Data_Nhập[Tổng Nhập-NX]*(Data_Nhập[Year]=FT$1)*(Data_Nhập[Month]=FT$2)*(Data_Nhập[Main SKU name_GOM]=$A10)*(Data_Nhập[SKU name_NHẬP_GOM]=FT$3)))</f>
        <v>0</v>
      </c>
      <c r="FU10" s="24" cm="1">
        <f t="array" ref="FU10">IF(FU$2="FY",SUMPRODUCT(Data_Nhập[Tổng Nhập-NX]*(Data_Nhập[Year]=FU$1)*(Data_Nhập[Main SKU name_GOM]=$A10)*(Data_Nhập[SKU name_NHẬP_GOM]=FU$3)),SUMPRODUCT(Data_Nhập[Tổng Nhập-NX]*(Data_Nhập[Year]=FU$1)*(Data_Nhập[Month]=FU$2)*(Data_Nhập[Main SKU name_GOM]=$A10)*(Data_Nhập[SKU name_NHẬP_GOM]=FU$3)))</f>
        <v>0</v>
      </c>
      <c r="FV10" s="24" cm="1">
        <f t="array" ref="FV10">IF(FV$2="FY",SUMPRODUCT(Data_Nhập[Tổng Nhập-NX]*(Data_Nhập[Year]=FV$1)*(Data_Nhập[Main SKU name_GOM]=$A10)*(Data_Nhập[SKU name_NHẬP_GOM]=FV$3)),SUMPRODUCT(Data_Nhập[Tổng Nhập-NX]*(Data_Nhập[Year]=FV$1)*(Data_Nhập[Month]=FV$2)*(Data_Nhập[Main SKU name_GOM]=$A10)*(Data_Nhập[SKU name_NHẬP_GOM]=FV$3)))</f>
        <v>0</v>
      </c>
      <c r="FW10" s="24" cm="1">
        <f t="array" ref="FW10">IF(FW$2="FY",SUMPRODUCT(Data_Nhập[Tổng Nhập-NX]*(Data_Nhập[Year]=FW$1)*(Data_Nhập[Main SKU name_GOM]=$A10)*(Data_Nhập[SKU name_NHẬP_GOM]=FW$3)),SUMPRODUCT(Data_Nhập[Tổng Nhập-NX]*(Data_Nhập[Year]=FW$1)*(Data_Nhập[Month]=FW$2)*(Data_Nhập[Main SKU name_GOM]=$A10)*(Data_Nhập[SKU name_NHẬP_GOM]=FW$3)))</f>
        <v>0</v>
      </c>
      <c r="FX10" s="24" cm="1">
        <f t="array" ref="FX10">IF(FX$2="FY",SUMPRODUCT(Data_Nhập[Tổng Nhập-NX]*(Data_Nhập[Year]=FX$1)*(Data_Nhập[Main SKU name_GOM]=$A10)*(Data_Nhập[SKU name_NHẬP_GOM]=FX$3)),SUMPRODUCT(Data_Nhập[Tổng Nhập-NX]*(Data_Nhập[Year]=FX$1)*(Data_Nhập[Month]=FX$2)*(Data_Nhập[Main SKU name_GOM]=$A10)*(Data_Nhập[SKU name_NHẬP_GOM]=FX$3)))</f>
        <v>0</v>
      </c>
      <c r="FY10" s="24" cm="1">
        <f t="array" ref="FY10">IF(FY$2="FY",SUMPRODUCT(Data_Nhập[Tổng Nhập-NX]*(Data_Nhập[Year]=FY$1)*(Data_Nhập[Main SKU name_GOM]=$A10)*(Data_Nhập[SKU name_NHẬP_GOM]=FY$3)),SUMPRODUCT(Data_Nhập[Tổng Nhập-NX]*(Data_Nhập[Year]=FY$1)*(Data_Nhập[Month]=FY$2)*(Data_Nhập[Main SKU name_GOM]=$A10)*(Data_Nhập[SKU name_NHẬP_GOM]=FY$3)))</f>
        <v>0</v>
      </c>
      <c r="FZ10" s="25">
        <f t="shared" si="21"/>
        <v>0</v>
      </c>
      <c r="GB10" s="25" cm="1">
        <f t="array" ref="GB10">IF(GB$2="FY",SUMPRODUCT(Data_Xuất[Xuất-NX]*(Data_Xuất[Year]=GB$1)*(Data_Xuất[Main SKU name_GOM]=$A10)),SUMPRODUCT(Data_Xuất[Xuất-NX]*(Data_Xuất[Year]=GB$1)*(Data_Xuất[Main SKU name_GOM]=$A10)*(Data_Xuất[Month]=GB$2)))</f>
        <v>0</v>
      </c>
      <c r="GC10" s="24" cm="1">
        <f t="array" ref="GC10">IF(GC$2="FY",SUMPRODUCT(Data_Nhập[Tổng Nhập-NX]*(Data_Nhập[Year]=GC$1)*(Data_Nhập[Main SKU name_GOM]=$A10)*(Data_Nhập[SKU name_NHẬP_GOM]=GC$3)),SUMPRODUCT(Data_Nhập[Tổng Nhập-NX]*(Data_Nhập[Year]=GC$1)*(Data_Nhập[Month]=GC$2)*(Data_Nhập[Main SKU name_GOM]=$A10)*(Data_Nhập[SKU name_NHẬP_GOM]=GC$3)))</f>
        <v>0</v>
      </c>
      <c r="GD10" s="24" cm="1">
        <f t="array" ref="GD10">IF(GD$2="FY",SUMPRODUCT(Data_Nhập[Tổng Nhập-NX]*(Data_Nhập[Year]=GD$1)*(Data_Nhập[Main SKU name_GOM]=$A10)*(Data_Nhập[SKU name_NHẬP_GOM]=GD$3)),SUMPRODUCT(Data_Nhập[Tổng Nhập-NX]*(Data_Nhập[Year]=GD$1)*(Data_Nhập[Month]=GD$2)*(Data_Nhập[Main SKU name_GOM]=$A10)*(Data_Nhập[SKU name_NHẬP_GOM]=GD$3)))</f>
        <v>0</v>
      </c>
      <c r="GE10" s="24" cm="1">
        <f t="array" ref="GE10">IF(GE$2="FY",SUMPRODUCT(Data_Nhập[Tổng Nhập-NX]*(Data_Nhập[Year]=GE$1)*(Data_Nhập[Main SKU name_GOM]=$A10)*(Data_Nhập[SKU name_NHẬP_GOM]=GE$3)),SUMPRODUCT(Data_Nhập[Tổng Nhập-NX]*(Data_Nhập[Year]=GE$1)*(Data_Nhập[Month]=GE$2)*(Data_Nhập[Main SKU name_GOM]=$A10)*(Data_Nhập[SKU name_NHẬP_GOM]=GE$3)))</f>
        <v>0</v>
      </c>
      <c r="GF10" s="24" cm="1">
        <f t="array" ref="GF10">IF(GF$2="FY",SUMPRODUCT(Data_Nhập[Tổng Nhập-NX]*(Data_Nhập[Year]=GF$1)*(Data_Nhập[Main SKU name_GOM]=$A10)*(Data_Nhập[SKU name_NHẬP_GOM]=GF$3)),SUMPRODUCT(Data_Nhập[Tổng Nhập-NX]*(Data_Nhập[Year]=GF$1)*(Data_Nhập[Month]=GF$2)*(Data_Nhập[Main SKU name_GOM]=$A10)*(Data_Nhập[SKU name_NHẬP_GOM]=GF$3)))</f>
        <v>0</v>
      </c>
      <c r="GG10" s="24" cm="1">
        <f t="array" ref="GG10">IF(GG$2="FY",SUMPRODUCT(Data_Nhập[Tổng Nhập-NX]*(Data_Nhập[Year]=GG$1)*(Data_Nhập[Main SKU name_GOM]=$A10)*(Data_Nhập[SKU name_NHẬP_GOM]=GG$3)),SUMPRODUCT(Data_Nhập[Tổng Nhập-NX]*(Data_Nhập[Year]=GG$1)*(Data_Nhập[Month]=GG$2)*(Data_Nhập[Main SKU name_GOM]=$A10)*(Data_Nhập[SKU name_NHẬP_GOM]=GG$3)))</f>
        <v>0</v>
      </c>
      <c r="GH10" s="24" cm="1">
        <f t="array" ref="GH10">IF(GH$2="FY",SUMPRODUCT(Data_Nhập[Tổng Nhập-NX]*(Data_Nhập[Year]=GH$1)*(Data_Nhập[Main SKU name_GOM]=$A10)*(Data_Nhập[SKU name_NHẬP_GOM]=GH$3)),SUMPRODUCT(Data_Nhập[Tổng Nhập-NX]*(Data_Nhập[Year]=GH$1)*(Data_Nhập[Month]=GH$2)*(Data_Nhập[Main SKU name_GOM]=$A10)*(Data_Nhập[SKU name_NHẬP_GOM]=GH$3)))</f>
        <v>0</v>
      </c>
      <c r="GI10" s="24" cm="1">
        <f t="array" ref="GI10">IF(GI$2="FY",SUMPRODUCT(Data_Nhập[Tổng Nhập-NX]*(Data_Nhập[Year]=GI$1)*(Data_Nhập[Main SKU name_GOM]=$A10)*(Data_Nhập[SKU name_NHẬP_GOM]=GI$3)),SUMPRODUCT(Data_Nhập[Tổng Nhập-NX]*(Data_Nhập[Year]=GI$1)*(Data_Nhập[Month]=GI$2)*(Data_Nhập[Main SKU name_GOM]=$A10)*(Data_Nhập[SKU name_NHẬP_GOM]=GI$3)))</f>
        <v>0</v>
      </c>
      <c r="GJ10" s="24" cm="1">
        <f t="array" ref="GJ10">IF(GJ$2="FY",SUMPRODUCT(Data_Nhập[Tổng Nhập-NX]*(Data_Nhập[Year]=GJ$1)*(Data_Nhập[Main SKU name_GOM]=$A10)*(Data_Nhập[SKU name_NHẬP_GOM]=GJ$3)),SUMPRODUCT(Data_Nhập[Tổng Nhập-NX]*(Data_Nhập[Year]=GJ$1)*(Data_Nhập[Month]=GJ$2)*(Data_Nhập[Main SKU name_GOM]=$A10)*(Data_Nhập[SKU name_NHẬP_GOM]=GJ$3)))</f>
        <v>0</v>
      </c>
      <c r="GK10" s="24" cm="1">
        <f t="array" ref="GK10">IF(GK$2="FY",SUMPRODUCT(Data_Nhập[Tổng Nhập-NX]*(Data_Nhập[Year]=GK$1)*(Data_Nhập[Main SKU name_GOM]=$A10)*(Data_Nhập[SKU name_NHẬP_GOM]=GK$3)),SUMPRODUCT(Data_Nhập[Tổng Nhập-NX]*(Data_Nhập[Year]=GK$1)*(Data_Nhập[Month]=GK$2)*(Data_Nhập[Main SKU name_GOM]=$A10)*(Data_Nhập[SKU name_NHẬP_GOM]=GK$3)))</f>
        <v>0</v>
      </c>
      <c r="GL10" s="24" cm="1">
        <f t="array" ref="GL10">IF(GL$2="FY",SUMPRODUCT(Data_Nhập[Tổng Nhập-NX]*(Data_Nhập[Year]=GL$1)*(Data_Nhập[Main SKU name_GOM]=$A10)*(Data_Nhập[SKU name_NHẬP_GOM]=GL$3)),SUMPRODUCT(Data_Nhập[Tổng Nhập-NX]*(Data_Nhập[Year]=GL$1)*(Data_Nhập[Month]=GL$2)*(Data_Nhập[Main SKU name_GOM]=$A10)*(Data_Nhập[SKU name_NHẬP_GOM]=GL$3)))</f>
        <v>0</v>
      </c>
      <c r="GM10" s="24" cm="1">
        <f t="array" ref="GM10">IF(GM$2="FY",SUMPRODUCT(Data_Nhập[Tổng Nhập-NX]*(Data_Nhập[Year]=GM$1)*(Data_Nhập[Main SKU name_GOM]=$A10)*(Data_Nhập[SKU name_NHẬP_GOM]=GM$3)),SUMPRODUCT(Data_Nhập[Tổng Nhập-NX]*(Data_Nhập[Year]=GM$1)*(Data_Nhập[Month]=GM$2)*(Data_Nhập[Main SKU name_GOM]=$A10)*(Data_Nhập[SKU name_NHẬP_GOM]=GM$3)))</f>
        <v>0</v>
      </c>
      <c r="GN10" s="24" cm="1">
        <f t="array" ref="GN10">IF(GN$2="FY",SUMPRODUCT(Data_Nhập[Tổng Nhập-NX]*(Data_Nhập[Year]=GN$1)*(Data_Nhập[Main SKU name_GOM]=$A10)*(Data_Nhập[SKU name_NHẬP_GOM]=GN$3)),SUMPRODUCT(Data_Nhập[Tổng Nhập-NX]*(Data_Nhập[Year]=GN$1)*(Data_Nhập[Month]=GN$2)*(Data_Nhập[Main SKU name_GOM]=$A10)*(Data_Nhập[SKU name_NHẬP_GOM]=GN$3)))</f>
        <v>0</v>
      </c>
      <c r="GO10" s="24" cm="1">
        <f t="array" ref="GO10">IF(GO$2="FY",SUMPRODUCT(Data_Nhập[Tổng Nhập-NX]*(Data_Nhập[Year]=GO$1)*(Data_Nhập[Main SKU name_GOM]=$A10)*(Data_Nhập[SKU name_NHẬP_GOM]=GO$3)),SUMPRODUCT(Data_Nhập[Tổng Nhập-NX]*(Data_Nhập[Year]=GO$1)*(Data_Nhập[Month]=GO$2)*(Data_Nhập[Main SKU name_GOM]=$A10)*(Data_Nhập[SKU name_NHẬP_GOM]=GO$3)))</f>
        <v>0</v>
      </c>
      <c r="GP10" s="24" cm="1">
        <f t="array" ref="GP10">IF(GP$2="FY",SUMPRODUCT(Data_Nhập[Tổng Nhập-NX]*(Data_Nhập[Year]=GP$1)*(Data_Nhập[Main SKU name_GOM]=$A10)*(Data_Nhập[SKU name_NHẬP_GOM]=GP$3)),SUMPRODUCT(Data_Nhập[Tổng Nhập-NX]*(Data_Nhập[Year]=GP$1)*(Data_Nhập[Month]=GP$2)*(Data_Nhập[Main SKU name_GOM]=$A10)*(Data_Nhập[SKU name_NHẬP_GOM]=GP$3)))</f>
        <v>0</v>
      </c>
      <c r="GQ10" s="24" cm="1">
        <f t="array" ref="GQ10">IF(GQ$2="FY",SUMPRODUCT(Data_Nhập[Tổng Nhập-NX]*(Data_Nhập[Year]=GQ$1)*(Data_Nhập[Main SKU name_GOM]=$A10)*(Data_Nhập[SKU name_NHẬP_GOM]=GQ$3)),SUMPRODUCT(Data_Nhập[Tổng Nhập-NX]*(Data_Nhập[Year]=GQ$1)*(Data_Nhập[Month]=GQ$2)*(Data_Nhập[Main SKU name_GOM]=$A10)*(Data_Nhập[SKU name_NHẬP_GOM]=GQ$3)))</f>
        <v>0</v>
      </c>
      <c r="GR10" s="25">
        <f t="shared" si="22"/>
        <v>0</v>
      </c>
      <c r="GT10" s="25" cm="1">
        <f t="array" ref="GT10">IF(GT$2="FY",SUMPRODUCT(Data_Xuất[Xuất-NX]*(Data_Xuất[Year]=GT$1)*(Data_Xuất[Main SKU name_GOM]=$A10)),SUMPRODUCT(Data_Xuất[Xuất-NX]*(Data_Xuất[Year]=GT$1)*(Data_Xuất[Main SKU name_GOM]=$A10)*(Data_Xuất[Month]=GT$2)))</f>
        <v>0</v>
      </c>
      <c r="GU10" s="24" cm="1">
        <f t="array" ref="GU10">IF(GU$2="FY",SUMPRODUCT(Data_Nhập[Tổng Nhập-NX]*(Data_Nhập[Year]=GU$1)*(Data_Nhập[Main SKU name_GOM]=$A10)*(Data_Nhập[SKU name_NHẬP_GOM]=GU$3)),SUMPRODUCT(Data_Nhập[Tổng Nhập-NX]*(Data_Nhập[Year]=GU$1)*(Data_Nhập[Month]=GU$2)*(Data_Nhập[Main SKU name_GOM]=$A10)*(Data_Nhập[SKU name_NHẬP_GOM]=GU$3)))</f>
        <v>0</v>
      </c>
      <c r="GV10" s="24" cm="1">
        <f t="array" ref="GV10">IF(GV$2="FY",SUMPRODUCT(Data_Nhập[Tổng Nhập-NX]*(Data_Nhập[Year]=GV$1)*(Data_Nhập[Main SKU name_GOM]=$A10)*(Data_Nhập[SKU name_NHẬP_GOM]=GV$3)),SUMPRODUCT(Data_Nhập[Tổng Nhập-NX]*(Data_Nhập[Year]=GV$1)*(Data_Nhập[Month]=GV$2)*(Data_Nhập[Main SKU name_GOM]=$A10)*(Data_Nhập[SKU name_NHẬP_GOM]=GV$3)))</f>
        <v>0</v>
      </c>
      <c r="GW10" s="24" cm="1">
        <f t="array" ref="GW10">IF(GW$2="FY",SUMPRODUCT(Data_Nhập[Tổng Nhập-NX]*(Data_Nhập[Year]=GW$1)*(Data_Nhập[Main SKU name_GOM]=$A10)*(Data_Nhập[SKU name_NHẬP_GOM]=GW$3)),SUMPRODUCT(Data_Nhập[Tổng Nhập-NX]*(Data_Nhập[Year]=GW$1)*(Data_Nhập[Month]=GW$2)*(Data_Nhập[Main SKU name_GOM]=$A10)*(Data_Nhập[SKU name_NHẬP_GOM]=GW$3)))</f>
        <v>0</v>
      </c>
      <c r="GX10" s="24" cm="1">
        <f t="array" ref="GX10">IF(GX$2="FY",SUMPRODUCT(Data_Nhập[Tổng Nhập-NX]*(Data_Nhập[Year]=GX$1)*(Data_Nhập[Main SKU name_GOM]=$A10)*(Data_Nhập[SKU name_NHẬP_GOM]=GX$3)),SUMPRODUCT(Data_Nhập[Tổng Nhập-NX]*(Data_Nhập[Year]=GX$1)*(Data_Nhập[Month]=GX$2)*(Data_Nhập[Main SKU name_GOM]=$A10)*(Data_Nhập[SKU name_NHẬP_GOM]=GX$3)))</f>
        <v>0</v>
      </c>
      <c r="GY10" s="24" cm="1">
        <f t="array" ref="GY10">IF(GY$2="FY",SUMPRODUCT(Data_Nhập[Tổng Nhập-NX]*(Data_Nhập[Year]=GY$1)*(Data_Nhập[Main SKU name_GOM]=$A10)*(Data_Nhập[SKU name_NHẬP_GOM]=GY$3)),SUMPRODUCT(Data_Nhập[Tổng Nhập-NX]*(Data_Nhập[Year]=GY$1)*(Data_Nhập[Month]=GY$2)*(Data_Nhập[Main SKU name_GOM]=$A10)*(Data_Nhập[SKU name_NHẬP_GOM]=GY$3)))</f>
        <v>0</v>
      </c>
      <c r="GZ10" s="24" cm="1">
        <f t="array" ref="GZ10">IF(GZ$2="FY",SUMPRODUCT(Data_Nhập[Tổng Nhập-NX]*(Data_Nhập[Year]=GZ$1)*(Data_Nhập[Main SKU name_GOM]=$A10)*(Data_Nhập[SKU name_NHẬP_GOM]=GZ$3)),SUMPRODUCT(Data_Nhập[Tổng Nhập-NX]*(Data_Nhập[Year]=GZ$1)*(Data_Nhập[Month]=GZ$2)*(Data_Nhập[Main SKU name_GOM]=$A10)*(Data_Nhập[SKU name_NHẬP_GOM]=GZ$3)))</f>
        <v>0</v>
      </c>
      <c r="HA10" s="24" cm="1">
        <f t="array" ref="HA10">IF(HA$2="FY",SUMPRODUCT(Data_Nhập[Tổng Nhập-NX]*(Data_Nhập[Year]=HA$1)*(Data_Nhập[Main SKU name_GOM]=$A10)*(Data_Nhập[SKU name_NHẬP_GOM]=HA$3)),SUMPRODUCT(Data_Nhập[Tổng Nhập-NX]*(Data_Nhập[Year]=HA$1)*(Data_Nhập[Month]=HA$2)*(Data_Nhập[Main SKU name_GOM]=$A10)*(Data_Nhập[SKU name_NHẬP_GOM]=HA$3)))</f>
        <v>0</v>
      </c>
      <c r="HB10" s="24" cm="1">
        <f t="array" ref="HB10">IF(HB$2="FY",SUMPRODUCT(Data_Nhập[Tổng Nhập-NX]*(Data_Nhập[Year]=HB$1)*(Data_Nhập[Main SKU name_GOM]=$A10)*(Data_Nhập[SKU name_NHẬP_GOM]=HB$3)),SUMPRODUCT(Data_Nhập[Tổng Nhập-NX]*(Data_Nhập[Year]=HB$1)*(Data_Nhập[Month]=HB$2)*(Data_Nhập[Main SKU name_GOM]=$A10)*(Data_Nhập[SKU name_NHẬP_GOM]=HB$3)))</f>
        <v>0</v>
      </c>
      <c r="HC10" s="24" cm="1">
        <f t="array" ref="HC10">IF(HC$2="FY",SUMPRODUCT(Data_Nhập[Tổng Nhập-NX]*(Data_Nhập[Year]=HC$1)*(Data_Nhập[Main SKU name_GOM]=$A10)*(Data_Nhập[SKU name_NHẬP_GOM]=HC$3)),SUMPRODUCT(Data_Nhập[Tổng Nhập-NX]*(Data_Nhập[Year]=HC$1)*(Data_Nhập[Month]=HC$2)*(Data_Nhập[Main SKU name_GOM]=$A10)*(Data_Nhập[SKU name_NHẬP_GOM]=HC$3)))</f>
        <v>0</v>
      </c>
      <c r="HD10" s="24" cm="1">
        <f t="array" ref="HD10">IF(HD$2="FY",SUMPRODUCT(Data_Nhập[Tổng Nhập-NX]*(Data_Nhập[Year]=HD$1)*(Data_Nhập[Main SKU name_GOM]=$A10)*(Data_Nhập[SKU name_NHẬP_GOM]=HD$3)),SUMPRODUCT(Data_Nhập[Tổng Nhập-NX]*(Data_Nhập[Year]=HD$1)*(Data_Nhập[Month]=HD$2)*(Data_Nhập[Main SKU name_GOM]=$A10)*(Data_Nhập[SKU name_NHẬP_GOM]=HD$3)))</f>
        <v>0</v>
      </c>
      <c r="HE10" s="24" cm="1">
        <f t="array" ref="HE10">IF(HE$2="FY",SUMPRODUCT(Data_Nhập[Tổng Nhập-NX]*(Data_Nhập[Year]=HE$1)*(Data_Nhập[Main SKU name_GOM]=$A10)*(Data_Nhập[SKU name_NHẬP_GOM]=HE$3)),SUMPRODUCT(Data_Nhập[Tổng Nhập-NX]*(Data_Nhập[Year]=HE$1)*(Data_Nhập[Month]=HE$2)*(Data_Nhập[Main SKU name_GOM]=$A10)*(Data_Nhập[SKU name_NHẬP_GOM]=HE$3)))</f>
        <v>0</v>
      </c>
      <c r="HF10" s="24" cm="1">
        <f t="array" ref="HF10">IF(HF$2="FY",SUMPRODUCT(Data_Nhập[Tổng Nhập-NX]*(Data_Nhập[Year]=HF$1)*(Data_Nhập[Main SKU name_GOM]=$A10)*(Data_Nhập[SKU name_NHẬP_GOM]=HF$3)),SUMPRODUCT(Data_Nhập[Tổng Nhập-NX]*(Data_Nhập[Year]=HF$1)*(Data_Nhập[Month]=HF$2)*(Data_Nhập[Main SKU name_GOM]=$A10)*(Data_Nhập[SKU name_NHẬP_GOM]=HF$3)))</f>
        <v>0</v>
      </c>
      <c r="HG10" s="24" cm="1">
        <f t="array" ref="HG10">IF(HG$2="FY",SUMPRODUCT(Data_Nhập[Tổng Nhập-NX]*(Data_Nhập[Year]=HG$1)*(Data_Nhập[Main SKU name_GOM]=$A10)*(Data_Nhập[SKU name_NHẬP_GOM]=HG$3)),SUMPRODUCT(Data_Nhập[Tổng Nhập-NX]*(Data_Nhập[Year]=HG$1)*(Data_Nhập[Month]=HG$2)*(Data_Nhập[Main SKU name_GOM]=$A10)*(Data_Nhập[SKU name_NHẬP_GOM]=HG$3)))</f>
        <v>0</v>
      </c>
      <c r="HH10" s="24" cm="1">
        <f t="array" ref="HH10">IF(HH$2="FY",SUMPRODUCT(Data_Nhập[Tổng Nhập-NX]*(Data_Nhập[Year]=HH$1)*(Data_Nhập[Main SKU name_GOM]=$A10)*(Data_Nhập[SKU name_NHẬP_GOM]=HH$3)),SUMPRODUCT(Data_Nhập[Tổng Nhập-NX]*(Data_Nhập[Year]=HH$1)*(Data_Nhập[Month]=HH$2)*(Data_Nhập[Main SKU name_GOM]=$A10)*(Data_Nhập[SKU name_NHẬP_GOM]=HH$3)))</f>
        <v>0</v>
      </c>
      <c r="HI10" s="24" cm="1">
        <f t="array" ref="HI10">IF(HI$2="FY",SUMPRODUCT(Data_Nhập[Tổng Nhập-NX]*(Data_Nhập[Year]=HI$1)*(Data_Nhập[Main SKU name_GOM]=$A10)*(Data_Nhập[SKU name_NHẬP_GOM]=HI$3)),SUMPRODUCT(Data_Nhập[Tổng Nhập-NX]*(Data_Nhập[Year]=HI$1)*(Data_Nhập[Month]=HI$2)*(Data_Nhập[Main SKU name_GOM]=$A10)*(Data_Nhập[SKU name_NHẬP_GOM]=HI$3)))</f>
        <v>0</v>
      </c>
      <c r="HJ10" s="25">
        <f t="shared" si="23"/>
        <v>0</v>
      </c>
      <c r="HL10" s="25" cm="1">
        <f t="array" ref="HL10">IF(HL$2="FY",SUMPRODUCT(Data_Xuất[Xuất-NX]*(Data_Xuất[Year]=HL$1)*(Data_Xuất[Main SKU name_GOM]=$A10)),SUMPRODUCT(Data_Xuất[Xuất-NX]*(Data_Xuất[Year]=HL$1)*(Data_Xuất[Main SKU name_GOM]=$A10)*(Data_Xuất[Month]=HL$2)))</f>
        <v>0</v>
      </c>
      <c r="HM10" s="24" cm="1">
        <f t="array" ref="HM10">IF(HM$2="FY",SUMPRODUCT(Data_Nhập[Tổng Nhập-NX]*(Data_Nhập[Year]=HM$1)*(Data_Nhập[Main SKU name_GOM]=$A10)*(Data_Nhập[SKU name_NHẬP_GOM]=HM$3)),SUMPRODUCT(Data_Nhập[Tổng Nhập-NX]*(Data_Nhập[Year]=HM$1)*(Data_Nhập[Month]=HM$2)*(Data_Nhập[Main SKU name_GOM]=$A10)*(Data_Nhập[SKU name_NHẬP_GOM]=HM$3)))</f>
        <v>0</v>
      </c>
      <c r="HN10" s="24" cm="1">
        <f t="array" ref="HN10">IF(HN$2="FY",SUMPRODUCT(Data_Nhập[Tổng Nhập-NX]*(Data_Nhập[Year]=HN$1)*(Data_Nhập[Main SKU name_GOM]=$A10)*(Data_Nhập[SKU name_NHẬP_GOM]=HN$3)),SUMPRODUCT(Data_Nhập[Tổng Nhập-NX]*(Data_Nhập[Year]=HN$1)*(Data_Nhập[Month]=HN$2)*(Data_Nhập[Main SKU name_GOM]=$A10)*(Data_Nhập[SKU name_NHẬP_GOM]=HN$3)))</f>
        <v>0</v>
      </c>
      <c r="HO10" s="24" cm="1">
        <f t="array" ref="HO10">IF(HO$2="FY",SUMPRODUCT(Data_Nhập[Tổng Nhập-NX]*(Data_Nhập[Year]=HO$1)*(Data_Nhập[Main SKU name_GOM]=$A10)*(Data_Nhập[SKU name_NHẬP_GOM]=HO$3)),SUMPRODUCT(Data_Nhập[Tổng Nhập-NX]*(Data_Nhập[Year]=HO$1)*(Data_Nhập[Month]=HO$2)*(Data_Nhập[Main SKU name_GOM]=$A10)*(Data_Nhập[SKU name_NHẬP_GOM]=HO$3)))</f>
        <v>0</v>
      </c>
      <c r="HP10" s="24" cm="1">
        <f t="array" ref="HP10">IF(HP$2="FY",SUMPRODUCT(Data_Nhập[Tổng Nhập-NX]*(Data_Nhập[Year]=HP$1)*(Data_Nhập[Main SKU name_GOM]=$A10)*(Data_Nhập[SKU name_NHẬP_GOM]=HP$3)),SUMPRODUCT(Data_Nhập[Tổng Nhập-NX]*(Data_Nhập[Year]=HP$1)*(Data_Nhập[Month]=HP$2)*(Data_Nhập[Main SKU name_GOM]=$A10)*(Data_Nhập[SKU name_NHẬP_GOM]=HP$3)))</f>
        <v>0</v>
      </c>
      <c r="HQ10" s="24" cm="1">
        <f t="array" ref="HQ10">IF(HQ$2="FY",SUMPRODUCT(Data_Nhập[Tổng Nhập-NX]*(Data_Nhập[Year]=HQ$1)*(Data_Nhập[Main SKU name_GOM]=$A10)*(Data_Nhập[SKU name_NHẬP_GOM]=HQ$3)),SUMPRODUCT(Data_Nhập[Tổng Nhập-NX]*(Data_Nhập[Year]=HQ$1)*(Data_Nhập[Month]=HQ$2)*(Data_Nhập[Main SKU name_GOM]=$A10)*(Data_Nhập[SKU name_NHẬP_GOM]=HQ$3)))</f>
        <v>0</v>
      </c>
      <c r="HR10" s="24" cm="1">
        <f t="array" ref="HR10">IF(HR$2="FY",SUMPRODUCT(Data_Nhập[Tổng Nhập-NX]*(Data_Nhập[Year]=HR$1)*(Data_Nhập[Main SKU name_GOM]=$A10)*(Data_Nhập[SKU name_NHẬP_GOM]=HR$3)),SUMPRODUCT(Data_Nhập[Tổng Nhập-NX]*(Data_Nhập[Year]=HR$1)*(Data_Nhập[Month]=HR$2)*(Data_Nhập[Main SKU name_GOM]=$A10)*(Data_Nhập[SKU name_NHẬP_GOM]=HR$3)))</f>
        <v>0</v>
      </c>
      <c r="HS10" s="24" cm="1">
        <f t="array" ref="HS10">IF(HS$2="FY",SUMPRODUCT(Data_Nhập[Tổng Nhập-NX]*(Data_Nhập[Year]=HS$1)*(Data_Nhập[Main SKU name_GOM]=$A10)*(Data_Nhập[SKU name_NHẬP_GOM]=HS$3)),SUMPRODUCT(Data_Nhập[Tổng Nhập-NX]*(Data_Nhập[Year]=HS$1)*(Data_Nhập[Month]=HS$2)*(Data_Nhập[Main SKU name_GOM]=$A10)*(Data_Nhập[SKU name_NHẬP_GOM]=HS$3)))</f>
        <v>0</v>
      </c>
      <c r="HT10" s="24" cm="1">
        <f t="array" ref="HT10">IF(HT$2="FY",SUMPRODUCT(Data_Nhập[Tổng Nhập-NX]*(Data_Nhập[Year]=HT$1)*(Data_Nhập[Main SKU name_GOM]=$A10)*(Data_Nhập[SKU name_NHẬP_GOM]=HT$3)),SUMPRODUCT(Data_Nhập[Tổng Nhập-NX]*(Data_Nhập[Year]=HT$1)*(Data_Nhập[Month]=HT$2)*(Data_Nhập[Main SKU name_GOM]=$A10)*(Data_Nhập[SKU name_NHẬP_GOM]=HT$3)))</f>
        <v>0</v>
      </c>
      <c r="HU10" s="24" cm="1">
        <f t="array" ref="HU10">IF(HU$2="FY",SUMPRODUCT(Data_Nhập[Tổng Nhập-NX]*(Data_Nhập[Year]=HU$1)*(Data_Nhập[Main SKU name_GOM]=$A10)*(Data_Nhập[SKU name_NHẬP_GOM]=HU$3)),SUMPRODUCT(Data_Nhập[Tổng Nhập-NX]*(Data_Nhập[Year]=HU$1)*(Data_Nhập[Month]=HU$2)*(Data_Nhập[Main SKU name_GOM]=$A10)*(Data_Nhập[SKU name_NHẬP_GOM]=HU$3)))</f>
        <v>0</v>
      </c>
      <c r="HV10" s="24" cm="1">
        <f t="array" ref="HV10">IF(HV$2="FY",SUMPRODUCT(Data_Nhập[Tổng Nhập-NX]*(Data_Nhập[Year]=HV$1)*(Data_Nhập[Main SKU name_GOM]=$A10)*(Data_Nhập[SKU name_NHẬP_GOM]=HV$3)),SUMPRODUCT(Data_Nhập[Tổng Nhập-NX]*(Data_Nhập[Year]=HV$1)*(Data_Nhập[Month]=HV$2)*(Data_Nhập[Main SKU name_GOM]=$A10)*(Data_Nhập[SKU name_NHẬP_GOM]=HV$3)))</f>
        <v>0</v>
      </c>
      <c r="HW10" s="24" cm="1">
        <f t="array" ref="HW10">IF(HW$2="FY",SUMPRODUCT(Data_Nhập[Tổng Nhập-NX]*(Data_Nhập[Year]=HW$1)*(Data_Nhập[Main SKU name_GOM]=$A10)*(Data_Nhập[SKU name_NHẬP_GOM]=HW$3)),SUMPRODUCT(Data_Nhập[Tổng Nhập-NX]*(Data_Nhập[Year]=HW$1)*(Data_Nhập[Month]=HW$2)*(Data_Nhập[Main SKU name_GOM]=$A10)*(Data_Nhập[SKU name_NHẬP_GOM]=HW$3)))</f>
        <v>0</v>
      </c>
      <c r="HX10" s="24" cm="1">
        <f t="array" ref="HX10">IF(HX$2="FY",SUMPRODUCT(Data_Nhập[Tổng Nhập-NX]*(Data_Nhập[Year]=HX$1)*(Data_Nhập[Main SKU name_GOM]=$A10)*(Data_Nhập[SKU name_NHẬP_GOM]=HX$3)),SUMPRODUCT(Data_Nhập[Tổng Nhập-NX]*(Data_Nhập[Year]=HX$1)*(Data_Nhập[Month]=HX$2)*(Data_Nhập[Main SKU name_GOM]=$A10)*(Data_Nhập[SKU name_NHẬP_GOM]=HX$3)))</f>
        <v>0</v>
      </c>
      <c r="HY10" s="24" cm="1">
        <f t="array" ref="HY10">IF(HY$2="FY",SUMPRODUCT(Data_Nhập[Tổng Nhập-NX]*(Data_Nhập[Year]=HY$1)*(Data_Nhập[Main SKU name_GOM]=$A10)*(Data_Nhập[SKU name_NHẬP_GOM]=HY$3)),SUMPRODUCT(Data_Nhập[Tổng Nhập-NX]*(Data_Nhập[Year]=HY$1)*(Data_Nhập[Month]=HY$2)*(Data_Nhập[Main SKU name_GOM]=$A10)*(Data_Nhập[SKU name_NHẬP_GOM]=HY$3)))</f>
        <v>0</v>
      </c>
      <c r="HZ10" s="24" cm="1">
        <f t="array" ref="HZ10">IF(HZ$2="FY",SUMPRODUCT(Data_Nhập[Tổng Nhập-NX]*(Data_Nhập[Year]=HZ$1)*(Data_Nhập[Main SKU name_GOM]=$A10)*(Data_Nhập[SKU name_NHẬP_GOM]=HZ$3)),SUMPRODUCT(Data_Nhập[Tổng Nhập-NX]*(Data_Nhập[Year]=HZ$1)*(Data_Nhập[Month]=HZ$2)*(Data_Nhập[Main SKU name_GOM]=$A10)*(Data_Nhập[SKU name_NHẬP_GOM]=HZ$3)))</f>
        <v>0</v>
      </c>
      <c r="IA10" s="24" cm="1">
        <f t="array" ref="IA10">IF(IA$2="FY",SUMPRODUCT(Data_Nhập[Tổng Nhập-NX]*(Data_Nhập[Year]=IA$1)*(Data_Nhập[Main SKU name_GOM]=$A10)*(Data_Nhập[SKU name_NHẬP_GOM]=IA$3)),SUMPRODUCT(Data_Nhập[Tổng Nhập-NX]*(Data_Nhập[Year]=IA$1)*(Data_Nhập[Month]=IA$2)*(Data_Nhập[Main SKU name_GOM]=$A10)*(Data_Nhập[SKU name_NHẬP_GOM]=IA$3)))</f>
        <v>0</v>
      </c>
      <c r="IB10" s="25">
        <f t="shared" si="24"/>
        <v>0</v>
      </c>
    </row>
    <row r="11" spans="1:236" x14ac:dyDescent="0.35">
      <c r="A11" s="5" t="s">
        <v>147</v>
      </c>
      <c r="B11" s="22" t="s">
        <v>147</v>
      </c>
      <c r="D11" s="25" cm="1">
        <f t="array" ref="D11">IF(D$2="FY",SUMPRODUCT(Data_Xuất[Xuất-NX]*(Data_Xuất[Year]=D$1)*(Data_Xuất[Main SKU name_GOM]=$A11)),SUMPRODUCT(Data_Xuất[Xuất-NX]*(Data_Xuất[Year]=D$1)*(Data_Xuất[Main SKU name_GOM]=$A11)*Data_Xuất[Month]=D$2))</f>
        <v>189862.00000000003</v>
      </c>
      <c r="E11" s="24" cm="1">
        <f t="array" ref="E11">IF(E$2="FY",SUMPRODUCT(Data_Nhập[Tổng Nhập-NX]*(Data_Nhập[Year]=E$1)*(Data_Nhập[Main SKU name_GOM]=$A11)*(Data_Nhập[SKU name_NHẬP_GOM]=E$3)),SUMPRODUCT(Data_Nhập[Tổng Nhập-NX]*(Data_Nhập[Year]=E$1)*(Data_Nhập[Month]=E$2)*(Data_Nhập[Main SKU name_GOM]=$A11)*(Data_Nhập[SKU name_NHẬP_GOM]=E$3)))</f>
        <v>0</v>
      </c>
      <c r="F11" s="24" cm="1">
        <f t="array" ref="F11">IF(F$2="FY",SUMPRODUCT(Data_Nhập[Tổng Nhập-NX]*(Data_Nhập[Year]=F$1)*(Data_Nhập[Main SKU name_GOM]=$A11)*(Data_Nhập[SKU name_NHẬP_GOM]=F$3)),SUMPRODUCT(Data_Nhập[Tổng Nhập-NX]*(Data_Nhập[Year]=F$1)*(Data_Nhập[Month]=F$2)*(Data_Nhập[Main SKU name_GOM]=$A11)*(Data_Nhập[SKU name_NHẬP_GOM]=F$3)))</f>
        <v>0</v>
      </c>
      <c r="G11" s="24" cm="1">
        <f t="array" ref="G11">IF(G$2="FY",SUMPRODUCT(Data_Nhập[Tổng Nhập-NX]*(Data_Nhập[Year]=G$1)*(Data_Nhập[Main SKU name_GOM]=$A11)*(Data_Nhập[SKU name_NHẬP_GOM]=G$3)),SUMPRODUCT(Data_Nhập[Tổng Nhập-NX]*(Data_Nhập[Year]=G$1)*(Data_Nhập[Month]=G$2)*(Data_Nhập[Main SKU name_GOM]=$A11)*(Data_Nhập[SKU name_NHẬP_GOM]=G$3)))</f>
        <v>0</v>
      </c>
      <c r="H11" s="24" cm="1">
        <f t="array" ref="H11">IF(H$2="FY",SUMPRODUCT(Data_Nhập[Tổng Nhập-NX]*(Data_Nhập[Year]=H$1)*(Data_Nhập[Main SKU name_GOM]=$A11)*(Data_Nhập[SKU name_NHẬP_GOM]=H$3)),SUMPRODUCT(Data_Nhập[Tổng Nhập-NX]*(Data_Nhập[Year]=H$1)*(Data_Nhập[Month]=H$2)*(Data_Nhập[Main SKU name_GOM]=$A11)*(Data_Nhập[SKU name_NHẬP_GOM]=H$3)))</f>
        <v>0</v>
      </c>
      <c r="I11" s="24" cm="1">
        <f t="array" ref="I11">IF(I$2="FY",SUMPRODUCT(Data_Nhập[Tổng Nhập-NX]*(Data_Nhập[Year]=I$1)*(Data_Nhập[Main SKU name_GOM]=$A11)*(Data_Nhập[SKU name_NHẬP_GOM]=I$3)),SUMPRODUCT(Data_Nhập[Tổng Nhập-NX]*(Data_Nhập[Year]=I$1)*(Data_Nhập[Month]=I$2)*(Data_Nhập[Main SKU name_GOM]=$A11)*(Data_Nhập[SKU name_NHẬP_GOM]=I$3)))</f>
        <v>0</v>
      </c>
      <c r="J11" s="24" cm="1">
        <f t="array" ref="J11">IF(J$2="FY",SUMPRODUCT(Data_Nhập[Tổng Nhập-NX]*(Data_Nhập[Year]=J$1)*(Data_Nhập[Main SKU name_GOM]=$A11)*(Data_Nhập[SKU name_NHẬP_GOM]=J$3)),SUMPRODUCT(Data_Nhập[Tổng Nhập-NX]*(Data_Nhập[Year]=J$1)*(Data_Nhập[Month]=J$2)*(Data_Nhập[Main SKU name_GOM]=$A11)*(Data_Nhập[SKU name_NHẬP_GOM]=J$3)))</f>
        <v>6300</v>
      </c>
      <c r="K11" s="24" cm="1">
        <f t="array" ref="K11">IF(K$2="FY",SUMPRODUCT(Data_Nhập[Tổng Nhập-NX]*(Data_Nhập[Year]=K$1)*(Data_Nhập[Main SKU name_GOM]=$A11)*(Data_Nhập[SKU name_NHẬP_GOM]=K$3)),SUMPRODUCT(Data_Nhập[Tổng Nhập-NX]*(Data_Nhập[Year]=K$1)*(Data_Nhập[Month]=K$2)*(Data_Nhập[Main SKU name_GOM]=$A11)*(Data_Nhập[SKU name_NHẬP_GOM]=K$3)))</f>
        <v>124250</v>
      </c>
      <c r="L11" s="24" cm="1">
        <f t="array" ref="L11">IF(L$2="FY",SUMPRODUCT(Data_Nhập[Tổng Nhập-NX]*(Data_Nhập[Year]=L$1)*(Data_Nhập[Main SKU name_GOM]=$A11)*(Data_Nhập[SKU name_NHẬP_GOM]=L$3)),SUMPRODUCT(Data_Nhập[Tổng Nhập-NX]*(Data_Nhập[Year]=L$1)*(Data_Nhập[Month]=L$2)*(Data_Nhập[Main SKU name_GOM]=$A11)*(Data_Nhập[SKU name_NHẬP_GOM]=L$3)))</f>
        <v>1223.4999999999998</v>
      </c>
      <c r="M11" s="24" cm="1">
        <f t="array" ref="M11">IF(M$2="FY",SUMPRODUCT(Data_Nhập[Tổng Nhập-NX]*(Data_Nhập[Year]=M$1)*(Data_Nhập[Main SKU name_GOM]=$A11)*(Data_Nhập[SKU name_NHẬP_GOM]=M$3)),SUMPRODUCT(Data_Nhập[Tổng Nhập-NX]*(Data_Nhập[Year]=M$1)*(Data_Nhập[Month]=M$2)*(Data_Nhập[Main SKU name_GOM]=$A11)*(Data_Nhập[SKU name_NHẬP_GOM]=M$3)))</f>
        <v>0</v>
      </c>
      <c r="N11" s="24" cm="1">
        <f t="array" ref="N11">IF(N$2="FY",SUMPRODUCT(Data_Nhập[Tổng Nhập-NX]*(Data_Nhập[Year]=N$1)*(Data_Nhập[Main SKU name_GOM]=$A11)*(Data_Nhập[SKU name_NHẬP_GOM]=N$3)),SUMPRODUCT(Data_Nhập[Tổng Nhập-NX]*(Data_Nhập[Year]=N$1)*(Data_Nhập[Month]=N$2)*(Data_Nhập[Main SKU name_GOM]=$A11)*(Data_Nhập[SKU name_NHẬP_GOM]=N$3)))</f>
        <v>0</v>
      </c>
      <c r="O11" s="24" cm="1">
        <f t="array" ref="O11">IF(O$2="FY",SUMPRODUCT(Data_Nhập[Tổng Nhập-NX]*(Data_Nhập[Year]=O$1)*(Data_Nhập[Main SKU name_GOM]=$A11)*(Data_Nhập[SKU name_NHẬP_GOM]=O$3)),SUMPRODUCT(Data_Nhập[Tổng Nhập-NX]*(Data_Nhập[Year]=O$1)*(Data_Nhập[Month]=O$2)*(Data_Nhập[Main SKU name_GOM]=$A11)*(Data_Nhập[SKU name_NHẬP_GOM]=O$3)))</f>
        <v>0</v>
      </c>
      <c r="P11" s="24" cm="1">
        <f t="array" ref="P11">IF(P$2="FY",SUMPRODUCT(Data_Nhập[Tổng Nhập-NX]*(Data_Nhập[Year]=P$1)*(Data_Nhập[Main SKU name_GOM]=$A11)*(Data_Nhập[SKU name_NHẬP_GOM]=P$3)),SUMPRODUCT(Data_Nhập[Tổng Nhập-NX]*(Data_Nhập[Year]=P$1)*(Data_Nhập[Month]=P$2)*(Data_Nhập[Main SKU name_GOM]=$A11)*(Data_Nhập[SKU name_NHẬP_GOM]=P$3)))</f>
        <v>0</v>
      </c>
      <c r="Q11" s="24" cm="1">
        <f t="array" ref="Q11">IF(Q$2="FY",SUMPRODUCT(Data_Nhập[Tổng Nhập-NX]*(Data_Nhập[Year]=Q$1)*(Data_Nhập[Main SKU name_GOM]=$A11)*(Data_Nhập[SKU name_NHẬP_GOM]=Q$3)),SUMPRODUCT(Data_Nhập[Tổng Nhập-NX]*(Data_Nhập[Year]=Q$1)*(Data_Nhập[Month]=Q$2)*(Data_Nhập[Main SKU name_GOM]=$A11)*(Data_Nhập[SKU name_NHẬP_GOM]=Q$3)))</f>
        <v>31260</v>
      </c>
      <c r="R11" s="24" cm="1">
        <f t="array" ref="R11">IF(R$2="FY",SUMPRODUCT(Data_Nhập[Tổng Nhập-NX]*(Data_Nhập[Year]=R$1)*(Data_Nhập[Main SKU name_GOM]=$A11)*(Data_Nhập[SKU name_NHẬP_GOM]=R$3)),SUMPRODUCT(Data_Nhập[Tổng Nhập-NX]*(Data_Nhập[Year]=R$1)*(Data_Nhập[Month]=R$2)*(Data_Nhập[Main SKU name_GOM]=$A11)*(Data_Nhập[SKU name_NHẬP_GOM]=R$3)))</f>
        <v>11287</v>
      </c>
      <c r="S11" s="24" cm="1">
        <f t="array" ref="S11">IF(S$2="FY",SUMPRODUCT(Data_Nhập[Tổng Nhập-NX]*(Data_Nhập[Year]=S$1)*(Data_Nhập[Main SKU name_GOM]=$A11)*(Data_Nhập[SKU name_NHẬP_GOM]=S$3)),SUMPRODUCT(Data_Nhập[Tổng Nhập-NX]*(Data_Nhập[Year]=S$1)*(Data_Nhập[Month]=S$2)*(Data_Nhập[Main SKU name_GOM]=$A11)*(Data_Nhập[SKU name_NHẬP_GOM]=S$3)))</f>
        <v>0</v>
      </c>
      <c r="T11" s="25">
        <f t="shared" si="12"/>
        <v>174320.5</v>
      </c>
      <c r="V11" s="25" cm="1">
        <f t="array" ref="V11">IF(V$2="FY",SUMPRODUCT(Data_Xuất[Xuất-NX]*(Data_Xuất[Year]=V$1)*(Data_Xuất[Main SKU name_GOM]=$A11)),SUMPRODUCT(Data_Xuất[Xuất-NX]*(Data_Xuất[Year]=V$1)*(Data_Xuất[Main SKU name_GOM]=$A11)*(Data_Xuất[Month]=V$2)))</f>
        <v>91181</v>
      </c>
      <c r="W11" s="24" cm="1">
        <f t="array" ref="W11">IF(W$2="FY",SUMPRODUCT(Data_Nhập[Tổng Nhập-NX]*(Data_Nhập[Year]=W$1)*(Data_Nhập[Main SKU name_GOM]=$A11)*(Data_Nhập[SKU name_NHẬP_GOM]=W$3)),SUMPRODUCT(Data_Nhập[Tổng Nhập-NX]*(Data_Nhập[Year]=W$1)*(Data_Nhập[Month]=W$2)*(Data_Nhập[Main SKU name_GOM]=$A11)*(Data_Nhập[SKU name_NHẬP_GOM]=W$3)))</f>
        <v>0</v>
      </c>
      <c r="X11" s="24" cm="1">
        <f t="array" ref="X11">IF(X$2="FY",SUMPRODUCT(Data_Nhập[Tổng Nhập-NX]*(Data_Nhập[Year]=X$1)*(Data_Nhập[Main SKU name_GOM]=$A11)*(Data_Nhập[SKU name_NHẬP_GOM]=X$3)),SUMPRODUCT(Data_Nhập[Tổng Nhập-NX]*(Data_Nhập[Year]=X$1)*(Data_Nhập[Month]=X$2)*(Data_Nhập[Main SKU name_GOM]=$A11)*(Data_Nhập[SKU name_NHẬP_GOM]=X$3)))</f>
        <v>0</v>
      </c>
      <c r="Y11" s="24" cm="1">
        <f t="array" ref="Y11">IF(Y$2="FY",SUMPRODUCT(Data_Nhập[Tổng Nhập-NX]*(Data_Nhập[Year]=Y$1)*(Data_Nhập[Main SKU name_GOM]=$A11)*(Data_Nhập[SKU name_NHẬP_GOM]=Y$3)),SUMPRODUCT(Data_Nhập[Tổng Nhập-NX]*(Data_Nhập[Year]=Y$1)*(Data_Nhập[Month]=Y$2)*(Data_Nhập[Main SKU name_GOM]=$A11)*(Data_Nhập[SKU name_NHẬP_GOM]=Y$3)))</f>
        <v>0</v>
      </c>
      <c r="Z11" s="24" cm="1">
        <f t="array" ref="Z11">IF(Z$2="FY",SUMPRODUCT(Data_Nhập[Tổng Nhập-NX]*(Data_Nhập[Year]=Z$1)*(Data_Nhập[Main SKU name_GOM]=$A11)*(Data_Nhập[SKU name_NHẬP_GOM]=Z$3)),SUMPRODUCT(Data_Nhập[Tổng Nhập-NX]*(Data_Nhập[Year]=Z$1)*(Data_Nhập[Month]=Z$2)*(Data_Nhập[Main SKU name_GOM]=$A11)*(Data_Nhập[SKU name_NHẬP_GOM]=Z$3)))</f>
        <v>0</v>
      </c>
      <c r="AA11" s="24" cm="1">
        <f t="array" ref="AA11">IF(AA$2="FY",SUMPRODUCT(Data_Nhập[Tổng Nhập-NX]*(Data_Nhập[Year]=AA$1)*(Data_Nhập[Main SKU name_GOM]=$A11)*(Data_Nhập[SKU name_NHẬP_GOM]=AA$3)),SUMPRODUCT(Data_Nhập[Tổng Nhập-NX]*(Data_Nhập[Year]=AA$1)*(Data_Nhập[Month]=AA$2)*(Data_Nhập[Main SKU name_GOM]=$A11)*(Data_Nhập[SKU name_NHẬP_GOM]=AA$3)))</f>
        <v>0</v>
      </c>
      <c r="AB11" s="24" cm="1">
        <f t="array" ref="AB11">IF(AB$2="FY",SUMPRODUCT(Data_Nhập[Tổng Nhập-NX]*(Data_Nhập[Year]=AB$1)*(Data_Nhập[Main SKU name_GOM]=$A11)*(Data_Nhập[SKU name_NHẬP_GOM]=AB$3)),SUMPRODUCT(Data_Nhập[Tổng Nhập-NX]*(Data_Nhập[Year]=AB$1)*(Data_Nhập[Month]=AB$2)*(Data_Nhập[Main SKU name_GOM]=$A11)*(Data_Nhập[SKU name_NHẬP_GOM]=AB$3)))</f>
        <v>5250</v>
      </c>
      <c r="AC11" s="24" cm="1">
        <f t="array" ref="AC11">IF(AC$2="FY",SUMPRODUCT(Data_Nhập[Tổng Nhập-NX]*(Data_Nhập[Year]=AC$1)*(Data_Nhập[Main SKU name_GOM]=$A11)*(Data_Nhập[SKU name_NHẬP_GOM]=AC$3)),SUMPRODUCT(Data_Nhập[Tổng Nhập-NX]*(Data_Nhập[Year]=AC$1)*(Data_Nhập[Month]=AC$2)*(Data_Nhập[Main SKU name_GOM]=$A11)*(Data_Nhập[SKU name_NHẬP_GOM]=AC$3)))</f>
        <v>37800</v>
      </c>
      <c r="AD11" s="24" cm="1">
        <f t="array" ref="AD11">IF(AD$2="FY",SUMPRODUCT(Data_Nhập[Tổng Nhập-NX]*(Data_Nhập[Year]=AD$1)*(Data_Nhập[Main SKU name_GOM]=$A11)*(Data_Nhập[SKU name_NHẬP_GOM]=AD$3)),SUMPRODUCT(Data_Nhập[Tổng Nhập-NX]*(Data_Nhập[Year]=AD$1)*(Data_Nhập[Month]=AD$2)*(Data_Nhập[Main SKU name_GOM]=$A11)*(Data_Nhập[SKU name_NHẬP_GOM]=AD$3)))</f>
        <v>1223.4999999999998</v>
      </c>
      <c r="AE11" s="24" cm="1">
        <f t="array" ref="AE11">IF(AE$2="FY",SUMPRODUCT(Data_Nhập[Tổng Nhập-NX]*(Data_Nhập[Year]=AE$1)*(Data_Nhập[Main SKU name_GOM]=$A11)*(Data_Nhập[SKU name_NHẬP_GOM]=AE$3)),SUMPRODUCT(Data_Nhập[Tổng Nhập-NX]*(Data_Nhập[Year]=AE$1)*(Data_Nhập[Month]=AE$2)*(Data_Nhập[Main SKU name_GOM]=$A11)*(Data_Nhập[SKU name_NHẬP_GOM]=AE$3)))</f>
        <v>0</v>
      </c>
      <c r="AF11" s="24" cm="1">
        <f t="array" ref="AF11">IF(AF$2="FY",SUMPRODUCT(Data_Nhập[Tổng Nhập-NX]*(Data_Nhập[Year]=AF$1)*(Data_Nhập[Main SKU name_GOM]=$A11)*(Data_Nhập[SKU name_NHẬP_GOM]=AF$3)),SUMPRODUCT(Data_Nhập[Tổng Nhập-NX]*(Data_Nhập[Year]=AF$1)*(Data_Nhập[Month]=AF$2)*(Data_Nhập[Main SKU name_GOM]=$A11)*(Data_Nhập[SKU name_NHẬP_GOM]=AF$3)))</f>
        <v>0</v>
      </c>
      <c r="AG11" s="24" cm="1">
        <f t="array" ref="AG11">IF(AG$2="FY",SUMPRODUCT(Data_Nhập[Tổng Nhập-NX]*(Data_Nhập[Year]=AG$1)*(Data_Nhập[Main SKU name_GOM]=$A11)*(Data_Nhập[SKU name_NHẬP_GOM]=AG$3)),SUMPRODUCT(Data_Nhập[Tổng Nhập-NX]*(Data_Nhập[Year]=AG$1)*(Data_Nhập[Month]=AG$2)*(Data_Nhập[Main SKU name_GOM]=$A11)*(Data_Nhập[SKU name_NHẬP_GOM]=AG$3)))</f>
        <v>0</v>
      </c>
      <c r="AH11" s="24" cm="1">
        <f t="array" ref="AH11">IF(AH$2="FY",SUMPRODUCT(Data_Nhập[Tổng Nhập-NX]*(Data_Nhập[Year]=AH$1)*(Data_Nhập[Main SKU name_GOM]=$A11)*(Data_Nhập[SKU name_NHẬP_GOM]=AH$3)),SUMPRODUCT(Data_Nhập[Tổng Nhập-NX]*(Data_Nhập[Year]=AH$1)*(Data_Nhập[Month]=AH$2)*(Data_Nhập[Main SKU name_GOM]=$A11)*(Data_Nhập[SKU name_NHẬP_GOM]=AH$3)))</f>
        <v>0</v>
      </c>
      <c r="AI11" s="24" cm="1">
        <f t="array" ref="AI11">IF(AI$2="FY",SUMPRODUCT(Data_Nhập[Tổng Nhập-NX]*(Data_Nhập[Year]=AI$1)*(Data_Nhập[Main SKU name_GOM]=$A11)*(Data_Nhập[SKU name_NHẬP_GOM]=AI$3)),SUMPRODUCT(Data_Nhập[Tổng Nhập-NX]*(Data_Nhập[Year]=AI$1)*(Data_Nhập[Month]=AI$2)*(Data_Nhập[Main SKU name_GOM]=$A11)*(Data_Nhập[SKU name_NHẬP_GOM]=AI$3)))</f>
        <v>27300</v>
      </c>
      <c r="AJ11" s="24" cm="1">
        <f t="array" ref="AJ11">IF(AJ$2="FY",SUMPRODUCT(Data_Nhập[Tổng Nhập-NX]*(Data_Nhập[Year]=AJ$1)*(Data_Nhập[Main SKU name_GOM]=$A11)*(Data_Nhập[SKU name_NHẬP_GOM]=AJ$3)),SUMPRODUCT(Data_Nhập[Tổng Nhập-NX]*(Data_Nhập[Year]=AJ$1)*(Data_Nhập[Month]=AJ$2)*(Data_Nhập[Main SKU name_GOM]=$A11)*(Data_Nhập[SKU name_NHẬP_GOM]=AJ$3)))</f>
        <v>6532</v>
      </c>
      <c r="AK11" s="24" cm="1">
        <f t="array" ref="AK11">IF(AK$2="FY",SUMPRODUCT(Data_Nhập[Tổng Nhập-NX]*(Data_Nhập[Year]=AK$1)*(Data_Nhập[Main SKU name_GOM]=$A11)*(Data_Nhập[SKU name_NHẬP_GOM]=AK$3)),SUMPRODUCT(Data_Nhập[Tổng Nhập-NX]*(Data_Nhập[Year]=AK$1)*(Data_Nhập[Month]=AK$2)*(Data_Nhập[Main SKU name_GOM]=$A11)*(Data_Nhập[SKU name_NHẬP_GOM]=AK$3)))</f>
        <v>0</v>
      </c>
      <c r="AL11" s="25">
        <f t="shared" si="13"/>
        <v>78105.5</v>
      </c>
      <c r="AN11" s="25" cm="1">
        <f t="array" ref="AN11">IF(AN$2="FY",SUMPRODUCT(Data_Xuất[Xuất-NX]*(Data_Xuất[Year]=AN$1)*(Data_Xuất[Main SKU name_GOM]=$A11)),SUMPRODUCT(Data_Xuất[Xuất-NX]*(Data_Xuất[Year]=AN$1)*(Data_Xuất[Main SKU name_GOM]=$A11)*(Data_Xuất[Month]=AN$2)))</f>
        <v>0</v>
      </c>
      <c r="AO11" s="24" cm="1">
        <f t="array" ref="AO11">IF(AO$2="FY",SUMPRODUCT(Data_Nhập[Tổng Nhập-NX]*(Data_Nhập[Year]=AO$1)*(Data_Nhập[Main SKU name_GOM]=$A11)*(Data_Nhập[SKU name_NHẬP_GOM]=AO$3)),SUMPRODUCT(Data_Nhập[Tổng Nhập-NX]*(Data_Nhập[Year]=AO$1)*(Data_Nhập[Month]=AO$2)*(Data_Nhập[Main SKU name_GOM]=$A11)*(Data_Nhập[SKU name_NHẬP_GOM]=AO$3)))</f>
        <v>0</v>
      </c>
      <c r="AP11" s="24" cm="1">
        <f t="array" ref="AP11">IF(AP$2="FY",SUMPRODUCT(Data_Nhập[Tổng Nhập-NX]*(Data_Nhập[Year]=AP$1)*(Data_Nhập[Main SKU name_GOM]=$A11)*(Data_Nhập[SKU name_NHẬP_GOM]=AP$3)),SUMPRODUCT(Data_Nhập[Tổng Nhập-NX]*(Data_Nhập[Year]=AP$1)*(Data_Nhập[Month]=AP$2)*(Data_Nhập[Main SKU name_GOM]=$A11)*(Data_Nhập[SKU name_NHẬP_GOM]=AP$3)))</f>
        <v>0</v>
      </c>
      <c r="AQ11" s="24" cm="1">
        <f t="array" ref="AQ11">IF(AQ$2="FY",SUMPRODUCT(Data_Nhập[Tổng Nhập-NX]*(Data_Nhập[Year]=AQ$1)*(Data_Nhập[Main SKU name_GOM]=$A11)*(Data_Nhập[SKU name_NHẬP_GOM]=AQ$3)),SUMPRODUCT(Data_Nhập[Tổng Nhập-NX]*(Data_Nhập[Year]=AQ$1)*(Data_Nhập[Month]=AQ$2)*(Data_Nhập[Main SKU name_GOM]=$A11)*(Data_Nhập[SKU name_NHẬP_GOM]=AQ$3)))</f>
        <v>0</v>
      </c>
      <c r="AR11" s="24" cm="1">
        <f t="array" ref="AR11">IF(AR$2="FY",SUMPRODUCT(Data_Nhập[Tổng Nhập-NX]*(Data_Nhập[Year]=AR$1)*(Data_Nhập[Main SKU name_GOM]=$A11)*(Data_Nhập[SKU name_NHẬP_GOM]=AR$3)),SUMPRODUCT(Data_Nhập[Tổng Nhập-NX]*(Data_Nhập[Year]=AR$1)*(Data_Nhập[Month]=AR$2)*(Data_Nhập[Main SKU name_GOM]=$A11)*(Data_Nhập[SKU name_NHẬP_GOM]=AR$3)))</f>
        <v>0</v>
      </c>
      <c r="AS11" s="24" cm="1">
        <f t="array" ref="AS11">IF(AS$2="FY",SUMPRODUCT(Data_Nhập[Tổng Nhập-NX]*(Data_Nhập[Year]=AS$1)*(Data_Nhập[Main SKU name_GOM]=$A11)*(Data_Nhập[SKU name_NHẬP_GOM]=AS$3)),SUMPRODUCT(Data_Nhập[Tổng Nhập-NX]*(Data_Nhập[Year]=AS$1)*(Data_Nhập[Month]=AS$2)*(Data_Nhập[Main SKU name_GOM]=$A11)*(Data_Nhập[SKU name_NHẬP_GOM]=AS$3)))</f>
        <v>0</v>
      </c>
      <c r="AT11" s="24" cm="1">
        <f t="array" ref="AT11">IF(AT$2="FY",SUMPRODUCT(Data_Nhập[Tổng Nhập-NX]*(Data_Nhập[Year]=AT$1)*(Data_Nhập[Main SKU name_GOM]=$A11)*(Data_Nhập[SKU name_NHẬP_GOM]=AT$3)),SUMPRODUCT(Data_Nhập[Tổng Nhập-NX]*(Data_Nhập[Year]=AT$1)*(Data_Nhập[Month]=AT$2)*(Data_Nhập[Main SKU name_GOM]=$A11)*(Data_Nhập[SKU name_NHẬP_GOM]=AT$3)))</f>
        <v>0</v>
      </c>
      <c r="AU11" s="24" cm="1">
        <f t="array" ref="AU11">IF(AU$2="FY",SUMPRODUCT(Data_Nhập[Tổng Nhập-NX]*(Data_Nhập[Year]=AU$1)*(Data_Nhập[Main SKU name_GOM]=$A11)*(Data_Nhập[SKU name_NHẬP_GOM]=AU$3)),SUMPRODUCT(Data_Nhập[Tổng Nhập-NX]*(Data_Nhập[Year]=AU$1)*(Data_Nhập[Month]=AU$2)*(Data_Nhập[Main SKU name_GOM]=$A11)*(Data_Nhập[SKU name_NHẬP_GOM]=AU$3)))</f>
        <v>0</v>
      </c>
      <c r="AV11" s="24" cm="1">
        <f t="array" ref="AV11">IF(AV$2="FY",SUMPRODUCT(Data_Nhập[Tổng Nhập-NX]*(Data_Nhập[Year]=AV$1)*(Data_Nhập[Main SKU name_GOM]=$A11)*(Data_Nhập[SKU name_NHẬP_GOM]=AV$3)),SUMPRODUCT(Data_Nhập[Tổng Nhập-NX]*(Data_Nhập[Year]=AV$1)*(Data_Nhập[Month]=AV$2)*(Data_Nhập[Main SKU name_GOM]=$A11)*(Data_Nhập[SKU name_NHẬP_GOM]=AV$3)))</f>
        <v>0</v>
      </c>
      <c r="AW11" s="24" cm="1">
        <f t="array" ref="AW11">IF(AW$2="FY",SUMPRODUCT(Data_Nhập[Tổng Nhập-NX]*(Data_Nhập[Year]=AW$1)*(Data_Nhập[Main SKU name_GOM]=$A11)*(Data_Nhập[SKU name_NHẬP_GOM]=AW$3)),SUMPRODUCT(Data_Nhập[Tổng Nhập-NX]*(Data_Nhập[Year]=AW$1)*(Data_Nhập[Month]=AW$2)*(Data_Nhập[Main SKU name_GOM]=$A11)*(Data_Nhập[SKU name_NHẬP_GOM]=AW$3)))</f>
        <v>0</v>
      </c>
      <c r="AX11" s="24" cm="1">
        <f t="array" ref="AX11">IF(AX$2="FY",SUMPRODUCT(Data_Nhập[Tổng Nhập-NX]*(Data_Nhập[Year]=AX$1)*(Data_Nhập[Main SKU name_GOM]=$A11)*(Data_Nhập[SKU name_NHẬP_GOM]=AX$3)),SUMPRODUCT(Data_Nhập[Tổng Nhập-NX]*(Data_Nhập[Year]=AX$1)*(Data_Nhập[Month]=AX$2)*(Data_Nhập[Main SKU name_GOM]=$A11)*(Data_Nhập[SKU name_NHẬP_GOM]=AX$3)))</f>
        <v>0</v>
      </c>
      <c r="AY11" s="24" cm="1">
        <f t="array" ref="AY11">IF(AY$2="FY",SUMPRODUCT(Data_Nhập[Tổng Nhập-NX]*(Data_Nhập[Year]=AY$1)*(Data_Nhập[Main SKU name_GOM]=$A11)*(Data_Nhập[SKU name_NHẬP_GOM]=AY$3)),SUMPRODUCT(Data_Nhập[Tổng Nhập-NX]*(Data_Nhập[Year]=AY$1)*(Data_Nhập[Month]=AY$2)*(Data_Nhập[Main SKU name_GOM]=$A11)*(Data_Nhập[SKU name_NHẬP_GOM]=AY$3)))</f>
        <v>0</v>
      </c>
      <c r="AZ11" s="24" cm="1">
        <f t="array" ref="AZ11">IF(AZ$2="FY",SUMPRODUCT(Data_Nhập[Tổng Nhập-NX]*(Data_Nhập[Year]=AZ$1)*(Data_Nhập[Main SKU name_GOM]=$A11)*(Data_Nhập[SKU name_NHẬP_GOM]=AZ$3)),SUMPRODUCT(Data_Nhập[Tổng Nhập-NX]*(Data_Nhập[Year]=AZ$1)*(Data_Nhập[Month]=AZ$2)*(Data_Nhập[Main SKU name_GOM]=$A11)*(Data_Nhập[SKU name_NHẬP_GOM]=AZ$3)))</f>
        <v>0</v>
      </c>
      <c r="BA11" s="24" cm="1">
        <f t="array" ref="BA11">IF(BA$2="FY",SUMPRODUCT(Data_Nhập[Tổng Nhập-NX]*(Data_Nhập[Year]=BA$1)*(Data_Nhập[Main SKU name_GOM]=$A11)*(Data_Nhập[SKU name_NHẬP_GOM]=BA$3)),SUMPRODUCT(Data_Nhập[Tổng Nhập-NX]*(Data_Nhập[Year]=BA$1)*(Data_Nhập[Month]=BA$2)*(Data_Nhập[Main SKU name_GOM]=$A11)*(Data_Nhập[SKU name_NHẬP_GOM]=BA$3)))</f>
        <v>0</v>
      </c>
      <c r="BB11" s="24" cm="1">
        <f t="array" ref="BB11">IF(BB$2="FY",SUMPRODUCT(Data_Nhập[Tổng Nhập-NX]*(Data_Nhập[Year]=BB$1)*(Data_Nhập[Main SKU name_GOM]=$A11)*(Data_Nhập[SKU name_NHẬP_GOM]=BB$3)),SUMPRODUCT(Data_Nhập[Tổng Nhập-NX]*(Data_Nhập[Year]=BB$1)*(Data_Nhập[Month]=BB$2)*(Data_Nhập[Main SKU name_GOM]=$A11)*(Data_Nhập[SKU name_NHẬP_GOM]=BB$3)))</f>
        <v>0</v>
      </c>
      <c r="BC11" s="24" cm="1">
        <f t="array" ref="BC11">IF(BC$2="FY",SUMPRODUCT(Data_Nhập[Tổng Nhập-NX]*(Data_Nhập[Year]=BC$1)*(Data_Nhập[Main SKU name_GOM]=$A11)*(Data_Nhập[SKU name_NHẬP_GOM]=BC$3)),SUMPRODUCT(Data_Nhập[Tổng Nhập-NX]*(Data_Nhập[Year]=BC$1)*(Data_Nhập[Month]=BC$2)*(Data_Nhập[Main SKU name_GOM]=$A11)*(Data_Nhập[SKU name_NHẬP_GOM]=BC$3)))</f>
        <v>0</v>
      </c>
      <c r="BD11" s="25">
        <f t="shared" si="14"/>
        <v>0</v>
      </c>
      <c r="BF11" s="25" cm="1">
        <f t="array" ref="BF11">IF(BF$2="FY",SUMPRODUCT(Data_Xuất[Xuất-NX]*(Data_Xuất[Year]=BF$1)*(Data_Xuất[Main SKU name_GOM]=$A11)),SUMPRODUCT(Data_Xuất[Xuất-NX]*(Data_Xuất[Year]=BF$1)*(Data_Xuất[Main SKU name_GOM]=$A11)*(Data_Xuất[Month]=BF$2)))</f>
        <v>59681</v>
      </c>
      <c r="BG11" s="24" cm="1">
        <f t="array" ref="BG11">IF(BG$2="FY",SUMPRODUCT(Data_Nhập[Tổng Nhập-NX]*(Data_Nhập[Year]=BG$1)*(Data_Nhập[Main SKU name_GOM]=$A11)*(Data_Nhập[SKU name_NHẬP_GOM]=BG$3)),SUMPRODUCT(Data_Nhập[Tổng Nhập-NX]*(Data_Nhập[Year]=BG$1)*(Data_Nhập[Month]=BG$2)*(Data_Nhập[Main SKU name_GOM]=$A11)*(Data_Nhập[SKU name_NHẬP_GOM]=BG$3)))</f>
        <v>0</v>
      </c>
      <c r="BH11" s="24" cm="1">
        <f t="array" ref="BH11">IF(BH$2="FY",SUMPRODUCT(Data_Nhập[Tổng Nhập-NX]*(Data_Nhập[Year]=BH$1)*(Data_Nhập[Main SKU name_GOM]=$A11)*(Data_Nhập[SKU name_NHẬP_GOM]=BH$3)),SUMPRODUCT(Data_Nhập[Tổng Nhập-NX]*(Data_Nhập[Year]=BH$1)*(Data_Nhập[Month]=BH$2)*(Data_Nhập[Main SKU name_GOM]=$A11)*(Data_Nhập[SKU name_NHẬP_GOM]=BH$3)))</f>
        <v>0</v>
      </c>
      <c r="BI11" s="24" cm="1">
        <f t="array" ref="BI11">IF(BI$2="FY",SUMPRODUCT(Data_Nhập[Tổng Nhập-NX]*(Data_Nhập[Year]=BI$1)*(Data_Nhập[Main SKU name_GOM]=$A11)*(Data_Nhập[SKU name_NHẬP_GOM]=BI$3)),SUMPRODUCT(Data_Nhập[Tổng Nhập-NX]*(Data_Nhập[Year]=BI$1)*(Data_Nhập[Month]=BI$2)*(Data_Nhập[Main SKU name_GOM]=$A11)*(Data_Nhập[SKU name_NHẬP_GOM]=BI$3)))</f>
        <v>0</v>
      </c>
      <c r="BJ11" s="24" cm="1">
        <f t="array" ref="BJ11">IF(BJ$2="FY",SUMPRODUCT(Data_Nhập[Tổng Nhập-NX]*(Data_Nhập[Year]=BJ$1)*(Data_Nhập[Main SKU name_GOM]=$A11)*(Data_Nhập[SKU name_NHẬP_GOM]=BJ$3)),SUMPRODUCT(Data_Nhập[Tổng Nhập-NX]*(Data_Nhập[Year]=BJ$1)*(Data_Nhập[Month]=BJ$2)*(Data_Nhập[Main SKU name_GOM]=$A11)*(Data_Nhập[SKU name_NHẬP_GOM]=BJ$3)))</f>
        <v>0</v>
      </c>
      <c r="BK11" s="24" cm="1">
        <f t="array" ref="BK11">IF(BK$2="FY",SUMPRODUCT(Data_Nhập[Tổng Nhập-NX]*(Data_Nhập[Year]=BK$1)*(Data_Nhập[Main SKU name_GOM]=$A11)*(Data_Nhập[SKU name_NHẬP_GOM]=BK$3)),SUMPRODUCT(Data_Nhập[Tổng Nhập-NX]*(Data_Nhập[Year]=BK$1)*(Data_Nhập[Month]=BK$2)*(Data_Nhập[Main SKU name_GOM]=$A11)*(Data_Nhập[SKU name_NHẬP_GOM]=BK$3)))</f>
        <v>0</v>
      </c>
      <c r="BL11" s="24" cm="1">
        <f t="array" ref="BL11">IF(BL$2="FY",SUMPRODUCT(Data_Nhập[Tổng Nhập-NX]*(Data_Nhập[Year]=BL$1)*(Data_Nhập[Main SKU name_GOM]=$A11)*(Data_Nhập[SKU name_NHẬP_GOM]=BL$3)),SUMPRODUCT(Data_Nhập[Tổng Nhập-NX]*(Data_Nhập[Year]=BL$1)*(Data_Nhập[Month]=BL$2)*(Data_Nhập[Main SKU name_GOM]=$A11)*(Data_Nhập[SKU name_NHẬP_GOM]=BL$3)))</f>
        <v>1050</v>
      </c>
      <c r="BM11" s="24" cm="1">
        <f t="array" ref="BM11">IF(BM$2="FY",SUMPRODUCT(Data_Nhập[Tổng Nhập-NX]*(Data_Nhập[Year]=BM$1)*(Data_Nhập[Main SKU name_GOM]=$A11)*(Data_Nhập[SKU name_NHẬP_GOM]=BM$3)),SUMPRODUCT(Data_Nhập[Tổng Nhập-NX]*(Data_Nhập[Year]=BM$1)*(Data_Nhập[Month]=BM$2)*(Data_Nhập[Main SKU name_GOM]=$A11)*(Data_Nhập[SKU name_NHẬP_GOM]=BM$3)))</f>
        <v>50750</v>
      </c>
      <c r="BN11" s="24" cm="1">
        <f t="array" ref="BN11">IF(BN$2="FY",SUMPRODUCT(Data_Nhập[Tổng Nhập-NX]*(Data_Nhập[Year]=BN$1)*(Data_Nhập[Main SKU name_GOM]=$A11)*(Data_Nhập[SKU name_NHẬP_GOM]=BN$3)),SUMPRODUCT(Data_Nhập[Tổng Nhập-NX]*(Data_Nhập[Year]=BN$1)*(Data_Nhập[Month]=BN$2)*(Data_Nhập[Main SKU name_GOM]=$A11)*(Data_Nhập[SKU name_NHẬP_GOM]=BN$3)))</f>
        <v>0</v>
      </c>
      <c r="BO11" s="24" cm="1">
        <f t="array" ref="BO11">IF(BO$2="FY",SUMPRODUCT(Data_Nhập[Tổng Nhập-NX]*(Data_Nhập[Year]=BO$1)*(Data_Nhập[Main SKU name_GOM]=$A11)*(Data_Nhập[SKU name_NHẬP_GOM]=BO$3)),SUMPRODUCT(Data_Nhập[Tổng Nhập-NX]*(Data_Nhập[Year]=BO$1)*(Data_Nhập[Month]=BO$2)*(Data_Nhập[Main SKU name_GOM]=$A11)*(Data_Nhập[SKU name_NHẬP_GOM]=BO$3)))</f>
        <v>0</v>
      </c>
      <c r="BP11" s="24" cm="1">
        <f t="array" ref="BP11">IF(BP$2="FY",SUMPRODUCT(Data_Nhập[Tổng Nhập-NX]*(Data_Nhập[Year]=BP$1)*(Data_Nhập[Main SKU name_GOM]=$A11)*(Data_Nhập[SKU name_NHẬP_GOM]=BP$3)),SUMPRODUCT(Data_Nhập[Tổng Nhập-NX]*(Data_Nhập[Year]=BP$1)*(Data_Nhập[Month]=BP$2)*(Data_Nhập[Main SKU name_GOM]=$A11)*(Data_Nhập[SKU name_NHẬP_GOM]=BP$3)))</f>
        <v>0</v>
      </c>
      <c r="BQ11" s="24" cm="1">
        <f t="array" ref="BQ11">IF(BQ$2="FY",SUMPRODUCT(Data_Nhập[Tổng Nhập-NX]*(Data_Nhập[Year]=BQ$1)*(Data_Nhập[Main SKU name_GOM]=$A11)*(Data_Nhập[SKU name_NHẬP_GOM]=BQ$3)),SUMPRODUCT(Data_Nhập[Tổng Nhập-NX]*(Data_Nhập[Year]=BQ$1)*(Data_Nhập[Month]=BQ$2)*(Data_Nhập[Main SKU name_GOM]=$A11)*(Data_Nhập[SKU name_NHẬP_GOM]=BQ$3)))</f>
        <v>0</v>
      </c>
      <c r="BR11" s="24" cm="1">
        <f t="array" ref="BR11">IF(BR$2="FY",SUMPRODUCT(Data_Nhập[Tổng Nhập-NX]*(Data_Nhập[Year]=BR$1)*(Data_Nhập[Main SKU name_GOM]=$A11)*(Data_Nhập[SKU name_NHẬP_GOM]=BR$3)),SUMPRODUCT(Data_Nhập[Tổng Nhập-NX]*(Data_Nhập[Year]=BR$1)*(Data_Nhập[Month]=BR$2)*(Data_Nhập[Main SKU name_GOM]=$A11)*(Data_Nhập[SKU name_NHẬP_GOM]=BR$3)))</f>
        <v>0</v>
      </c>
      <c r="BS11" s="24" cm="1">
        <f t="array" ref="BS11">IF(BS$2="FY",SUMPRODUCT(Data_Nhập[Tổng Nhập-NX]*(Data_Nhập[Year]=BS$1)*(Data_Nhập[Main SKU name_GOM]=$A11)*(Data_Nhập[SKU name_NHẬP_GOM]=BS$3)),SUMPRODUCT(Data_Nhập[Tổng Nhập-NX]*(Data_Nhập[Year]=BS$1)*(Data_Nhập[Month]=BS$2)*(Data_Nhập[Main SKU name_GOM]=$A11)*(Data_Nhập[SKU name_NHẬP_GOM]=BS$3)))</f>
        <v>3505</v>
      </c>
      <c r="BT11" s="24" cm="1">
        <f t="array" ref="BT11">IF(BT$2="FY",SUMPRODUCT(Data_Nhập[Tổng Nhập-NX]*(Data_Nhập[Year]=BT$1)*(Data_Nhập[Main SKU name_GOM]=$A11)*(Data_Nhập[SKU name_NHẬP_GOM]=BT$3)),SUMPRODUCT(Data_Nhập[Tổng Nhập-NX]*(Data_Nhập[Year]=BT$1)*(Data_Nhập[Month]=BT$2)*(Data_Nhập[Main SKU name_GOM]=$A11)*(Data_Nhập[SKU name_NHẬP_GOM]=BT$3)))</f>
        <v>2700</v>
      </c>
      <c r="BU11" s="24" cm="1">
        <f t="array" ref="BU11">IF(BU$2="FY",SUMPRODUCT(Data_Nhập[Tổng Nhập-NX]*(Data_Nhập[Year]=BU$1)*(Data_Nhập[Main SKU name_GOM]=$A11)*(Data_Nhập[SKU name_NHẬP_GOM]=BU$3)),SUMPRODUCT(Data_Nhập[Tổng Nhập-NX]*(Data_Nhập[Year]=BU$1)*(Data_Nhập[Month]=BU$2)*(Data_Nhập[Main SKU name_GOM]=$A11)*(Data_Nhập[SKU name_NHẬP_GOM]=BU$3)))</f>
        <v>0</v>
      </c>
      <c r="BV11" s="25">
        <f t="shared" si="15"/>
        <v>58005</v>
      </c>
      <c r="BX11" s="25" cm="1">
        <f t="array" ref="BX11">IF(BX$2="FY",SUMPRODUCT(Data_Xuất[Xuất-NX]*(Data_Xuất[Year]=BX$1)*(Data_Xuất[Main SKU name_GOM]=$A11)),SUMPRODUCT(Data_Xuất[Xuất-NX]*(Data_Xuất[Year]=BX$1)*(Data_Xuất[Main SKU name_GOM]=$A11)*(Data_Xuất[Month]=BX$2)))</f>
        <v>39000</v>
      </c>
      <c r="BY11" s="24" cm="1">
        <f t="array" ref="BY11">IF(BY$2="FY",SUMPRODUCT(Data_Nhập[Tổng Nhập-NX]*(Data_Nhập[Year]=BY$1)*(Data_Nhập[Main SKU name_GOM]=$A11)*(Data_Nhập[SKU name_NHẬP_GOM]=BY$3)),SUMPRODUCT(Data_Nhập[Tổng Nhập-NX]*(Data_Nhập[Year]=BY$1)*(Data_Nhập[Month]=BY$2)*(Data_Nhập[Main SKU name_GOM]=$A11)*(Data_Nhập[SKU name_NHẬP_GOM]=BY$3)))</f>
        <v>0</v>
      </c>
      <c r="BZ11" s="24" cm="1">
        <f t="array" ref="BZ11">IF(BZ$2="FY",SUMPRODUCT(Data_Nhập[Tổng Nhập-NX]*(Data_Nhập[Year]=BZ$1)*(Data_Nhập[Main SKU name_GOM]=$A11)*(Data_Nhập[SKU name_NHẬP_GOM]=BZ$3)),SUMPRODUCT(Data_Nhập[Tổng Nhập-NX]*(Data_Nhập[Year]=BZ$1)*(Data_Nhập[Month]=BZ$2)*(Data_Nhập[Main SKU name_GOM]=$A11)*(Data_Nhập[SKU name_NHẬP_GOM]=BZ$3)))</f>
        <v>0</v>
      </c>
      <c r="CA11" s="24" cm="1">
        <f t="array" ref="CA11">IF(CA$2="FY",SUMPRODUCT(Data_Nhập[Tổng Nhập-NX]*(Data_Nhập[Year]=CA$1)*(Data_Nhập[Main SKU name_GOM]=$A11)*(Data_Nhập[SKU name_NHẬP_GOM]=CA$3)),SUMPRODUCT(Data_Nhập[Tổng Nhập-NX]*(Data_Nhập[Year]=CA$1)*(Data_Nhập[Month]=CA$2)*(Data_Nhập[Main SKU name_GOM]=$A11)*(Data_Nhập[SKU name_NHẬP_GOM]=CA$3)))</f>
        <v>0</v>
      </c>
      <c r="CB11" s="24" cm="1">
        <f t="array" ref="CB11">IF(CB$2="FY",SUMPRODUCT(Data_Nhập[Tổng Nhập-NX]*(Data_Nhập[Year]=CB$1)*(Data_Nhập[Main SKU name_GOM]=$A11)*(Data_Nhập[SKU name_NHẬP_GOM]=CB$3)),SUMPRODUCT(Data_Nhập[Tổng Nhập-NX]*(Data_Nhập[Year]=CB$1)*(Data_Nhập[Month]=CB$2)*(Data_Nhập[Main SKU name_GOM]=$A11)*(Data_Nhập[SKU name_NHẬP_GOM]=CB$3)))</f>
        <v>0</v>
      </c>
      <c r="CC11" s="24" cm="1">
        <f t="array" ref="CC11">IF(CC$2="FY",SUMPRODUCT(Data_Nhập[Tổng Nhập-NX]*(Data_Nhập[Year]=CC$1)*(Data_Nhập[Main SKU name_GOM]=$A11)*(Data_Nhập[SKU name_NHẬP_GOM]=CC$3)),SUMPRODUCT(Data_Nhập[Tổng Nhập-NX]*(Data_Nhập[Year]=CC$1)*(Data_Nhập[Month]=CC$2)*(Data_Nhập[Main SKU name_GOM]=$A11)*(Data_Nhập[SKU name_NHẬP_GOM]=CC$3)))</f>
        <v>0</v>
      </c>
      <c r="CD11" s="24" cm="1">
        <f t="array" ref="CD11">IF(CD$2="FY",SUMPRODUCT(Data_Nhập[Tổng Nhập-NX]*(Data_Nhập[Year]=CD$1)*(Data_Nhập[Main SKU name_GOM]=$A11)*(Data_Nhập[SKU name_NHẬP_GOM]=CD$3)),SUMPRODUCT(Data_Nhập[Tổng Nhập-NX]*(Data_Nhập[Year]=CD$1)*(Data_Nhập[Month]=CD$2)*(Data_Nhập[Main SKU name_GOM]=$A11)*(Data_Nhập[SKU name_NHẬP_GOM]=CD$3)))</f>
        <v>0</v>
      </c>
      <c r="CE11" s="24" cm="1">
        <f t="array" ref="CE11">IF(CE$2="FY",SUMPRODUCT(Data_Nhập[Tổng Nhập-NX]*(Data_Nhập[Year]=CE$1)*(Data_Nhập[Main SKU name_GOM]=$A11)*(Data_Nhập[SKU name_NHẬP_GOM]=CE$3)),SUMPRODUCT(Data_Nhập[Tổng Nhập-NX]*(Data_Nhập[Year]=CE$1)*(Data_Nhập[Month]=CE$2)*(Data_Nhập[Main SKU name_GOM]=$A11)*(Data_Nhập[SKU name_NHẬP_GOM]=CE$3)))</f>
        <v>35700</v>
      </c>
      <c r="CF11" s="24" cm="1">
        <f t="array" ref="CF11">IF(CF$2="FY",SUMPRODUCT(Data_Nhập[Tổng Nhập-NX]*(Data_Nhập[Year]=CF$1)*(Data_Nhập[Main SKU name_GOM]=$A11)*(Data_Nhập[SKU name_NHẬP_GOM]=CF$3)),SUMPRODUCT(Data_Nhập[Tổng Nhập-NX]*(Data_Nhập[Year]=CF$1)*(Data_Nhập[Month]=CF$2)*(Data_Nhập[Main SKU name_GOM]=$A11)*(Data_Nhập[SKU name_NHẬP_GOM]=CF$3)))</f>
        <v>0</v>
      </c>
      <c r="CG11" s="24" cm="1">
        <f t="array" ref="CG11">IF(CG$2="FY",SUMPRODUCT(Data_Nhập[Tổng Nhập-NX]*(Data_Nhập[Year]=CG$1)*(Data_Nhập[Main SKU name_GOM]=$A11)*(Data_Nhập[SKU name_NHẬP_GOM]=CG$3)),SUMPRODUCT(Data_Nhập[Tổng Nhập-NX]*(Data_Nhập[Year]=CG$1)*(Data_Nhập[Month]=CG$2)*(Data_Nhập[Main SKU name_GOM]=$A11)*(Data_Nhập[SKU name_NHẬP_GOM]=CG$3)))</f>
        <v>0</v>
      </c>
      <c r="CH11" s="24" cm="1">
        <f t="array" ref="CH11">IF(CH$2="FY",SUMPRODUCT(Data_Nhập[Tổng Nhập-NX]*(Data_Nhập[Year]=CH$1)*(Data_Nhập[Main SKU name_GOM]=$A11)*(Data_Nhập[SKU name_NHẬP_GOM]=CH$3)),SUMPRODUCT(Data_Nhập[Tổng Nhập-NX]*(Data_Nhập[Year]=CH$1)*(Data_Nhập[Month]=CH$2)*(Data_Nhập[Main SKU name_GOM]=$A11)*(Data_Nhập[SKU name_NHẬP_GOM]=CH$3)))</f>
        <v>0</v>
      </c>
      <c r="CI11" s="24" cm="1">
        <f t="array" ref="CI11">IF(CI$2="FY",SUMPRODUCT(Data_Nhập[Tổng Nhập-NX]*(Data_Nhập[Year]=CI$1)*(Data_Nhập[Main SKU name_GOM]=$A11)*(Data_Nhập[SKU name_NHẬP_GOM]=CI$3)),SUMPRODUCT(Data_Nhập[Tổng Nhập-NX]*(Data_Nhập[Year]=CI$1)*(Data_Nhập[Month]=CI$2)*(Data_Nhập[Main SKU name_GOM]=$A11)*(Data_Nhập[SKU name_NHẬP_GOM]=CI$3)))</f>
        <v>0</v>
      </c>
      <c r="CJ11" s="24" cm="1">
        <f t="array" ref="CJ11">IF(CJ$2="FY",SUMPRODUCT(Data_Nhập[Tổng Nhập-NX]*(Data_Nhập[Year]=CJ$1)*(Data_Nhập[Main SKU name_GOM]=$A11)*(Data_Nhập[SKU name_NHẬP_GOM]=CJ$3)),SUMPRODUCT(Data_Nhập[Tổng Nhập-NX]*(Data_Nhập[Year]=CJ$1)*(Data_Nhập[Month]=CJ$2)*(Data_Nhập[Main SKU name_GOM]=$A11)*(Data_Nhập[SKU name_NHẬP_GOM]=CJ$3)))</f>
        <v>0</v>
      </c>
      <c r="CK11" s="24" cm="1">
        <f t="array" ref="CK11">IF(CK$2="FY",SUMPRODUCT(Data_Nhập[Tổng Nhập-NX]*(Data_Nhập[Year]=CK$1)*(Data_Nhập[Main SKU name_GOM]=$A11)*(Data_Nhập[SKU name_NHẬP_GOM]=CK$3)),SUMPRODUCT(Data_Nhập[Tổng Nhập-NX]*(Data_Nhập[Year]=CK$1)*(Data_Nhập[Month]=CK$2)*(Data_Nhập[Main SKU name_GOM]=$A11)*(Data_Nhập[SKU name_NHẬP_GOM]=CK$3)))</f>
        <v>455</v>
      </c>
      <c r="CL11" s="24" cm="1">
        <f t="array" ref="CL11">IF(CL$2="FY",SUMPRODUCT(Data_Nhập[Tổng Nhập-NX]*(Data_Nhập[Year]=CL$1)*(Data_Nhập[Main SKU name_GOM]=$A11)*(Data_Nhập[SKU name_NHẬP_GOM]=CL$3)),SUMPRODUCT(Data_Nhập[Tổng Nhập-NX]*(Data_Nhập[Year]=CL$1)*(Data_Nhập[Month]=CL$2)*(Data_Nhập[Main SKU name_GOM]=$A11)*(Data_Nhập[SKU name_NHẬP_GOM]=CL$3)))</f>
        <v>2055</v>
      </c>
      <c r="CM11" s="24" cm="1">
        <f t="array" ref="CM11">IF(CM$2="FY",SUMPRODUCT(Data_Nhập[Tổng Nhập-NX]*(Data_Nhập[Year]=CM$1)*(Data_Nhập[Main SKU name_GOM]=$A11)*(Data_Nhập[SKU name_NHẬP_GOM]=CM$3)),SUMPRODUCT(Data_Nhập[Tổng Nhập-NX]*(Data_Nhập[Year]=CM$1)*(Data_Nhập[Month]=CM$2)*(Data_Nhập[Main SKU name_GOM]=$A11)*(Data_Nhập[SKU name_NHẬP_GOM]=CM$3)))</f>
        <v>0</v>
      </c>
      <c r="CN11" s="25">
        <f t="shared" si="16"/>
        <v>38210</v>
      </c>
      <c r="CP11" s="25" cm="1">
        <f t="array" ref="CP11">IF(CP$2="FY",SUMPRODUCT(Data_Xuất[Xuất-NX]*(Data_Xuất[Year]=CP$1)*(Data_Xuất[Main SKU name_GOM]=$A11)),SUMPRODUCT(Data_Xuất[Xuất-NX]*(Data_Xuất[Year]=CP$1)*(Data_Xuất[Main SKU name_GOM]=$A11)*(Data_Xuất[Month]=CP$2)))</f>
        <v>0</v>
      </c>
      <c r="CQ11" s="24" cm="1">
        <f t="array" ref="CQ11">IF(CQ$2="FY",SUMPRODUCT(Data_Nhập[Tổng Nhập-NX]*(Data_Nhập[Year]=CQ$1)*(Data_Nhập[Main SKU name_GOM]=$A11)*(Data_Nhập[SKU name_NHẬP_GOM]=CQ$3)),SUMPRODUCT(Data_Nhập[Tổng Nhập-NX]*(Data_Nhập[Year]=CQ$1)*(Data_Nhập[Month]=CQ$2)*(Data_Nhập[Main SKU name_GOM]=$A11)*(Data_Nhập[SKU name_NHẬP_GOM]=CQ$3)))</f>
        <v>0</v>
      </c>
      <c r="CR11" s="24" cm="1">
        <f t="array" ref="CR11">IF(CR$2="FY",SUMPRODUCT(Data_Nhập[Tổng Nhập-NX]*(Data_Nhập[Year]=CR$1)*(Data_Nhập[Main SKU name_GOM]=$A11)*(Data_Nhập[SKU name_NHẬP_GOM]=CR$3)),SUMPRODUCT(Data_Nhập[Tổng Nhập-NX]*(Data_Nhập[Year]=CR$1)*(Data_Nhập[Month]=CR$2)*(Data_Nhập[Main SKU name_GOM]=$A11)*(Data_Nhập[SKU name_NHẬP_GOM]=CR$3)))</f>
        <v>0</v>
      </c>
      <c r="CS11" s="24" cm="1">
        <f t="array" ref="CS11">IF(CS$2="FY",SUMPRODUCT(Data_Nhập[Tổng Nhập-NX]*(Data_Nhập[Year]=CS$1)*(Data_Nhập[Main SKU name_GOM]=$A11)*(Data_Nhập[SKU name_NHẬP_GOM]=CS$3)),SUMPRODUCT(Data_Nhập[Tổng Nhập-NX]*(Data_Nhập[Year]=CS$1)*(Data_Nhập[Month]=CS$2)*(Data_Nhập[Main SKU name_GOM]=$A11)*(Data_Nhập[SKU name_NHẬP_GOM]=CS$3)))</f>
        <v>0</v>
      </c>
      <c r="CT11" s="24" cm="1">
        <f t="array" ref="CT11">IF(CT$2="FY",SUMPRODUCT(Data_Nhập[Tổng Nhập-NX]*(Data_Nhập[Year]=CT$1)*(Data_Nhập[Main SKU name_GOM]=$A11)*(Data_Nhập[SKU name_NHẬP_GOM]=CT$3)),SUMPRODUCT(Data_Nhập[Tổng Nhập-NX]*(Data_Nhập[Year]=CT$1)*(Data_Nhập[Month]=CT$2)*(Data_Nhập[Main SKU name_GOM]=$A11)*(Data_Nhập[SKU name_NHẬP_GOM]=CT$3)))</f>
        <v>0</v>
      </c>
      <c r="CU11" s="24" cm="1">
        <f t="array" ref="CU11">IF(CU$2="FY",SUMPRODUCT(Data_Nhập[Tổng Nhập-NX]*(Data_Nhập[Year]=CU$1)*(Data_Nhập[Main SKU name_GOM]=$A11)*(Data_Nhập[SKU name_NHẬP_GOM]=CU$3)),SUMPRODUCT(Data_Nhập[Tổng Nhập-NX]*(Data_Nhập[Year]=CU$1)*(Data_Nhập[Month]=CU$2)*(Data_Nhập[Main SKU name_GOM]=$A11)*(Data_Nhập[SKU name_NHẬP_GOM]=CU$3)))</f>
        <v>0</v>
      </c>
      <c r="CV11" s="24" cm="1">
        <f t="array" ref="CV11">IF(CV$2="FY",SUMPRODUCT(Data_Nhập[Tổng Nhập-NX]*(Data_Nhập[Year]=CV$1)*(Data_Nhập[Main SKU name_GOM]=$A11)*(Data_Nhập[SKU name_NHẬP_GOM]=CV$3)),SUMPRODUCT(Data_Nhập[Tổng Nhập-NX]*(Data_Nhập[Year]=CV$1)*(Data_Nhập[Month]=CV$2)*(Data_Nhập[Main SKU name_GOM]=$A11)*(Data_Nhập[SKU name_NHẬP_GOM]=CV$3)))</f>
        <v>0</v>
      </c>
      <c r="CW11" s="24" cm="1">
        <f t="array" ref="CW11">IF(CW$2="FY",SUMPRODUCT(Data_Nhập[Tổng Nhập-NX]*(Data_Nhập[Year]=CW$1)*(Data_Nhập[Main SKU name_GOM]=$A11)*(Data_Nhập[SKU name_NHẬP_GOM]=CW$3)),SUMPRODUCT(Data_Nhập[Tổng Nhập-NX]*(Data_Nhập[Year]=CW$1)*(Data_Nhập[Month]=CW$2)*(Data_Nhập[Main SKU name_GOM]=$A11)*(Data_Nhập[SKU name_NHẬP_GOM]=CW$3)))</f>
        <v>0</v>
      </c>
      <c r="CX11" s="24" cm="1">
        <f t="array" ref="CX11">IF(CX$2="FY",SUMPRODUCT(Data_Nhập[Tổng Nhập-NX]*(Data_Nhập[Year]=CX$1)*(Data_Nhập[Main SKU name_GOM]=$A11)*(Data_Nhập[SKU name_NHẬP_GOM]=CX$3)),SUMPRODUCT(Data_Nhập[Tổng Nhập-NX]*(Data_Nhập[Year]=CX$1)*(Data_Nhập[Month]=CX$2)*(Data_Nhập[Main SKU name_GOM]=$A11)*(Data_Nhập[SKU name_NHẬP_GOM]=CX$3)))</f>
        <v>0</v>
      </c>
      <c r="CY11" s="24" cm="1">
        <f t="array" ref="CY11">IF(CY$2="FY",SUMPRODUCT(Data_Nhập[Tổng Nhập-NX]*(Data_Nhập[Year]=CY$1)*(Data_Nhập[Main SKU name_GOM]=$A11)*(Data_Nhập[SKU name_NHẬP_GOM]=CY$3)),SUMPRODUCT(Data_Nhập[Tổng Nhập-NX]*(Data_Nhập[Year]=CY$1)*(Data_Nhập[Month]=CY$2)*(Data_Nhập[Main SKU name_GOM]=$A11)*(Data_Nhập[SKU name_NHẬP_GOM]=CY$3)))</f>
        <v>0</v>
      </c>
      <c r="CZ11" s="24" cm="1">
        <f t="array" ref="CZ11">IF(CZ$2="FY",SUMPRODUCT(Data_Nhập[Tổng Nhập-NX]*(Data_Nhập[Year]=CZ$1)*(Data_Nhập[Main SKU name_GOM]=$A11)*(Data_Nhập[SKU name_NHẬP_GOM]=CZ$3)),SUMPRODUCT(Data_Nhập[Tổng Nhập-NX]*(Data_Nhập[Year]=CZ$1)*(Data_Nhập[Month]=CZ$2)*(Data_Nhập[Main SKU name_GOM]=$A11)*(Data_Nhập[SKU name_NHẬP_GOM]=CZ$3)))</f>
        <v>0</v>
      </c>
      <c r="DA11" s="24" cm="1">
        <f t="array" ref="DA11">IF(DA$2="FY",SUMPRODUCT(Data_Nhập[Tổng Nhập-NX]*(Data_Nhập[Year]=DA$1)*(Data_Nhập[Main SKU name_GOM]=$A11)*(Data_Nhập[SKU name_NHẬP_GOM]=DA$3)),SUMPRODUCT(Data_Nhập[Tổng Nhập-NX]*(Data_Nhập[Year]=DA$1)*(Data_Nhập[Month]=DA$2)*(Data_Nhập[Main SKU name_GOM]=$A11)*(Data_Nhập[SKU name_NHẬP_GOM]=DA$3)))</f>
        <v>0</v>
      </c>
      <c r="DB11" s="24" cm="1">
        <f t="array" ref="DB11">IF(DB$2="FY",SUMPRODUCT(Data_Nhập[Tổng Nhập-NX]*(Data_Nhập[Year]=DB$1)*(Data_Nhập[Main SKU name_GOM]=$A11)*(Data_Nhập[SKU name_NHẬP_GOM]=DB$3)),SUMPRODUCT(Data_Nhập[Tổng Nhập-NX]*(Data_Nhập[Year]=DB$1)*(Data_Nhập[Month]=DB$2)*(Data_Nhập[Main SKU name_GOM]=$A11)*(Data_Nhập[SKU name_NHẬP_GOM]=DB$3)))</f>
        <v>0</v>
      </c>
      <c r="DC11" s="24" cm="1">
        <f t="array" ref="DC11">IF(DC$2="FY",SUMPRODUCT(Data_Nhập[Tổng Nhập-NX]*(Data_Nhập[Year]=DC$1)*(Data_Nhập[Main SKU name_GOM]=$A11)*(Data_Nhập[SKU name_NHẬP_GOM]=DC$3)),SUMPRODUCT(Data_Nhập[Tổng Nhập-NX]*(Data_Nhập[Year]=DC$1)*(Data_Nhập[Month]=DC$2)*(Data_Nhập[Main SKU name_GOM]=$A11)*(Data_Nhập[SKU name_NHẬP_GOM]=DC$3)))</f>
        <v>0</v>
      </c>
      <c r="DD11" s="24" cm="1">
        <f t="array" ref="DD11">IF(DD$2="FY",SUMPRODUCT(Data_Nhập[Tổng Nhập-NX]*(Data_Nhập[Year]=DD$1)*(Data_Nhập[Main SKU name_GOM]=$A11)*(Data_Nhập[SKU name_NHẬP_GOM]=DD$3)),SUMPRODUCT(Data_Nhập[Tổng Nhập-NX]*(Data_Nhập[Year]=DD$1)*(Data_Nhập[Month]=DD$2)*(Data_Nhập[Main SKU name_GOM]=$A11)*(Data_Nhập[SKU name_NHẬP_GOM]=DD$3)))</f>
        <v>0</v>
      </c>
      <c r="DE11" s="24" cm="1">
        <f t="array" ref="DE11">IF(DE$2="FY",SUMPRODUCT(Data_Nhập[Tổng Nhập-NX]*(Data_Nhập[Year]=DE$1)*(Data_Nhập[Main SKU name_GOM]=$A11)*(Data_Nhập[SKU name_NHẬP_GOM]=DE$3)),SUMPRODUCT(Data_Nhập[Tổng Nhập-NX]*(Data_Nhập[Year]=DE$1)*(Data_Nhập[Month]=DE$2)*(Data_Nhập[Main SKU name_GOM]=$A11)*(Data_Nhập[SKU name_NHẬP_GOM]=DE$3)))</f>
        <v>0</v>
      </c>
      <c r="DF11" s="25">
        <f t="shared" si="17"/>
        <v>0</v>
      </c>
      <c r="DH11" s="25" cm="1">
        <f t="array" ref="DH11">IF(DH$2="FY",SUMPRODUCT(Data_Xuất[Xuất-NX]*(Data_Xuất[Year]=DH$1)*(Data_Xuất[Main SKU name_GOM]=$A11)),SUMPRODUCT(Data_Xuất[Xuất-NX]*(Data_Xuất[Year]=DH$1)*(Data_Xuất[Main SKU name_GOM]=$A11)*(Data_Xuất[Month]=DH$2)))</f>
        <v>0</v>
      </c>
      <c r="DI11" s="24" cm="1">
        <f t="array" ref="DI11">IF(DI$2="FY",SUMPRODUCT(Data_Nhập[Tổng Nhập-NX]*(Data_Nhập[Year]=DI$1)*(Data_Nhập[Main SKU name_GOM]=$A11)*(Data_Nhập[SKU name_NHẬP_GOM]=DI$3)),SUMPRODUCT(Data_Nhập[Tổng Nhập-NX]*(Data_Nhập[Year]=DI$1)*(Data_Nhập[Month]=DI$2)*(Data_Nhập[Main SKU name_GOM]=$A11)*(Data_Nhập[SKU name_NHẬP_GOM]=DI$3)))</f>
        <v>0</v>
      </c>
      <c r="DJ11" s="24" cm="1">
        <f t="array" ref="DJ11">IF(DJ$2="FY",SUMPRODUCT(Data_Nhập[Tổng Nhập-NX]*(Data_Nhập[Year]=DJ$1)*(Data_Nhập[Main SKU name_GOM]=$A11)*(Data_Nhập[SKU name_NHẬP_GOM]=DJ$3)),SUMPRODUCT(Data_Nhập[Tổng Nhập-NX]*(Data_Nhập[Year]=DJ$1)*(Data_Nhập[Month]=DJ$2)*(Data_Nhập[Main SKU name_GOM]=$A11)*(Data_Nhập[SKU name_NHẬP_GOM]=DJ$3)))</f>
        <v>0</v>
      </c>
      <c r="DK11" s="24" cm="1">
        <f t="array" ref="DK11">IF(DK$2="FY",SUMPRODUCT(Data_Nhập[Tổng Nhập-NX]*(Data_Nhập[Year]=DK$1)*(Data_Nhập[Main SKU name_GOM]=$A11)*(Data_Nhập[SKU name_NHẬP_GOM]=DK$3)),SUMPRODUCT(Data_Nhập[Tổng Nhập-NX]*(Data_Nhập[Year]=DK$1)*(Data_Nhập[Month]=DK$2)*(Data_Nhập[Main SKU name_GOM]=$A11)*(Data_Nhập[SKU name_NHẬP_GOM]=DK$3)))</f>
        <v>0</v>
      </c>
      <c r="DL11" s="24" cm="1">
        <f t="array" ref="DL11">IF(DL$2="FY",SUMPRODUCT(Data_Nhập[Tổng Nhập-NX]*(Data_Nhập[Year]=DL$1)*(Data_Nhập[Main SKU name_GOM]=$A11)*(Data_Nhập[SKU name_NHẬP_GOM]=DL$3)),SUMPRODUCT(Data_Nhập[Tổng Nhập-NX]*(Data_Nhập[Year]=DL$1)*(Data_Nhập[Month]=DL$2)*(Data_Nhập[Main SKU name_GOM]=$A11)*(Data_Nhập[SKU name_NHẬP_GOM]=DL$3)))</f>
        <v>0</v>
      </c>
      <c r="DM11" s="24" cm="1">
        <f t="array" ref="DM11">IF(DM$2="FY",SUMPRODUCT(Data_Nhập[Tổng Nhập-NX]*(Data_Nhập[Year]=DM$1)*(Data_Nhập[Main SKU name_GOM]=$A11)*(Data_Nhập[SKU name_NHẬP_GOM]=DM$3)),SUMPRODUCT(Data_Nhập[Tổng Nhập-NX]*(Data_Nhập[Year]=DM$1)*(Data_Nhập[Month]=DM$2)*(Data_Nhập[Main SKU name_GOM]=$A11)*(Data_Nhập[SKU name_NHẬP_GOM]=DM$3)))</f>
        <v>0</v>
      </c>
      <c r="DN11" s="24" cm="1">
        <f t="array" ref="DN11">IF(DN$2="FY",SUMPRODUCT(Data_Nhập[Tổng Nhập-NX]*(Data_Nhập[Year]=DN$1)*(Data_Nhập[Main SKU name_GOM]=$A11)*(Data_Nhập[SKU name_NHẬP_GOM]=DN$3)),SUMPRODUCT(Data_Nhập[Tổng Nhập-NX]*(Data_Nhập[Year]=DN$1)*(Data_Nhập[Month]=DN$2)*(Data_Nhập[Main SKU name_GOM]=$A11)*(Data_Nhập[SKU name_NHẬP_GOM]=DN$3)))</f>
        <v>0</v>
      </c>
      <c r="DO11" s="24" cm="1">
        <f t="array" ref="DO11">IF(DO$2="FY",SUMPRODUCT(Data_Nhập[Tổng Nhập-NX]*(Data_Nhập[Year]=DO$1)*(Data_Nhập[Main SKU name_GOM]=$A11)*(Data_Nhập[SKU name_NHẬP_GOM]=DO$3)),SUMPRODUCT(Data_Nhập[Tổng Nhập-NX]*(Data_Nhập[Year]=DO$1)*(Data_Nhập[Month]=DO$2)*(Data_Nhập[Main SKU name_GOM]=$A11)*(Data_Nhập[SKU name_NHẬP_GOM]=DO$3)))</f>
        <v>0</v>
      </c>
      <c r="DP11" s="24" cm="1">
        <f t="array" ref="DP11">IF(DP$2="FY",SUMPRODUCT(Data_Nhập[Tổng Nhập-NX]*(Data_Nhập[Year]=DP$1)*(Data_Nhập[Main SKU name_GOM]=$A11)*(Data_Nhập[SKU name_NHẬP_GOM]=DP$3)),SUMPRODUCT(Data_Nhập[Tổng Nhập-NX]*(Data_Nhập[Year]=DP$1)*(Data_Nhập[Month]=DP$2)*(Data_Nhập[Main SKU name_GOM]=$A11)*(Data_Nhập[SKU name_NHẬP_GOM]=DP$3)))</f>
        <v>0</v>
      </c>
      <c r="DQ11" s="24" cm="1">
        <f t="array" ref="DQ11">IF(DQ$2="FY",SUMPRODUCT(Data_Nhập[Tổng Nhập-NX]*(Data_Nhập[Year]=DQ$1)*(Data_Nhập[Main SKU name_GOM]=$A11)*(Data_Nhập[SKU name_NHẬP_GOM]=DQ$3)),SUMPRODUCT(Data_Nhập[Tổng Nhập-NX]*(Data_Nhập[Year]=DQ$1)*(Data_Nhập[Month]=DQ$2)*(Data_Nhập[Main SKU name_GOM]=$A11)*(Data_Nhập[SKU name_NHẬP_GOM]=DQ$3)))</f>
        <v>0</v>
      </c>
      <c r="DR11" s="24" cm="1">
        <f t="array" ref="DR11">IF(DR$2="FY",SUMPRODUCT(Data_Nhập[Tổng Nhập-NX]*(Data_Nhập[Year]=DR$1)*(Data_Nhập[Main SKU name_GOM]=$A11)*(Data_Nhập[SKU name_NHẬP_GOM]=DR$3)),SUMPRODUCT(Data_Nhập[Tổng Nhập-NX]*(Data_Nhập[Year]=DR$1)*(Data_Nhập[Month]=DR$2)*(Data_Nhập[Main SKU name_GOM]=$A11)*(Data_Nhập[SKU name_NHẬP_GOM]=DR$3)))</f>
        <v>0</v>
      </c>
      <c r="DS11" s="24" cm="1">
        <f t="array" ref="DS11">IF(DS$2="FY",SUMPRODUCT(Data_Nhập[Tổng Nhập-NX]*(Data_Nhập[Year]=DS$1)*(Data_Nhập[Main SKU name_GOM]=$A11)*(Data_Nhập[SKU name_NHẬP_GOM]=DS$3)),SUMPRODUCT(Data_Nhập[Tổng Nhập-NX]*(Data_Nhập[Year]=DS$1)*(Data_Nhập[Month]=DS$2)*(Data_Nhập[Main SKU name_GOM]=$A11)*(Data_Nhập[SKU name_NHẬP_GOM]=DS$3)))</f>
        <v>0</v>
      </c>
      <c r="DT11" s="24" cm="1">
        <f t="array" ref="DT11">IF(DT$2="FY",SUMPRODUCT(Data_Nhập[Tổng Nhập-NX]*(Data_Nhập[Year]=DT$1)*(Data_Nhập[Main SKU name_GOM]=$A11)*(Data_Nhập[SKU name_NHẬP_GOM]=DT$3)),SUMPRODUCT(Data_Nhập[Tổng Nhập-NX]*(Data_Nhập[Year]=DT$1)*(Data_Nhập[Month]=DT$2)*(Data_Nhập[Main SKU name_GOM]=$A11)*(Data_Nhập[SKU name_NHẬP_GOM]=DT$3)))</f>
        <v>0</v>
      </c>
      <c r="DU11" s="24" cm="1">
        <f t="array" ref="DU11">IF(DU$2="FY",SUMPRODUCT(Data_Nhập[Tổng Nhập-NX]*(Data_Nhập[Year]=DU$1)*(Data_Nhập[Main SKU name_GOM]=$A11)*(Data_Nhập[SKU name_NHẬP_GOM]=DU$3)),SUMPRODUCT(Data_Nhập[Tổng Nhập-NX]*(Data_Nhập[Year]=DU$1)*(Data_Nhập[Month]=DU$2)*(Data_Nhập[Main SKU name_GOM]=$A11)*(Data_Nhập[SKU name_NHẬP_GOM]=DU$3)))</f>
        <v>0</v>
      </c>
      <c r="DV11" s="24" cm="1">
        <f t="array" ref="DV11">IF(DV$2="FY",SUMPRODUCT(Data_Nhập[Tổng Nhập-NX]*(Data_Nhập[Year]=DV$1)*(Data_Nhập[Main SKU name_GOM]=$A11)*(Data_Nhập[SKU name_NHẬP_GOM]=DV$3)),SUMPRODUCT(Data_Nhập[Tổng Nhập-NX]*(Data_Nhập[Year]=DV$1)*(Data_Nhập[Month]=DV$2)*(Data_Nhập[Main SKU name_GOM]=$A11)*(Data_Nhập[SKU name_NHẬP_GOM]=DV$3)))</f>
        <v>0</v>
      </c>
      <c r="DW11" s="24" cm="1">
        <f t="array" ref="DW11">IF(DW$2="FY",SUMPRODUCT(Data_Nhập[Tổng Nhập-NX]*(Data_Nhập[Year]=DW$1)*(Data_Nhập[Main SKU name_GOM]=$A11)*(Data_Nhập[SKU name_NHẬP_GOM]=DW$3)),SUMPRODUCT(Data_Nhập[Tổng Nhập-NX]*(Data_Nhập[Year]=DW$1)*(Data_Nhập[Month]=DW$2)*(Data_Nhập[Main SKU name_GOM]=$A11)*(Data_Nhập[SKU name_NHẬP_GOM]=DW$3)))</f>
        <v>0</v>
      </c>
      <c r="DX11" s="25">
        <f t="shared" si="18"/>
        <v>0</v>
      </c>
      <c r="DZ11" s="25" cm="1">
        <f t="array" ref="DZ11">IF(DZ$2="FY",SUMPRODUCT(Data_Xuất[Xuất-NX]*(Data_Xuất[Year]=DZ$1)*(Data_Xuất[Main SKU name_GOM]=$A11)),SUMPRODUCT(Data_Xuất[Xuất-NX]*(Data_Xuất[Year]=DZ$1)*(Data_Xuất[Main SKU name_GOM]=$A11)*(Data_Xuất[Month]=DZ$2)))</f>
        <v>0</v>
      </c>
      <c r="EA11" s="24" cm="1">
        <f t="array" ref="EA11">IF(EA$2="FY",SUMPRODUCT(Data_Nhập[Tổng Nhập-NX]*(Data_Nhập[Year]=EA$1)*(Data_Nhập[Main SKU name_GOM]=$A11)*(Data_Nhập[SKU name_NHẬP_GOM]=EA$3)),SUMPRODUCT(Data_Nhập[Tổng Nhập-NX]*(Data_Nhập[Year]=EA$1)*(Data_Nhập[Month]=EA$2)*(Data_Nhập[Main SKU name_GOM]=$A11)*(Data_Nhập[SKU name_NHẬP_GOM]=EA$3)))</f>
        <v>0</v>
      </c>
      <c r="EB11" s="24" cm="1">
        <f t="array" ref="EB11">IF(EB$2="FY",SUMPRODUCT(Data_Nhập[Tổng Nhập-NX]*(Data_Nhập[Year]=EB$1)*(Data_Nhập[Main SKU name_GOM]=$A11)*(Data_Nhập[SKU name_NHẬP_GOM]=EB$3)),SUMPRODUCT(Data_Nhập[Tổng Nhập-NX]*(Data_Nhập[Year]=EB$1)*(Data_Nhập[Month]=EB$2)*(Data_Nhập[Main SKU name_GOM]=$A11)*(Data_Nhập[SKU name_NHẬP_GOM]=EB$3)))</f>
        <v>0</v>
      </c>
      <c r="EC11" s="24" cm="1">
        <f t="array" ref="EC11">IF(EC$2="FY",SUMPRODUCT(Data_Nhập[Tổng Nhập-NX]*(Data_Nhập[Year]=EC$1)*(Data_Nhập[Main SKU name_GOM]=$A11)*(Data_Nhập[SKU name_NHẬP_GOM]=EC$3)),SUMPRODUCT(Data_Nhập[Tổng Nhập-NX]*(Data_Nhập[Year]=EC$1)*(Data_Nhập[Month]=EC$2)*(Data_Nhập[Main SKU name_GOM]=$A11)*(Data_Nhập[SKU name_NHẬP_GOM]=EC$3)))</f>
        <v>0</v>
      </c>
      <c r="ED11" s="24" cm="1">
        <f t="array" ref="ED11">IF(ED$2="FY",SUMPRODUCT(Data_Nhập[Tổng Nhập-NX]*(Data_Nhập[Year]=ED$1)*(Data_Nhập[Main SKU name_GOM]=$A11)*(Data_Nhập[SKU name_NHẬP_GOM]=ED$3)),SUMPRODUCT(Data_Nhập[Tổng Nhập-NX]*(Data_Nhập[Year]=ED$1)*(Data_Nhập[Month]=ED$2)*(Data_Nhập[Main SKU name_GOM]=$A11)*(Data_Nhập[SKU name_NHẬP_GOM]=ED$3)))</f>
        <v>0</v>
      </c>
      <c r="EE11" s="24" cm="1">
        <f t="array" ref="EE11">IF(EE$2="FY",SUMPRODUCT(Data_Nhập[Tổng Nhập-NX]*(Data_Nhập[Year]=EE$1)*(Data_Nhập[Main SKU name_GOM]=$A11)*(Data_Nhập[SKU name_NHẬP_GOM]=EE$3)),SUMPRODUCT(Data_Nhập[Tổng Nhập-NX]*(Data_Nhập[Year]=EE$1)*(Data_Nhập[Month]=EE$2)*(Data_Nhập[Main SKU name_GOM]=$A11)*(Data_Nhập[SKU name_NHẬP_GOM]=EE$3)))</f>
        <v>0</v>
      </c>
      <c r="EF11" s="24" cm="1">
        <f t="array" ref="EF11">IF(EF$2="FY",SUMPRODUCT(Data_Nhập[Tổng Nhập-NX]*(Data_Nhập[Year]=EF$1)*(Data_Nhập[Main SKU name_GOM]=$A11)*(Data_Nhập[SKU name_NHẬP_GOM]=EF$3)),SUMPRODUCT(Data_Nhập[Tổng Nhập-NX]*(Data_Nhập[Year]=EF$1)*(Data_Nhập[Month]=EF$2)*(Data_Nhập[Main SKU name_GOM]=$A11)*(Data_Nhập[SKU name_NHẬP_GOM]=EF$3)))</f>
        <v>0</v>
      </c>
      <c r="EG11" s="24" cm="1">
        <f t="array" ref="EG11">IF(EG$2="FY",SUMPRODUCT(Data_Nhập[Tổng Nhập-NX]*(Data_Nhập[Year]=EG$1)*(Data_Nhập[Main SKU name_GOM]=$A11)*(Data_Nhập[SKU name_NHẬP_GOM]=EG$3)),SUMPRODUCT(Data_Nhập[Tổng Nhập-NX]*(Data_Nhập[Year]=EG$1)*(Data_Nhập[Month]=EG$2)*(Data_Nhập[Main SKU name_GOM]=$A11)*(Data_Nhập[SKU name_NHẬP_GOM]=EG$3)))</f>
        <v>0</v>
      </c>
      <c r="EH11" s="24" cm="1">
        <f t="array" ref="EH11">IF(EH$2="FY",SUMPRODUCT(Data_Nhập[Tổng Nhập-NX]*(Data_Nhập[Year]=EH$1)*(Data_Nhập[Main SKU name_GOM]=$A11)*(Data_Nhập[SKU name_NHẬP_GOM]=EH$3)),SUMPRODUCT(Data_Nhập[Tổng Nhập-NX]*(Data_Nhập[Year]=EH$1)*(Data_Nhập[Month]=EH$2)*(Data_Nhập[Main SKU name_GOM]=$A11)*(Data_Nhập[SKU name_NHẬP_GOM]=EH$3)))</f>
        <v>0</v>
      </c>
      <c r="EI11" s="24" cm="1">
        <f t="array" ref="EI11">IF(EI$2="FY",SUMPRODUCT(Data_Nhập[Tổng Nhập-NX]*(Data_Nhập[Year]=EI$1)*(Data_Nhập[Main SKU name_GOM]=$A11)*(Data_Nhập[SKU name_NHẬP_GOM]=EI$3)),SUMPRODUCT(Data_Nhập[Tổng Nhập-NX]*(Data_Nhập[Year]=EI$1)*(Data_Nhập[Month]=EI$2)*(Data_Nhập[Main SKU name_GOM]=$A11)*(Data_Nhập[SKU name_NHẬP_GOM]=EI$3)))</f>
        <v>0</v>
      </c>
      <c r="EJ11" s="24" cm="1">
        <f t="array" ref="EJ11">IF(EJ$2="FY",SUMPRODUCT(Data_Nhập[Tổng Nhập-NX]*(Data_Nhập[Year]=EJ$1)*(Data_Nhập[Main SKU name_GOM]=$A11)*(Data_Nhập[SKU name_NHẬP_GOM]=EJ$3)),SUMPRODUCT(Data_Nhập[Tổng Nhập-NX]*(Data_Nhập[Year]=EJ$1)*(Data_Nhập[Month]=EJ$2)*(Data_Nhập[Main SKU name_GOM]=$A11)*(Data_Nhập[SKU name_NHẬP_GOM]=EJ$3)))</f>
        <v>0</v>
      </c>
      <c r="EK11" s="24" cm="1">
        <f t="array" ref="EK11">IF(EK$2="FY",SUMPRODUCT(Data_Nhập[Tổng Nhập-NX]*(Data_Nhập[Year]=EK$1)*(Data_Nhập[Main SKU name_GOM]=$A11)*(Data_Nhập[SKU name_NHẬP_GOM]=EK$3)),SUMPRODUCT(Data_Nhập[Tổng Nhập-NX]*(Data_Nhập[Year]=EK$1)*(Data_Nhập[Month]=EK$2)*(Data_Nhập[Main SKU name_GOM]=$A11)*(Data_Nhập[SKU name_NHẬP_GOM]=EK$3)))</f>
        <v>0</v>
      </c>
      <c r="EL11" s="24" cm="1">
        <f t="array" ref="EL11">IF(EL$2="FY",SUMPRODUCT(Data_Nhập[Tổng Nhập-NX]*(Data_Nhập[Year]=EL$1)*(Data_Nhập[Main SKU name_GOM]=$A11)*(Data_Nhập[SKU name_NHẬP_GOM]=EL$3)),SUMPRODUCT(Data_Nhập[Tổng Nhập-NX]*(Data_Nhập[Year]=EL$1)*(Data_Nhập[Month]=EL$2)*(Data_Nhập[Main SKU name_GOM]=$A11)*(Data_Nhập[SKU name_NHẬP_GOM]=EL$3)))</f>
        <v>0</v>
      </c>
      <c r="EM11" s="24" cm="1">
        <f t="array" ref="EM11">IF(EM$2="FY",SUMPRODUCT(Data_Nhập[Tổng Nhập-NX]*(Data_Nhập[Year]=EM$1)*(Data_Nhập[Main SKU name_GOM]=$A11)*(Data_Nhập[SKU name_NHẬP_GOM]=EM$3)),SUMPRODUCT(Data_Nhập[Tổng Nhập-NX]*(Data_Nhập[Year]=EM$1)*(Data_Nhập[Month]=EM$2)*(Data_Nhập[Main SKU name_GOM]=$A11)*(Data_Nhập[SKU name_NHẬP_GOM]=EM$3)))</f>
        <v>0</v>
      </c>
      <c r="EN11" s="24" cm="1">
        <f t="array" ref="EN11">IF(EN$2="FY",SUMPRODUCT(Data_Nhập[Tổng Nhập-NX]*(Data_Nhập[Year]=EN$1)*(Data_Nhập[Main SKU name_GOM]=$A11)*(Data_Nhập[SKU name_NHẬP_GOM]=EN$3)),SUMPRODUCT(Data_Nhập[Tổng Nhập-NX]*(Data_Nhập[Year]=EN$1)*(Data_Nhập[Month]=EN$2)*(Data_Nhập[Main SKU name_GOM]=$A11)*(Data_Nhập[SKU name_NHẬP_GOM]=EN$3)))</f>
        <v>0</v>
      </c>
      <c r="EO11" s="24" cm="1">
        <f t="array" ref="EO11">IF(EO$2="FY",SUMPRODUCT(Data_Nhập[Tổng Nhập-NX]*(Data_Nhập[Year]=EO$1)*(Data_Nhập[Main SKU name_GOM]=$A11)*(Data_Nhập[SKU name_NHẬP_GOM]=EO$3)),SUMPRODUCT(Data_Nhập[Tổng Nhập-NX]*(Data_Nhập[Year]=EO$1)*(Data_Nhập[Month]=EO$2)*(Data_Nhập[Main SKU name_GOM]=$A11)*(Data_Nhập[SKU name_NHẬP_GOM]=EO$3)))</f>
        <v>0</v>
      </c>
      <c r="EP11" s="25">
        <f t="shared" si="19"/>
        <v>0</v>
      </c>
      <c r="ER11" s="25" cm="1">
        <f t="array" ref="ER11">IF(ER$2="FY",SUMPRODUCT(Data_Xuất[Xuất-NX]*(Data_Xuất[Year]=ER$1)*(Data_Xuất[Main SKU name_GOM]=$A11)),SUMPRODUCT(Data_Xuất[Xuất-NX]*(Data_Xuất[Year]=ER$1)*(Data_Xuất[Main SKU name_GOM]=$A11)*(Data_Xuất[Month]=ER$2)))</f>
        <v>0</v>
      </c>
      <c r="ES11" s="24" cm="1">
        <f t="array" ref="ES11">IF(ES$2="FY",SUMPRODUCT(Data_Nhập[Tổng Nhập-NX]*(Data_Nhập[Year]=ES$1)*(Data_Nhập[Main SKU name_GOM]=$A11)*(Data_Nhập[SKU name_NHẬP_GOM]=ES$3)),SUMPRODUCT(Data_Nhập[Tổng Nhập-NX]*(Data_Nhập[Year]=ES$1)*(Data_Nhập[Month]=ES$2)*(Data_Nhập[Main SKU name_GOM]=$A11)*(Data_Nhập[SKU name_NHẬP_GOM]=ES$3)))</f>
        <v>0</v>
      </c>
      <c r="ET11" s="24" cm="1">
        <f t="array" ref="ET11">IF(ET$2="FY",SUMPRODUCT(Data_Nhập[Tổng Nhập-NX]*(Data_Nhập[Year]=ET$1)*(Data_Nhập[Main SKU name_GOM]=$A11)*(Data_Nhập[SKU name_NHẬP_GOM]=ET$3)),SUMPRODUCT(Data_Nhập[Tổng Nhập-NX]*(Data_Nhập[Year]=ET$1)*(Data_Nhập[Month]=ET$2)*(Data_Nhập[Main SKU name_GOM]=$A11)*(Data_Nhập[SKU name_NHẬP_GOM]=ET$3)))</f>
        <v>0</v>
      </c>
      <c r="EU11" s="24" cm="1">
        <f t="array" ref="EU11">IF(EU$2="FY",SUMPRODUCT(Data_Nhập[Tổng Nhập-NX]*(Data_Nhập[Year]=EU$1)*(Data_Nhập[Main SKU name_GOM]=$A11)*(Data_Nhập[SKU name_NHẬP_GOM]=EU$3)),SUMPRODUCT(Data_Nhập[Tổng Nhập-NX]*(Data_Nhập[Year]=EU$1)*(Data_Nhập[Month]=EU$2)*(Data_Nhập[Main SKU name_GOM]=$A11)*(Data_Nhập[SKU name_NHẬP_GOM]=EU$3)))</f>
        <v>0</v>
      </c>
      <c r="EV11" s="24" cm="1">
        <f t="array" ref="EV11">IF(EV$2="FY",SUMPRODUCT(Data_Nhập[Tổng Nhập-NX]*(Data_Nhập[Year]=EV$1)*(Data_Nhập[Main SKU name_GOM]=$A11)*(Data_Nhập[SKU name_NHẬP_GOM]=EV$3)),SUMPRODUCT(Data_Nhập[Tổng Nhập-NX]*(Data_Nhập[Year]=EV$1)*(Data_Nhập[Month]=EV$2)*(Data_Nhập[Main SKU name_GOM]=$A11)*(Data_Nhập[SKU name_NHẬP_GOM]=EV$3)))</f>
        <v>0</v>
      </c>
      <c r="EW11" s="24" cm="1">
        <f t="array" ref="EW11">IF(EW$2="FY",SUMPRODUCT(Data_Nhập[Tổng Nhập-NX]*(Data_Nhập[Year]=EW$1)*(Data_Nhập[Main SKU name_GOM]=$A11)*(Data_Nhập[SKU name_NHẬP_GOM]=EW$3)),SUMPRODUCT(Data_Nhập[Tổng Nhập-NX]*(Data_Nhập[Year]=EW$1)*(Data_Nhập[Month]=EW$2)*(Data_Nhập[Main SKU name_GOM]=$A11)*(Data_Nhập[SKU name_NHẬP_GOM]=EW$3)))</f>
        <v>0</v>
      </c>
      <c r="EX11" s="24" cm="1">
        <f t="array" ref="EX11">IF(EX$2="FY",SUMPRODUCT(Data_Nhập[Tổng Nhập-NX]*(Data_Nhập[Year]=EX$1)*(Data_Nhập[Main SKU name_GOM]=$A11)*(Data_Nhập[SKU name_NHẬP_GOM]=EX$3)),SUMPRODUCT(Data_Nhập[Tổng Nhập-NX]*(Data_Nhập[Year]=EX$1)*(Data_Nhập[Month]=EX$2)*(Data_Nhập[Main SKU name_GOM]=$A11)*(Data_Nhập[SKU name_NHẬP_GOM]=EX$3)))</f>
        <v>0</v>
      </c>
      <c r="EY11" s="24" cm="1">
        <f t="array" ref="EY11">IF(EY$2="FY",SUMPRODUCT(Data_Nhập[Tổng Nhập-NX]*(Data_Nhập[Year]=EY$1)*(Data_Nhập[Main SKU name_GOM]=$A11)*(Data_Nhập[SKU name_NHẬP_GOM]=EY$3)),SUMPRODUCT(Data_Nhập[Tổng Nhập-NX]*(Data_Nhập[Year]=EY$1)*(Data_Nhập[Month]=EY$2)*(Data_Nhập[Main SKU name_GOM]=$A11)*(Data_Nhập[SKU name_NHẬP_GOM]=EY$3)))</f>
        <v>0</v>
      </c>
      <c r="EZ11" s="24" cm="1">
        <f t="array" ref="EZ11">IF(EZ$2="FY",SUMPRODUCT(Data_Nhập[Tổng Nhập-NX]*(Data_Nhập[Year]=EZ$1)*(Data_Nhập[Main SKU name_GOM]=$A11)*(Data_Nhập[SKU name_NHẬP_GOM]=EZ$3)),SUMPRODUCT(Data_Nhập[Tổng Nhập-NX]*(Data_Nhập[Year]=EZ$1)*(Data_Nhập[Month]=EZ$2)*(Data_Nhập[Main SKU name_GOM]=$A11)*(Data_Nhập[SKU name_NHẬP_GOM]=EZ$3)))</f>
        <v>0</v>
      </c>
      <c r="FA11" s="24" cm="1">
        <f t="array" ref="FA11">IF(FA$2="FY",SUMPRODUCT(Data_Nhập[Tổng Nhập-NX]*(Data_Nhập[Year]=FA$1)*(Data_Nhập[Main SKU name_GOM]=$A11)*(Data_Nhập[SKU name_NHẬP_GOM]=FA$3)),SUMPRODUCT(Data_Nhập[Tổng Nhập-NX]*(Data_Nhập[Year]=FA$1)*(Data_Nhập[Month]=FA$2)*(Data_Nhập[Main SKU name_GOM]=$A11)*(Data_Nhập[SKU name_NHẬP_GOM]=FA$3)))</f>
        <v>0</v>
      </c>
      <c r="FB11" s="24" cm="1">
        <f t="array" ref="FB11">IF(FB$2="FY",SUMPRODUCT(Data_Nhập[Tổng Nhập-NX]*(Data_Nhập[Year]=FB$1)*(Data_Nhập[Main SKU name_GOM]=$A11)*(Data_Nhập[SKU name_NHẬP_GOM]=FB$3)),SUMPRODUCT(Data_Nhập[Tổng Nhập-NX]*(Data_Nhập[Year]=FB$1)*(Data_Nhập[Month]=FB$2)*(Data_Nhập[Main SKU name_GOM]=$A11)*(Data_Nhập[SKU name_NHẬP_GOM]=FB$3)))</f>
        <v>0</v>
      </c>
      <c r="FC11" s="24" cm="1">
        <f t="array" ref="FC11">IF(FC$2="FY",SUMPRODUCT(Data_Nhập[Tổng Nhập-NX]*(Data_Nhập[Year]=FC$1)*(Data_Nhập[Main SKU name_GOM]=$A11)*(Data_Nhập[SKU name_NHẬP_GOM]=FC$3)),SUMPRODUCT(Data_Nhập[Tổng Nhập-NX]*(Data_Nhập[Year]=FC$1)*(Data_Nhập[Month]=FC$2)*(Data_Nhập[Main SKU name_GOM]=$A11)*(Data_Nhập[SKU name_NHẬP_GOM]=FC$3)))</f>
        <v>0</v>
      </c>
      <c r="FD11" s="24" cm="1">
        <f t="array" ref="FD11">IF(FD$2="FY",SUMPRODUCT(Data_Nhập[Tổng Nhập-NX]*(Data_Nhập[Year]=FD$1)*(Data_Nhập[Main SKU name_GOM]=$A11)*(Data_Nhập[SKU name_NHẬP_GOM]=FD$3)),SUMPRODUCT(Data_Nhập[Tổng Nhập-NX]*(Data_Nhập[Year]=FD$1)*(Data_Nhập[Month]=FD$2)*(Data_Nhập[Main SKU name_GOM]=$A11)*(Data_Nhập[SKU name_NHẬP_GOM]=FD$3)))</f>
        <v>0</v>
      </c>
      <c r="FE11" s="24" cm="1">
        <f t="array" ref="FE11">IF(FE$2="FY",SUMPRODUCT(Data_Nhập[Tổng Nhập-NX]*(Data_Nhập[Year]=FE$1)*(Data_Nhập[Main SKU name_GOM]=$A11)*(Data_Nhập[SKU name_NHẬP_GOM]=FE$3)),SUMPRODUCT(Data_Nhập[Tổng Nhập-NX]*(Data_Nhập[Year]=FE$1)*(Data_Nhập[Month]=FE$2)*(Data_Nhập[Main SKU name_GOM]=$A11)*(Data_Nhập[SKU name_NHẬP_GOM]=FE$3)))</f>
        <v>0</v>
      </c>
      <c r="FF11" s="24" cm="1">
        <f t="array" ref="FF11">IF(FF$2="FY",SUMPRODUCT(Data_Nhập[Tổng Nhập-NX]*(Data_Nhập[Year]=FF$1)*(Data_Nhập[Main SKU name_GOM]=$A11)*(Data_Nhập[SKU name_NHẬP_GOM]=FF$3)),SUMPRODUCT(Data_Nhập[Tổng Nhập-NX]*(Data_Nhập[Year]=FF$1)*(Data_Nhập[Month]=FF$2)*(Data_Nhập[Main SKU name_GOM]=$A11)*(Data_Nhập[SKU name_NHẬP_GOM]=FF$3)))</f>
        <v>0</v>
      </c>
      <c r="FG11" s="24" cm="1">
        <f t="array" ref="FG11">IF(FG$2="FY",SUMPRODUCT(Data_Nhập[Tổng Nhập-NX]*(Data_Nhập[Year]=FG$1)*(Data_Nhập[Main SKU name_GOM]=$A11)*(Data_Nhập[SKU name_NHẬP_GOM]=FG$3)),SUMPRODUCT(Data_Nhập[Tổng Nhập-NX]*(Data_Nhập[Year]=FG$1)*(Data_Nhập[Month]=FG$2)*(Data_Nhập[Main SKU name_GOM]=$A11)*(Data_Nhập[SKU name_NHẬP_GOM]=FG$3)))</f>
        <v>0</v>
      </c>
      <c r="FH11" s="25">
        <f t="shared" si="20"/>
        <v>0</v>
      </c>
      <c r="FJ11" s="25" cm="1">
        <f t="array" ref="FJ11">IF(FJ$2="FY",SUMPRODUCT(Data_Xuất[Xuất-NX]*(Data_Xuất[Year]=FJ$1)*(Data_Xuất[Main SKU name_GOM]=$A11)),SUMPRODUCT(Data_Xuất[Xuất-NX]*(Data_Xuất[Year]=FJ$1)*(Data_Xuất[Main SKU name_GOM]=$A11)*(Data_Xuất[Month]=FJ$2)))</f>
        <v>0</v>
      </c>
      <c r="FK11" s="24" cm="1">
        <f t="array" ref="FK11">IF(FK$2="FY",SUMPRODUCT(Data_Nhập[Tổng Nhập-NX]*(Data_Nhập[Year]=FK$1)*(Data_Nhập[Main SKU name_GOM]=$A11)*(Data_Nhập[SKU name_NHẬP_GOM]=FK$3)),SUMPRODUCT(Data_Nhập[Tổng Nhập-NX]*(Data_Nhập[Year]=FK$1)*(Data_Nhập[Month]=FK$2)*(Data_Nhập[Main SKU name_GOM]=$A11)*(Data_Nhập[SKU name_NHẬP_GOM]=FK$3)))</f>
        <v>0</v>
      </c>
      <c r="FL11" s="24" cm="1">
        <f t="array" ref="FL11">IF(FL$2="FY",SUMPRODUCT(Data_Nhập[Tổng Nhập-NX]*(Data_Nhập[Year]=FL$1)*(Data_Nhập[Main SKU name_GOM]=$A11)*(Data_Nhập[SKU name_NHẬP_GOM]=FL$3)),SUMPRODUCT(Data_Nhập[Tổng Nhập-NX]*(Data_Nhập[Year]=FL$1)*(Data_Nhập[Month]=FL$2)*(Data_Nhập[Main SKU name_GOM]=$A11)*(Data_Nhập[SKU name_NHẬP_GOM]=FL$3)))</f>
        <v>0</v>
      </c>
      <c r="FM11" s="24" cm="1">
        <f t="array" ref="FM11">IF(FM$2="FY",SUMPRODUCT(Data_Nhập[Tổng Nhập-NX]*(Data_Nhập[Year]=FM$1)*(Data_Nhập[Main SKU name_GOM]=$A11)*(Data_Nhập[SKU name_NHẬP_GOM]=FM$3)),SUMPRODUCT(Data_Nhập[Tổng Nhập-NX]*(Data_Nhập[Year]=FM$1)*(Data_Nhập[Month]=FM$2)*(Data_Nhập[Main SKU name_GOM]=$A11)*(Data_Nhập[SKU name_NHẬP_GOM]=FM$3)))</f>
        <v>0</v>
      </c>
      <c r="FN11" s="24" cm="1">
        <f t="array" ref="FN11">IF(FN$2="FY",SUMPRODUCT(Data_Nhập[Tổng Nhập-NX]*(Data_Nhập[Year]=FN$1)*(Data_Nhập[Main SKU name_GOM]=$A11)*(Data_Nhập[SKU name_NHẬP_GOM]=FN$3)),SUMPRODUCT(Data_Nhập[Tổng Nhập-NX]*(Data_Nhập[Year]=FN$1)*(Data_Nhập[Month]=FN$2)*(Data_Nhập[Main SKU name_GOM]=$A11)*(Data_Nhập[SKU name_NHẬP_GOM]=FN$3)))</f>
        <v>0</v>
      </c>
      <c r="FO11" s="24" cm="1">
        <f t="array" ref="FO11">IF(FO$2="FY",SUMPRODUCT(Data_Nhập[Tổng Nhập-NX]*(Data_Nhập[Year]=FO$1)*(Data_Nhập[Main SKU name_GOM]=$A11)*(Data_Nhập[SKU name_NHẬP_GOM]=FO$3)),SUMPRODUCT(Data_Nhập[Tổng Nhập-NX]*(Data_Nhập[Year]=FO$1)*(Data_Nhập[Month]=FO$2)*(Data_Nhập[Main SKU name_GOM]=$A11)*(Data_Nhập[SKU name_NHẬP_GOM]=FO$3)))</f>
        <v>0</v>
      </c>
      <c r="FP11" s="24" cm="1">
        <f t="array" ref="FP11">IF(FP$2="FY",SUMPRODUCT(Data_Nhập[Tổng Nhập-NX]*(Data_Nhập[Year]=FP$1)*(Data_Nhập[Main SKU name_GOM]=$A11)*(Data_Nhập[SKU name_NHẬP_GOM]=FP$3)),SUMPRODUCT(Data_Nhập[Tổng Nhập-NX]*(Data_Nhập[Year]=FP$1)*(Data_Nhập[Month]=FP$2)*(Data_Nhập[Main SKU name_GOM]=$A11)*(Data_Nhập[SKU name_NHẬP_GOM]=FP$3)))</f>
        <v>0</v>
      </c>
      <c r="FQ11" s="24" cm="1">
        <f t="array" ref="FQ11">IF(FQ$2="FY",SUMPRODUCT(Data_Nhập[Tổng Nhập-NX]*(Data_Nhập[Year]=FQ$1)*(Data_Nhập[Main SKU name_GOM]=$A11)*(Data_Nhập[SKU name_NHẬP_GOM]=FQ$3)),SUMPRODUCT(Data_Nhập[Tổng Nhập-NX]*(Data_Nhập[Year]=FQ$1)*(Data_Nhập[Month]=FQ$2)*(Data_Nhập[Main SKU name_GOM]=$A11)*(Data_Nhập[SKU name_NHẬP_GOM]=FQ$3)))</f>
        <v>0</v>
      </c>
      <c r="FR11" s="24" cm="1">
        <f t="array" ref="FR11">IF(FR$2="FY",SUMPRODUCT(Data_Nhập[Tổng Nhập-NX]*(Data_Nhập[Year]=FR$1)*(Data_Nhập[Main SKU name_GOM]=$A11)*(Data_Nhập[SKU name_NHẬP_GOM]=FR$3)),SUMPRODUCT(Data_Nhập[Tổng Nhập-NX]*(Data_Nhập[Year]=FR$1)*(Data_Nhập[Month]=FR$2)*(Data_Nhập[Main SKU name_GOM]=$A11)*(Data_Nhập[SKU name_NHẬP_GOM]=FR$3)))</f>
        <v>0</v>
      </c>
      <c r="FS11" s="24" cm="1">
        <f t="array" ref="FS11">IF(FS$2="FY",SUMPRODUCT(Data_Nhập[Tổng Nhập-NX]*(Data_Nhập[Year]=FS$1)*(Data_Nhập[Main SKU name_GOM]=$A11)*(Data_Nhập[SKU name_NHẬP_GOM]=FS$3)),SUMPRODUCT(Data_Nhập[Tổng Nhập-NX]*(Data_Nhập[Year]=FS$1)*(Data_Nhập[Month]=FS$2)*(Data_Nhập[Main SKU name_GOM]=$A11)*(Data_Nhập[SKU name_NHẬP_GOM]=FS$3)))</f>
        <v>0</v>
      </c>
      <c r="FT11" s="24" cm="1">
        <f t="array" ref="FT11">IF(FT$2="FY",SUMPRODUCT(Data_Nhập[Tổng Nhập-NX]*(Data_Nhập[Year]=FT$1)*(Data_Nhập[Main SKU name_GOM]=$A11)*(Data_Nhập[SKU name_NHẬP_GOM]=FT$3)),SUMPRODUCT(Data_Nhập[Tổng Nhập-NX]*(Data_Nhập[Year]=FT$1)*(Data_Nhập[Month]=FT$2)*(Data_Nhập[Main SKU name_GOM]=$A11)*(Data_Nhập[SKU name_NHẬP_GOM]=FT$3)))</f>
        <v>0</v>
      </c>
      <c r="FU11" s="24" cm="1">
        <f t="array" ref="FU11">IF(FU$2="FY",SUMPRODUCT(Data_Nhập[Tổng Nhập-NX]*(Data_Nhập[Year]=FU$1)*(Data_Nhập[Main SKU name_GOM]=$A11)*(Data_Nhập[SKU name_NHẬP_GOM]=FU$3)),SUMPRODUCT(Data_Nhập[Tổng Nhập-NX]*(Data_Nhập[Year]=FU$1)*(Data_Nhập[Month]=FU$2)*(Data_Nhập[Main SKU name_GOM]=$A11)*(Data_Nhập[SKU name_NHẬP_GOM]=FU$3)))</f>
        <v>0</v>
      </c>
      <c r="FV11" s="24" cm="1">
        <f t="array" ref="FV11">IF(FV$2="FY",SUMPRODUCT(Data_Nhập[Tổng Nhập-NX]*(Data_Nhập[Year]=FV$1)*(Data_Nhập[Main SKU name_GOM]=$A11)*(Data_Nhập[SKU name_NHẬP_GOM]=FV$3)),SUMPRODUCT(Data_Nhập[Tổng Nhập-NX]*(Data_Nhập[Year]=FV$1)*(Data_Nhập[Month]=FV$2)*(Data_Nhập[Main SKU name_GOM]=$A11)*(Data_Nhập[SKU name_NHẬP_GOM]=FV$3)))</f>
        <v>0</v>
      </c>
      <c r="FW11" s="24" cm="1">
        <f t="array" ref="FW11">IF(FW$2="FY",SUMPRODUCT(Data_Nhập[Tổng Nhập-NX]*(Data_Nhập[Year]=FW$1)*(Data_Nhập[Main SKU name_GOM]=$A11)*(Data_Nhập[SKU name_NHẬP_GOM]=FW$3)),SUMPRODUCT(Data_Nhập[Tổng Nhập-NX]*(Data_Nhập[Year]=FW$1)*(Data_Nhập[Month]=FW$2)*(Data_Nhập[Main SKU name_GOM]=$A11)*(Data_Nhập[SKU name_NHẬP_GOM]=FW$3)))</f>
        <v>0</v>
      </c>
      <c r="FX11" s="24" cm="1">
        <f t="array" ref="FX11">IF(FX$2="FY",SUMPRODUCT(Data_Nhập[Tổng Nhập-NX]*(Data_Nhập[Year]=FX$1)*(Data_Nhập[Main SKU name_GOM]=$A11)*(Data_Nhập[SKU name_NHẬP_GOM]=FX$3)),SUMPRODUCT(Data_Nhập[Tổng Nhập-NX]*(Data_Nhập[Year]=FX$1)*(Data_Nhập[Month]=FX$2)*(Data_Nhập[Main SKU name_GOM]=$A11)*(Data_Nhập[SKU name_NHẬP_GOM]=FX$3)))</f>
        <v>0</v>
      </c>
      <c r="FY11" s="24" cm="1">
        <f t="array" ref="FY11">IF(FY$2="FY",SUMPRODUCT(Data_Nhập[Tổng Nhập-NX]*(Data_Nhập[Year]=FY$1)*(Data_Nhập[Main SKU name_GOM]=$A11)*(Data_Nhập[SKU name_NHẬP_GOM]=FY$3)),SUMPRODUCT(Data_Nhập[Tổng Nhập-NX]*(Data_Nhập[Year]=FY$1)*(Data_Nhập[Month]=FY$2)*(Data_Nhập[Main SKU name_GOM]=$A11)*(Data_Nhập[SKU name_NHẬP_GOM]=FY$3)))</f>
        <v>0</v>
      </c>
      <c r="FZ11" s="25">
        <f t="shared" si="21"/>
        <v>0</v>
      </c>
      <c r="GB11" s="25" cm="1">
        <f t="array" ref="GB11">IF(GB$2="FY",SUMPRODUCT(Data_Xuất[Xuất-NX]*(Data_Xuất[Year]=GB$1)*(Data_Xuất[Main SKU name_GOM]=$A11)),SUMPRODUCT(Data_Xuất[Xuất-NX]*(Data_Xuất[Year]=GB$1)*(Data_Xuất[Main SKU name_GOM]=$A11)*(Data_Xuất[Month]=GB$2)))</f>
        <v>0</v>
      </c>
      <c r="GC11" s="24" cm="1">
        <f t="array" ref="GC11">IF(GC$2="FY",SUMPRODUCT(Data_Nhập[Tổng Nhập-NX]*(Data_Nhập[Year]=GC$1)*(Data_Nhập[Main SKU name_GOM]=$A11)*(Data_Nhập[SKU name_NHẬP_GOM]=GC$3)),SUMPRODUCT(Data_Nhập[Tổng Nhập-NX]*(Data_Nhập[Year]=GC$1)*(Data_Nhập[Month]=GC$2)*(Data_Nhập[Main SKU name_GOM]=$A11)*(Data_Nhập[SKU name_NHẬP_GOM]=GC$3)))</f>
        <v>0</v>
      </c>
      <c r="GD11" s="24" cm="1">
        <f t="array" ref="GD11">IF(GD$2="FY",SUMPRODUCT(Data_Nhập[Tổng Nhập-NX]*(Data_Nhập[Year]=GD$1)*(Data_Nhập[Main SKU name_GOM]=$A11)*(Data_Nhập[SKU name_NHẬP_GOM]=GD$3)),SUMPRODUCT(Data_Nhập[Tổng Nhập-NX]*(Data_Nhập[Year]=GD$1)*(Data_Nhập[Month]=GD$2)*(Data_Nhập[Main SKU name_GOM]=$A11)*(Data_Nhập[SKU name_NHẬP_GOM]=GD$3)))</f>
        <v>0</v>
      </c>
      <c r="GE11" s="24" cm="1">
        <f t="array" ref="GE11">IF(GE$2="FY",SUMPRODUCT(Data_Nhập[Tổng Nhập-NX]*(Data_Nhập[Year]=GE$1)*(Data_Nhập[Main SKU name_GOM]=$A11)*(Data_Nhập[SKU name_NHẬP_GOM]=GE$3)),SUMPRODUCT(Data_Nhập[Tổng Nhập-NX]*(Data_Nhập[Year]=GE$1)*(Data_Nhập[Month]=GE$2)*(Data_Nhập[Main SKU name_GOM]=$A11)*(Data_Nhập[SKU name_NHẬP_GOM]=GE$3)))</f>
        <v>0</v>
      </c>
      <c r="GF11" s="24" cm="1">
        <f t="array" ref="GF11">IF(GF$2="FY",SUMPRODUCT(Data_Nhập[Tổng Nhập-NX]*(Data_Nhập[Year]=GF$1)*(Data_Nhập[Main SKU name_GOM]=$A11)*(Data_Nhập[SKU name_NHẬP_GOM]=GF$3)),SUMPRODUCT(Data_Nhập[Tổng Nhập-NX]*(Data_Nhập[Year]=GF$1)*(Data_Nhập[Month]=GF$2)*(Data_Nhập[Main SKU name_GOM]=$A11)*(Data_Nhập[SKU name_NHẬP_GOM]=GF$3)))</f>
        <v>0</v>
      </c>
      <c r="GG11" s="24" cm="1">
        <f t="array" ref="GG11">IF(GG$2="FY",SUMPRODUCT(Data_Nhập[Tổng Nhập-NX]*(Data_Nhập[Year]=GG$1)*(Data_Nhập[Main SKU name_GOM]=$A11)*(Data_Nhập[SKU name_NHẬP_GOM]=GG$3)),SUMPRODUCT(Data_Nhập[Tổng Nhập-NX]*(Data_Nhập[Year]=GG$1)*(Data_Nhập[Month]=GG$2)*(Data_Nhập[Main SKU name_GOM]=$A11)*(Data_Nhập[SKU name_NHẬP_GOM]=GG$3)))</f>
        <v>0</v>
      </c>
      <c r="GH11" s="24" cm="1">
        <f t="array" ref="GH11">IF(GH$2="FY",SUMPRODUCT(Data_Nhập[Tổng Nhập-NX]*(Data_Nhập[Year]=GH$1)*(Data_Nhập[Main SKU name_GOM]=$A11)*(Data_Nhập[SKU name_NHẬP_GOM]=GH$3)),SUMPRODUCT(Data_Nhập[Tổng Nhập-NX]*(Data_Nhập[Year]=GH$1)*(Data_Nhập[Month]=GH$2)*(Data_Nhập[Main SKU name_GOM]=$A11)*(Data_Nhập[SKU name_NHẬP_GOM]=GH$3)))</f>
        <v>0</v>
      </c>
      <c r="GI11" s="24" cm="1">
        <f t="array" ref="GI11">IF(GI$2="FY",SUMPRODUCT(Data_Nhập[Tổng Nhập-NX]*(Data_Nhập[Year]=GI$1)*(Data_Nhập[Main SKU name_GOM]=$A11)*(Data_Nhập[SKU name_NHẬP_GOM]=GI$3)),SUMPRODUCT(Data_Nhập[Tổng Nhập-NX]*(Data_Nhập[Year]=GI$1)*(Data_Nhập[Month]=GI$2)*(Data_Nhập[Main SKU name_GOM]=$A11)*(Data_Nhập[SKU name_NHẬP_GOM]=GI$3)))</f>
        <v>0</v>
      </c>
      <c r="GJ11" s="24" cm="1">
        <f t="array" ref="GJ11">IF(GJ$2="FY",SUMPRODUCT(Data_Nhập[Tổng Nhập-NX]*(Data_Nhập[Year]=GJ$1)*(Data_Nhập[Main SKU name_GOM]=$A11)*(Data_Nhập[SKU name_NHẬP_GOM]=GJ$3)),SUMPRODUCT(Data_Nhập[Tổng Nhập-NX]*(Data_Nhập[Year]=GJ$1)*(Data_Nhập[Month]=GJ$2)*(Data_Nhập[Main SKU name_GOM]=$A11)*(Data_Nhập[SKU name_NHẬP_GOM]=GJ$3)))</f>
        <v>0</v>
      </c>
      <c r="GK11" s="24" cm="1">
        <f t="array" ref="GK11">IF(GK$2="FY",SUMPRODUCT(Data_Nhập[Tổng Nhập-NX]*(Data_Nhập[Year]=GK$1)*(Data_Nhập[Main SKU name_GOM]=$A11)*(Data_Nhập[SKU name_NHẬP_GOM]=GK$3)),SUMPRODUCT(Data_Nhập[Tổng Nhập-NX]*(Data_Nhập[Year]=GK$1)*(Data_Nhập[Month]=GK$2)*(Data_Nhập[Main SKU name_GOM]=$A11)*(Data_Nhập[SKU name_NHẬP_GOM]=GK$3)))</f>
        <v>0</v>
      </c>
      <c r="GL11" s="24" cm="1">
        <f t="array" ref="GL11">IF(GL$2="FY",SUMPRODUCT(Data_Nhập[Tổng Nhập-NX]*(Data_Nhập[Year]=GL$1)*(Data_Nhập[Main SKU name_GOM]=$A11)*(Data_Nhập[SKU name_NHẬP_GOM]=GL$3)),SUMPRODUCT(Data_Nhập[Tổng Nhập-NX]*(Data_Nhập[Year]=GL$1)*(Data_Nhập[Month]=GL$2)*(Data_Nhập[Main SKU name_GOM]=$A11)*(Data_Nhập[SKU name_NHẬP_GOM]=GL$3)))</f>
        <v>0</v>
      </c>
      <c r="GM11" s="24" cm="1">
        <f t="array" ref="GM11">IF(GM$2="FY",SUMPRODUCT(Data_Nhập[Tổng Nhập-NX]*(Data_Nhập[Year]=GM$1)*(Data_Nhập[Main SKU name_GOM]=$A11)*(Data_Nhập[SKU name_NHẬP_GOM]=GM$3)),SUMPRODUCT(Data_Nhập[Tổng Nhập-NX]*(Data_Nhập[Year]=GM$1)*(Data_Nhập[Month]=GM$2)*(Data_Nhập[Main SKU name_GOM]=$A11)*(Data_Nhập[SKU name_NHẬP_GOM]=GM$3)))</f>
        <v>0</v>
      </c>
      <c r="GN11" s="24" cm="1">
        <f t="array" ref="GN11">IF(GN$2="FY",SUMPRODUCT(Data_Nhập[Tổng Nhập-NX]*(Data_Nhập[Year]=GN$1)*(Data_Nhập[Main SKU name_GOM]=$A11)*(Data_Nhập[SKU name_NHẬP_GOM]=GN$3)),SUMPRODUCT(Data_Nhập[Tổng Nhập-NX]*(Data_Nhập[Year]=GN$1)*(Data_Nhập[Month]=GN$2)*(Data_Nhập[Main SKU name_GOM]=$A11)*(Data_Nhập[SKU name_NHẬP_GOM]=GN$3)))</f>
        <v>0</v>
      </c>
      <c r="GO11" s="24" cm="1">
        <f t="array" ref="GO11">IF(GO$2="FY",SUMPRODUCT(Data_Nhập[Tổng Nhập-NX]*(Data_Nhập[Year]=GO$1)*(Data_Nhập[Main SKU name_GOM]=$A11)*(Data_Nhập[SKU name_NHẬP_GOM]=GO$3)),SUMPRODUCT(Data_Nhập[Tổng Nhập-NX]*(Data_Nhập[Year]=GO$1)*(Data_Nhập[Month]=GO$2)*(Data_Nhập[Main SKU name_GOM]=$A11)*(Data_Nhập[SKU name_NHẬP_GOM]=GO$3)))</f>
        <v>0</v>
      </c>
      <c r="GP11" s="24" cm="1">
        <f t="array" ref="GP11">IF(GP$2="FY",SUMPRODUCT(Data_Nhập[Tổng Nhập-NX]*(Data_Nhập[Year]=GP$1)*(Data_Nhập[Main SKU name_GOM]=$A11)*(Data_Nhập[SKU name_NHẬP_GOM]=GP$3)),SUMPRODUCT(Data_Nhập[Tổng Nhập-NX]*(Data_Nhập[Year]=GP$1)*(Data_Nhập[Month]=GP$2)*(Data_Nhập[Main SKU name_GOM]=$A11)*(Data_Nhập[SKU name_NHẬP_GOM]=GP$3)))</f>
        <v>0</v>
      </c>
      <c r="GQ11" s="24" cm="1">
        <f t="array" ref="GQ11">IF(GQ$2="FY",SUMPRODUCT(Data_Nhập[Tổng Nhập-NX]*(Data_Nhập[Year]=GQ$1)*(Data_Nhập[Main SKU name_GOM]=$A11)*(Data_Nhập[SKU name_NHẬP_GOM]=GQ$3)),SUMPRODUCT(Data_Nhập[Tổng Nhập-NX]*(Data_Nhập[Year]=GQ$1)*(Data_Nhập[Month]=GQ$2)*(Data_Nhập[Main SKU name_GOM]=$A11)*(Data_Nhập[SKU name_NHẬP_GOM]=GQ$3)))</f>
        <v>0</v>
      </c>
      <c r="GR11" s="25">
        <f t="shared" si="22"/>
        <v>0</v>
      </c>
      <c r="GT11" s="25" cm="1">
        <f t="array" ref="GT11">IF(GT$2="FY",SUMPRODUCT(Data_Xuất[Xuất-NX]*(Data_Xuất[Year]=GT$1)*(Data_Xuất[Main SKU name_GOM]=$A11)),SUMPRODUCT(Data_Xuất[Xuất-NX]*(Data_Xuất[Year]=GT$1)*(Data_Xuất[Main SKU name_GOM]=$A11)*(Data_Xuất[Month]=GT$2)))</f>
        <v>0</v>
      </c>
      <c r="GU11" s="24" cm="1">
        <f t="array" ref="GU11">IF(GU$2="FY",SUMPRODUCT(Data_Nhập[Tổng Nhập-NX]*(Data_Nhập[Year]=GU$1)*(Data_Nhập[Main SKU name_GOM]=$A11)*(Data_Nhập[SKU name_NHẬP_GOM]=GU$3)),SUMPRODUCT(Data_Nhập[Tổng Nhập-NX]*(Data_Nhập[Year]=GU$1)*(Data_Nhập[Month]=GU$2)*(Data_Nhập[Main SKU name_GOM]=$A11)*(Data_Nhập[SKU name_NHẬP_GOM]=GU$3)))</f>
        <v>0</v>
      </c>
      <c r="GV11" s="24" cm="1">
        <f t="array" ref="GV11">IF(GV$2="FY",SUMPRODUCT(Data_Nhập[Tổng Nhập-NX]*(Data_Nhập[Year]=GV$1)*(Data_Nhập[Main SKU name_GOM]=$A11)*(Data_Nhập[SKU name_NHẬP_GOM]=GV$3)),SUMPRODUCT(Data_Nhập[Tổng Nhập-NX]*(Data_Nhập[Year]=GV$1)*(Data_Nhập[Month]=GV$2)*(Data_Nhập[Main SKU name_GOM]=$A11)*(Data_Nhập[SKU name_NHẬP_GOM]=GV$3)))</f>
        <v>0</v>
      </c>
      <c r="GW11" s="24" cm="1">
        <f t="array" ref="GW11">IF(GW$2="FY",SUMPRODUCT(Data_Nhập[Tổng Nhập-NX]*(Data_Nhập[Year]=GW$1)*(Data_Nhập[Main SKU name_GOM]=$A11)*(Data_Nhập[SKU name_NHẬP_GOM]=GW$3)),SUMPRODUCT(Data_Nhập[Tổng Nhập-NX]*(Data_Nhập[Year]=GW$1)*(Data_Nhập[Month]=GW$2)*(Data_Nhập[Main SKU name_GOM]=$A11)*(Data_Nhập[SKU name_NHẬP_GOM]=GW$3)))</f>
        <v>0</v>
      </c>
      <c r="GX11" s="24" cm="1">
        <f t="array" ref="GX11">IF(GX$2="FY",SUMPRODUCT(Data_Nhập[Tổng Nhập-NX]*(Data_Nhập[Year]=GX$1)*(Data_Nhập[Main SKU name_GOM]=$A11)*(Data_Nhập[SKU name_NHẬP_GOM]=GX$3)),SUMPRODUCT(Data_Nhập[Tổng Nhập-NX]*(Data_Nhập[Year]=GX$1)*(Data_Nhập[Month]=GX$2)*(Data_Nhập[Main SKU name_GOM]=$A11)*(Data_Nhập[SKU name_NHẬP_GOM]=GX$3)))</f>
        <v>0</v>
      </c>
      <c r="GY11" s="24" cm="1">
        <f t="array" ref="GY11">IF(GY$2="FY",SUMPRODUCT(Data_Nhập[Tổng Nhập-NX]*(Data_Nhập[Year]=GY$1)*(Data_Nhập[Main SKU name_GOM]=$A11)*(Data_Nhập[SKU name_NHẬP_GOM]=GY$3)),SUMPRODUCT(Data_Nhập[Tổng Nhập-NX]*(Data_Nhập[Year]=GY$1)*(Data_Nhập[Month]=GY$2)*(Data_Nhập[Main SKU name_GOM]=$A11)*(Data_Nhập[SKU name_NHẬP_GOM]=GY$3)))</f>
        <v>0</v>
      </c>
      <c r="GZ11" s="24" cm="1">
        <f t="array" ref="GZ11">IF(GZ$2="FY",SUMPRODUCT(Data_Nhập[Tổng Nhập-NX]*(Data_Nhập[Year]=GZ$1)*(Data_Nhập[Main SKU name_GOM]=$A11)*(Data_Nhập[SKU name_NHẬP_GOM]=GZ$3)),SUMPRODUCT(Data_Nhập[Tổng Nhập-NX]*(Data_Nhập[Year]=GZ$1)*(Data_Nhập[Month]=GZ$2)*(Data_Nhập[Main SKU name_GOM]=$A11)*(Data_Nhập[SKU name_NHẬP_GOM]=GZ$3)))</f>
        <v>0</v>
      </c>
      <c r="HA11" s="24" cm="1">
        <f t="array" ref="HA11">IF(HA$2="FY",SUMPRODUCT(Data_Nhập[Tổng Nhập-NX]*(Data_Nhập[Year]=HA$1)*(Data_Nhập[Main SKU name_GOM]=$A11)*(Data_Nhập[SKU name_NHẬP_GOM]=HA$3)),SUMPRODUCT(Data_Nhập[Tổng Nhập-NX]*(Data_Nhập[Year]=HA$1)*(Data_Nhập[Month]=HA$2)*(Data_Nhập[Main SKU name_GOM]=$A11)*(Data_Nhập[SKU name_NHẬP_GOM]=HA$3)))</f>
        <v>0</v>
      </c>
      <c r="HB11" s="24" cm="1">
        <f t="array" ref="HB11">IF(HB$2="FY",SUMPRODUCT(Data_Nhập[Tổng Nhập-NX]*(Data_Nhập[Year]=HB$1)*(Data_Nhập[Main SKU name_GOM]=$A11)*(Data_Nhập[SKU name_NHẬP_GOM]=HB$3)),SUMPRODUCT(Data_Nhập[Tổng Nhập-NX]*(Data_Nhập[Year]=HB$1)*(Data_Nhập[Month]=HB$2)*(Data_Nhập[Main SKU name_GOM]=$A11)*(Data_Nhập[SKU name_NHẬP_GOM]=HB$3)))</f>
        <v>0</v>
      </c>
      <c r="HC11" s="24" cm="1">
        <f t="array" ref="HC11">IF(HC$2="FY",SUMPRODUCT(Data_Nhập[Tổng Nhập-NX]*(Data_Nhập[Year]=HC$1)*(Data_Nhập[Main SKU name_GOM]=$A11)*(Data_Nhập[SKU name_NHẬP_GOM]=HC$3)),SUMPRODUCT(Data_Nhập[Tổng Nhập-NX]*(Data_Nhập[Year]=HC$1)*(Data_Nhập[Month]=HC$2)*(Data_Nhập[Main SKU name_GOM]=$A11)*(Data_Nhập[SKU name_NHẬP_GOM]=HC$3)))</f>
        <v>0</v>
      </c>
      <c r="HD11" s="24" cm="1">
        <f t="array" ref="HD11">IF(HD$2="FY",SUMPRODUCT(Data_Nhập[Tổng Nhập-NX]*(Data_Nhập[Year]=HD$1)*(Data_Nhập[Main SKU name_GOM]=$A11)*(Data_Nhập[SKU name_NHẬP_GOM]=HD$3)),SUMPRODUCT(Data_Nhập[Tổng Nhập-NX]*(Data_Nhập[Year]=HD$1)*(Data_Nhập[Month]=HD$2)*(Data_Nhập[Main SKU name_GOM]=$A11)*(Data_Nhập[SKU name_NHẬP_GOM]=HD$3)))</f>
        <v>0</v>
      </c>
      <c r="HE11" s="24" cm="1">
        <f t="array" ref="HE11">IF(HE$2="FY",SUMPRODUCT(Data_Nhập[Tổng Nhập-NX]*(Data_Nhập[Year]=HE$1)*(Data_Nhập[Main SKU name_GOM]=$A11)*(Data_Nhập[SKU name_NHẬP_GOM]=HE$3)),SUMPRODUCT(Data_Nhập[Tổng Nhập-NX]*(Data_Nhập[Year]=HE$1)*(Data_Nhập[Month]=HE$2)*(Data_Nhập[Main SKU name_GOM]=$A11)*(Data_Nhập[SKU name_NHẬP_GOM]=HE$3)))</f>
        <v>0</v>
      </c>
      <c r="HF11" s="24" cm="1">
        <f t="array" ref="HF11">IF(HF$2="FY",SUMPRODUCT(Data_Nhập[Tổng Nhập-NX]*(Data_Nhập[Year]=HF$1)*(Data_Nhập[Main SKU name_GOM]=$A11)*(Data_Nhập[SKU name_NHẬP_GOM]=HF$3)),SUMPRODUCT(Data_Nhập[Tổng Nhập-NX]*(Data_Nhập[Year]=HF$1)*(Data_Nhập[Month]=HF$2)*(Data_Nhập[Main SKU name_GOM]=$A11)*(Data_Nhập[SKU name_NHẬP_GOM]=HF$3)))</f>
        <v>0</v>
      </c>
      <c r="HG11" s="24" cm="1">
        <f t="array" ref="HG11">IF(HG$2="FY",SUMPRODUCT(Data_Nhập[Tổng Nhập-NX]*(Data_Nhập[Year]=HG$1)*(Data_Nhập[Main SKU name_GOM]=$A11)*(Data_Nhập[SKU name_NHẬP_GOM]=HG$3)),SUMPRODUCT(Data_Nhập[Tổng Nhập-NX]*(Data_Nhập[Year]=HG$1)*(Data_Nhập[Month]=HG$2)*(Data_Nhập[Main SKU name_GOM]=$A11)*(Data_Nhập[SKU name_NHẬP_GOM]=HG$3)))</f>
        <v>0</v>
      </c>
      <c r="HH11" s="24" cm="1">
        <f t="array" ref="HH11">IF(HH$2="FY",SUMPRODUCT(Data_Nhập[Tổng Nhập-NX]*(Data_Nhập[Year]=HH$1)*(Data_Nhập[Main SKU name_GOM]=$A11)*(Data_Nhập[SKU name_NHẬP_GOM]=HH$3)),SUMPRODUCT(Data_Nhập[Tổng Nhập-NX]*(Data_Nhập[Year]=HH$1)*(Data_Nhập[Month]=HH$2)*(Data_Nhập[Main SKU name_GOM]=$A11)*(Data_Nhập[SKU name_NHẬP_GOM]=HH$3)))</f>
        <v>0</v>
      </c>
      <c r="HI11" s="24" cm="1">
        <f t="array" ref="HI11">IF(HI$2="FY",SUMPRODUCT(Data_Nhập[Tổng Nhập-NX]*(Data_Nhập[Year]=HI$1)*(Data_Nhập[Main SKU name_GOM]=$A11)*(Data_Nhập[SKU name_NHẬP_GOM]=HI$3)),SUMPRODUCT(Data_Nhập[Tổng Nhập-NX]*(Data_Nhập[Year]=HI$1)*(Data_Nhập[Month]=HI$2)*(Data_Nhập[Main SKU name_GOM]=$A11)*(Data_Nhập[SKU name_NHẬP_GOM]=HI$3)))</f>
        <v>0</v>
      </c>
      <c r="HJ11" s="25">
        <f t="shared" si="23"/>
        <v>0</v>
      </c>
      <c r="HL11" s="25" cm="1">
        <f t="array" ref="HL11">IF(HL$2="FY",SUMPRODUCT(Data_Xuất[Xuất-NX]*(Data_Xuất[Year]=HL$1)*(Data_Xuất[Main SKU name_GOM]=$A11)),SUMPRODUCT(Data_Xuất[Xuất-NX]*(Data_Xuất[Year]=HL$1)*(Data_Xuất[Main SKU name_GOM]=$A11)*(Data_Xuất[Month]=HL$2)))</f>
        <v>0</v>
      </c>
      <c r="HM11" s="24" cm="1">
        <f t="array" ref="HM11">IF(HM$2="FY",SUMPRODUCT(Data_Nhập[Tổng Nhập-NX]*(Data_Nhập[Year]=HM$1)*(Data_Nhập[Main SKU name_GOM]=$A11)*(Data_Nhập[SKU name_NHẬP_GOM]=HM$3)),SUMPRODUCT(Data_Nhập[Tổng Nhập-NX]*(Data_Nhập[Year]=HM$1)*(Data_Nhập[Month]=HM$2)*(Data_Nhập[Main SKU name_GOM]=$A11)*(Data_Nhập[SKU name_NHẬP_GOM]=HM$3)))</f>
        <v>0</v>
      </c>
      <c r="HN11" s="24" cm="1">
        <f t="array" ref="HN11">IF(HN$2="FY",SUMPRODUCT(Data_Nhập[Tổng Nhập-NX]*(Data_Nhập[Year]=HN$1)*(Data_Nhập[Main SKU name_GOM]=$A11)*(Data_Nhập[SKU name_NHẬP_GOM]=HN$3)),SUMPRODUCT(Data_Nhập[Tổng Nhập-NX]*(Data_Nhập[Year]=HN$1)*(Data_Nhập[Month]=HN$2)*(Data_Nhập[Main SKU name_GOM]=$A11)*(Data_Nhập[SKU name_NHẬP_GOM]=HN$3)))</f>
        <v>0</v>
      </c>
      <c r="HO11" s="24" cm="1">
        <f t="array" ref="HO11">IF(HO$2="FY",SUMPRODUCT(Data_Nhập[Tổng Nhập-NX]*(Data_Nhập[Year]=HO$1)*(Data_Nhập[Main SKU name_GOM]=$A11)*(Data_Nhập[SKU name_NHẬP_GOM]=HO$3)),SUMPRODUCT(Data_Nhập[Tổng Nhập-NX]*(Data_Nhập[Year]=HO$1)*(Data_Nhập[Month]=HO$2)*(Data_Nhập[Main SKU name_GOM]=$A11)*(Data_Nhập[SKU name_NHẬP_GOM]=HO$3)))</f>
        <v>0</v>
      </c>
      <c r="HP11" s="24" cm="1">
        <f t="array" ref="HP11">IF(HP$2="FY",SUMPRODUCT(Data_Nhập[Tổng Nhập-NX]*(Data_Nhập[Year]=HP$1)*(Data_Nhập[Main SKU name_GOM]=$A11)*(Data_Nhập[SKU name_NHẬP_GOM]=HP$3)),SUMPRODUCT(Data_Nhập[Tổng Nhập-NX]*(Data_Nhập[Year]=HP$1)*(Data_Nhập[Month]=HP$2)*(Data_Nhập[Main SKU name_GOM]=$A11)*(Data_Nhập[SKU name_NHẬP_GOM]=HP$3)))</f>
        <v>0</v>
      </c>
      <c r="HQ11" s="24" cm="1">
        <f t="array" ref="HQ11">IF(HQ$2="FY",SUMPRODUCT(Data_Nhập[Tổng Nhập-NX]*(Data_Nhập[Year]=HQ$1)*(Data_Nhập[Main SKU name_GOM]=$A11)*(Data_Nhập[SKU name_NHẬP_GOM]=HQ$3)),SUMPRODUCT(Data_Nhập[Tổng Nhập-NX]*(Data_Nhập[Year]=HQ$1)*(Data_Nhập[Month]=HQ$2)*(Data_Nhập[Main SKU name_GOM]=$A11)*(Data_Nhập[SKU name_NHẬP_GOM]=HQ$3)))</f>
        <v>0</v>
      </c>
      <c r="HR11" s="24" cm="1">
        <f t="array" ref="HR11">IF(HR$2="FY",SUMPRODUCT(Data_Nhập[Tổng Nhập-NX]*(Data_Nhập[Year]=HR$1)*(Data_Nhập[Main SKU name_GOM]=$A11)*(Data_Nhập[SKU name_NHẬP_GOM]=HR$3)),SUMPRODUCT(Data_Nhập[Tổng Nhập-NX]*(Data_Nhập[Year]=HR$1)*(Data_Nhập[Month]=HR$2)*(Data_Nhập[Main SKU name_GOM]=$A11)*(Data_Nhập[SKU name_NHẬP_GOM]=HR$3)))</f>
        <v>0</v>
      </c>
      <c r="HS11" s="24" cm="1">
        <f t="array" ref="HS11">IF(HS$2="FY",SUMPRODUCT(Data_Nhập[Tổng Nhập-NX]*(Data_Nhập[Year]=HS$1)*(Data_Nhập[Main SKU name_GOM]=$A11)*(Data_Nhập[SKU name_NHẬP_GOM]=HS$3)),SUMPRODUCT(Data_Nhập[Tổng Nhập-NX]*(Data_Nhập[Year]=HS$1)*(Data_Nhập[Month]=HS$2)*(Data_Nhập[Main SKU name_GOM]=$A11)*(Data_Nhập[SKU name_NHẬP_GOM]=HS$3)))</f>
        <v>0</v>
      </c>
      <c r="HT11" s="24" cm="1">
        <f t="array" ref="HT11">IF(HT$2="FY",SUMPRODUCT(Data_Nhập[Tổng Nhập-NX]*(Data_Nhập[Year]=HT$1)*(Data_Nhập[Main SKU name_GOM]=$A11)*(Data_Nhập[SKU name_NHẬP_GOM]=HT$3)),SUMPRODUCT(Data_Nhập[Tổng Nhập-NX]*(Data_Nhập[Year]=HT$1)*(Data_Nhập[Month]=HT$2)*(Data_Nhập[Main SKU name_GOM]=$A11)*(Data_Nhập[SKU name_NHẬP_GOM]=HT$3)))</f>
        <v>0</v>
      </c>
      <c r="HU11" s="24" cm="1">
        <f t="array" ref="HU11">IF(HU$2="FY",SUMPRODUCT(Data_Nhập[Tổng Nhập-NX]*(Data_Nhập[Year]=HU$1)*(Data_Nhập[Main SKU name_GOM]=$A11)*(Data_Nhập[SKU name_NHẬP_GOM]=HU$3)),SUMPRODUCT(Data_Nhập[Tổng Nhập-NX]*(Data_Nhập[Year]=HU$1)*(Data_Nhập[Month]=HU$2)*(Data_Nhập[Main SKU name_GOM]=$A11)*(Data_Nhập[SKU name_NHẬP_GOM]=HU$3)))</f>
        <v>0</v>
      </c>
      <c r="HV11" s="24" cm="1">
        <f t="array" ref="HV11">IF(HV$2="FY",SUMPRODUCT(Data_Nhập[Tổng Nhập-NX]*(Data_Nhập[Year]=HV$1)*(Data_Nhập[Main SKU name_GOM]=$A11)*(Data_Nhập[SKU name_NHẬP_GOM]=HV$3)),SUMPRODUCT(Data_Nhập[Tổng Nhập-NX]*(Data_Nhập[Year]=HV$1)*(Data_Nhập[Month]=HV$2)*(Data_Nhập[Main SKU name_GOM]=$A11)*(Data_Nhập[SKU name_NHẬP_GOM]=HV$3)))</f>
        <v>0</v>
      </c>
      <c r="HW11" s="24" cm="1">
        <f t="array" ref="HW11">IF(HW$2="FY",SUMPRODUCT(Data_Nhập[Tổng Nhập-NX]*(Data_Nhập[Year]=HW$1)*(Data_Nhập[Main SKU name_GOM]=$A11)*(Data_Nhập[SKU name_NHẬP_GOM]=HW$3)),SUMPRODUCT(Data_Nhập[Tổng Nhập-NX]*(Data_Nhập[Year]=HW$1)*(Data_Nhập[Month]=HW$2)*(Data_Nhập[Main SKU name_GOM]=$A11)*(Data_Nhập[SKU name_NHẬP_GOM]=HW$3)))</f>
        <v>0</v>
      </c>
      <c r="HX11" s="24" cm="1">
        <f t="array" ref="HX11">IF(HX$2="FY",SUMPRODUCT(Data_Nhập[Tổng Nhập-NX]*(Data_Nhập[Year]=HX$1)*(Data_Nhập[Main SKU name_GOM]=$A11)*(Data_Nhập[SKU name_NHẬP_GOM]=HX$3)),SUMPRODUCT(Data_Nhập[Tổng Nhập-NX]*(Data_Nhập[Year]=HX$1)*(Data_Nhập[Month]=HX$2)*(Data_Nhập[Main SKU name_GOM]=$A11)*(Data_Nhập[SKU name_NHẬP_GOM]=HX$3)))</f>
        <v>0</v>
      </c>
      <c r="HY11" s="24" cm="1">
        <f t="array" ref="HY11">IF(HY$2="FY",SUMPRODUCT(Data_Nhập[Tổng Nhập-NX]*(Data_Nhập[Year]=HY$1)*(Data_Nhập[Main SKU name_GOM]=$A11)*(Data_Nhập[SKU name_NHẬP_GOM]=HY$3)),SUMPRODUCT(Data_Nhập[Tổng Nhập-NX]*(Data_Nhập[Year]=HY$1)*(Data_Nhập[Month]=HY$2)*(Data_Nhập[Main SKU name_GOM]=$A11)*(Data_Nhập[SKU name_NHẬP_GOM]=HY$3)))</f>
        <v>0</v>
      </c>
      <c r="HZ11" s="24" cm="1">
        <f t="array" ref="HZ11">IF(HZ$2="FY",SUMPRODUCT(Data_Nhập[Tổng Nhập-NX]*(Data_Nhập[Year]=HZ$1)*(Data_Nhập[Main SKU name_GOM]=$A11)*(Data_Nhập[SKU name_NHẬP_GOM]=HZ$3)),SUMPRODUCT(Data_Nhập[Tổng Nhập-NX]*(Data_Nhập[Year]=HZ$1)*(Data_Nhập[Month]=HZ$2)*(Data_Nhập[Main SKU name_GOM]=$A11)*(Data_Nhập[SKU name_NHẬP_GOM]=HZ$3)))</f>
        <v>0</v>
      </c>
      <c r="IA11" s="24" cm="1">
        <f t="array" ref="IA11">IF(IA$2="FY",SUMPRODUCT(Data_Nhập[Tổng Nhập-NX]*(Data_Nhập[Year]=IA$1)*(Data_Nhập[Main SKU name_GOM]=$A11)*(Data_Nhập[SKU name_NHẬP_GOM]=IA$3)),SUMPRODUCT(Data_Nhập[Tổng Nhập-NX]*(Data_Nhập[Year]=IA$1)*(Data_Nhập[Month]=IA$2)*(Data_Nhập[Main SKU name_GOM]=$A11)*(Data_Nhập[SKU name_NHẬP_GOM]=IA$3)))</f>
        <v>0</v>
      </c>
      <c r="IB11" s="25">
        <f t="shared" si="24"/>
        <v>0</v>
      </c>
    </row>
    <row r="12" spans="1:236" ht="15" thickBot="1" x14ac:dyDescent="0.4">
      <c r="A12" s="5" t="s">
        <v>76</v>
      </c>
      <c r="B12" s="23" t="s">
        <v>76</v>
      </c>
      <c r="D12" s="27" cm="1">
        <f t="array" ref="D12">IF(D$2="FY",SUMPRODUCT(Data_Xuất[Xuất-NX]*(Data_Xuất[Year]=D$1)*(Data_Xuất[Main SKU name_GOM]=$A12)),SUMPRODUCT(Data_Xuất[Xuất-NX]*(Data_Xuất[Year]=D$1)*(Data_Xuất[Main SKU name_GOM]=$A12)*Data_Xuất[Month]=D$2))</f>
        <v>6000</v>
      </c>
      <c r="E12" s="26" cm="1">
        <f t="array" ref="E12">IF(E$2="FY",SUMPRODUCT(Data_Nhập[Tổng Nhập-NX]*(Data_Nhập[Year]=E$1)*(Data_Nhập[Main SKU name_GOM]=$A12)*(Data_Nhập[SKU name_NHẬP_GOM]=E$3)),SUMPRODUCT(Data_Nhập[Tổng Nhập-NX]*(Data_Nhập[Year]=E$1)*(Data_Nhập[Month]=E$2)*(Data_Nhập[Main SKU name_GOM]=$A12)*(Data_Nhập[SKU name_NHẬP_GOM]=E$3)))</f>
        <v>0</v>
      </c>
      <c r="F12" s="26" cm="1">
        <f t="array" ref="F12">IF(F$2="FY",SUMPRODUCT(Data_Nhập[Tổng Nhập-NX]*(Data_Nhập[Year]=F$1)*(Data_Nhập[Main SKU name_GOM]=$A12)*(Data_Nhập[SKU name_NHẬP_GOM]=F$3)),SUMPRODUCT(Data_Nhập[Tổng Nhập-NX]*(Data_Nhập[Year]=F$1)*(Data_Nhập[Month]=F$2)*(Data_Nhập[Main SKU name_GOM]=$A12)*(Data_Nhập[SKU name_NHẬP_GOM]=F$3)))</f>
        <v>0</v>
      </c>
      <c r="G12" s="26" cm="1">
        <f t="array" ref="G12">IF(G$2="FY",SUMPRODUCT(Data_Nhập[Tổng Nhập-NX]*(Data_Nhập[Year]=G$1)*(Data_Nhập[Main SKU name_GOM]=$A12)*(Data_Nhập[SKU name_NHẬP_GOM]=G$3)),SUMPRODUCT(Data_Nhập[Tổng Nhập-NX]*(Data_Nhập[Year]=G$1)*(Data_Nhập[Month]=G$2)*(Data_Nhập[Main SKU name_GOM]=$A12)*(Data_Nhập[SKU name_NHẬP_GOM]=G$3)))</f>
        <v>0</v>
      </c>
      <c r="H12" s="26" cm="1">
        <f t="array" ref="H12">IF(H$2="FY",SUMPRODUCT(Data_Nhập[Tổng Nhập-NX]*(Data_Nhập[Year]=H$1)*(Data_Nhập[Main SKU name_GOM]=$A12)*(Data_Nhập[SKU name_NHẬP_GOM]=H$3)),SUMPRODUCT(Data_Nhập[Tổng Nhập-NX]*(Data_Nhập[Year]=H$1)*(Data_Nhập[Month]=H$2)*(Data_Nhập[Main SKU name_GOM]=$A12)*(Data_Nhập[SKU name_NHẬP_GOM]=H$3)))</f>
        <v>0</v>
      </c>
      <c r="I12" s="26" cm="1">
        <f t="array" ref="I12">IF(I$2="FY",SUMPRODUCT(Data_Nhập[Tổng Nhập-NX]*(Data_Nhập[Year]=I$1)*(Data_Nhập[Main SKU name_GOM]=$A12)*(Data_Nhập[SKU name_NHẬP_GOM]=I$3)),SUMPRODUCT(Data_Nhập[Tổng Nhập-NX]*(Data_Nhập[Year]=I$1)*(Data_Nhập[Month]=I$2)*(Data_Nhập[Main SKU name_GOM]=$A12)*(Data_Nhập[SKU name_NHẬP_GOM]=I$3)))</f>
        <v>0</v>
      </c>
      <c r="J12" s="26" cm="1">
        <f t="array" ref="J12">IF(J$2="FY",SUMPRODUCT(Data_Nhập[Tổng Nhập-NX]*(Data_Nhập[Year]=J$1)*(Data_Nhập[Main SKU name_GOM]=$A12)*(Data_Nhập[SKU name_NHẬP_GOM]=J$3)),SUMPRODUCT(Data_Nhập[Tổng Nhập-NX]*(Data_Nhập[Year]=J$1)*(Data_Nhập[Month]=J$2)*(Data_Nhập[Main SKU name_GOM]=$A12)*(Data_Nhập[SKU name_NHẬP_GOM]=J$3)))</f>
        <v>0</v>
      </c>
      <c r="K12" s="26" cm="1">
        <f t="array" ref="K12">IF(K$2="FY",SUMPRODUCT(Data_Nhập[Tổng Nhập-NX]*(Data_Nhập[Year]=K$1)*(Data_Nhập[Main SKU name_GOM]=$A12)*(Data_Nhập[SKU name_NHẬP_GOM]=K$3)),SUMPRODUCT(Data_Nhập[Tổng Nhập-NX]*(Data_Nhập[Year]=K$1)*(Data_Nhập[Month]=K$2)*(Data_Nhập[Main SKU name_GOM]=$A12)*(Data_Nhập[SKU name_NHẬP_GOM]=K$3)))</f>
        <v>0</v>
      </c>
      <c r="L12" s="26" cm="1">
        <f t="array" ref="L12">IF(L$2="FY",SUMPRODUCT(Data_Nhập[Tổng Nhập-NX]*(Data_Nhập[Year]=L$1)*(Data_Nhập[Main SKU name_GOM]=$A12)*(Data_Nhập[SKU name_NHẬP_GOM]=L$3)),SUMPRODUCT(Data_Nhập[Tổng Nhập-NX]*(Data_Nhập[Year]=L$1)*(Data_Nhập[Month]=L$2)*(Data_Nhập[Main SKU name_GOM]=$A12)*(Data_Nhập[SKU name_NHẬP_GOM]=L$3)))</f>
        <v>0</v>
      </c>
      <c r="M12" s="26" cm="1">
        <f t="array" ref="M12">IF(M$2="FY",SUMPRODUCT(Data_Nhập[Tổng Nhập-NX]*(Data_Nhập[Year]=M$1)*(Data_Nhập[Main SKU name_GOM]=$A12)*(Data_Nhập[SKU name_NHẬP_GOM]=M$3)),SUMPRODUCT(Data_Nhập[Tổng Nhập-NX]*(Data_Nhập[Year]=M$1)*(Data_Nhập[Month]=M$2)*(Data_Nhập[Main SKU name_GOM]=$A12)*(Data_Nhập[SKU name_NHẬP_GOM]=M$3)))</f>
        <v>0</v>
      </c>
      <c r="N12" s="26" cm="1">
        <f t="array" ref="N12">IF(N$2="FY",SUMPRODUCT(Data_Nhập[Tổng Nhập-NX]*(Data_Nhập[Year]=N$1)*(Data_Nhập[Main SKU name_GOM]=$A12)*(Data_Nhập[SKU name_NHẬP_GOM]=N$3)),SUMPRODUCT(Data_Nhập[Tổng Nhập-NX]*(Data_Nhập[Year]=N$1)*(Data_Nhập[Month]=N$2)*(Data_Nhập[Main SKU name_GOM]=$A12)*(Data_Nhập[SKU name_NHẬP_GOM]=N$3)))</f>
        <v>0</v>
      </c>
      <c r="O12" s="26" cm="1">
        <f t="array" ref="O12">IF(O$2="FY",SUMPRODUCT(Data_Nhập[Tổng Nhập-NX]*(Data_Nhập[Year]=O$1)*(Data_Nhập[Main SKU name_GOM]=$A12)*(Data_Nhập[SKU name_NHẬP_GOM]=O$3)),SUMPRODUCT(Data_Nhập[Tổng Nhập-NX]*(Data_Nhập[Year]=O$1)*(Data_Nhập[Month]=O$2)*(Data_Nhập[Main SKU name_GOM]=$A12)*(Data_Nhập[SKU name_NHẬP_GOM]=O$3)))</f>
        <v>0</v>
      </c>
      <c r="P12" s="26" cm="1">
        <f t="array" ref="P12">IF(P$2="FY",SUMPRODUCT(Data_Nhập[Tổng Nhập-NX]*(Data_Nhập[Year]=P$1)*(Data_Nhập[Main SKU name_GOM]=$A12)*(Data_Nhập[SKU name_NHẬP_GOM]=P$3)),SUMPRODUCT(Data_Nhập[Tổng Nhập-NX]*(Data_Nhập[Year]=P$1)*(Data_Nhập[Month]=P$2)*(Data_Nhập[Main SKU name_GOM]=$A12)*(Data_Nhập[SKU name_NHẬP_GOM]=P$3)))</f>
        <v>0</v>
      </c>
      <c r="Q12" s="26" cm="1">
        <f t="array" ref="Q12">IF(Q$2="FY",SUMPRODUCT(Data_Nhập[Tổng Nhập-NX]*(Data_Nhập[Year]=Q$1)*(Data_Nhập[Main SKU name_GOM]=$A12)*(Data_Nhập[SKU name_NHẬP_GOM]=Q$3)),SUMPRODUCT(Data_Nhập[Tổng Nhập-NX]*(Data_Nhập[Year]=Q$1)*(Data_Nhập[Month]=Q$2)*(Data_Nhập[Main SKU name_GOM]=$A12)*(Data_Nhập[SKU name_NHẬP_GOM]=Q$3)))</f>
        <v>0</v>
      </c>
      <c r="R12" s="26" cm="1">
        <f t="array" ref="R12">IF(R$2="FY",SUMPRODUCT(Data_Nhập[Tổng Nhập-NX]*(Data_Nhập[Year]=R$1)*(Data_Nhập[Main SKU name_GOM]=$A12)*(Data_Nhập[SKU name_NHẬP_GOM]=R$3)),SUMPRODUCT(Data_Nhập[Tổng Nhập-NX]*(Data_Nhập[Year]=R$1)*(Data_Nhập[Month]=R$2)*(Data_Nhập[Main SKU name_GOM]=$A12)*(Data_Nhập[SKU name_NHẬP_GOM]=R$3)))</f>
        <v>0</v>
      </c>
      <c r="S12" s="26" cm="1">
        <f t="array" ref="S12">IF(S$2="FY",SUMPRODUCT(Data_Nhập[Tổng Nhập-NX]*(Data_Nhập[Year]=S$1)*(Data_Nhập[Main SKU name_GOM]=$A12)*(Data_Nhập[SKU name_NHẬP_GOM]=S$3)),SUMPRODUCT(Data_Nhập[Tổng Nhập-NX]*(Data_Nhập[Year]=S$1)*(Data_Nhập[Month]=S$2)*(Data_Nhập[Main SKU name_GOM]=$A12)*(Data_Nhập[SKU name_NHẬP_GOM]=S$3)))</f>
        <v>6000</v>
      </c>
      <c r="T12" s="27">
        <f t="shared" si="12"/>
        <v>6000</v>
      </c>
      <c r="V12" s="27" cm="1">
        <f t="array" ref="V12">IF(V$2="FY",SUMPRODUCT(Data_Xuất[Xuất-NX]*(Data_Xuất[Year]=V$1)*(Data_Xuất[Main SKU name_GOM]=$A12)),SUMPRODUCT(Data_Xuất[Xuất-NX]*(Data_Xuất[Year]=V$1)*(Data_Xuất[Main SKU name_GOM]=$A12)*(Data_Xuất[Month]=V$2)))</f>
        <v>6000</v>
      </c>
      <c r="W12" s="26" cm="1">
        <f t="array" ref="W12">IF(W$2="FY",SUMPRODUCT(Data_Nhập[Tổng Nhập-NX]*(Data_Nhập[Year]=W$1)*(Data_Nhập[Main SKU name_GOM]=$A12)*(Data_Nhập[SKU name_NHẬP_GOM]=W$3)),SUMPRODUCT(Data_Nhập[Tổng Nhập-NX]*(Data_Nhập[Year]=W$1)*(Data_Nhập[Month]=W$2)*(Data_Nhập[Main SKU name_GOM]=$A12)*(Data_Nhập[SKU name_NHẬP_GOM]=W$3)))</f>
        <v>0</v>
      </c>
      <c r="X12" s="26" cm="1">
        <f t="array" ref="X12">IF(X$2="FY",SUMPRODUCT(Data_Nhập[Tổng Nhập-NX]*(Data_Nhập[Year]=X$1)*(Data_Nhập[Main SKU name_GOM]=$A12)*(Data_Nhập[SKU name_NHẬP_GOM]=X$3)),SUMPRODUCT(Data_Nhập[Tổng Nhập-NX]*(Data_Nhập[Year]=X$1)*(Data_Nhập[Month]=X$2)*(Data_Nhập[Main SKU name_GOM]=$A12)*(Data_Nhập[SKU name_NHẬP_GOM]=X$3)))</f>
        <v>0</v>
      </c>
      <c r="Y12" s="26" cm="1">
        <f t="array" ref="Y12">IF(Y$2="FY",SUMPRODUCT(Data_Nhập[Tổng Nhập-NX]*(Data_Nhập[Year]=Y$1)*(Data_Nhập[Main SKU name_GOM]=$A12)*(Data_Nhập[SKU name_NHẬP_GOM]=Y$3)),SUMPRODUCT(Data_Nhập[Tổng Nhập-NX]*(Data_Nhập[Year]=Y$1)*(Data_Nhập[Month]=Y$2)*(Data_Nhập[Main SKU name_GOM]=$A12)*(Data_Nhập[SKU name_NHẬP_GOM]=Y$3)))</f>
        <v>0</v>
      </c>
      <c r="Z12" s="26" cm="1">
        <f t="array" ref="Z12">IF(Z$2="FY",SUMPRODUCT(Data_Nhập[Tổng Nhập-NX]*(Data_Nhập[Year]=Z$1)*(Data_Nhập[Main SKU name_GOM]=$A12)*(Data_Nhập[SKU name_NHẬP_GOM]=Z$3)),SUMPRODUCT(Data_Nhập[Tổng Nhập-NX]*(Data_Nhập[Year]=Z$1)*(Data_Nhập[Month]=Z$2)*(Data_Nhập[Main SKU name_GOM]=$A12)*(Data_Nhập[SKU name_NHẬP_GOM]=Z$3)))</f>
        <v>0</v>
      </c>
      <c r="AA12" s="26" cm="1">
        <f t="array" ref="AA12">IF(AA$2="FY",SUMPRODUCT(Data_Nhập[Tổng Nhập-NX]*(Data_Nhập[Year]=AA$1)*(Data_Nhập[Main SKU name_GOM]=$A12)*(Data_Nhập[SKU name_NHẬP_GOM]=AA$3)),SUMPRODUCT(Data_Nhập[Tổng Nhập-NX]*(Data_Nhập[Year]=AA$1)*(Data_Nhập[Month]=AA$2)*(Data_Nhập[Main SKU name_GOM]=$A12)*(Data_Nhập[SKU name_NHẬP_GOM]=AA$3)))</f>
        <v>0</v>
      </c>
      <c r="AB12" s="26" cm="1">
        <f t="array" ref="AB12">IF(AB$2="FY",SUMPRODUCT(Data_Nhập[Tổng Nhập-NX]*(Data_Nhập[Year]=AB$1)*(Data_Nhập[Main SKU name_GOM]=$A12)*(Data_Nhập[SKU name_NHẬP_GOM]=AB$3)),SUMPRODUCT(Data_Nhập[Tổng Nhập-NX]*(Data_Nhập[Year]=AB$1)*(Data_Nhập[Month]=AB$2)*(Data_Nhập[Main SKU name_GOM]=$A12)*(Data_Nhập[SKU name_NHẬP_GOM]=AB$3)))</f>
        <v>0</v>
      </c>
      <c r="AC12" s="26" cm="1">
        <f t="array" ref="AC12">IF(AC$2="FY",SUMPRODUCT(Data_Nhập[Tổng Nhập-NX]*(Data_Nhập[Year]=AC$1)*(Data_Nhập[Main SKU name_GOM]=$A12)*(Data_Nhập[SKU name_NHẬP_GOM]=AC$3)),SUMPRODUCT(Data_Nhập[Tổng Nhập-NX]*(Data_Nhập[Year]=AC$1)*(Data_Nhập[Month]=AC$2)*(Data_Nhập[Main SKU name_GOM]=$A12)*(Data_Nhập[SKU name_NHẬP_GOM]=AC$3)))</f>
        <v>0</v>
      </c>
      <c r="AD12" s="26" cm="1">
        <f t="array" ref="AD12">IF(AD$2="FY",SUMPRODUCT(Data_Nhập[Tổng Nhập-NX]*(Data_Nhập[Year]=AD$1)*(Data_Nhập[Main SKU name_GOM]=$A12)*(Data_Nhập[SKU name_NHẬP_GOM]=AD$3)),SUMPRODUCT(Data_Nhập[Tổng Nhập-NX]*(Data_Nhập[Year]=AD$1)*(Data_Nhập[Month]=AD$2)*(Data_Nhập[Main SKU name_GOM]=$A12)*(Data_Nhập[SKU name_NHẬP_GOM]=AD$3)))</f>
        <v>0</v>
      </c>
      <c r="AE12" s="26" cm="1">
        <f t="array" ref="AE12">IF(AE$2="FY",SUMPRODUCT(Data_Nhập[Tổng Nhập-NX]*(Data_Nhập[Year]=AE$1)*(Data_Nhập[Main SKU name_GOM]=$A12)*(Data_Nhập[SKU name_NHẬP_GOM]=AE$3)),SUMPRODUCT(Data_Nhập[Tổng Nhập-NX]*(Data_Nhập[Year]=AE$1)*(Data_Nhập[Month]=AE$2)*(Data_Nhập[Main SKU name_GOM]=$A12)*(Data_Nhập[SKU name_NHẬP_GOM]=AE$3)))</f>
        <v>0</v>
      </c>
      <c r="AF12" s="26" cm="1">
        <f t="array" ref="AF12">IF(AF$2="FY",SUMPRODUCT(Data_Nhập[Tổng Nhập-NX]*(Data_Nhập[Year]=AF$1)*(Data_Nhập[Main SKU name_GOM]=$A12)*(Data_Nhập[SKU name_NHẬP_GOM]=AF$3)),SUMPRODUCT(Data_Nhập[Tổng Nhập-NX]*(Data_Nhập[Year]=AF$1)*(Data_Nhập[Month]=AF$2)*(Data_Nhập[Main SKU name_GOM]=$A12)*(Data_Nhập[SKU name_NHẬP_GOM]=AF$3)))</f>
        <v>0</v>
      </c>
      <c r="AG12" s="26" cm="1">
        <f t="array" ref="AG12">IF(AG$2="FY",SUMPRODUCT(Data_Nhập[Tổng Nhập-NX]*(Data_Nhập[Year]=AG$1)*(Data_Nhập[Main SKU name_GOM]=$A12)*(Data_Nhập[SKU name_NHẬP_GOM]=AG$3)),SUMPRODUCT(Data_Nhập[Tổng Nhập-NX]*(Data_Nhập[Year]=AG$1)*(Data_Nhập[Month]=AG$2)*(Data_Nhập[Main SKU name_GOM]=$A12)*(Data_Nhập[SKU name_NHẬP_GOM]=AG$3)))</f>
        <v>0</v>
      </c>
      <c r="AH12" s="26" cm="1">
        <f t="array" ref="AH12">IF(AH$2="FY",SUMPRODUCT(Data_Nhập[Tổng Nhập-NX]*(Data_Nhập[Year]=AH$1)*(Data_Nhập[Main SKU name_GOM]=$A12)*(Data_Nhập[SKU name_NHẬP_GOM]=AH$3)),SUMPRODUCT(Data_Nhập[Tổng Nhập-NX]*(Data_Nhập[Year]=AH$1)*(Data_Nhập[Month]=AH$2)*(Data_Nhập[Main SKU name_GOM]=$A12)*(Data_Nhập[SKU name_NHẬP_GOM]=AH$3)))</f>
        <v>0</v>
      </c>
      <c r="AI12" s="26" cm="1">
        <f t="array" ref="AI12">IF(AI$2="FY",SUMPRODUCT(Data_Nhập[Tổng Nhập-NX]*(Data_Nhập[Year]=AI$1)*(Data_Nhập[Main SKU name_GOM]=$A12)*(Data_Nhập[SKU name_NHẬP_GOM]=AI$3)),SUMPRODUCT(Data_Nhập[Tổng Nhập-NX]*(Data_Nhập[Year]=AI$1)*(Data_Nhập[Month]=AI$2)*(Data_Nhập[Main SKU name_GOM]=$A12)*(Data_Nhập[SKU name_NHẬP_GOM]=AI$3)))</f>
        <v>0</v>
      </c>
      <c r="AJ12" s="26" cm="1">
        <f t="array" ref="AJ12">IF(AJ$2="FY",SUMPRODUCT(Data_Nhập[Tổng Nhập-NX]*(Data_Nhập[Year]=AJ$1)*(Data_Nhập[Main SKU name_GOM]=$A12)*(Data_Nhập[SKU name_NHẬP_GOM]=AJ$3)),SUMPRODUCT(Data_Nhập[Tổng Nhập-NX]*(Data_Nhập[Year]=AJ$1)*(Data_Nhập[Month]=AJ$2)*(Data_Nhập[Main SKU name_GOM]=$A12)*(Data_Nhập[SKU name_NHẬP_GOM]=AJ$3)))</f>
        <v>0</v>
      </c>
      <c r="AK12" s="26" cm="1">
        <f t="array" ref="AK12">IF(AK$2="FY",SUMPRODUCT(Data_Nhập[Tổng Nhập-NX]*(Data_Nhập[Year]=AK$1)*(Data_Nhập[Main SKU name_GOM]=$A12)*(Data_Nhập[SKU name_NHẬP_GOM]=AK$3)),SUMPRODUCT(Data_Nhập[Tổng Nhập-NX]*(Data_Nhập[Year]=AK$1)*(Data_Nhập[Month]=AK$2)*(Data_Nhập[Main SKU name_GOM]=$A12)*(Data_Nhập[SKU name_NHẬP_GOM]=AK$3)))</f>
        <v>6000</v>
      </c>
      <c r="AL12" s="27">
        <f t="shared" si="13"/>
        <v>6000</v>
      </c>
      <c r="AN12" s="27" cm="1">
        <f t="array" ref="AN12">IF(AN$2="FY",SUMPRODUCT(Data_Xuất[Xuất-NX]*(Data_Xuất[Year]=AN$1)*(Data_Xuất[Main SKU name_GOM]=$A12)),SUMPRODUCT(Data_Xuất[Xuất-NX]*(Data_Xuất[Year]=AN$1)*(Data_Xuất[Main SKU name_GOM]=$A12)*(Data_Xuất[Month]=AN$2)))</f>
        <v>0</v>
      </c>
      <c r="AO12" s="26" cm="1">
        <f t="array" ref="AO12">IF(AO$2="FY",SUMPRODUCT(Data_Nhập[Tổng Nhập-NX]*(Data_Nhập[Year]=AO$1)*(Data_Nhập[Main SKU name_GOM]=$A12)*(Data_Nhập[SKU name_NHẬP_GOM]=AO$3)),SUMPRODUCT(Data_Nhập[Tổng Nhập-NX]*(Data_Nhập[Year]=AO$1)*(Data_Nhập[Month]=AO$2)*(Data_Nhập[Main SKU name_GOM]=$A12)*(Data_Nhập[SKU name_NHẬP_GOM]=AO$3)))</f>
        <v>0</v>
      </c>
      <c r="AP12" s="26" cm="1">
        <f t="array" ref="AP12">IF(AP$2="FY",SUMPRODUCT(Data_Nhập[Tổng Nhập-NX]*(Data_Nhập[Year]=AP$1)*(Data_Nhập[Main SKU name_GOM]=$A12)*(Data_Nhập[SKU name_NHẬP_GOM]=AP$3)),SUMPRODUCT(Data_Nhập[Tổng Nhập-NX]*(Data_Nhập[Year]=AP$1)*(Data_Nhập[Month]=AP$2)*(Data_Nhập[Main SKU name_GOM]=$A12)*(Data_Nhập[SKU name_NHẬP_GOM]=AP$3)))</f>
        <v>0</v>
      </c>
      <c r="AQ12" s="26" cm="1">
        <f t="array" ref="AQ12">IF(AQ$2="FY",SUMPRODUCT(Data_Nhập[Tổng Nhập-NX]*(Data_Nhập[Year]=AQ$1)*(Data_Nhập[Main SKU name_GOM]=$A12)*(Data_Nhập[SKU name_NHẬP_GOM]=AQ$3)),SUMPRODUCT(Data_Nhập[Tổng Nhập-NX]*(Data_Nhập[Year]=AQ$1)*(Data_Nhập[Month]=AQ$2)*(Data_Nhập[Main SKU name_GOM]=$A12)*(Data_Nhập[SKU name_NHẬP_GOM]=AQ$3)))</f>
        <v>0</v>
      </c>
      <c r="AR12" s="26" cm="1">
        <f t="array" ref="AR12">IF(AR$2="FY",SUMPRODUCT(Data_Nhập[Tổng Nhập-NX]*(Data_Nhập[Year]=AR$1)*(Data_Nhập[Main SKU name_GOM]=$A12)*(Data_Nhập[SKU name_NHẬP_GOM]=AR$3)),SUMPRODUCT(Data_Nhập[Tổng Nhập-NX]*(Data_Nhập[Year]=AR$1)*(Data_Nhập[Month]=AR$2)*(Data_Nhập[Main SKU name_GOM]=$A12)*(Data_Nhập[SKU name_NHẬP_GOM]=AR$3)))</f>
        <v>0</v>
      </c>
      <c r="AS12" s="26" cm="1">
        <f t="array" ref="AS12">IF(AS$2="FY",SUMPRODUCT(Data_Nhập[Tổng Nhập-NX]*(Data_Nhập[Year]=AS$1)*(Data_Nhập[Main SKU name_GOM]=$A12)*(Data_Nhập[SKU name_NHẬP_GOM]=AS$3)),SUMPRODUCT(Data_Nhập[Tổng Nhập-NX]*(Data_Nhập[Year]=AS$1)*(Data_Nhập[Month]=AS$2)*(Data_Nhập[Main SKU name_GOM]=$A12)*(Data_Nhập[SKU name_NHẬP_GOM]=AS$3)))</f>
        <v>0</v>
      </c>
      <c r="AT12" s="26" cm="1">
        <f t="array" ref="AT12">IF(AT$2="FY",SUMPRODUCT(Data_Nhập[Tổng Nhập-NX]*(Data_Nhập[Year]=AT$1)*(Data_Nhập[Main SKU name_GOM]=$A12)*(Data_Nhập[SKU name_NHẬP_GOM]=AT$3)),SUMPRODUCT(Data_Nhập[Tổng Nhập-NX]*(Data_Nhập[Year]=AT$1)*(Data_Nhập[Month]=AT$2)*(Data_Nhập[Main SKU name_GOM]=$A12)*(Data_Nhập[SKU name_NHẬP_GOM]=AT$3)))</f>
        <v>0</v>
      </c>
      <c r="AU12" s="26" cm="1">
        <f t="array" ref="AU12">IF(AU$2="FY",SUMPRODUCT(Data_Nhập[Tổng Nhập-NX]*(Data_Nhập[Year]=AU$1)*(Data_Nhập[Main SKU name_GOM]=$A12)*(Data_Nhập[SKU name_NHẬP_GOM]=AU$3)),SUMPRODUCT(Data_Nhập[Tổng Nhập-NX]*(Data_Nhập[Year]=AU$1)*(Data_Nhập[Month]=AU$2)*(Data_Nhập[Main SKU name_GOM]=$A12)*(Data_Nhập[SKU name_NHẬP_GOM]=AU$3)))</f>
        <v>0</v>
      </c>
      <c r="AV12" s="26" cm="1">
        <f t="array" ref="AV12">IF(AV$2="FY",SUMPRODUCT(Data_Nhập[Tổng Nhập-NX]*(Data_Nhập[Year]=AV$1)*(Data_Nhập[Main SKU name_GOM]=$A12)*(Data_Nhập[SKU name_NHẬP_GOM]=AV$3)),SUMPRODUCT(Data_Nhập[Tổng Nhập-NX]*(Data_Nhập[Year]=AV$1)*(Data_Nhập[Month]=AV$2)*(Data_Nhập[Main SKU name_GOM]=$A12)*(Data_Nhập[SKU name_NHẬP_GOM]=AV$3)))</f>
        <v>0</v>
      </c>
      <c r="AW12" s="26" cm="1">
        <f t="array" ref="AW12">IF(AW$2="FY",SUMPRODUCT(Data_Nhập[Tổng Nhập-NX]*(Data_Nhập[Year]=AW$1)*(Data_Nhập[Main SKU name_GOM]=$A12)*(Data_Nhập[SKU name_NHẬP_GOM]=AW$3)),SUMPRODUCT(Data_Nhập[Tổng Nhập-NX]*(Data_Nhập[Year]=AW$1)*(Data_Nhập[Month]=AW$2)*(Data_Nhập[Main SKU name_GOM]=$A12)*(Data_Nhập[SKU name_NHẬP_GOM]=AW$3)))</f>
        <v>0</v>
      </c>
      <c r="AX12" s="26" cm="1">
        <f t="array" ref="AX12">IF(AX$2="FY",SUMPRODUCT(Data_Nhập[Tổng Nhập-NX]*(Data_Nhập[Year]=AX$1)*(Data_Nhập[Main SKU name_GOM]=$A12)*(Data_Nhập[SKU name_NHẬP_GOM]=AX$3)),SUMPRODUCT(Data_Nhập[Tổng Nhập-NX]*(Data_Nhập[Year]=AX$1)*(Data_Nhập[Month]=AX$2)*(Data_Nhập[Main SKU name_GOM]=$A12)*(Data_Nhập[SKU name_NHẬP_GOM]=AX$3)))</f>
        <v>0</v>
      </c>
      <c r="AY12" s="26" cm="1">
        <f t="array" ref="AY12">IF(AY$2="FY",SUMPRODUCT(Data_Nhập[Tổng Nhập-NX]*(Data_Nhập[Year]=AY$1)*(Data_Nhập[Main SKU name_GOM]=$A12)*(Data_Nhập[SKU name_NHẬP_GOM]=AY$3)),SUMPRODUCT(Data_Nhập[Tổng Nhập-NX]*(Data_Nhập[Year]=AY$1)*(Data_Nhập[Month]=AY$2)*(Data_Nhập[Main SKU name_GOM]=$A12)*(Data_Nhập[SKU name_NHẬP_GOM]=AY$3)))</f>
        <v>0</v>
      </c>
      <c r="AZ12" s="26" cm="1">
        <f t="array" ref="AZ12">IF(AZ$2="FY",SUMPRODUCT(Data_Nhập[Tổng Nhập-NX]*(Data_Nhập[Year]=AZ$1)*(Data_Nhập[Main SKU name_GOM]=$A12)*(Data_Nhập[SKU name_NHẬP_GOM]=AZ$3)),SUMPRODUCT(Data_Nhập[Tổng Nhập-NX]*(Data_Nhập[Year]=AZ$1)*(Data_Nhập[Month]=AZ$2)*(Data_Nhập[Main SKU name_GOM]=$A12)*(Data_Nhập[SKU name_NHẬP_GOM]=AZ$3)))</f>
        <v>0</v>
      </c>
      <c r="BA12" s="26" cm="1">
        <f t="array" ref="BA12">IF(BA$2="FY",SUMPRODUCT(Data_Nhập[Tổng Nhập-NX]*(Data_Nhập[Year]=BA$1)*(Data_Nhập[Main SKU name_GOM]=$A12)*(Data_Nhập[SKU name_NHẬP_GOM]=BA$3)),SUMPRODUCT(Data_Nhập[Tổng Nhập-NX]*(Data_Nhập[Year]=BA$1)*(Data_Nhập[Month]=BA$2)*(Data_Nhập[Main SKU name_GOM]=$A12)*(Data_Nhập[SKU name_NHẬP_GOM]=BA$3)))</f>
        <v>0</v>
      </c>
      <c r="BB12" s="26" cm="1">
        <f t="array" ref="BB12">IF(BB$2="FY",SUMPRODUCT(Data_Nhập[Tổng Nhập-NX]*(Data_Nhập[Year]=BB$1)*(Data_Nhập[Main SKU name_GOM]=$A12)*(Data_Nhập[SKU name_NHẬP_GOM]=BB$3)),SUMPRODUCT(Data_Nhập[Tổng Nhập-NX]*(Data_Nhập[Year]=BB$1)*(Data_Nhập[Month]=BB$2)*(Data_Nhập[Main SKU name_GOM]=$A12)*(Data_Nhập[SKU name_NHẬP_GOM]=BB$3)))</f>
        <v>0</v>
      </c>
      <c r="BC12" s="26" cm="1">
        <f t="array" ref="BC12">IF(BC$2="FY",SUMPRODUCT(Data_Nhập[Tổng Nhập-NX]*(Data_Nhập[Year]=BC$1)*(Data_Nhập[Main SKU name_GOM]=$A12)*(Data_Nhập[SKU name_NHẬP_GOM]=BC$3)),SUMPRODUCT(Data_Nhập[Tổng Nhập-NX]*(Data_Nhập[Year]=BC$1)*(Data_Nhập[Month]=BC$2)*(Data_Nhập[Main SKU name_GOM]=$A12)*(Data_Nhập[SKU name_NHẬP_GOM]=BC$3)))</f>
        <v>0</v>
      </c>
      <c r="BD12" s="27">
        <f t="shared" si="14"/>
        <v>0</v>
      </c>
      <c r="BF12" s="27" cm="1">
        <f t="array" ref="BF12">IF(BF$2="FY",SUMPRODUCT(Data_Xuất[Xuất-NX]*(Data_Xuất[Year]=BF$1)*(Data_Xuất[Main SKU name_GOM]=$A12)),SUMPRODUCT(Data_Xuất[Xuất-NX]*(Data_Xuất[Year]=BF$1)*(Data_Xuất[Main SKU name_GOM]=$A12)*(Data_Xuất[Month]=BF$2)))</f>
        <v>0</v>
      </c>
      <c r="BG12" s="26" cm="1">
        <f t="array" ref="BG12">IF(BG$2="FY",SUMPRODUCT(Data_Nhập[Tổng Nhập-NX]*(Data_Nhập[Year]=BG$1)*(Data_Nhập[Main SKU name_GOM]=$A12)*(Data_Nhập[SKU name_NHẬP_GOM]=BG$3)),SUMPRODUCT(Data_Nhập[Tổng Nhập-NX]*(Data_Nhập[Year]=BG$1)*(Data_Nhập[Month]=BG$2)*(Data_Nhập[Main SKU name_GOM]=$A12)*(Data_Nhập[SKU name_NHẬP_GOM]=BG$3)))</f>
        <v>0</v>
      </c>
      <c r="BH12" s="26" cm="1">
        <f t="array" ref="BH12">IF(BH$2="FY",SUMPRODUCT(Data_Nhập[Tổng Nhập-NX]*(Data_Nhập[Year]=BH$1)*(Data_Nhập[Main SKU name_GOM]=$A12)*(Data_Nhập[SKU name_NHẬP_GOM]=BH$3)),SUMPRODUCT(Data_Nhập[Tổng Nhập-NX]*(Data_Nhập[Year]=BH$1)*(Data_Nhập[Month]=BH$2)*(Data_Nhập[Main SKU name_GOM]=$A12)*(Data_Nhập[SKU name_NHẬP_GOM]=BH$3)))</f>
        <v>0</v>
      </c>
      <c r="BI12" s="26" cm="1">
        <f t="array" ref="BI12">IF(BI$2="FY",SUMPRODUCT(Data_Nhập[Tổng Nhập-NX]*(Data_Nhập[Year]=BI$1)*(Data_Nhập[Main SKU name_GOM]=$A12)*(Data_Nhập[SKU name_NHẬP_GOM]=BI$3)),SUMPRODUCT(Data_Nhập[Tổng Nhập-NX]*(Data_Nhập[Year]=BI$1)*(Data_Nhập[Month]=BI$2)*(Data_Nhập[Main SKU name_GOM]=$A12)*(Data_Nhập[SKU name_NHẬP_GOM]=BI$3)))</f>
        <v>0</v>
      </c>
      <c r="BJ12" s="26" cm="1">
        <f t="array" ref="BJ12">IF(BJ$2="FY",SUMPRODUCT(Data_Nhập[Tổng Nhập-NX]*(Data_Nhập[Year]=BJ$1)*(Data_Nhập[Main SKU name_GOM]=$A12)*(Data_Nhập[SKU name_NHẬP_GOM]=BJ$3)),SUMPRODUCT(Data_Nhập[Tổng Nhập-NX]*(Data_Nhập[Year]=BJ$1)*(Data_Nhập[Month]=BJ$2)*(Data_Nhập[Main SKU name_GOM]=$A12)*(Data_Nhập[SKU name_NHẬP_GOM]=BJ$3)))</f>
        <v>0</v>
      </c>
      <c r="BK12" s="26" cm="1">
        <f t="array" ref="BK12">IF(BK$2="FY",SUMPRODUCT(Data_Nhập[Tổng Nhập-NX]*(Data_Nhập[Year]=BK$1)*(Data_Nhập[Main SKU name_GOM]=$A12)*(Data_Nhập[SKU name_NHẬP_GOM]=BK$3)),SUMPRODUCT(Data_Nhập[Tổng Nhập-NX]*(Data_Nhập[Year]=BK$1)*(Data_Nhập[Month]=BK$2)*(Data_Nhập[Main SKU name_GOM]=$A12)*(Data_Nhập[SKU name_NHẬP_GOM]=BK$3)))</f>
        <v>0</v>
      </c>
      <c r="BL12" s="26" cm="1">
        <f t="array" ref="BL12">IF(BL$2="FY",SUMPRODUCT(Data_Nhập[Tổng Nhập-NX]*(Data_Nhập[Year]=BL$1)*(Data_Nhập[Main SKU name_GOM]=$A12)*(Data_Nhập[SKU name_NHẬP_GOM]=BL$3)),SUMPRODUCT(Data_Nhập[Tổng Nhập-NX]*(Data_Nhập[Year]=BL$1)*(Data_Nhập[Month]=BL$2)*(Data_Nhập[Main SKU name_GOM]=$A12)*(Data_Nhập[SKU name_NHẬP_GOM]=BL$3)))</f>
        <v>0</v>
      </c>
      <c r="BM12" s="26" cm="1">
        <f t="array" ref="BM12">IF(BM$2="FY",SUMPRODUCT(Data_Nhập[Tổng Nhập-NX]*(Data_Nhập[Year]=BM$1)*(Data_Nhập[Main SKU name_GOM]=$A12)*(Data_Nhập[SKU name_NHẬP_GOM]=BM$3)),SUMPRODUCT(Data_Nhập[Tổng Nhập-NX]*(Data_Nhập[Year]=BM$1)*(Data_Nhập[Month]=BM$2)*(Data_Nhập[Main SKU name_GOM]=$A12)*(Data_Nhập[SKU name_NHẬP_GOM]=BM$3)))</f>
        <v>0</v>
      </c>
      <c r="BN12" s="26" cm="1">
        <f t="array" ref="BN12">IF(BN$2="FY",SUMPRODUCT(Data_Nhập[Tổng Nhập-NX]*(Data_Nhập[Year]=BN$1)*(Data_Nhập[Main SKU name_GOM]=$A12)*(Data_Nhập[SKU name_NHẬP_GOM]=BN$3)),SUMPRODUCT(Data_Nhập[Tổng Nhập-NX]*(Data_Nhập[Year]=BN$1)*(Data_Nhập[Month]=BN$2)*(Data_Nhập[Main SKU name_GOM]=$A12)*(Data_Nhập[SKU name_NHẬP_GOM]=BN$3)))</f>
        <v>0</v>
      </c>
      <c r="BO12" s="26" cm="1">
        <f t="array" ref="BO12">IF(BO$2="FY",SUMPRODUCT(Data_Nhập[Tổng Nhập-NX]*(Data_Nhập[Year]=BO$1)*(Data_Nhập[Main SKU name_GOM]=$A12)*(Data_Nhập[SKU name_NHẬP_GOM]=BO$3)),SUMPRODUCT(Data_Nhập[Tổng Nhập-NX]*(Data_Nhập[Year]=BO$1)*(Data_Nhập[Month]=BO$2)*(Data_Nhập[Main SKU name_GOM]=$A12)*(Data_Nhập[SKU name_NHẬP_GOM]=BO$3)))</f>
        <v>0</v>
      </c>
      <c r="BP12" s="26" cm="1">
        <f t="array" ref="BP12">IF(BP$2="FY",SUMPRODUCT(Data_Nhập[Tổng Nhập-NX]*(Data_Nhập[Year]=BP$1)*(Data_Nhập[Main SKU name_GOM]=$A12)*(Data_Nhập[SKU name_NHẬP_GOM]=BP$3)),SUMPRODUCT(Data_Nhập[Tổng Nhập-NX]*(Data_Nhập[Year]=BP$1)*(Data_Nhập[Month]=BP$2)*(Data_Nhập[Main SKU name_GOM]=$A12)*(Data_Nhập[SKU name_NHẬP_GOM]=BP$3)))</f>
        <v>0</v>
      </c>
      <c r="BQ12" s="26" cm="1">
        <f t="array" ref="BQ12">IF(BQ$2="FY",SUMPRODUCT(Data_Nhập[Tổng Nhập-NX]*(Data_Nhập[Year]=BQ$1)*(Data_Nhập[Main SKU name_GOM]=$A12)*(Data_Nhập[SKU name_NHẬP_GOM]=BQ$3)),SUMPRODUCT(Data_Nhập[Tổng Nhập-NX]*(Data_Nhập[Year]=BQ$1)*(Data_Nhập[Month]=BQ$2)*(Data_Nhập[Main SKU name_GOM]=$A12)*(Data_Nhập[SKU name_NHẬP_GOM]=BQ$3)))</f>
        <v>0</v>
      </c>
      <c r="BR12" s="26" cm="1">
        <f t="array" ref="BR12">IF(BR$2="FY",SUMPRODUCT(Data_Nhập[Tổng Nhập-NX]*(Data_Nhập[Year]=BR$1)*(Data_Nhập[Main SKU name_GOM]=$A12)*(Data_Nhập[SKU name_NHẬP_GOM]=BR$3)),SUMPRODUCT(Data_Nhập[Tổng Nhập-NX]*(Data_Nhập[Year]=BR$1)*(Data_Nhập[Month]=BR$2)*(Data_Nhập[Main SKU name_GOM]=$A12)*(Data_Nhập[SKU name_NHẬP_GOM]=BR$3)))</f>
        <v>0</v>
      </c>
      <c r="BS12" s="26" cm="1">
        <f t="array" ref="BS12">IF(BS$2="FY",SUMPRODUCT(Data_Nhập[Tổng Nhập-NX]*(Data_Nhập[Year]=BS$1)*(Data_Nhập[Main SKU name_GOM]=$A12)*(Data_Nhập[SKU name_NHẬP_GOM]=BS$3)),SUMPRODUCT(Data_Nhập[Tổng Nhập-NX]*(Data_Nhập[Year]=BS$1)*(Data_Nhập[Month]=BS$2)*(Data_Nhập[Main SKU name_GOM]=$A12)*(Data_Nhập[SKU name_NHẬP_GOM]=BS$3)))</f>
        <v>0</v>
      </c>
      <c r="BT12" s="26" cm="1">
        <f t="array" ref="BT12">IF(BT$2="FY",SUMPRODUCT(Data_Nhập[Tổng Nhập-NX]*(Data_Nhập[Year]=BT$1)*(Data_Nhập[Main SKU name_GOM]=$A12)*(Data_Nhập[SKU name_NHẬP_GOM]=BT$3)),SUMPRODUCT(Data_Nhập[Tổng Nhập-NX]*(Data_Nhập[Year]=BT$1)*(Data_Nhập[Month]=BT$2)*(Data_Nhập[Main SKU name_GOM]=$A12)*(Data_Nhập[SKU name_NHẬP_GOM]=BT$3)))</f>
        <v>0</v>
      </c>
      <c r="BU12" s="26" cm="1">
        <f t="array" ref="BU12">IF(BU$2="FY",SUMPRODUCT(Data_Nhập[Tổng Nhập-NX]*(Data_Nhập[Year]=BU$1)*(Data_Nhập[Main SKU name_GOM]=$A12)*(Data_Nhập[SKU name_NHẬP_GOM]=BU$3)),SUMPRODUCT(Data_Nhập[Tổng Nhập-NX]*(Data_Nhập[Year]=BU$1)*(Data_Nhập[Month]=BU$2)*(Data_Nhập[Main SKU name_GOM]=$A12)*(Data_Nhập[SKU name_NHẬP_GOM]=BU$3)))</f>
        <v>0</v>
      </c>
      <c r="BV12" s="27">
        <f t="shared" si="15"/>
        <v>0</v>
      </c>
      <c r="BX12" s="27" cm="1">
        <f t="array" ref="BX12">IF(BX$2="FY",SUMPRODUCT(Data_Xuất[Xuất-NX]*(Data_Xuất[Year]=BX$1)*(Data_Xuất[Main SKU name_GOM]=$A12)),SUMPRODUCT(Data_Xuất[Xuất-NX]*(Data_Xuất[Year]=BX$1)*(Data_Xuất[Main SKU name_GOM]=$A12)*(Data_Xuất[Month]=BX$2)))</f>
        <v>0</v>
      </c>
      <c r="BY12" s="26" cm="1">
        <f t="array" ref="BY12">IF(BY$2="FY",SUMPRODUCT(Data_Nhập[Tổng Nhập-NX]*(Data_Nhập[Year]=BY$1)*(Data_Nhập[Main SKU name_GOM]=$A12)*(Data_Nhập[SKU name_NHẬP_GOM]=BY$3)),SUMPRODUCT(Data_Nhập[Tổng Nhập-NX]*(Data_Nhập[Year]=BY$1)*(Data_Nhập[Month]=BY$2)*(Data_Nhập[Main SKU name_GOM]=$A12)*(Data_Nhập[SKU name_NHẬP_GOM]=BY$3)))</f>
        <v>0</v>
      </c>
      <c r="BZ12" s="26" cm="1">
        <f t="array" ref="BZ12">IF(BZ$2="FY",SUMPRODUCT(Data_Nhập[Tổng Nhập-NX]*(Data_Nhập[Year]=BZ$1)*(Data_Nhập[Main SKU name_GOM]=$A12)*(Data_Nhập[SKU name_NHẬP_GOM]=BZ$3)),SUMPRODUCT(Data_Nhập[Tổng Nhập-NX]*(Data_Nhập[Year]=BZ$1)*(Data_Nhập[Month]=BZ$2)*(Data_Nhập[Main SKU name_GOM]=$A12)*(Data_Nhập[SKU name_NHẬP_GOM]=BZ$3)))</f>
        <v>0</v>
      </c>
      <c r="CA12" s="26" cm="1">
        <f t="array" ref="CA12">IF(CA$2="FY",SUMPRODUCT(Data_Nhập[Tổng Nhập-NX]*(Data_Nhập[Year]=CA$1)*(Data_Nhập[Main SKU name_GOM]=$A12)*(Data_Nhập[SKU name_NHẬP_GOM]=CA$3)),SUMPRODUCT(Data_Nhập[Tổng Nhập-NX]*(Data_Nhập[Year]=CA$1)*(Data_Nhập[Month]=CA$2)*(Data_Nhập[Main SKU name_GOM]=$A12)*(Data_Nhập[SKU name_NHẬP_GOM]=CA$3)))</f>
        <v>0</v>
      </c>
      <c r="CB12" s="26" cm="1">
        <f t="array" ref="CB12">IF(CB$2="FY",SUMPRODUCT(Data_Nhập[Tổng Nhập-NX]*(Data_Nhập[Year]=CB$1)*(Data_Nhập[Main SKU name_GOM]=$A12)*(Data_Nhập[SKU name_NHẬP_GOM]=CB$3)),SUMPRODUCT(Data_Nhập[Tổng Nhập-NX]*(Data_Nhập[Year]=CB$1)*(Data_Nhập[Month]=CB$2)*(Data_Nhập[Main SKU name_GOM]=$A12)*(Data_Nhập[SKU name_NHẬP_GOM]=CB$3)))</f>
        <v>0</v>
      </c>
      <c r="CC12" s="26" cm="1">
        <f t="array" ref="CC12">IF(CC$2="FY",SUMPRODUCT(Data_Nhập[Tổng Nhập-NX]*(Data_Nhập[Year]=CC$1)*(Data_Nhập[Main SKU name_GOM]=$A12)*(Data_Nhập[SKU name_NHẬP_GOM]=CC$3)),SUMPRODUCT(Data_Nhập[Tổng Nhập-NX]*(Data_Nhập[Year]=CC$1)*(Data_Nhập[Month]=CC$2)*(Data_Nhập[Main SKU name_GOM]=$A12)*(Data_Nhập[SKU name_NHẬP_GOM]=CC$3)))</f>
        <v>0</v>
      </c>
      <c r="CD12" s="26" cm="1">
        <f t="array" ref="CD12">IF(CD$2="FY",SUMPRODUCT(Data_Nhập[Tổng Nhập-NX]*(Data_Nhập[Year]=CD$1)*(Data_Nhập[Main SKU name_GOM]=$A12)*(Data_Nhập[SKU name_NHẬP_GOM]=CD$3)),SUMPRODUCT(Data_Nhập[Tổng Nhập-NX]*(Data_Nhập[Year]=CD$1)*(Data_Nhập[Month]=CD$2)*(Data_Nhập[Main SKU name_GOM]=$A12)*(Data_Nhập[SKU name_NHẬP_GOM]=CD$3)))</f>
        <v>0</v>
      </c>
      <c r="CE12" s="26" cm="1">
        <f t="array" ref="CE12">IF(CE$2="FY",SUMPRODUCT(Data_Nhập[Tổng Nhập-NX]*(Data_Nhập[Year]=CE$1)*(Data_Nhập[Main SKU name_GOM]=$A12)*(Data_Nhập[SKU name_NHẬP_GOM]=CE$3)),SUMPRODUCT(Data_Nhập[Tổng Nhập-NX]*(Data_Nhập[Year]=CE$1)*(Data_Nhập[Month]=CE$2)*(Data_Nhập[Main SKU name_GOM]=$A12)*(Data_Nhập[SKU name_NHẬP_GOM]=CE$3)))</f>
        <v>0</v>
      </c>
      <c r="CF12" s="26" cm="1">
        <f t="array" ref="CF12">IF(CF$2="FY",SUMPRODUCT(Data_Nhập[Tổng Nhập-NX]*(Data_Nhập[Year]=CF$1)*(Data_Nhập[Main SKU name_GOM]=$A12)*(Data_Nhập[SKU name_NHẬP_GOM]=CF$3)),SUMPRODUCT(Data_Nhập[Tổng Nhập-NX]*(Data_Nhập[Year]=CF$1)*(Data_Nhập[Month]=CF$2)*(Data_Nhập[Main SKU name_GOM]=$A12)*(Data_Nhập[SKU name_NHẬP_GOM]=CF$3)))</f>
        <v>0</v>
      </c>
      <c r="CG12" s="26" cm="1">
        <f t="array" ref="CG12">IF(CG$2="FY",SUMPRODUCT(Data_Nhập[Tổng Nhập-NX]*(Data_Nhập[Year]=CG$1)*(Data_Nhập[Main SKU name_GOM]=$A12)*(Data_Nhập[SKU name_NHẬP_GOM]=CG$3)),SUMPRODUCT(Data_Nhập[Tổng Nhập-NX]*(Data_Nhập[Year]=CG$1)*(Data_Nhập[Month]=CG$2)*(Data_Nhập[Main SKU name_GOM]=$A12)*(Data_Nhập[SKU name_NHẬP_GOM]=CG$3)))</f>
        <v>0</v>
      </c>
      <c r="CH12" s="26" cm="1">
        <f t="array" ref="CH12">IF(CH$2="FY",SUMPRODUCT(Data_Nhập[Tổng Nhập-NX]*(Data_Nhập[Year]=CH$1)*(Data_Nhập[Main SKU name_GOM]=$A12)*(Data_Nhập[SKU name_NHẬP_GOM]=CH$3)),SUMPRODUCT(Data_Nhập[Tổng Nhập-NX]*(Data_Nhập[Year]=CH$1)*(Data_Nhập[Month]=CH$2)*(Data_Nhập[Main SKU name_GOM]=$A12)*(Data_Nhập[SKU name_NHẬP_GOM]=CH$3)))</f>
        <v>0</v>
      </c>
      <c r="CI12" s="26" cm="1">
        <f t="array" ref="CI12">IF(CI$2="FY",SUMPRODUCT(Data_Nhập[Tổng Nhập-NX]*(Data_Nhập[Year]=CI$1)*(Data_Nhập[Main SKU name_GOM]=$A12)*(Data_Nhập[SKU name_NHẬP_GOM]=CI$3)),SUMPRODUCT(Data_Nhập[Tổng Nhập-NX]*(Data_Nhập[Year]=CI$1)*(Data_Nhập[Month]=CI$2)*(Data_Nhập[Main SKU name_GOM]=$A12)*(Data_Nhập[SKU name_NHẬP_GOM]=CI$3)))</f>
        <v>0</v>
      </c>
      <c r="CJ12" s="26" cm="1">
        <f t="array" ref="CJ12">IF(CJ$2="FY",SUMPRODUCT(Data_Nhập[Tổng Nhập-NX]*(Data_Nhập[Year]=CJ$1)*(Data_Nhập[Main SKU name_GOM]=$A12)*(Data_Nhập[SKU name_NHẬP_GOM]=CJ$3)),SUMPRODUCT(Data_Nhập[Tổng Nhập-NX]*(Data_Nhập[Year]=CJ$1)*(Data_Nhập[Month]=CJ$2)*(Data_Nhập[Main SKU name_GOM]=$A12)*(Data_Nhập[SKU name_NHẬP_GOM]=CJ$3)))</f>
        <v>0</v>
      </c>
      <c r="CK12" s="26" cm="1">
        <f t="array" ref="CK12">IF(CK$2="FY",SUMPRODUCT(Data_Nhập[Tổng Nhập-NX]*(Data_Nhập[Year]=CK$1)*(Data_Nhập[Main SKU name_GOM]=$A12)*(Data_Nhập[SKU name_NHẬP_GOM]=CK$3)),SUMPRODUCT(Data_Nhập[Tổng Nhập-NX]*(Data_Nhập[Year]=CK$1)*(Data_Nhập[Month]=CK$2)*(Data_Nhập[Main SKU name_GOM]=$A12)*(Data_Nhập[SKU name_NHẬP_GOM]=CK$3)))</f>
        <v>0</v>
      </c>
      <c r="CL12" s="26" cm="1">
        <f t="array" ref="CL12">IF(CL$2="FY",SUMPRODUCT(Data_Nhập[Tổng Nhập-NX]*(Data_Nhập[Year]=CL$1)*(Data_Nhập[Main SKU name_GOM]=$A12)*(Data_Nhập[SKU name_NHẬP_GOM]=CL$3)),SUMPRODUCT(Data_Nhập[Tổng Nhập-NX]*(Data_Nhập[Year]=CL$1)*(Data_Nhập[Month]=CL$2)*(Data_Nhập[Main SKU name_GOM]=$A12)*(Data_Nhập[SKU name_NHẬP_GOM]=CL$3)))</f>
        <v>0</v>
      </c>
      <c r="CM12" s="26" cm="1">
        <f t="array" ref="CM12">IF(CM$2="FY",SUMPRODUCT(Data_Nhập[Tổng Nhập-NX]*(Data_Nhập[Year]=CM$1)*(Data_Nhập[Main SKU name_GOM]=$A12)*(Data_Nhập[SKU name_NHẬP_GOM]=CM$3)),SUMPRODUCT(Data_Nhập[Tổng Nhập-NX]*(Data_Nhập[Year]=CM$1)*(Data_Nhập[Month]=CM$2)*(Data_Nhập[Main SKU name_GOM]=$A12)*(Data_Nhập[SKU name_NHẬP_GOM]=CM$3)))</f>
        <v>0</v>
      </c>
      <c r="CN12" s="27">
        <f t="shared" si="16"/>
        <v>0</v>
      </c>
      <c r="CP12" s="27" cm="1">
        <f t="array" ref="CP12">IF(CP$2="FY",SUMPRODUCT(Data_Xuất[Xuất-NX]*(Data_Xuất[Year]=CP$1)*(Data_Xuất[Main SKU name_GOM]=$A12)),SUMPRODUCT(Data_Xuất[Xuất-NX]*(Data_Xuất[Year]=CP$1)*(Data_Xuất[Main SKU name_GOM]=$A12)*(Data_Xuất[Month]=CP$2)))</f>
        <v>0</v>
      </c>
      <c r="CQ12" s="26" cm="1">
        <f t="array" ref="CQ12">IF(CQ$2="FY",SUMPRODUCT(Data_Nhập[Tổng Nhập-NX]*(Data_Nhập[Year]=CQ$1)*(Data_Nhập[Main SKU name_GOM]=$A12)*(Data_Nhập[SKU name_NHẬP_GOM]=CQ$3)),SUMPRODUCT(Data_Nhập[Tổng Nhập-NX]*(Data_Nhập[Year]=CQ$1)*(Data_Nhập[Month]=CQ$2)*(Data_Nhập[Main SKU name_GOM]=$A12)*(Data_Nhập[SKU name_NHẬP_GOM]=CQ$3)))</f>
        <v>0</v>
      </c>
      <c r="CR12" s="26" cm="1">
        <f t="array" ref="CR12">IF(CR$2="FY",SUMPRODUCT(Data_Nhập[Tổng Nhập-NX]*(Data_Nhập[Year]=CR$1)*(Data_Nhập[Main SKU name_GOM]=$A12)*(Data_Nhập[SKU name_NHẬP_GOM]=CR$3)),SUMPRODUCT(Data_Nhập[Tổng Nhập-NX]*(Data_Nhập[Year]=CR$1)*(Data_Nhập[Month]=CR$2)*(Data_Nhập[Main SKU name_GOM]=$A12)*(Data_Nhập[SKU name_NHẬP_GOM]=CR$3)))</f>
        <v>0</v>
      </c>
      <c r="CS12" s="26" cm="1">
        <f t="array" ref="CS12">IF(CS$2="FY",SUMPRODUCT(Data_Nhập[Tổng Nhập-NX]*(Data_Nhập[Year]=CS$1)*(Data_Nhập[Main SKU name_GOM]=$A12)*(Data_Nhập[SKU name_NHẬP_GOM]=CS$3)),SUMPRODUCT(Data_Nhập[Tổng Nhập-NX]*(Data_Nhập[Year]=CS$1)*(Data_Nhập[Month]=CS$2)*(Data_Nhập[Main SKU name_GOM]=$A12)*(Data_Nhập[SKU name_NHẬP_GOM]=CS$3)))</f>
        <v>0</v>
      </c>
      <c r="CT12" s="26" cm="1">
        <f t="array" ref="CT12">IF(CT$2="FY",SUMPRODUCT(Data_Nhập[Tổng Nhập-NX]*(Data_Nhập[Year]=CT$1)*(Data_Nhập[Main SKU name_GOM]=$A12)*(Data_Nhập[SKU name_NHẬP_GOM]=CT$3)),SUMPRODUCT(Data_Nhập[Tổng Nhập-NX]*(Data_Nhập[Year]=CT$1)*(Data_Nhập[Month]=CT$2)*(Data_Nhập[Main SKU name_GOM]=$A12)*(Data_Nhập[SKU name_NHẬP_GOM]=CT$3)))</f>
        <v>0</v>
      </c>
      <c r="CU12" s="26" cm="1">
        <f t="array" ref="CU12">IF(CU$2="FY",SUMPRODUCT(Data_Nhập[Tổng Nhập-NX]*(Data_Nhập[Year]=CU$1)*(Data_Nhập[Main SKU name_GOM]=$A12)*(Data_Nhập[SKU name_NHẬP_GOM]=CU$3)),SUMPRODUCT(Data_Nhập[Tổng Nhập-NX]*(Data_Nhập[Year]=CU$1)*(Data_Nhập[Month]=CU$2)*(Data_Nhập[Main SKU name_GOM]=$A12)*(Data_Nhập[SKU name_NHẬP_GOM]=CU$3)))</f>
        <v>0</v>
      </c>
      <c r="CV12" s="26" cm="1">
        <f t="array" ref="CV12">IF(CV$2="FY",SUMPRODUCT(Data_Nhập[Tổng Nhập-NX]*(Data_Nhập[Year]=CV$1)*(Data_Nhập[Main SKU name_GOM]=$A12)*(Data_Nhập[SKU name_NHẬP_GOM]=CV$3)),SUMPRODUCT(Data_Nhập[Tổng Nhập-NX]*(Data_Nhập[Year]=CV$1)*(Data_Nhập[Month]=CV$2)*(Data_Nhập[Main SKU name_GOM]=$A12)*(Data_Nhập[SKU name_NHẬP_GOM]=CV$3)))</f>
        <v>0</v>
      </c>
      <c r="CW12" s="26" cm="1">
        <f t="array" ref="CW12">IF(CW$2="FY",SUMPRODUCT(Data_Nhập[Tổng Nhập-NX]*(Data_Nhập[Year]=CW$1)*(Data_Nhập[Main SKU name_GOM]=$A12)*(Data_Nhập[SKU name_NHẬP_GOM]=CW$3)),SUMPRODUCT(Data_Nhập[Tổng Nhập-NX]*(Data_Nhập[Year]=CW$1)*(Data_Nhập[Month]=CW$2)*(Data_Nhập[Main SKU name_GOM]=$A12)*(Data_Nhập[SKU name_NHẬP_GOM]=CW$3)))</f>
        <v>0</v>
      </c>
      <c r="CX12" s="26" cm="1">
        <f t="array" ref="CX12">IF(CX$2="FY",SUMPRODUCT(Data_Nhập[Tổng Nhập-NX]*(Data_Nhập[Year]=CX$1)*(Data_Nhập[Main SKU name_GOM]=$A12)*(Data_Nhập[SKU name_NHẬP_GOM]=CX$3)),SUMPRODUCT(Data_Nhập[Tổng Nhập-NX]*(Data_Nhập[Year]=CX$1)*(Data_Nhập[Month]=CX$2)*(Data_Nhập[Main SKU name_GOM]=$A12)*(Data_Nhập[SKU name_NHẬP_GOM]=CX$3)))</f>
        <v>0</v>
      </c>
      <c r="CY12" s="26" cm="1">
        <f t="array" ref="CY12">IF(CY$2="FY",SUMPRODUCT(Data_Nhập[Tổng Nhập-NX]*(Data_Nhập[Year]=CY$1)*(Data_Nhập[Main SKU name_GOM]=$A12)*(Data_Nhập[SKU name_NHẬP_GOM]=CY$3)),SUMPRODUCT(Data_Nhập[Tổng Nhập-NX]*(Data_Nhập[Year]=CY$1)*(Data_Nhập[Month]=CY$2)*(Data_Nhập[Main SKU name_GOM]=$A12)*(Data_Nhập[SKU name_NHẬP_GOM]=CY$3)))</f>
        <v>0</v>
      </c>
      <c r="CZ12" s="26" cm="1">
        <f t="array" ref="CZ12">IF(CZ$2="FY",SUMPRODUCT(Data_Nhập[Tổng Nhập-NX]*(Data_Nhập[Year]=CZ$1)*(Data_Nhập[Main SKU name_GOM]=$A12)*(Data_Nhập[SKU name_NHẬP_GOM]=CZ$3)),SUMPRODUCT(Data_Nhập[Tổng Nhập-NX]*(Data_Nhập[Year]=CZ$1)*(Data_Nhập[Month]=CZ$2)*(Data_Nhập[Main SKU name_GOM]=$A12)*(Data_Nhập[SKU name_NHẬP_GOM]=CZ$3)))</f>
        <v>0</v>
      </c>
      <c r="DA12" s="26" cm="1">
        <f t="array" ref="DA12">IF(DA$2="FY",SUMPRODUCT(Data_Nhập[Tổng Nhập-NX]*(Data_Nhập[Year]=DA$1)*(Data_Nhập[Main SKU name_GOM]=$A12)*(Data_Nhập[SKU name_NHẬP_GOM]=DA$3)),SUMPRODUCT(Data_Nhập[Tổng Nhập-NX]*(Data_Nhập[Year]=DA$1)*(Data_Nhập[Month]=DA$2)*(Data_Nhập[Main SKU name_GOM]=$A12)*(Data_Nhập[SKU name_NHẬP_GOM]=DA$3)))</f>
        <v>0</v>
      </c>
      <c r="DB12" s="26" cm="1">
        <f t="array" ref="DB12">IF(DB$2="FY",SUMPRODUCT(Data_Nhập[Tổng Nhập-NX]*(Data_Nhập[Year]=DB$1)*(Data_Nhập[Main SKU name_GOM]=$A12)*(Data_Nhập[SKU name_NHẬP_GOM]=DB$3)),SUMPRODUCT(Data_Nhập[Tổng Nhập-NX]*(Data_Nhập[Year]=DB$1)*(Data_Nhập[Month]=DB$2)*(Data_Nhập[Main SKU name_GOM]=$A12)*(Data_Nhập[SKU name_NHẬP_GOM]=DB$3)))</f>
        <v>0</v>
      </c>
      <c r="DC12" s="26" cm="1">
        <f t="array" ref="DC12">IF(DC$2="FY",SUMPRODUCT(Data_Nhập[Tổng Nhập-NX]*(Data_Nhập[Year]=DC$1)*(Data_Nhập[Main SKU name_GOM]=$A12)*(Data_Nhập[SKU name_NHẬP_GOM]=DC$3)),SUMPRODUCT(Data_Nhập[Tổng Nhập-NX]*(Data_Nhập[Year]=DC$1)*(Data_Nhập[Month]=DC$2)*(Data_Nhập[Main SKU name_GOM]=$A12)*(Data_Nhập[SKU name_NHẬP_GOM]=DC$3)))</f>
        <v>0</v>
      </c>
      <c r="DD12" s="26" cm="1">
        <f t="array" ref="DD12">IF(DD$2="FY",SUMPRODUCT(Data_Nhập[Tổng Nhập-NX]*(Data_Nhập[Year]=DD$1)*(Data_Nhập[Main SKU name_GOM]=$A12)*(Data_Nhập[SKU name_NHẬP_GOM]=DD$3)),SUMPRODUCT(Data_Nhập[Tổng Nhập-NX]*(Data_Nhập[Year]=DD$1)*(Data_Nhập[Month]=DD$2)*(Data_Nhập[Main SKU name_GOM]=$A12)*(Data_Nhập[SKU name_NHẬP_GOM]=DD$3)))</f>
        <v>0</v>
      </c>
      <c r="DE12" s="26" cm="1">
        <f t="array" ref="DE12">IF(DE$2="FY",SUMPRODUCT(Data_Nhập[Tổng Nhập-NX]*(Data_Nhập[Year]=DE$1)*(Data_Nhập[Main SKU name_GOM]=$A12)*(Data_Nhập[SKU name_NHẬP_GOM]=DE$3)),SUMPRODUCT(Data_Nhập[Tổng Nhập-NX]*(Data_Nhập[Year]=DE$1)*(Data_Nhập[Month]=DE$2)*(Data_Nhập[Main SKU name_GOM]=$A12)*(Data_Nhập[SKU name_NHẬP_GOM]=DE$3)))</f>
        <v>0</v>
      </c>
      <c r="DF12" s="27">
        <f t="shared" si="17"/>
        <v>0</v>
      </c>
      <c r="DH12" s="27" cm="1">
        <f t="array" ref="DH12">IF(DH$2="FY",SUMPRODUCT(Data_Xuất[Xuất-NX]*(Data_Xuất[Year]=DH$1)*(Data_Xuất[Main SKU name_GOM]=$A12)),SUMPRODUCT(Data_Xuất[Xuất-NX]*(Data_Xuất[Year]=DH$1)*(Data_Xuất[Main SKU name_GOM]=$A12)*(Data_Xuất[Month]=DH$2)))</f>
        <v>0</v>
      </c>
      <c r="DI12" s="26" cm="1">
        <f t="array" ref="DI12">IF(DI$2="FY",SUMPRODUCT(Data_Nhập[Tổng Nhập-NX]*(Data_Nhập[Year]=DI$1)*(Data_Nhập[Main SKU name_GOM]=$A12)*(Data_Nhập[SKU name_NHẬP_GOM]=DI$3)),SUMPRODUCT(Data_Nhập[Tổng Nhập-NX]*(Data_Nhập[Year]=DI$1)*(Data_Nhập[Month]=DI$2)*(Data_Nhập[Main SKU name_GOM]=$A12)*(Data_Nhập[SKU name_NHẬP_GOM]=DI$3)))</f>
        <v>0</v>
      </c>
      <c r="DJ12" s="26" cm="1">
        <f t="array" ref="DJ12">IF(DJ$2="FY",SUMPRODUCT(Data_Nhập[Tổng Nhập-NX]*(Data_Nhập[Year]=DJ$1)*(Data_Nhập[Main SKU name_GOM]=$A12)*(Data_Nhập[SKU name_NHẬP_GOM]=DJ$3)),SUMPRODUCT(Data_Nhập[Tổng Nhập-NX]*(Data_Nhập[Year]=DJ$1)*(Data_Nhập[Month]=DJ$2)*(Data_Nhập[Main SKU name_GOM]=$A12)*(Data_Nhập[SKU name_NHẬP_GOM]=DJ$3)))</f>
        <v>0</v>
      </c>
      <c r="DK12" s="26" cm="1">
        <f t="array" ref="DK12">IF(DK$2="FY",SUMPRODUCT(Data_Nhập[Tổng Nhập-NX]*(Data_Nhập[Year]=DK$1)*(Data_Nhập[Main SKU name_GOM]=$A12)*(Data_Nhập[SKU name_NHẬP_GOM]=DK$3)),SUMPRODUCT(Data_Nhập[Tổng Nhập-NX]*(Data_Nhập[Year]=DK$1)*(Data_Nhập[Month]=DK$2)*(Data_Nhập[Main SKU name_GOM]=$A12)*(Data_Nhập[SKU name_NHẬP_GOM]=DK$3)))</f>
        <v>0</v>
      </c>
      <c r="DL12" s="26" cm="1">
        <f t="array" ref="DL12">IF(DL$2="FY",SUMPRODUCT(Data_Nhập[Tổng Nhập-NX]*(Data_Nhập[Year]=DL$1)*(Data_Nhập[Main SKU name_GOM]=$A12)*(Data_Nhập[SKU name_NHẬP_GOM]=DL$3)),SUMPRODUCT(Data_Nhập[Tổng Nhập-NX]*(Data_Nhập[Year]=DL$1)*(Data_Nhập[Month]=DL$2)*(Data_Nhập[Main SKU name_GOM]=$A12)*(Data_Nhập[SKU name_NHẬP_GOM]=DL$3)))</f>
        <v>0</v>
      </c>
      <c r="DM12" s="26" cm="1">
        <f t="array" ref="DM12">IF(DM$2="FY",SUMPRODUCT(Data_Nhập[Tổng Nhập-NX]*(Data_Nhập[Year]=DM$1)*(Data_Nhập[Main SKU name_GOM]=$A12)*(Data_Nhập[SKU name_NHẬP_GOM]=DM$3)),SUMPRODUCT(Data_Nhập[Tổng Nhập-NX]*(Data_Nhập[Year]=DM$1)*(Data_Nhập[Month]=DM$2)*(Data_Nhập[Main SKU name_GOM]=$A12)*(Data_Nhập[SKU name_NHẬP_GOM]=DM$3)))</f>
        <v>0</v>
      </c>
      <c r="DN12" s="26" cm="1">
        <f t="array" ref="DN12">IF(DN$2="FY",SUMPRODUCT(Data_Nhập[Tổng Nhập-NX]*(Data_Nhập[Year]=DN$1)*(Data_Nhập[Main SKU name_GOM]=$A12)*(Data_Nhập[SKU name_NHẬP_GOM]=DN$3)),SUMPRODUCT(Data_Nhập[Tổng Nhập-NX]*(Data_Nhập[Year]=DN$1)*(Data_Nhập[Month]=DN$2)*(Data_Nhập[Main SKU name_GOM]=$A12)*(Data_Nhập[SKU name_NHẬP_GOM]=DN$3)))</f>
        <v>0</v>
      </c>
      <c r="DO12" s="26" cm="1">
        <f t="array" ref="DO12">IF(DO$2="FY",SUMPRODUCT(Data_Nhập[Tổng Nhập-NX]*(Data_Nhập[Year]=DO$1)*(Data_Nhập[Main SKU name_GOM]=$A12)*(Data_Nhập[SKU name_NHẬP_GOM]=DO$3)),SUMPRODUCT(Data_Nhập[Tổng Nhập-NX]*(Data_Nhập[Year]=DO$1)*(Data_Nhập[Month]=DO$2)*(Data_Nhập[Main SKU name_GOM]=$A12)*(Data_Nhập[SKU name_NHẬP_GOM]=DO$3)))</f>
        <v>0</v>
      </c>
      <c r="DP12" s="26" cm="1">
        <f t="array" ref="DP12">IF(DP$2="FY",SUMPRODUCT(Data_Nhập[Tổng Nhập-NX]*(Data_Nhập[Year]=DP$1)*(Data_Nhập[Main SKU name_GOM]=$A12)*(Data_Nhập[SKU name_NHẬP_GOM]=DP$3)),SUMPRODUCT(Data_Nhập[Tổng Nhập-NX]*(Data_Nhập[Year]=DP$1)*(Data_Nhập[Month]=DP$2)*(Data_Nhập[Main SKU name_GOM]=$A12)*(Data_Nhập[SKU name_NHẬP_GOM]=DP$3)))</f>
        <v>0</v>
      </c>
      <c r="DQ12" s="26" cm="1">
        <f t="array" ref="DQ12">IF(DQ$2="FY",SUMPRODUCT(Data_Nhập[Tổng Nhập-NX]*(Data_Nhập[Year]=DQ$1)*(Data_Nhập[Main SKU name_GOM]=$A12)*(Data_Nhập[SKU name_NHẬP_GOM]=DQ$3)),SUMPRODUCT(Data_Nhập[Tổng Nhập-NX]*(Data_Nhập[Year]=DQ$1)*(Data_Nhập[Month]=DQ$2)*(Data_Nhập[Main SKU name_GOM]=$A12)*(Data_Nhập[SKU name_NHẬP_GOM]=DQ$3)))</f>
        <v>0</v>
      </c>
      <c r="DR12" s="26" cm="1">
        <f t="array" ref="DR12">IF(DR$2="FY",SUMPRODUCT(Data_Nhập[Tổng Nhập-NX]*(Data_Nhập[Year]=DR$1)*(Data_Nhập[Main SKU name_GOM]=$A12)*(Data_Nhập[SKU name_NHẬP_GOM]=DR$3)),SUMPRODUCT(Data_Nhập[Tổng Nhập-NX]*(Data_Nhập[Year]=DR$1)*(Data_Nhập[Month]=DR$2)*(Data_Nhập[Main SKU name_GOM]=$A12)*(Data_Nhập[SKU name_NHẬP_GOM]=DR$3)))</f>
        <v>0</v>
      </c>
      <c r="DS12" s="26" cm="1">
        <f t="array" ref="DS12">IF(DS$2="FY",SUMPRODUCT(Data_Nhập[Tổng Nhập-NX]*(Data_Nhập[Year]=DS$1)*(Data_Nhập[Main SKU name_GOM]=$A12)*(Data_Nhập[SKU name_NHẬP_GOM]=DS$3)),SUMPRODUCT(Data_Nhập[Tổng Nhập-NX]*(Data_Nhập[Year]=DS$1)*(Data_Nhập[Month]=DS$2)*(Data_Nhập[Main SKU name_GOM]=$A12)*(Data_Nhập[SKU name_NHẬP_GOM]=DS$3)))</f>
        <v>0</v>
      </c>
      <c r="DT12" s="26" cm="1">
        <f t="array" ref="DT12">IF(DT$2="FY",SUMPRODUCT(Data_Nhập[Tổng Nhập-NX]*(Data_Nhập[Year]=DT$1)*(Data_Nhập[Main SKU name_GOM]=$A12)*(Data_Nhập[SKU name_NHẬP_GOM]=DT$3)),SUMPRODUCT(Data_Nhập[Tổng Nhập-NX]*(Data_Nhập[Year]=DT$1)*(Data_Nhập[Month]=DT$2)*(Data_Nhập[Main SKU name_GOM]=$A12)*(Data_Nhập[SKU name_NHẬP_GOM]=DT$3)))</f>
        <v>0</v>
      </c>
      <c r="DU12" s="26" cm="1">
        <f t="array" ref="DU12">IF(DU$2="FY",SUMPRODUCT(Data_Nhập[Tổng Nhập-NX]*(Data_Nhập[Year]=DU$1)*(Data_Nhập[Main SKU name_GOM]=$A12)*(Data_Nhập[SKU name_NHẬP_GOM]=DU$3)),SUMPRODUCT(Data_Nhập[Tổng Nhập-NX]*(Data_Nhập[Year]=DU$1)*(Data_Nhập[Month]=DU$2)*(Data_Nhập[Main SKU name_GOM]=$A12)*(Data_Nhập[SKU name_NHẬP_GOM]=DU$3)))</f>
        <v>0</v>
      </c>
      <c r="DV12" s="26" cm="1">
        <f t="array" ref="DV12">IF(DV$2="FY",SUMPRODUCT(Data_Nhập[Tổng Nhập-NX]*(Data_Nhập[Year]=DV$1)*(Data_Nhập[Main SKU name_GOM]=$A12)*(Data_Nhập[SKU name_NHẬP_GOM]=DV$3)),SUMPRODUCT(Data_Nhập[Tổng Nhập-NX]*(Data_Nhập[Year]=DV$1)*(Data_Nhập[Month]=DV$2)*(Data_Nhập[Main SKU name_GOM]=$A12)*(Data_Nhập[SKU name_NHẬP_GOM]=DV$3)))</f>
        <v>0</v>
      </c>
      <c r="DW12" s="26" cm="1">
        <f t="array" ref="DW12">IF(DW$2="FY",SUMPRODUCT(Data_Nhập[Tổng Nhập-NX]*(Data_Nhập[Year]=DW$1)*(Data_Nhập[Main SKU name_GOM]=$A12)*(Data_Nhập[SKU name_NHẬP_GOM]=DW$3)),SUMPRODUCT(Data_Nhập[Tổng Nhập-NX]*(Data_Nhập[Year]=DW$1)*(Data_Nhập[Month]=DW$2)*(Data_Nhập[Main SKU name_GOM]=$A12)*(Data_Nhập[SKU name_NHẬP_GOM]=DW$3)))</f>
        <v>0</v>
      </c>
      <c r="DX12" s="27">
        <f t="shared" si="18"/>
        <v>0</v>
      </c>
      <c r="DZ12" s="27" cm="1">
        <f t="array" ref="DZ12">IF(DZ$2="FY",SUMPRODUCT(Data_Xuất[Xuất-NX]*(Data_Xuất[Year]=DZ$1)*(Data_Xuất[Main SKU name_GOM]=$A12)),SUMPRODUCT(Data_Xuất[Xuất-NX]*(Data_Xuất[Year]=DZ$1)*(Data_Xuất[Main SKU name_GOM]=$A12)*(Data_Xuất[Month]=DZ$2)))</f>
        <v>0</v>
      </c>
      <c r="EA12" s="26" cm="1">
        <f t="array" ref="EA12">IF(EA$2="FY",SUMPRODUCT(Data_Nhập[Tổng Nhập-NX]*(Data_Nhập[Year]=EA$1)*(Data_Nhập[Main SKU name_GOM]=$A12)*(Data_Nhập[SKU name_NHẬP_GOM]=EA$3)),SUMPRODUCT(Data_Nhập[Tổng Nhập-NX]*(Data_Nhập[Year]=EA$1)*(Data_Nhập[Month]=EA$2)*(Data_Nhập[Main SKU name_GOM]=$A12)*(Data_Nhập[SKU name_NHẬP_GOM]=EA$3)))</f>
        <v>0</v>
      </c>
      <c r="EB12" s="26" cm="1">
        <f t="array" ref="EB12">IF(EB$2="FY",SUMPRODUCT(Data_Nhập[Tổng Nhập-NX]*(Data_Nhập[Year]=EB$1)*(Data_Nhập[Main SKU name_GOM]=$A12)*(Data_Nhập[SKU name_NHẬP_GOM]=EB$3)),SUMPRODUCT(Data_Nhập[Tổng Nhập-NX]*(Data_Nhập[Year]=EB$1)*(Data_Nhập[Month]=EB$2)*(Data_Nhập[Main SKU name_GOM]=$A12)*(Data_Nhập[SKU name_NHẬP_GOM]=EB$3)))</f>
        <v>0</v>
      </c>
      <c r="EC12" s="26" cm="1">
        <f t="array" ref="EC12">IF(EC$2="FY",SUMPRODUCT(Data_Nhập[Tổng Nhập-NX]*(Data_Nhập[Year]=EC$1)*(Data_Nhập[Main SKU name_GOM]=$A12)*(Data_Nhập[SKU name_NHẬP_GOM]=EC$3)),SUMPRODUCT(Data_Nhập[Tổng Nhập-NX]*(Data_Nhập[Year]=EC$1)*(Data_Nhập[Month]=EC$2)*(Data_Nhập[Main SKU name_GOM]=$A12)*(Data_Nhập[SKU name_NHẬP_GOM]=EC$3)))</f>
        <v>0</v>
      </c>
      <c r="ED12" s="26" cm="1">
        <f t="array" ref="ED12">IF(ED$2="FY",SUMPRODUCT(Data_Nhập[Tổng Nhập-NX]*(Data_Nhập[Year]=ED$1)*(Data_Nhập[Main SKU name_GOM]=$A12)*(Data_Nhập[SKU name_NHẬP_GOM]=ED$3)),SUMPRODUCT(Data_Nhập[Tổng Nhập-NX]*(Data_Nhập[Year]=ED$1)*(Data_Nhập[Month]=ED$2)*(Data_Nhập[Main SKU name_GOM]=$A12)*(Data_Nhập[SKU name_NHẬP_GOM]=ED$3)))</f>
        <v>0</v>
      </c>
      <c r="EE12" s="26" cm="1">
        <f t="array" ref="EE12">IF(EE$2="FY",SUMPRODUCT(Data_Nhập[Tổng Nhập-NX]*(Data_Nhập[Year]=EE$1)*(Data_Nhập[Main SKU name_GOM]=$A12)*(Data_Nhập[SKU name_NHẬP_GOM]=EE$3)),SUMPRODUCT(Data_Nhập[Tổng Nhập-NX]*(Data_Nhập[Year]=EE$1)*(Data_Nhập[Month]=EE$2)*(Data_Nhập[Main SKU name_GOM]=$A12)*(Data_Nhập[SKU name_NHẬP_GOM]=EE$3)))</f>
        <v>0</v>
      </c>
      <c r="EF12" s="26" cm="1">
        <f t="array" ref="EF12">IF(EF$2="FY",SUMPRODUCT(Data_Nhập[Tổng Nhập-NX]*(Data_Nhập[Year]=EF$1)*(Data_Nhập[Main SKU name_GOM]=$A12)*(Data_Nhập[SKU name_NHẬP_GOM]=EF$3)),SUMPRODUCT(Data_Nhập[Tổng Nhập-NX]*(Data_Nhập[Year]=EF$1)*(Data_Nhập[Month]=EF$2)*(Data_Nhập[Main SKU name_GOM]=$A12)*(Data_Nhập[SKU name_NHẬP_GOM]=EF$3)))</f>
        <v>0</v>
      </c>
      <c r="EG12" s="26" cm="1">
        <f t="array" ref="EG12">IF(EG$2="FY",SUMPRODUCT(Data_Nhập[Tổng Nhập-NX]*(Data_Nhập[Year]=EG$1)*(Data_Nhập[Main SKU name_GOM]=$A12)*(Data_Nhập[SKU name_NHẬP_GOM]=EG$3)),SUMPRODUCT(Data_Nhập[Tổng Nhập-NX]*(Data_Nhập[Year]=EG$1)*(Data_Nhập[Month]=EG$2)*(Data_Nhập[Main SKU name_GOM]=$A12)*(Data_Nhập[SKU name_NHẬP_GOM]=EG$3)))</f>
        <v>0</v>
      </c>
      <c r="EH12" s="26" cm="1">
        <f t="array" ref="EH12">IF(EH$2="FY",SUMPRODUCT(Data_Nhập[Tổng Nhập-NX]*(Data_Nhập[Year]=EH$1)*(Data_Nhập[Main SKU name_GOM]=$A12)*(Data_Nhập[SKU name_NHẬP_GOM]=EH$3)),SUMPRODUCT(Data_Nhập[Tổng Nhập-NX]*(Data_Nhập[Year]=EH$1)*(Data_Nhập[Month]=EH$2)*(Data_Nhập[Main SKU name_GOM]=$A12)*(Data_Nhập[SKU name_NHẬP_GOM]=EH$3)))</f>
        <v>0</v>
      </c>
      <c r="EI12" s="26" cm="1">
        <f t="array" ref="EI12">IF(EI$2="FY",SUMPRODUCT(Data_Nhập[Tổng Nhập-NX]*(Data_Nhập[Year]=EI$1)*(Data_Nhập[Main SKU name_GOM]=$A12)*(Data_Nhập[SKU name_NHẬP_GOM]=EI$3)),SUMPRODUCT(Data_Nhập[Tổng Nhập-NX]*(Data_Nhập[Year]=EI$1)*(Data_Nhập[Month]=EI$2)*(Data_Nhập[Main SKU name_GOM]=$A12)*(Data_Nhập[SKU name_NHẬP_GOM]=EI$3)))</f>
        <v>0</v>
      </c>
      <c r="EJ12" s="26" cm="1">
        <f t="array" ref="EJ12">IF(EJ$2="FY",SUMPRODUCT(Data_Nhập[Tổng Nhập-NX]*(Data_Nhập[Year]=EJ$1)*(Data_Nhập[Main SKU name_GOM]=$A12)*(Data_Nhập[SKU name_NHẬP_GOM]=EJ$3)),SUMPRODUCT(Data_Nhập[Tổng Nhập-NX]*(Data_Nhập[Year]=EJ$1)*(Data_Nhập[Month]=EJ$2)*(Data_Nhập[Main SKU name_GOM]=$A12)*(Data_Nhập[SKU name_NHẬP_GOM]=EJ$3)))</f>
        <v>0</v>
      </c>
      <c r="EK12" s="26" cm="1">
        <f t="array" ref="EK12">IF(EK$2="FY",SUMPRODUCT(Data_Nhập[Tổng Nhập-NX]*(Data_Nhập[Year]=EK$1)*(Data_Nhập[Main SKU name_GOM]=$A12)*(Data_Nhập[SKU name_NHẬP_GOM]=EK$3)),SUMPRODUCT(Data_Nhập[Tổng Nhập-NX]*(Data_Nhập[Year]=EK$1)*(Data_Nhập[Month]=EK$2)*(Data_Nhập[Main SKU name_GOM]=$A12)*(Data_Nhập[SKU name_NHẬP_GOM]=EK$3)))</f>
        <v>0</v>
      </c>
      <c r="EL12" s="26" cm="1">
        <f t="array" ref="EL12">IF(EL$2="FY",SUMPRODUCT(Data_Nhập[Tổng Nhập-NX]*(Data_Nhập[Year]=EL$1)*(Data_Nhập[Main SKU name_GOM]=$A12)*(Data_Nhập[SKU name_NHẬP_GOM]=EL$3)),SUMPRODUCT(Data_Nhập[Tổng Nhập-NX]*(Data_Nhập[Year]=EL$1)*(Data_Nhập[Month]=EL$2)*(Data_Nhập[Main SKU name_GOM]=$A12)*(Data_Nhập[SKU name_NHẬP_GOM]=EL$3)))</f>
        <v>0</v>
      </c>
      <c r="EM12" s="26" cm="1">
        <f t="array" ref="EM12">IF(EM$2="FY",SUMPRODUCT(Data_Nhập[Tổng Nhập-NX]*(Data_Nhập[Year]=EM$1)*(Data_Nhập[Main SKU name_GOM]=$A12)*(Data_Nhập[SKU name_NHẬP_GOM]=EM$3)),SUMPRODUCT(Data_Nhập[Tổng Nhập-NX]*(Data_Nhập[Year]=EM$1)*(Data_Nhập[Month]=EM$2)*(Data_Nhập[Main SKU name_GOM]=$A12)*(Data_Nhập[SKU name_NHẬP_GOM]=EM$3)))</f>
        <v>0</v>
      </c>
      <c r="EN12" s="26" cm="1">
        <f t="array" ref="EN12">IF(EN$2="FY",SUMPRODUCT(Data_Nhập[Tổng Nhập-NX]*(Data_Nhập[Year]=EN$1)*(Data_Nhập[Main SKU name_GOM]=$A12)*(Data_Nhập[SKU name_NHẬP_GOM]=EN$3)),SUMPRODUCT(Data_Nhập[Tổng Nhập-NX]*(Data_Nhập[Year]=EN$1)*(Data_Nhập[Month]=EN$2)*(Data_Nhập[Main SKU name_GOM]=$A12)*(Data_Nhập[SKU name_NHẬP_GOM]=EN$3)))</f>
        <v>0</v>
      </c>
      <c r="EO12" s="26" cm="1">
        <f t="array" ref="EO12">IF(EO$2="FY",SUMPRODUCT(Data_Nhập[Tổng Nhập-NX]*(Data_Nhập[Year]=EO$1)*(Data_Nhập[Main SKU name_GOM]=$A12)*(Data_Nhập[SKU name_NHẬP_GOM]=EO$3)),SUMPRODUCT(Data_Nhập[Tổng Nhập-NX]*(Data_Nhập[Year]=EO$1)*(Data_Nhập[Month]=EO$2)*(Data_Nhập[Main SKU name_GOM]=$A12)*(Data_Nhập[SKU name_NHẬP_GOM]=EO$3)))</f>
        <v>0</v>
      </c>
      <c r="EP12" s="27">
        <f t="shared" si="19"/>
        <v>0</v>
      </c>
      <c r="ER12" s="27" cm="1">
        <f t="array" ref="ER12">IF(ER$2="FY",SUMPRODUCT(Data_Xuất[Xuất-NX]*(Data_Xuất[Year]=ER$1)*(Data_Xuất[Main SKU name_GOM]=$A12)),SUMPRODUCT(Data_Xuất[Xuất-NX]*(Data_Xuất[Year]=ER$1)*(Data_Xuất[Main SKU name_GOM]=$A12)*(Data_Xuất[Month]=ER$2)))</f>
        <v>0</v>
      </c>
      <c r="ES12" s="26" cm="1">
        <f t="array" ref="ES12">IF(ES$2="FY",SUMPRODUCT(Data_Nhập[Tổng Nhập-NX]*(Data_Nhập[Year]=ES$1)*(Data_Nhập[Main SKU name_GOM]=$A12)*(Data_Nhập[SKU name_NHẬP_GOM]=ES$3)),SUMPRODUCT(Data_Nhập[Tổng Nhập-NX]*(Data_Nhập[Year]=ES$1)*(Data_Nhập[Month]=ES$2)*(Data_Nhập[Main SKU name_GOM]=$A12)*(Data_Nhập[SKU name_NHẬP_GOM]=ES$3)))</f>
        <v>0</v>
      </c>
      <c r="ET12" s="26" cm="1">
        <f t="array" ref="ET12">IF(ET$2="FY",SUMPRODUCT(Data_Nhập[Tổng Nhập-NX]*(Data_Nhập[Year]=ET$1)*(Data_Nhập[Main SKU name_GOM]=$A12)*(Data_Nhập[SKU name_NHẬP_GOM]=ET$3)),SUMPRODUCT(Data_Nhập[Tổng Nhập-NX]*(Data_Nhập[Year]=ET$1)*(Data_Nhập[Month]=ET$2)*(Data_Nhập[Main SKU name_GOM]=$A12)*(Data_Nhập[SKU name_NHẬP_GOM]=ET$3)))</f>
        <v>0</v>
      </c>
      <c r="EU12" s="26" cm="1">
        <f t="array" ref="EU12">IF(EU$2="FY",SUMPRODUCT(Data_Nhập[Tổng Nhập-NX]*(Data_Nhập[Year]=EU$1)*(Data_Nhập[Main SKU name_GOM]=$A12)*(Data_Nhập[SKU name_NHẬP_GOM]=EU$3)),SUMPRODUCT(Data_Nhập[Tổng Nhập-NX]*(Data_Nhập[Year]=EU$1)*(Data_Nhập[Month]=EU$2)*(Data_Nhập[Main SKU name_GOM]=$A12)*(Data_Nhập[SKU name_NHẬP_GOM]=EU$3)))</f>
        <v>0</v>
      </c>
      <c r="EV12" s="26" cm="1">
        <f t="array" ref="EV12">IF(EV$2="FY",SUMPRODUCT(Data_Nhập[Tổng Nhập-NX]*(Data_Nhập[Year]=EV$1)*(Data_Nhập[Main SKU name_GOM]=$A12)*(Data_Nhập[SKU name_NHẬP_GOM]=EV$3)),SUMPRODUCT(Data_Nhập[Tổng Nhập-NX]*(Data_Nhập[Year]=EV$1)*(Data_Nhập[Month]=EV$2)*(Data_Nhập[Main SKU name_GOM]=$A12)*(Data_Nhập[SKU name_NHẬP_GOM]=EV$3)))</f>
        <v>0</v>
      </c>
      <c r="EW12" s="26" cm="1">
        <f t="array" ref="EW12">IF(EW$2="FY",SUMPRODUCT(Data_Nhập[Tổng Nhập-NX]*(Data_Nhập[Year]=EW$1)*(Data_Nhập[Main SKU name_GOM]=$A12)*(Data_Nhập[SKU name_NHẬP_GOM]=EW$3)),SUMPRODUCT(Data_Nhập[Tổng Nhập-NX]*(Data_Nhập[Year]=EW$1)*(Data_Nhập[Month]=EW$2)*(Data_Nhập[Main SKU name_GOM]=$A12)*(Data_Nhập[SKU name_NHẬP_GOM]=EW$3)))</f>
        <v>0</v>
      </c>
      <c r="EX12" s="26" cm="1">
        <f t="array" ref="EX12">IF(EX$2="FY",SUMPRODUCT(Data_Nhập[Tổng Nhập-NX]*(Data_Nhập[Year]=EX$1)*(Data_Nhập[Main SKU name_GOM]=$A12)*(Data_Nhập[SKU name_NHẬP_GOM]=EX$3)),SUMPRODUCT(Data_Nhập[Tổng Nhập-NX]*(Data_Nhập[Year]=EX$1)*(Data_Nhập[Month]=EX$2)*(Data_Nhập[Main SKU name_GOM]=$A12)*(Data_Nhập[SKU name_NHẬP_GOM]=EX$3)))</f>
        <v>0</v>
      </c>
      <c r="EY12" s="26" cm="1">
        <f t="array" ref="EY12">IF(EY$2="FY",SUMPRODUCT(Data_Nhập[Tổng Nhập-NX]*(Data_Nhập[Year]=EY$1)*(Data_Nhập[Main SKU name_GOM]=$A12)*(Data_Nhập[SKU name_NHẬP_GOM]=EY$3)),SUMPRODUCT(Data_Nhập[Tổng Nhập-NX]*(Data_Nhập[Year]=EY$1)*(Data_Nhập[Month]=EY$2)*(Data_Nhập[Main SKU name_GOM]=$A12)*(Data_Nhập[SKU name_NHẬP_GOM]=EY$3)))</f>
        <v>0</v>
      </c>
      <c r="EZ12" s="26" cm="1">
        <f t="array" ref="EZ12">IF(EZ$2="FY",SUMPRODUCT(Data_Nhập[Tổng Nhập-NX]*(Data_Nhập[Year]=EZ$1)*(Data_Nhập[Main SKU name_GOM]=$A12)*(Data_Nhập[SKU name_NHẬP_GOM]=EZ$3)),SUMPRODUCT(Data_Nhập[Tổng Nhập-NX]*(Data_Nhập[Year]=EZ$1)*(Data_Nhập[Month]=EZ$2)*(Data_Nhập[Main SKU name_GOM]=$A12)*(Data_Nhập[SKU name_NHẬP_GOM]=EZ$3)))</f>
        <v>0</v>
      </c>
      <c r="FA12" s="26" cm="1">
        <f t="array" ref="FA12">IF(FA$2="FY",SUMPRODUCT(Data_Nhập[Tổng Nhập-NX]*(Data_Nhập[Year]=FA$1)*(Data_Nhập[Main SKU name_GOM]=$A12)*(Data_Nhập[SKU name_NHẬP_GOM]=FA$3)),SUMPRODUCT(Data_Nhập[Tổng Nhập-NX]*(Data_Nhập[Year]=FA$1)*(Data_Nhập[Month]=FA$2)*(Data_Nhập[Main SKU name_GOM]=$A12)*(Data_Nhập[SKU name_NHẬP_GOM]=FA$3)))</f>
        <v>0</v>
      </c>
      <c r="FB12" s="26" cm="1">
        <f t="array" ref="FB12">IF(FB$2="FY",SUMPRODUCT(Data_Nhập[Tổng Nhập-NX]*(Data_Nhập[Year]=FB$1)*(Data_Nhập[Main SKU name_GOM]=$A12)*(Data_Nhập[SKU name_NHẬP_GOM]=FB$3)),SUMPRODUCT(Data_Nhập[Tổng Nhập-NX]*(Data_Nhập[Year]=FB$1)*(Data_Nhập[Month]=FB$2)*(Data_Nhập[Main SKU name_GOM]=$A12)*(Data_Nhập[SKU name_NHẬP_GOM]=FB$3)))</f>
        <v>0</v>
      </c>
      <c r="FC12" s="26" cm="1">
        <f t="array" ref="FC12">IF(FC$2="FY",SUMPRODUCT(Data_Nhập[Tổng Nhập-NX]*(Data_Nhập[Year]=FC$1)*(Data_Nhập[Main SKU name_GOM]=$A12)*(Data_Nhập[SKU name_NHẬP_GOM]=FC$3)),SUMPRODUCT(Data_Nhập[Tổng Nhập-NX]*(Data_Nhập[Year]=FC$1)*(Data_Nhập[Month]=FC$2)*(Data_Nhập[Main SKU name_GOM]=$A12)*(Data_Nhập[SKU name_NHẬP_GOM]=FC$3)))</f>
        <v>0</v>
      </c>
      <c r="FD12" s="26" cm="1">
        <f t="array" ref="FD12">IF(FD$2="FY",SUMPRODUCT(Data_Nhập[Tổng Nhập-NX]*(Data_Nhập[Year]=FD$1)*(Data_Nhập[Main SKU name_GOM]=$A12)*(Data_Nhập[SKU name_NHẬP_GOM]=FD$3)),SUMPRODUCT(Data_Nhập[Tổng Nhập-NX]*(Data_Nhập[Year]=FD$1)*(Data_Nhập[Month]=FD$2)*(Data_Nhập[Main SKU name_GOM]=$A12)*(Data_Nhập[SKU name_NHẬP_GOM]=FD$3)))</f>
        <v>0</v>
      </c>
      <c r="FE12" s="26" cm="1">
        <f t="array" ref="FE12">IF(FE$2="FY",SUMPRODUCT(Data_Nhập[Tổng Nhập-NX]*(Data_Nhập[Year]=FE$1)*(Data_Nhập[Main SKU name_GOM]=$A12)*(Data_Nhập[SKU name_NHẬP_GOM]=FE$3)),SUMPRODUCT(Data_Nhập[Tổng Nhập-NX]*(Data_Nhập[Year]=FE$1)*(Data_Nhập[Month]=FE$2)*(Data_Nhập[Main SKU name_GOM]=$A12)*(Data_Nhập[SKU name_NHẬP_GOM]=FE$3)))</f>
        <v>0</v>
      </c>
      <c r="FF12" s="26" cm="1">
        <f t="array" ref="FF12">IF(FF$2="FY",SUMPRODUCT(Data_Nhập[Tổng Nhập-NX]*(Data_Nhập[Year]=FF$1)*(Data_Nhập[Main SKU name_GOM]=$A12)*(Data_Nhập[SKU name_NHẬP_GOM]=FF$3)),SUMPRODUCT(Data_Nhập[Tổng Nhập-NX]*(Data_Nhập[Year]=FF$1)*(Data_Nhập[Month]=FF$2)*(Data_Nhập[Main SKU name_GOM]=$A12)*(Data_Nhập[SKU name_NHẬP_GOM]=FF$3)))</f>
        <v>0</v>
      </c>
      <c r="FG12" s="26" cm="1">
        <f t="array" ref="FG12">IF(FG$2="FY",SUMPRODUCT(Data_Nhập[Tổng Nhập-NX]*(Data_Nhập[Year]=FG$1)*(Data_Nhập[Main SKU name_GOM]=$A12)*(Data_Nhập[SKU name_NHẬP_GOM]=FG$3)),SUMPRODUCT(Data_Nhập[Tổng Nhập-NX]*(Data_Nhập[Year]=FG$1)*(Data_Nhập[Month]=FG$2)*(Data_Nhập[Main SKU name_GOM]=$A12)*(Data_Nhập[SKU name_NHẬP_GOM]=FG$3)))</f>
        <v>0</v>
      </c>
      <c r="FH12" s="27">
        <f t="shared" si="20"/>
        <v>0</v>
      </c>
      <c r="FJ12" s="27" cm="1">
        <f t="array" ref="FJ12">IF(FJ$2="FY",SUMPRODUCT(Data_Xuất[Xuất-NX]*(Data_Xuất[Year]=FJ$1)*(Data_Xuất[Main SKU name_GOM]=$A12)),SUMPRODUCT(Data_Xuất[Xuất-NX]*(Data_Xuất[Year]=FJ$1)*(Data_Xuất[Main SKU name_GOM]=$A12)*(Data_Xuất[Month]=FJ$2)))</f>
        <v>0</v>
      </c>
      <c r="FK12" s="26" cm="1">
        <f t="array" ref="FK12">IF(FK$2="FY",SUMPRODUCT(Data_Nhập[Tổng Nhập-NX]*(Data_Nhập[Year]=FK$1)*(Data_Nhập[Main SKU name_GOM]=$A12)*(Data_Nhập[SKU name_NHẬP_GOM]=FK$3)),SUMPRODUCT(Data_Nhập[Tổng Nhập-NX]*(Data_Nhập[Year]=FK$1)*(Data_Nhập[Month]=FK$2)*(Data_Nhập[Main SKU name_GOM]=$A12)*(Data_Nhập[SKU name_NHẬP_GOM]=FK$3)))</f>
        <v>0</v>
      </c>
      <c r="FL12" s="26" cm="1">
        <f t="array" ref="FL12">IF(FL$2="FY",SUMPRODUCT(Data_Nhập[Tổng Nhập-NX]*(Data_Nhập[Year]=FL$1)*(Data_Nhập[Main SKU name_GOM]=$A12)*(Data_Nhập[SKU name_NHẬP_GOM]=FL$3)),SUMPRODUCT(Data_Nhập[Tổng Nhập-NX]*(Data_Nhập[Year]=FL$1)*(Data_Nhập[Month]=FL$2)*(Data_Nhập[Main SKU name_GOM]=$A12)*(Data_Nhập[SKU name_NHẬP_GOM]=FL$3)))</f>
        <v>0</v>
      </c>
      <c r="FM12" s="26" cm="1">
        <f t="array" ref="FM12">IF(FM$2="FY",SUMPRODUCT(Data_Nhập[Tổng Nhập-NX]*(Data_Nhập[Year]=FM$1)*(Data_Nhập[Main SKU name_GOM]=$A12)*(Data_Nhập[SKU name_NHẬP_GOM]=FM$3)),SUMPRODUCT(Data_Nhập[Tổng Nhập-NX]*(Data_Nhập[Year]=FM$1)*(Data_Nhập[Month]=FM$2)*(Data_Nhập[Main SKU name_GOM]=$A12)*(Data_Nhập[SKU name_NHẬP_GOM]=FM$3)))</f>
        <v>0</v>
      </c>
      <c r="FN12" s="26" cm="1">
        <f t="array" ref="FN12">IF(FN$2="FY",SUMPRODUCT(Data_Nhập[Tổng Nhập-NX]*(Data_Nhập[Year]=FN$1)*(Data_Nhập[Main SKU name_GOM]=$A12)*(Data_Nhập[SKU name_NHẬP_GOM]=FN$3)),SUMPRODUCT(Data_Nhập[Tổng Nhập-NX]*(Data_Nhập[Year]=FN$1)*(Data_Nhập[Month]=FN$2)*(Data_Nhập[Main SKU name_GOM]=$A12)*(Data_Nhập[SKU name_NHẬP_GOM]=FN$3)))</f>
        <v>0</v>
      </c>
      <c r="FO12" s="26" cm="1">
        <f t="array" ref="FO12">IF(FO$2="FY",SUMPRODUCT(Data_Nhập[Tổng Nhập-NX]*(Data_Nhập[Year]=FO$1)*(Data_Nhập[Main SKU name_GOM]=$A12)*(Data_Nhập[SKU name_NHẬP_GOM]=FO$3)),SUMPRODUCT(Data_Nhập[Tổng Nhập-NX]*(Data_Nhập[Year]=FO$1)*(Data_Nhập[Month]=FO$2)*(Data_Nhập[Main SKU name_GOM]=$A12)*(Data_Nhập[SKU name_NHẬP_GOM]=FO$3)))</f>
        <v>0</v>
      </c>
      <c r="FP12" s="26" cm="1">
        <f t="array" ref="FP12">IF(FP$2="FY",SUMPRODUCT(Data_Nhập[Tổng Nhập-NX]*(Data_Nhập[Year]=FP$1)*(Data_Nhập[Main SKU name_GOM]=$A12)*(Data_Nhập[SKU name_NHẬP_GOM]=FP$3)),SUMPRODUCT(Data_Nhập[Tổng Nhập-NX]*(Data_Nhập[Year]=FP$1)*(Data_Nhập[Month]=FP$2)*(Data_Nhập[Main SKU name_GOM]=$A12)*(Data_Nhập[SKU name_NHẬP_GOM]=FP$3)))</f>
        <v>0</v>
      </c>
      <c r="FQ12" s="26" cm="1">
        <f t="array" ref="FQ12">IF(FQ$2="FY",SUMPRODUCT(Data_Nhập[Tổng Nhập-NX]*(Data_Nhập[Year]=FQ$1)*(Data_Nhập[Main SKU name_GOM]=$A12)*(Data_Nhập[SKU name_NHẬP_GOM]=FQ$3)),SUMPRODUCT(Data_Nhập[Tổng Nhập-NX]*(Data_Nhập[Year]=FQ$1)*(Data_Nhập[Month]=FQ$2)*(Data_Nhập[Main SKU name_GOM]=$A12)*(Data_Nhập[SKU name_NHẬP_GOM]=FQ$3)))</f>
        <v>0</v>
      </c>
      <c r="FR12" s="26" cm="1">
        <f t="array" ref="FR12">IF(FR$2="FY",SUMPRODUCT(Data_Nhập[Tổng Nhập-NX]*(Data_Nhập[Year]=FR$1)*(Data_Nhập[Main SKU name_GOM]=$A12)*(Data_Nhập[SKU name_NHẬP_GOM]=FR$3)),SUMPRODUCT(Data_Nhập[Tổng Nhập-NX]*(Data_Nhập[Year]=FR$1)*(Data_Nhập[Month]=FR$2)*(Data_Nhập[Main SKU name_GOM]=$A12)*(Data_Nhập[SKU name_NHẬP_GOM]=FR$3)))</f>
        <v>0</v>
      </c>
      <c r="FS12" s="26" cm="1">
        <f t="array" ref="FS12">IF(FS$2="FY",SUMPRODUCT(Data_Nhập[Tổng Nhập-NX]*(Data_Nhập[Year]=FS$1)*(Data_Nhập[Main SKU name_GOM]=$A12)*(Data_Nhập[SKU name_NHẬP_GOM]=FS$3)),SUMPRODUCT(Data_Nhập[Tổng Nhập-NX]*(Data_Nhập[Year]=FS$1)*(Data_Nhập[Month]=FS$2)*(Data_Nhập[Main SKU name_GOM]=$A12)*(Data_Nhập[SKU name_NHẬP_GOM]=FS$3)))</f>
        <v>0</v>
      </c>
      <c r="FT12" s="26" cm="1">
        <f t="array" ref="FT12">IF(FT$2="FY",SUMPRODUCT(Data_Nhập[Tổng Nhập-NX]*(Data_Nhập[Year]=FT$1)*(Data_Nhập[Main SKU name_GOM]=$A12)*(Data_Nhập[SKU name_NHẬP_GOM]=FT$3)),SUMPRODUCT(Data_Nhập[Tổng Nhập-NX]*(Data_Nhập[Year]=FT$1)*(Data_Nhập[Month]=FT$2)*(Data_Nhập[Main SKU name_GOM]=$A12)*(Data_Nhập[SKU name_NHẬP_GOM]=FT$3)))</f>
        <v>0</v>
      </c>
      <c r="FU12" s="26" cm="1">
        <f t="array" ref="FU12">IF(FU$2="FY",SUMPRODUCT(Data_Nhập[Tổng Nhập-NX]*(Data_Nhập[Year]=FU$1)*(Data_Nhập[Main SKU name_GOM]=$A12)*(Data_Nhập[SKU name_NHẬP_GOM]=FU$3)),SUMPRODUCT(Data_Nhập[Tổng Nhập-NX]*(Data_Nhập[Year]=FU$1)*(Data_Nhập[Month]=FU$2)*(Data_Nhập[Main SKU name_GOM]=$A12)*(Data_Nhập[SKU name_NHẬP_GOM]=FU$3)))</f>
        <v>0</v>
      </c>
      <c r="FV12" s="26" cm="1">
        <f t="array" ref="FV12">IF(FV$2="FY",SUMPRODUCT(Data_Nhập[Tổng Nhập-NX]*(Data_Nhập[Year]=FV$1)*(Data_Nhập[Main SKU name_GOM]=$A12)*(Data_Nhập[SKU name_NHẬP_GOM]=FV$3)),SUMPRODUCT(Data_Nhập[Tổng Nhập-NX]*(Data_Nhập[Year]=FV$1)*(Data_Nhập[Month]=FV$2)*(Data_Nhập[Main SKU name_GOM]=$A12)*(Data_Nhập[SKU name_NHẬP_GOM]=FV$3)))</f>
        <v>0</v>
      </c>
      <c r="FW12" s="26" cm="1">
        <f t="array" ref="FW12">IF(FW$2="FY",SUMPRODUCT(Data_Nhập[Tổng Nhập-NX]*(Data_Nhập[Year]=FW$1)*(Data_Nhập[Main SKU name_GOM]=$A12)*(Data_Nhập[SKU name_NHẬP_GOM]=FW$3)),SUMPRODUCT(Data_Nhập[Tổng Nhập-NX]*(Data_Nhập[Year]=FW$1)*(Data_Nhập[Month]=FW$2)*(Data_Nhập[Main SKU name_GOM]=$A12)*(Data_Nhập[SKU name_NHẬP_GOM]=FW$3)))</f>
        <v>0</v>
      </c>
      <c r="FX12" s="26" cm="1">
        <f t="array" ref="FX12">IF(FX$2="FY",SUMPRODUCT(Data_Nhập[Tổng Nhập-NX]*(Data_Nhập[Year]=FX$1)*(Data_Nhập[Main SKU name_GOM]=$A12)*(Data_Nhập[SKU name_NHẬP_GOM]=FX$3)),SUMPRODUCT(Data_Nhập[Tổng Nhập-NX]*(Data_Nhập[Year]=FX$1)*(Data_Nhập[Month]=FX$2)*(Data_Nhập[Main SKU name_GOM]=$A12)*(Data_Nhập[SKU name_NHẬP_GOM]=FX$3)))</f>
        <v>0</v>
      </c>
      <c r="FY12" s="26" cm="1">
        <f t="array" ref="FY12">IF(FY$2="FY",SUMPRODUCT(Data_Nhập[Tổng Nhập-NX]*(Data_Nhập[Year]=FY$1)*(Data_Nhập[Main SKU name_GOM]=$A12)*(Data_Nhập[SKU name_NHẬP_GOM]=FY$3)),SUMPRODUCT(Data_Nhập[Tổng Nhập-NX]*(Data_Nhập[Year]=FY$1)*(Data_Nhập[Month]=FY$2)*(Data_Nhập[Main SKU name_GOM]=$A12)*(Data_Nhập[SKU name_NHẬP_GOM]=FY$3)))</f>
        <v>0</v>
      </c>
      <c r="FZ12" s="27">
        <f t="shared" si="21"/>
        <v>0</v>
      </c>
      <c r="GB12" s="27" cm="1">
        <f t="array" ref="GB12">IF(GB$2="FY",SUMPRODUCT(Data_Xuất[Xuất-NX]*(Data_Xuất[Year]=GB$1)*(Data_Xuất[Main SKU name_GOM]=$A12)),SUMPRODUCT(Data_Xuất[Xuất-NX]*(Data_Xuất[Year]=GB$1)*(Data_Xuất[Main SKU name_GOM]=$A12)*(Data_Xuất[Month]=GB$2)))</f>
        <v>0</v>
      </c>
      <c r="GC12" s="26" cm="1">
        <f t="array" ref="GC12">IF(GC$2="FY",SUMPRODUCT(Data_Nhập[Tổng Nhập-NX]*(Data_Nhập[Year]=GC$1)*(Data_Nhập[Main SKU name_GOM]=$A12)*(Data_Nhập[SKU name_NHẬP_GOM]=GC$3)),SUMPRODUCT(Data_Nhập[Tổng Nhập-NX]*(Data_Nhập[Year]=GC$1)*(Data_Nhập[Month]=GC$2)*(Data_Nhập[Main SKU name_GOM]=$A12)*(Data_Nhập[SKU name_NHẬP_GOM]=GC$3)))</f>
        <v>0</v>
      </c>
      <c r="GD12" s="26" cm="1">
        <f t="array" ref="GD12">IF(GD$2="FY",SUMPRODUCT(Data_Nhập[Tổng Nhập-NX]*(Data_Nhập[Year]=GD$1)*(Data_Nhập[Main SKU name_GOM]=$A12)*(Data_Nhập[SKU name_NHẬP_GOM]=GD$3)),SUMPRODUCT(Data_Nhập[Tổng Nhập-NX]*(Data_Nhập[Year]=GD$1)*(Data_Nhập[Month]=GD$2)*(Data_Nhập[Main SKU name_GOM]=$A12)*(Data_Nhập[SKU name_NHẬP_GOM]=GD$3)))</f>
        <v>0</v>
      </c>
      <c r="GE12" s="26" cm="1">
        <f t="array" ref="GE12">IF(GE$2="FY",SUMPRODUCT(Data_Nhập[Tổng Nhập-NX]*(Data_Nhập[Year]=GE$1)*(Data_Nhập[Main SKU name_GOM]=$A12)*(Data_Nhập[SKU name_NHẬP_GOM]=GE$3)),SUMPRODUCT(Data_Nhập[Tổng Nhập-NX]*(Data_Nhập[Year]=GE$1)*(Data_Nhập[Month]=GE$2)*(Data_Nhập[Main SKU name_GOM]=$A12)*(Data_Nhập[SKU name_NHẬP_GOM]=GE$3)))</f>
        <v>0</v>
      </c>
      <c r="GF12" s="26" cm="1">
        <f t="array" ref="GF12">IF(GF$2="FY",SUMPRODUCT(Data_Nhập[Tổng Nhập-NX]*(Data_Nhập[Year]=GF$1)*(Data_Nhập[Main SKU name_GOM]=$A12)*(Data_Nhập[SKU name_NHẬP_GOM]=GF$3)),SUMPRODUCT(Data_Nhập[Tổng Nhập-NX]*(Data_Nhập[Year]=GF$1)*(Data_Nhập[Month]=GF$2)*(Data_Nhập[Main SKU name_GOM]=$A12)*(Data_Nhập[SKU name_NHẬP_GOM]=GF$3)))</f>
        <v>0</v>
      </c>
      <c r="GG12" s="26" cm="1">
        <f t="array" ref="GG12">IF(GG$2="FY",SUMPRODUCT(Data_Nhập[Tổng Nhập-NX]*(Data_Nhập[Year]=GG$1)*(Data_Nhập[Main SKU name_GOM]=$A12)*(Data_Nhập[SKU name_NHẬP_GOM]=GG$3)),SUMPRODUCT(Data_Nhập[Tổng Nhập-NX]*(Data_Nhập[Year]=GG$1)*(Data_Nhập[Month]=GG$2)*(Data_Nhập[Main SKU name_GOM]=$A12)*(Data_Nhập[SKU name_NHẬP_GOM]=GG$3)))</f>
        <v>0</v>
      </c>
      <c r="GH12" s="26" cm="1">
        <f t="array" ref="GH12">IF(GH$2="FY",SUMPRODUCT(Data_Nhập[Tổng Nhập-NX]*(Data_Nhập[Year]=GH$1)*(Data_Nhập[Main SKU name_GOM]=$A12)*(Data_Nhập[SKU name_NHẬP_GOM]=GH$3)),SUMPRODUCT(Data_Nhập[Tổng Nhập-NX]*(Data_Nhập[Year]=GH$1)*(Data_Nhập[Month]=GH$2)*(Data_Nhập[Main SKU name_GOM]=$A12)*(Data_Nhập[SKU name_NHẬP_GOM]=GH$3)))</f>
        <v>0</v>
      </c>
      <c r="GI12" s="26" cm="1">
        <f t="array" ref="GI12">IF(GI$2="FY",SUMPRODUCT(Data_Nhập[Tổng Nhập-NX]*(Data_Nhập[Year]=GI$1)*(Data_Nhập[Main SKU name_GOM]=$A12)*(Data_Nhập[SKU name_NHẬP_GOM]=GI$3)),SUMPRODUCT(Data_Nhập[Tổng Nhập-NX]*(Data_Nhập[Year]=GI$1)*(Data_Nhập[Month]=GI$2)*(Data_Nhập[Main SKU name_GOM]=$A12)*(Data_Nhập[SKU name_NHẬP_GOM]=GI$3)))</f>
        <v>0</v>
      </c>
      <c r="GJ12" s="26" cm="1">
        <f t="array" ref="GJ12">IF(GJ$2="FY",SUMPRODUCT(Data_Nhập[Tổng Nhập-NX]*(Data_Nhập[Year]=GJ$1)*(Data_Nhập[Main SKU name_GOM]=$A12)*(Data_Nhập[SKU name_NHẬP_GOM]=GJ$3)),SUMPRODUCT(Data_Nhập[Tổng Nhập-NX]*(Data_Nhập[Year]=GJ$1)*(Data_Nhập[Month]=GJ$2)*(Data_Nhập[Main SKU name_GOM]=$A12)*(Data_Nhập[SKU name_NHẬP_GOM]=GJ$3)))</f>
        <v>0</v>
      </c>
      <c r="GK12" s="26" cm="1">
        <f t="array" ref="GK12">IF(GK$2="FY",SUMPRODUCT(Data_Nhập[Tổng Nhập-NX]*(Data_Nhập[Year]=GK$1)*(Data_Nhập[Main SKU name_GOM]=$A12)*(Data_Nhập[SKU name_NHẬP_GOM]=GK$3)),SUMPRODUCT(Data_Nhập[Tổng Nhập-NX]*(Data_Nhập[Year]=GK$1)*(Data_Nhập[Month]=GK$2)*(Data_Nhập[Main SKU name_GOM]=$A12)*(Data_Nhập[SKU name_NHẬP_GOM]=GK$3)))</f>
        <v>0</v>
      </c>
      <c r="GL12" s="26" cm="1">
        <f t="array" ref="GL12">IF(GL$2="FY",SUMPRODUCT(Data_Nhập[Tổng Nhập-NX]*(Data_Nhập[Year]=GL$1)*(Data_Nhập[Main SKU name_GOM]=$A12)*(Data_Nhập[SKU name_NHẬP_GOM]=GL$3)),SUMPRODUCT(Data_Nhập[Tổng Nhập-NX]*(Data_Nhập[Year]=GL$1)*(Data_Nhập[Month]=GL$2)*(Data_Nhập[Main SKU name_GOM]=$A12)*(Data_Nhập[SKU name_NHẬP_GOM]=GL$3)))</f>
        <v>0</v>
      </c>
      <c r="GM12" s="26" cm="1">
        <f t="array" ref="GM12">IF(GM$2="FY",SUMPRODUCT(Data_Nhập[Tổng Nhập-NX]*(Data_Nhập[Year]=GM$1)*(Data_Nhập[Main SKU name_GOM]=$A12)*(Data_Nhập[SKU name_NHẬP_GOM]=GM$3)),SUMPRODUCT(Data_Nhập[Tổng Nhập-NX]*(Data_Nhập[Year]=GM$1)*(Data_Nhập[Month]=GM$2)*(Data_Nhập[Main SKU name_GOM]=$A12)*(Data_Nhập[SKU name_NHẬP_GOM]=GM$3)))</f>
        <v>0</v>
      </c>
      <c r="GN12" s="26" cm="1">
        <f t="array" ref="GN12">IF(GN$2="FY",SUMPRODUCT(Data_Nhập[Tổng Nhập-NX]*(Data_Nhập[Year]=GN$1)*(Data_Nhập[Main SKU name_GOM]=$A12)*(Data_Nhập[SKU name_NHẬP_GOM]=GN$3)),SUMPRODUCT(Data_Nhập[Tổng Nhập-NX]*(Data_Nhập[Year]=GN$1)*(Data_Nhập[Month]=GN$2)*(Data_Nhập[Main SKU name_GOM]=$A12)*(Data_Nhập[SKU name_NHẬP_GOM]=GN$3)))</f>
        <v>0</v>
      </c>
      <c r="GO12" s="26" cm="1">
        <f t="array" ref="GO12">IF(GO$2="FY",SUMPRODUCT(Data_Nhập[Tổng Nhập-NX]*(Data_Nhập[Year]=GO$1)*(Data_Nhập[Main SKU name_GOM]=$A12)*(Data_Nhập[SKU name_NHẬP_GOM]=GO$3)),SUMPRODUCT(Data_Nhập[Tổng Nhập-NX]*(Data_Nhập[Year]=GO$1)*(Data_Nhập[Month]=GO$2)*(Data_Nhập[Main SKU name_GOM]=$A12)*(Data_Nhập[SKU name_NHẬP_GOM]=GO$3)))</f>
        <v>0</v>
      </c>
      <c r="GP12" s="26" cm="1">
        <f t="array" ref="GP12">IF(GP$2="FY",SUMPRODUCT(Data_Nhập[Tổng Nhập-NX]*(Data_Nhập[Year]=GP$1)*(Data_Nhập[Main SKU name_GOM]=$A12)*(Data_Nhập[SKU name_NHẬP_GOM]=GP$3)),SUMPRODUCT(Data_Nhập[Tổng Nhập-NX]*(Data_Nhập[Year]=GP$1)*(Data_Nhập[Month]=GP$2)*(Data_Nhập[Main SKU name_GOM]=$A12)*(Data_Nhập[SKU name_NHẬP_GOM]=GP$3)))</f>
        <v>0</v>
      </c>
      <c r="GQ12" s="26" cm="1">
        <f t="array" ref="GQ12">IF(GQ$2="FY",SUMPRODUCT(Data_Nhập[Tổng Nhập-NX]*(Data_Nhập[Year]=GQ$1)*(Data_Nhập[Main SKU name_GOM]=$A12)*(Data_Nhập[SKU name_NHẬP_GOM]=GQ$3)),SUMPRODUCT(Data_Nhập[Tổng Nhập-NX]*(Data_Nhập[Year]=GQ$1)*(Data_Nhập[Month]=GQ$2)*(Data_Nhập[Main SKU name_GOM]=$A12)*(Data_Nhập[SKU name_NHẬP_GOM]=GQ$3)))</f>
        <v>0</v>
      </c>
      <c r="GR12" s="27">
        <f t="shared" si="22"/>
        <v>0</v>
      </c>
      <c r="GT12" s="27" cm="1">
        <f t="array" ref="GT12">IF(GT$2="FY",SUMPRODUCT(Data_Xuất[Xuất-NX]*(Data_Xuất[Year]=GT$1)*(Data_Xuất[Main SKU name_GOM]=$A12)),SUMPRODUCT(Data_Xuất[Xuất-NX]*(Data_Xuất[Year]=GT$1)*(Data_Xuất[Main SKU name_GOM]=$A12)*(Data_Xuất[Month]=GT$2)))</f>
        <v>0</v>
      </c>
      <c r="GU12" s="26" cm="1">
        <f t="array" ref="GU12">IF(GU$2="FY",SUMPRODUCT(Data_Nhập[Tổng Nhập-NX]*(Data_Nhập[Year]=GU$1)*(Data_Nhập[Main SKU name_GOM]=$A12)*(Data_Nhập[SKU name_NHẬP_GOM]=GU$3)),SUMPRODUCT(Data_Nhập[Tổng Nhập-NX]*(Data_Nhập[Year]=GU$1)*(Data_Nhập[Month]=GU$2)*(Data_Nhập[Main SKU name_GOM]=$A12)*(Data_Nhập[SKU name_NHẬP_GOM]=GU$3)))</f>
        <v>0</v>
      </c>
      <c r="GV12" s="26" cm="1">
        <f t="array" ref="GV12">IF(GV$2="FY",SUMPRODUCT(Data_Nhập[Tổng Nhập-NX]*(Data_Nhập[Year]=GV$1)*(Data_Nhập[Main SKU name_GOM]=$A12)*(Data_Nhập[SKU name_NHẬP_GOM]=GV$3)),SUMPRODUCT(Data_Nhập[Tổng Nhập-NX]*(Data_Nhập[Year]=GV$1)*(Data_Nhập[Month]=GV$2)*(Data_Nhập[Main SKU name_GOM]=$A12)*(Data_Nhập[SKU name_NHẬP_GOM]=GV$3)))</f>
        <v>0</v>
      </c>
      <c r="GW12" s="26" cm="1">
        <f t="array" ref="GW12">IF(GW$2="FY",SUMPRODUCT(Data_Nhập[Tổng Nhập-NX]*(Data_Nhập[Year]=GW$1)*(Data_Nhập[Main SKU name_GOM]=$A12)*(Data_Nhập[SKU name_NHẬP_GOM]=GW$3)),SUMPRODUCT(Data_Nhập[Tổng Nhập-NX]*(Data_Nhập[Year]=GW$1)*(Data_Nhập[Month]=GW$2)*(Data_Nhập[Main SKU name_GOM]=$A12)*(Data_Nhập[SKU name_NHẬP_GOM]=GW$3)))</f>
        <v>0</v>
      </c>
      <c r="GX12" s="26" cm="1">
        <f t="array" ref="GX12">IF(GX$2="FY",SUMPRODUCT(Data_Nhập[Tổng Nhập-NX]*(Data_Nhập[Year]=GX$1)*(Data_Nhập[Main SKU name_GOM]=$A12)*(Data_Nhập[SKU name_NHẬP_GOM]=GX$3)),SUMPRODUCT(Data_Nhập[Tổng Nhập-NX]*(Data_Nhập[Year]=GX$1)*(Data_Nhập[Month]=GX$2)*(Data_Nhập[Main SKU name_GOM]=$A12)*(Data_Nhập[SKU name_NHẬP_GOM]=GX$3)))</f>
        <v>0</v>
      </c>
      <c r="GY12" s="26" cm="1">
        <f t="array" ref="GY12">IF(GY$2="FY",SUMPRODUCT(Data_Nhập[Tổng Nhập-NX]*(Data_Nhập[Year]=GY$1)*(Data_Nhập[Main SKU name_GOM]=$A12)*(Data_Nhập[SKU name_NHẬP_GOM]=GY$3)),SUMPRODUCT(Data_Nhập[Tổng Nhập-NX]*(Data_Nhập[Year]=GY$1)*(Data_Nhập[Month]=GY$2)*(Data_Nhập[Main SKU name_GOM]=$A12)*(Data_Nhập[SKU name_NHẬP_GOM]=GY$3)))</f>
        <v>0</v>
      </c>
      <c r="GZ12" s="26" cm="1">
        <f t="array" ref="GZ12">IF(GZ$2="FY",SUMPRODUCT(Data_Nhập[Tổng Nhập-NX]*(Data_Nhập[Year]=GZ$1)*(Data_Nhập[Main SKU name_GOM]=$A12)*(Data_Nhập[SKU name_NHẬP_GOM]=GZ$3)),SUMPRODUCT(Data_Nhập[Tổng Nhập-NX]*(Data_Nhập[Year]=GZ$1)*(Data_Nhập[Month]=GZ$2)*(Data_Nhập[Main SKU name_GOM]=$A12)*(Data_Nhập[SKU name_NHẬP_GOM]=GZ$3)))</f>
        <v>0</v>
      </c>
      <c r="HA12" s="26" cm="1">
        <f t="array" ref="HA12">IF(HA$2="FY",SUMPRODUCT(Data_Nhập[Tổng Nhập-NX]*(Data_Nhập[Year]=HA$1)*(Data_Nhập[Main SKU name_GOM]=$A12)*(Data_Nhập[SKU name_NHẬP_GOM]=HA$3)),SUMPRODUCT(Data_Nhập[Tổng Nhập-NX]*(Data_Nhập[Year]=HA$1)*(Data_Nhập[Month]=HA$2)*(Data_Nhập[Main SKU name_GOM]=$A12)*(Data_Nhập[SKU name_NHẬP_GOM]=HA$3)))</f>
        <v>0</v>
      </c>
      <c r="HB12" s="26" cm="1">
        <f t="array" ref="HB12">IF(HB$2="FY",SUMPRODUCT(Data_Nhập[Tổng Nhập-NX]*(Data_Nhập[Year]=HB$1)*(Data_Nhập[Main SKU name_GOM]=$A12)*(Data_Nhập[SKU name_NHẬP_GOM]=HB$3)),SUMPRODUCT(Data_Nhập[Tổng Nhập-NX]*(Data_Nhập[Year]=HB$1)*(Data_Nhập[Month]=HB$2)*(Data_Nhập[Main SKU name_GOM]=$A12)*(Data_Nhập[SKU name_NHẬP_GOM]=HB$3)))</f>
        <v>0</v>
      </c>
      <c r="HC12" s="26" cm="1">
        <f t="array" ref="HC12">IF(HC$2="FY",SUMPRODUCT(Data_Nhập[Tổng Nhập-NX]*(Data_Nhập[Year]=HC$1)*(Data_Nhập[Main SKU name_GOM]=$A12)*(Data_Nhập[SKU name_NHẬP_GOM]=HC$3)),SUMPRODUCT(Data_Nhập[Tổng Nhập-NX]*(Data_Nhập[Year]=HC$1)*(Data_Nhập[Month]=HC$2)*(Data_Nhập[Main SKU name_GOM]=$A12)*(Data_Nhập[SKU name_NHẬP_GOM]=HC$3)))</f>
        <v>0</v>
      </c>
      <c r="HD12" s="26" cm="1">
        <f t="array" ref="HD12">IF(HD$2="FY",SUMPRODUCT(Data_Nhập[Tổng Nhập-NX]*(Data_Nhập[Year]=HD$1)*(Data_Nhập[Main SKU name_GOM]=$A12)*(Data_Nhập[SKU name_NHẬP_GOM]=HD$3)),SUMPRODUCT(Data_Nhập[Tổng Nhập-NX]*(Data_Nhập[Year]=HD$1)*(Data_Nhập[Month]=HD$2)*(Data_Nhập[Main SKU name_GOM]=$A12)*(Data_Nhập[SKU name_NHẬP_GOM]=HD$3)))</f>
        <v>0</v>
      </c>
      <c r="HE12" s="26" cm="1">
        <f t="array" ref="HE12">IF(HE$2="FY",SUMPRODUCT(Data_Nhập[Tổng Nhập-NX]*(Data_Nhập[Year]=HE$1)*(Data_Nhập[Main SKU name_GOM]=$A12)*(Data_Nhập[SKU name_NHẬP_GOM]=HE$3)),SUMPRODUCT(Data_Nhập[Tổng Nhập-NX]*(Data_Nhập[Year]=HE$1)*(Data_Nhập[Month]=HE$2)*(Data_Nhập[Main SKU name_GOM]=$A12)*(Data_Nhập[SKU name_NHẬP_GOM]=HE$3)))</f>
        <v>0</v>
      </c>
      <c r="HF12" s="26" cm="1">
        <f t="array" ref="HF12">IF(HF$2="FY",SUMPRODUCT(Data_Nhập[Tổng Nhập-NX]*(Data_Nhập[Year]=HF$1)*(Data_Nhập[Main SKU name_GOM]=$A12)*(Data_Nhập[SKU name_NHẬP_GOM]=HF$3)),SUMPRODUCT(Data_Nhập[Tổng Nhập-NX]*(Data_Nhập[Year]=HF$1)*(Data_Nhập[Month]=HF$2)*(Data_Nhập[Main SKU name_GOM]=$A12)*(Data_Nhập[SKU name_NHẬP_GOM]=HF$3)))</f>
        <v>0</v>
      </c>
      <c r="HG12" s="26" cm="1">
        <f t="array" ref="HG12">IF(HG$2="FY",SUMPRODUCT(Data_Nhập[Tổng Nhập-NX]*(Data_Nhập[Year]=HG$1)*(Data_Nhập[Main SKU name_GOM]=$A12)*(Data_Nhập[SKU name_NHẬP_GOM]=HG$3)),SUMPRODUCT(Data_Nhập[Tổng Nhập-NX]*(Data_Nhập[Year]=HG$1)*(Data_Nhập[Month]=HG$2)*(Data_Nhập[Main SKU name_GOM]=$A12)*(Data_Nhập[SKU name_NHẬP_GOM]=HG$3)))</f>
        <v>0</v>
      </c>
      <c r="HH12" s="26" cm="1">
        <f t="array" ref="HH12">IF(HH$2="FY",SUMPRODUCT(Data_Nhập[Tổng Nhập-NX]*(Data_Nhập[Year]=HH$1)*(Data_Nhập[Main SKU name_GOM]=$A12)*(Data_Nhập[SKU name_NHẬP_GOM]=HH$3)),SUMPRODUCT(Data_Nhập[Tổng Nhập-NX]*(Data_Nhập[Year]=HH$1)*(Data_Nhập[Month]=HH$2)*(Data_Nhập[Main SKU name_GOM]=$A12)*(Data_Nhập[SKU name_NHẬP_GOM]=HH$3)))</f>
        <v>0</v>
      </c>
      <c r="HI12" s="26" cm="1">
        <f t="array" ref="HI12">IF(HI$2="FY",SUMPRODUCT(Data_Nhập[Tổng Nhập-NX]*(Data_Nhập[Year]=HI$1)*(Data_Nhập[Main SKU name_GOM]=$A12)*(Data_Nhập[SKU name_NHẬP_GOM]=HI$3)),SUMPRODUCT(Data_Nhập[Tổng Nhập-NX]*(Data_Nhập[Year]=HI$1)*(Data_Nhập[Month]=HI$2)*(Data_Nhập[Main SKU name_GOM]=$A12)*(Data_Nhập[SKU name_NHẬP_GOM]=HI$3)))</f>
        <v>0</v>
      </c>
      <c r="HJ12" s="27">
        <f t="shared" si="23"/>
        <v>0</v>
      </c>
      <c r="HL12" s="27" cm="1">
        <f t="array" ref="HL12">IF(HL$2="FY",SUMPRODUCT(Data_Xuất[Xuất-NX]*(Data_Xuất[Year]=HL$1)*(Data_Xuất[Main SKU name_GOM]=$A12)),SUMPRODUCT(Data_Xuất[Xuất-NX]*(Data_Xuất[Year]=HL$1)*(Data_Xuất[Main SKU name_GOM]=$A12)*(Data_Xuất[Month]=HL$2)))</f>
        <v>0</v>
      </c>
      <c r="HM12" s="26" cm="1">
        <f t="array" ref="HM12">IF(HM$2="FY",SUMPRODUCT(Data_Nhập[Tổng Nhập-NX]*(Data_Nhập[Year]=HM$1)*(Data_Nhập[Main SKU name_GOM]=$A12)*(Data_Nhập[SKU name_NHẬP_GOM]=HM$3)),SUMPRODUCT(Data_Nhập[Tổng Nhập-NX]*(Data_Nhập[Year]=HM$1)*(Data_Nhập[Month]=HM$2)*(Data_Nhập[Main SKU name_GOM]=$A12)*(Data_Nhập[SKU name_NHẬP_GOM]=HM$3)))</f>
        <v>0</v>
      </c>
      <c r="HN12" s="26" cm="1">
        <f t="array" ref="HN12">IF(HN$2="FY",SUMPRODUCT(Data_Nhập[Tổng Nhập-NX]*(Data_Nhập[Year]=HN$1)*(Data_Nhập[Main SKU name_GOM]=$A12)*(Data_Nhập[SKU name_NHẬP_GOM]=HN$3)),SUMPRODUCT(Data_Nhập[Tổng Nhập-NX]*(Data_Nhập[Year]=HN$1)*(Data_Nhập[Month]=HN$2)*(Data_Nhập[Main SKU name_GOM]=$A12)*(Data_Nhập[SKU name_NHẬP_GOM]=HN$3)))</f>
        <v>0</v>
      </c>
      <c r="HO12" s="26" cm="1">
        <f t="array" ref="HO12">IF(HO$2="FY",SUMPRODUCT(Data_Nhập[Tổng Nhập-NX]*(Data_Nhập[Year]=HO$1)*(Data_Nhập[Main SKU name_GOM]=$A12)*(Data_Nhập[SKU name_NHẬP_GOM]=HO$3)),SUMPRODUCT(Data_Nhập[Tổng Nhập-NX]*(Data_Nhập[Year]=HO$1)*(Data_Nhập[Month]=HO$2)*(Data_Nhập[Main SKU name_GOM]=$A12)*(Data_Nhập[SKU name_NHẬP_GOM]=HO$3)))</f>
        <v>0</v>
      </c>
      <c r="HP12" s="26" cm="1">
        <f t="array" ref="HP12">IF(HP$2="FY",SUMPRODUCT(Data_Nhập[Tổng Nhập-NX]*(Data_Nhập[Year]=HP$1)*(Data_Nhập[Main SKU name_GOM]=$A12)*(Data_Nhập[SKU name_NHẬP_GOM]=HP$3)),SUMPRODUCT(Data_Nhập[Tổng Nhập-NX]*(Data_Nhập[Year]=HP$1)*(Data_Nhập[Month]=HP$2)*(Data_Nhập[Main SKU name_GOM]=$A12)*(Data_Nhập[SKU name_NHẬP_GOM]=HP$3)))</f>
        <v>0</v>
      </c>
      <c r="HQ12" s="26" cm="1">
        <f t="array" ref="HQ12">IF(HQ$2="FY",SUMPRODUCT(Data_Nhập[Tổng Nhập-NX]*(Data_Nhập[Year]=HQ$1)*(Data_Nhập[Main SKU name_GOM]=$A12)*(Data_Nhập[SKU name_NHẬP_GOM]=HQ$3)),SUMPRODUCT(Data_Nhập[Tổng Nhập-NX]*(Data_Nhập[Year]=HQ$1)*(Data_Nhập[Month]=HQ$2)*(Data_Nhập[Main SKU name_GOM]=$A12)*(Data_Nhập[SKU name_NHẬP_GOM]=HQ$3)))</f>
        <v>0</v>
      </c>
      <c r="HR12" s="26" cm="1">
        <f t="array" ref="HR12">IF(HR$2="FY",SUMPRODUCT(Data_Nhập[Tổng Nhập-NX]*(Data_Nhập[Year]=HR$1)*(Data_Nhập[Main SKU name_GOM]=$A12)*(Data_Nhập[SKU name_NHẬP_GOM]=HR$3)),SUMPRODUCT(Data_Nhập[Tổng Nhập-NX]*(Data_Nhập[Year]=HR$1)*(Data_Nhập[Month]=HR$2)*(Data_Nhập[Main SKU name_GOM]=$A12)*(Data_Nhập[SKU name_NHẬP_GOM]=HR$3)))</f>
        <v>0</v>
      </c>
      <c r="HS12" s="26" cm="1">
        <f t="array" ref="HS12">IF(HS$2="FY",SUMPRODUCT(Data_Nhập[Tổng Nhập-NX]*(Data_Nhập[Year]=HS$1)*(Data_Nhập[Main SKU name_GOM]=$A12)*(Data_Nhập[SKU name_NHẬP_GOM]=HS$3)),SUMPRODUCT(Data_Nhập[Tổng Nhập-NX]*(Data_Nhập[Year]=HS$1)*(Data_Nhập[Month]=HS$2)*(Data_Nhập[Main SKU name_GOM]=$A12)*(Data_Nhập[SKU name_NHẬP_GOM]=HS$3)))</f>
        <v>0</v>
      </c>
      <c r="HT12" s="26" cm="1">
        <f t="array" ref="HT12">IF(HT$2="FY",SUMPRODUCT(Data_Nhập[Tổng Nhập-NX]*(Data_Nhập[Year]=HT$1)*(Data_Nhập[Main SKU name_GOM]=$A12)*(Data_Nhập[SKU name_NHẬP_GOM]=HT$3)),SUMPRODUCT(Data_Nhập[Tổng Nhập-NX]*(Data_Nhập[Year]=HT$1)*(Data_Nhập[Month]=HT$2)*(Data_Nhập[Main SKU name_GOM]=$A12)*(Data_Nhập[SKU name_NHẬP_GOM]=HT$3)))</f>
        <v>0</v>
      </c>
      <c r="HU12" s="26" cm="1">
        <f t="array" ref="HU12">IF(HU$2="FY",SUMPRODUCT(Data_Nhập[Tổng Nhập-NX]*(Data_Nhập[Year]=HU$1)*(Data_Nhập[Main SKU name_GOM]=$A12)*(Data_Nhập[SKU name_NHẬP_GOM]=HU$3)),SUMPRODUCT(Data_Nhập[Tổng Nhập-NX]*(Data_Nhập[Year]=HU$1)*(Data_Nhập[Month]=HU$2)*(Data_Nhập[Main SKU name_GOM]=$A12)*(Data_Nhập[SKU name_NHẬP_GOM]=HU$3)))</f>
        <v>0</v>
      </c>
      <c r="HV12" s="26" cm="1">
        <f t="array" ref="HV12">IF(HV$2="FY",SUMPRODUCT(Data_Nhập[Tổng Nhập-NX]*(Data_Nhập[Year]=HV$1)*(Data_Nhập[Main SKU name_GOM]=$A12)*(Data_Nhập[SKU name_NHẬP_GOM]=HV$3)),SUMPRODUCT(Data_Nhập[Tổng Nhập-NX]*(Data_Nhập[Year]=HV$1)*(Data_Nhập[Month]=HV$2)*(Data_Nhập[Main SKU name_GOM]=$A12)*(Data_Nhập[SKU name_NHẬP_GOM]=HV$3)))</f>
        <v>0</v>
      </c>
      <c r="HW12" s="26" cm="1">
        <f t="array" ref="HW12">IF(HW$2="FY",SUMPRODUCT(Data_Nhập[Tổng Nhập-NX]*(Data_Nhập[Year]=HW$1)*(Data_Nhập[Main SKU name_GOM]=$A12)*(Data_Nhập[SKU name_NHẬP_GOM]=HW$3)),SUMPRODUCT(Data_Nhập[Tổng Nhập-NX]*(Data_Nhập[Year]=HW$1)*(Data_Nhập[Month]=HW$2)*(Data_Nhập[Main SKU name_GOM]=$A12)*(Data_Nhập[SKU name_NHẬP_GOM]=HW$3)))</f>
        <v>0</v>
      </c>
      <c r="HX12" s="26" cm="1">
        <f t="array" ref="HX12">IF(HX$2="FY",SUMPRODUCT(Data_Nhập[Tổng Nhập-NX]*(Data_Nhập[Year]=HX$1)*(Data_Nhập[Main SKU name_GOM]=$A12)*(Data_Nhập[SKU name_NHẬP_GOM]=HX$3)),SUMPRODUCT(Data_Nhập[Tổng Nhập-NX]*(Data_Nhập[Year]=HX$1)*(Data_Nhập[Month]=HX$2)*(Data_Nhập[Main SKU name_GOM]=$A12)*(Data_Nhập[SKU name_NHẬP_GOM]=HX$3)))</f>
        <v>0</v>
      </c>
      <c r="HY12" s="26" cm="1">
        <f t="array" ref="HY12">IF(HY$2="FY",SUMPRODUCT(Data_Nhập[Tổng Nhập-NX]*(Data_Nhập[Year]=HY$1)*(Data_Nhập[Main SKU name_GOM]=$A12)*(Data_Nhập[SKU name_NHẬP_GOM]=HY$3)),SUMPRODUCT(Data_Nhập[Tổng Nhập-NX]*(Data_Nhập[Year]=HY$1)*(Data_Nhập[Month]=HY$2)*(Data_Nhập[Main SKU name_GOM]=$A12)*(Data_Nhập[SKU name_NHẬP_GOM]=HY$3)))</f>
        <v>0</v>
      </c>
      <c r="HZ12" s="26" cm="1">
        <f t="array" ref="HZ12">IF(HZ$2="FY",SUMPRODUCT(Data_Nhập[Tổng Nhập-NX]*(Data_Nhập[Year]=HZ$1)*(Data_Nhập[Main SKU name_GOM]=$A12)*(Data_Nhập[SKU name_NHẬP_GOM]=HZ$3)),SUMPRODUCT(Data_Nhập[Tổng Nhập-NX]*(Data_Nhập[Year]=HZ$1)*(Data_Nhập[Month]=HZ$2)*(Data_Nhập[Main SKU name_GOM]=$A12)*(Data_Nhập[SKU name_NHẬP_GOM]=HZ$3)))</f>
        <v>0</v>
      </c>
      <c r="IA12" s="26" cm="1">
        <f t="array" ref="IA12">IF(IA$2="FY",SUMPRODUCT(Data_Nhập[Tổng Nhập-NX]*(Data_Nhập[Year]=IA$1)*(Data_Nhập[Main SKU name_GOM]=$A12)*(Data_Nhập[SKU name_NHẬP_GOM]=IA$3)),SUMPRODUCT(Data_Nhập[Tổng Nhập-NX]*(Data_Nhập[Year]=IA$1)*(Data_Nhập[Month]=IA$2)*(Data_Nhập[Main SKU name_GOM]=$A12)*(Data_Nhập[SKU name_NHẬP_GOM]=IA$3)))</f>
        <v>0</v>
      </c>
      <c r="IB12" s="27">
        <f t="shared" si="24"/>
        <v>0</v>
      </c>
    </row>
    <row r="13" spans="1:236" s="1" customFormat="1" ht="15" thickBot="1" x14ac:dyDescent="0.4">
      <c r="A13" s="6"/>
      <c r="B13" s="7" t="s">
        <v>78</v>
      </c>
      <c r="D13" s="8">
        <f>SUM(D6:D12)</f>
        <v>12708734.199999999</v>
      </c>
      <c r="E13" s="8">
        <f>SUM(E6:E12)</f>
        <v>2068000</v>
      </c>
      <c r="F13" s="8">
        <f t="shared" ref="F13:T13" si="25">SUM(F6:F12)</f>
        <v>896500</v>
      </c>
      <c r="G13" s="8">
        <f t="shared" si="25"/>
        <v>6926700</v>
      </c>
      <c r="H13" s="8">
        <f t="shared" si="25"/>
        <v>0</v>
      </c>
      <c r="I13" s="8">
        <f t="shared" si="25"/>
        <v>1838100</v>
      </c>
      <c r="J13" s="8">
        <f t="shared" si="25"/>
        <v>21538</v>
      </c>
      <c r="K13" s="8">
        <f t="shared" si="25"/>
        <v>137950</v>
      </c>
      <c r="L13" s="8">
        <f t="shared" si="25"/>
        <v>1223.4999999999998</v>
      </c>
      <c r="M13" s="8">
        <f t="shared" si="25"/>
        <v>2200</v>
      </c>
      <c r="N13" s="8">
        <f t="shared" si="25"/>
        <v>35200</v>
      </c>
      <c r="O13" s="8">
        <f t="shared" si="25"/>
        <v>57200</v>
      </c>
      <c r="P13" s="8">
        <f t="shared" si="25"/>
        <v>56072.25</v>
      </c>
      <c r="Q13" s="8">
        <f t="shared" si="25"/>
        <v>32662</v>
      </c>
      <c r="R13" s="8">
        <f t="shared" si="25"/>
        <v>417099</v>
      </c>
      <c r="S13" s="8">
        <f t="shared" si="25"/>
        <v>9500</v>
      </c>
      <c r="T13" s="8">
        <f t="shared" si="25"/>
        <v>12499944.75</v>
      </c>
      <c r="V13" s="8">
        <f>SUM(V6:V12)</f>
        <v>2834031.9999999995</v>
      </c>
      <c r="W13" s="8">
        <f>SUM(W6:W12)</f>
        <v>301399.99999999994</v>
      </c>
      <c r="X13" s="8">
        <f t="shared" ref="X13:AL13" si="26">SUM(X6:X12)</f>
        <v>1100</v>
      </c>
      <c r="Y13" s="8">
        <f t="shared" si="26"/>
        <v>1846899.9999999995</v>
      </c>
      <c r="Z13" s="8">
        <f t="shared" si="26"/>
        <v>0</v>
      </c>
      <c r="AA13" s="8">
        <f t="shared" si="26"/>
        <v>419100</v>
      </c>
      <c r="AB13" s="8">
        <f t="shared" si="26"/>
        <v>6615</v>
      </c>
      <c r="AC13" s="8">
        <f t="shared" si="26"/>
        <v>45025</v>
      </c>
      <c r="AD13" s="8">
        <f t="shared" si="26"/>
        <v>1223.4999999999998</v>
      </c>
      <c r="AE13" s="8">
        <f t="shared" si="26"/>
        <v>0</v>
      </c>
      <c r="AF13" s="8">
        <f t="shared" si="26"/>
        <v>4400</v>
      </c>
      <c r="AG13" s="8">
        <f t="shared" si="26"/>
        <v>13200</v>
      </c>
      <c r="AH13" s="8">
        <f t="shared" si="26"/>
        <v>9872.25</v>
      </c>
      <c r="AI13" s="8">
        <f t="shared" si="26"/>
        <v>27300</v>
      </c>
      <c r="AJ13" s="8">
        <f t="shared" si="26"/>
        <v>94071</v>
      </c>
      <c r="AK13" s="8">
        <f t="shared" si="26"/>
        <v>6000</v>
      </c>
      <c r="AL13" s="8">
        <f t="shared" si="26"/>
        <v>2776206.7499999995</v>
      </c>
      <c r="AN13" s="8">
        <f>SUM(AN6:AN12)</f>
        <v>1300350.3000000003</v>
      </c>
      <c r="AO13" s="8">
        <f>SUM(AO6:AO12)</f>
        <v>300300</v>
      </c>
      <c r="AP13" s="8">
        <f t="shared" ref="AP13:BD13" si="27">SUM(AP6:AP12)</f>
        <v>115500</v>
      </c>
      <c r="AQ13" s="8">
        <f t="shared" si="27"/>
        <v>717200.00000000012</v>
      </c>
      <c r="AR13" s="8">
        <f t="shared" si="27"/>
        <v>0</v>
      </c>
      <c r="AS13" s="8">
        <f t="shared" si="27"/>
        <v>34100</v>
      </c>
      <c r="AT13" s="8">
        <f t="shared" si="27"/>
        <v>11550</v>
      </c>
      <c r="AU13" s="8">
        <f t="shared" si="27"/>
        <v>4782</v>
      </c>
      <c r="AV13" s="8">
        <f t="shared" si="27"/>
        <v>0</v>
      </c>
      <c r="AW13" s="8">
        <f t="shared" si="27"/>
        <v>0</v>
      </c>
      <c r="AX13" s="8">
        <f t="shared" si="27"/>
        <v>5500</v>
      </c>
      <c r="AY13" s="8">
        <f t="shared" si="27"/>
        <v>31900</v>
      </c>
      <c r="AZ13" s="8">
        <f t="shared" si="27"/>
        <v>9900</v>
      </c>
      <c r="BA13" s="8">
        <f t="shared" si="27"/>
        <v>0</v>
      </c>
      <c r="BB13" s="8">
        <f t="shared" si="27"/>
        <v>48391</v>
      </c>
      <c r="BC13" s="8">
        <f t="shared" si="27"/>
        <v>0</v>
      </c>
      <c r="BD13" s="8">
        <f t="shared" si="27"/>
        <v>1279123</v>
      </c>
      <c r="BF13" s="8">
        <f>SUM(BF6:BF12)</f>
        <v>4319312</v>
      </c>
      <c r="BG13" s="8">
        <f>SUM(BG6:BG12)</f>
        <v>616000</v>
      </c>
      <c r="BH13" s="8">
        <f t="shared" ref="BH13:BV13" si="28">SUM(BH6:BH12)</f>
        <v>733700</v>
      </c>
      <c r="BI13" s="8">
        <f t="shared" si="28"/>
        <v>2333100</v>
      </c>
      <c r="BJ13" s="8">
        <f t="shared" si="28"/>
        <v>0</v>
      </c>
      <c r="BK13" s="8">
        <f t="shared" si="28"/>
        <v>301400</v>
      </c>
      <c r="BL13" s="8">
        <f t="shared" si="28"/>
        <v>3373</v>
      </c>
      <c r="BM13" s="8">
        <f t="shared" si="28"/>
        <v>52443</v>
      </c>
      <c r="BN13" s="8">
        <f t="shared" si="28"/>
        <v>0</v>
      </c>
      <c r="BO13" s="8">
        <f t="shared" si="28"/>
        <v>0</v>
      </c>
      <c r="BP13" s="8">
        <f t="shared" si="28"/>
        <v>23100</v>
      </c>
      <c r="BQ13" s="8">
        <f t="shared" si="28"/>
        <v>6600</v>
      </c>
      <c r="BR13" s="8">
        <f t="shared" si="28"/>
        <v>26400</v>
      </c>
      <c r="BS13" s="8">
        <f t="shared" si="28"/>
        <v>3505</v>
      </c>
      <c r="BT13" s="8">
        <f t="shared" si="28"/>
        <v>148222</v>
      </c>
      <c r="BU13" s="8">
        <f t="shared" si="28"/>
        <v>3500</v>
      </c>
      <c r="BV13" s="8">
        <f t="shared" si="28"/>
        <v>4251343</v>
      </c>
      <c r="BX13" s="8">
        <f>SUM(BX6:BX12)</f>
        <v>4255039.8999999994</v>
      </c>
      <c r="BY13" s="8">
        <f>SUM(BY6:BY12)</f>
        <v>850300.00000000012</v>
      </c>
      <c r="BZ13" s="8">
        <f t="shared" ref="BZ13:CN13" si="29">SUM(BZ6:BZ12)</f>
        <v>46199.999999999993</v>
      </c>
      <c r="CA13" s="8">
        <f t="shared" si="29"/>
        <v>2029500.0000000005</v>
      </c>
      <c r="CB13" s="8">
        <f t="shared" si="29"/>
        <v>0</v>
      </c>
      <c r="CC13" s="8">
        <f t="shared" si="29"/>
        <v>1083500</v>
      </c>
      <c r="CD13" s="8">
        <f t="shared" si="29"/>
        <v>0</v>
      </c>
      <c r="CE13" s="8">
        <f t="shared" si="29"/>
        <v>35700</v>
      </c>
      <c r="CF13" s="8">
        <f t="shared" si="29"/>
        <v>0</v>
      </c>
      <c r="CG13" s="8">
        <f t="shared" si="29"/>
        <v>2200</v>
      </c>
      <c r="CH13" s="8">
        <f t="shared" si="29"/>
        <v>2200</v>
      </c>
      <c r="CI13" s="8">
        <f t="shared" si="29"/>
        <v>5500.0000000000009</v>
      </c>
      <c r="CJ13" s="8">
        <f t="shared" si="29"/>
        <v>9900</v>
      </c>
      <c r="CK13" s="8">
        <f t="shared" si="29"/>
        <v>1857</v>
      </c>
      <c r="CL13" s="8">
        <f t="shared" si="29"/>
        <v>126415.00000000001</v>
      </c>
      <c r="CM13" s="8">
        <f t="shared" si="29"/>
        <v>0</v>
      </c>
      <c r="CN13" s="8">
        <f t="shared" si="29"/>
        <v>4193272.0000000005</v>
      </c>
      <c r="CP13" s="8">
        <f>SUM(CP6:CP12)</f>
        <v>0</v>
      </c>
      <c r="CQ13" s="8">
        <f>SUM(CQ6:CQ12)</f>
        <v>0</v>
      </c>
      <c r="CR13" s="8">
        <f t="shared" ref="CR13:DF13" si="30">SUM(CR6:CR12)</f>
        <v>0</v>
      </c>
      <c r="CS13" s="8">
        <f t="shared" si="30"/>
        <v>0</v>
      </c>
      <c r="CT13" s="8">
        <f t="shared" si="30"/>
        <v>0</v>
      </c>
      <c r="CU13" s="8">
        <f t="shared" si="30"/>
        <v>0</v>
      </c>
      <c r="CV13" s="8">
        <f t="shared" si="30"/>
        <v>0</v>
      </c>
      <c r="CW13" s="8">
        <f t="shared" si="30"/>
        <v>0</v>
      </c>
      <c r="CX13" s="8">
        <f t="shared" si="30"/>
        <v>0</v>
      </c>
      <c r="CY13" s="8">
        <f t="shared" si="30"/>
        <v>0</v>
      </c>
      <c r="CZ13" s="8">
        <f t="shared" si="30"/>
        <v>0</v>
      </c>
      <c r="DA13" s="8">
        <f t="shared" si="30"/>
        <v>0</v>
      </c>
      <c r="DB13" s="8">
        <f t="shared" si="30"/>
        <v>0</v>
      </c>
      <c r="DC13" s="8">
        <f t="shared" si="30"/>
        <v>0</v>
      </c>
      <c r="DD13" s="8">
        <f t="shared" si="30"/>
        <v>0</v>
      </c>
      <c r="DE13" s="8">
        <f t="shared" si="30"/>
        <v>0</v>
      </c>
      <c r="DF13" s="8">
        <f t="shared" si="30"/>
        <v>0</v>
      </c>
      <c r="DH13" s="8">
        <f>SUM(DH6:DH12)</f>
        <v>0</v>
      </c>
      <c r="DI13" s="8">
        <f>SUM(DI6:DI12)</f>
        <v>0</v>
      </c>
      <c r="DJ13" s="8">
        <f t="shared" ref="DJ13:DX13" si="31">SUM(DJ6:DJ12)</f>
        <v>0</v>
      </c>
      <c r="DK13" s="8">
        <f t="shared" si="31"/>
        <v>0</v>
      </c>
      <c r="DL13" s="8">
        <f t="shared" si="31"/>
        <v>0</v>
      </c>
      <c r="DM13" s="8">
        <f t="shared" si="31"/>
        <v>0</v>
      </c>
      <c r="DN13" s="8">
        <f t="shared" si="31"/>
        <v>0</v>
      </c>
      <c r="DO13" s="8">
        <f t="shared" si="31"/>
        <v>0</v>
      </c>
      <c r="DP13" s="8">
        <f t="shared" si="31"/>
        <v>0</v>
      </c>
      <c r="DQ13" s="8">
        <f t="shared" si="31"/>
        <v>0</v>
      </c>
      <c r="DR13" s="8">
        <f t="shared" si="31"/>
        <v>0</v>
      </c>
      <c r="DS13" s="8">
        <f t="shared" si="31"/>
        <v>0</v>
      </c>
      <c r="DT13" s="8">
        <f t="shared" si="31"/>
        <v>0</v>
      </c>
      <c r="DU13" s="8">
        <f t="shared" si="31"/>
        <v>0</v>
      </c>
      <c r="DV13" s="8">
        <f t="shared" si="31"/>
        <v>0</v>
      </c>
      <c r="DW13" s="8">
        <f t="shared" si="31"/>
        <v>0</v>
      </c>
      <c r="DX13" s="8">
        <f t="shared" si="31"/>
        <v>0</v>
      </c>
      <c r="DZ13" s="8">
        <f>SUM(DZ6:DZ12)</f>
        <v>0</v>
      </c>
      <c r="EA13" s="8">
        <f>SUM(EA6:EA12)</f>
        <v>0</v>
      </c>
      <c r="EB13" s="8">
        <f t="shared" ref="EB13:EP13" si="32">SUM(EB6:EB12)</f>
        <v>0</v>
      </c>
      <c r="EC13" s="8">
        <f t="shared" si="32"/>
        <v>0</v>
      </c>
      <c r="ED13" s="8">
        <f t="shared" si="32"/>
        <v>0</v>
      </c>
      <c r="EE13" s="8">
        <f t="shared" si="32"/>
        <v>0</v>
      </c>
      <c r="EF13" s="8">
        <f t="shared" si="32"/>
        <v>0</v>
      </c>
      <c r="EG13" s="8">
        <f t="shared" si="32"/>
        <v>0</v>
      </c>
      <c r="EH13" s="8">
        <f t="shared" si="32"/>
        <v>0</v>
      </c>
      <c r="EI13" s="8">
        <f t="shared" si="32"/>
        <v>0</v>
      </c>
      <c r="EJ13" s="8">
        <f t="shared" si="32"/>
        <v>0</v>
      </c>
      <c r="EK13" s="8">
        <f t="shared" si="32"/>
        <v>0</v>
      </c>
      <c r="EL13" s="8">
        <f t="shared" si="32"/>
        <v>0</v>
      </c>
      <c r="EM13" s="8">
        <f t="shared" si="32"/>
        <v>0</v>
      </c>
      <c r="EN13" s="8">
        <f t="shared" si="32"/>
        <v>0</v>
      </c>
      <c r="EO13" s="8">
        <f t="shared" si="32"/>
        <v>0</v>
      </c>
      <c r="EP13" s="8">
        <f t="shared" si="32"/>
        <v>0</v>
      </c>
      <c r="ER13" s="8">
        <f>SUM(ER6:ER12)</f>
        <v>0</v>
      </c>
      <c r="ES13" s="8">
        <f>SUM(ES6:ES12)</f>
        <v>0</v>
      </c>
      <c r="ET13" s="8">
        <f t="shared" ref="ET13:FH13" si="33">SUM(ET6:ET12)</f>
        <v>0</v>
      </c>
      <c r="EU13" s="8">
        <f t="shared" si="33"/>
        <v>0</v>
      </c>
      <c r="EV13" s="8">
        <f t="shared" si="33"/>
        <v>0</v>
      </c>
      <c r="EW13" s="8">
        <f t="shared" si="33"/>
        <v>0</v>
      </c>
      <c r="EX13" s="8">
        <f t="shared" si="33"/>
        <v>0</v>
      </c>
      <c r="EY13" s="8">
        <f t="shared" si="33"/>
        <v>0</v>
      </c>
      <c r="EZ13" s="8">
        <f t="shared" si="33"/>
        <v>0</v>
      </c>
      <c r="FA13" s="8">
        <f t="shared" si="33"/>
        <v>0</v>
      </c>
      <c r="FB13" s="8">
        <f t="shared" si="33"/>
        <v>0</v>
      </c>
      <c r="FC13" s="8">
        <f t="shared" si="33"/>
        <v>0</v>
      </c>
      <c r="FD13" s="8">
        <f t="shared" si="33"/>
        <v>0</v>
      </c>
      <c r="FE13" s="8">
        <f t="shared" si="33"/>
        <v>0</v>
      </c>
      <c r="FF13" s="8">
        <f t="shared" si="33"/>
        <v>0</v>
      </c>
      <c r="FG13" s="8">
        <f t="shared" si="33"/>
        <v>0</v>
      </c>
      <c r="FH13" s="8">
        <f t="shared" si="33"/>
        <v>0</v>
      </c>
      <c r="FJ13" s="8">
        <f>SUM(FJ6:FJ12)</f>
        <v>0</v>
      </c>
      <c r="FK13" s="8">
        <f>SUM(FK6:FK12)</f>
        <v>0</v>
      </c>
      <c r="FL13" s="8">
        <f t="shared" ref="FL13:FZ13" si="34">SUM(FL6:FL12)</f>
        <v>0</v>
      </c>
      <c r="FM13" s="8">
        <f t="shared" si="34"/>
        <v>0</v>
      </c>
      <c r="FN13" s="8">
        <f t="shared" si="34"/>
        <v>0</v>
      </c>
      <c r="FO13" s="8">
        <f t="shared" si="34"/>
        <v>0</v>
      </c>
      <c r="FP13" s="8">
        <f t="shared" si="34"/>
        <v>0</v>
      </c>
      <c r="FQ13" s="8">
        <f t="shared" si="34"/>
        <v>0</v>
      </c>
      <c r="FR13" s="8">
        <f t="shared" si="34"/>
        <v>0</v>
      </c>
      <c r="FS13" s="8">
        <f t="shared" si="34"/>
        <v>0</v>
      </c>
      <c r="FT13" s="8">
        <f t="shared" si="34"/>
        <v>0</v>
      </c>
      <c r="FU13" s="8">
        <f t="shared" si="34"/>
        <v>0</v>
      </c>
      <c r="FV13" s="8">
        <f t="shared" si="34"/>
        <v>0</v>
      </c>
      <c r="FW13" s="8">
        <f t="shared" si="34"/>
        <v>0</v>
      </c>
      <c r="FX13" s="8">
        <f t="shared" si="34"/>
        <v>0</v>
      </c>
      <c r="FY13" s="8">
        <f t="shared" si="34"/>
        <v>0</v>
      </c>
      <c r="FZ13" s="8">
        <f t="shared" si="34"/>
        <v>0</v>
      </c>
      <c r="GB13" s="8">
        <f>SUM(GB6:GB12)</f>
        <v>0</v>
      </c>
      <c r="GC13" s="8">
        <f>SUM(GC6:GC12)</f>
        <v>0</v>
      </c>
      <c r="GD13" s="8">
        <f t="shared" ref="GD13:GR13" si="35">SUM(GD6:GD12)</f>
        <v>0</v>
      </c>
      <c r="GE13" s="8">
        <f t="shared" si="35"/>
        <v>0</v>
      </c>
      <c r="GF13" s="8">
        <f t="shared" si="35"/>
        <v>0</v>
      </c>
      <c r="GG13" s="8">
        <f t="shared" si="35"/>
        <v>0</v>
      </c>
      <c r="GH13" s="8">
        <f t="shared" si="35"/>
        <v>0</v>
      </c>
      <c r="GI13" s="8">
        <f t="shared" si="35"/>
        <v>0</v>
      </c>
      <c r="GJ13" s="8">
        <f t="shared" si="35"/>
        <v>0</v>
      </c>
      <c r="GK13" s="8">
        <f t="shared" si="35"/>
        <v>0</v>
      </c>
      <c r="GL13" s="8">
        <f t="shared" si="35"/>
        <v>0</v>
      </c>
      <c r="GM13" s="8">
        <f t="shared" si="35"/>
        <v>0</v>
      </c>
      <c r="GN13" s="8">
        <f t="shared" si="35"/>
        <v>0</v>
      </c>
      <c r="GO13" s="8">
        <f t="shared" si="35"/>
        <v>0</v>
      </c>
      <c r="GP13" s="8">
        <f t="shared" si="35"/>
        <v>0</v>
      </c>
      <c r="GQ13" s="8">
        <f t="shared" si="35"/>
        <v>0</v>
      </c>
      <c r="GR13" s="8">
        <f t="shared" si="35"/>
        <v>0</v>
      </c>
      <c r="GT13" s="8">
        <f>SUM(GT6:GT12)</f>
        <v>0</v>
      </c>
      <c r="GU13" s="8">
        <f>SUM(GU6:GU12)</f>
        <v>0</v>
      </c>
      <c r="GV13" s="8">
        <f t="shared" ref="GV13:HJ13" si="36">SUM(GV6:GV12)</f>
        <v>0</v>
      </c>
      <c r="GW13" s="8">
        <f t="shared" si="36"/>
        <v>0</v>
      </c>
      <c r="GX13" s="8">
        <f t="shared" si="36"/>
        <v>0</v>
      </c>
      <c r="GY13" s="8">
        <f t="shared" si="36"/>
        <v>0</v>
      </c>
      <c r="GZ13" s="8">
        <f t="shared" si="36"/>
        <v>0</v>
      </c>
      <c r="HA13" s="8">
        <f t="shared" si="36"/>
        <v>0</v>
      </c>
      <c r="HB13" s="8">
        <f t="shared" si="36"/>
        <v>0</v>
      </c>
      <c r="HC13" s="8">
        <f t="shared" si="36"/>
        <v>0</v>
      </c>
      <c r="HD13" s="8">
        <f t="shared" si="36"/>
        <v>0</v>
      </c>
      <c r="HE13" s="8">
        <f t="shared" si="36"/>
        <v>0</v>
      </c>
      <c r="HF13" s="8">
        <f t="shared" si="36"/>
        <v>0</v>
      </c>
      <c r="HG13" s="8">
        <f t="shared" si="36"/>
        <v>0</v>
      </c>
      <c r="HH13" s="8">
        <f t="shared" si="36"/>
        <v>0</v>
      </c>
      <c r="HI13" s="8">
        <f t="shared" si="36"/>
        <v>0</v>
      </c>
      <c r="HJ13" s="8">
        <f t="shared" si="36"/>
        <v>0</v>
      </c>
      <c r="HL13" s="8">
        <f>SUM(HL6:HL12)</f>
        <v>0</v>
      </c>
      <c r="HM13" s="8">
        <f>SUM(HM6:HM12)</f>
        <v>0</v>
      </c>
      <c r="HN13" s="8">
        <f t="shared" ref="HN13:IB13" si="37">SUM(HN6:HN12)</f>
        <v>0</v>
      </c>
      <c r="HO13" s="8">
        <f t="shared" si="37"/>
        <v>0</v>
      </c>
      <c r="HP13" s="8">
        <f t="shared" si="37"/>
        <v>0</v>
      </c>
      <c r="HQ13" s="8">
        <f t="shared" si="37"/>
        <v>0</v>
      </c>
      <c r="HR13" s="8">
        <f t="shared" si="37"/>
        <v>0</v>
      </c>
      <c r="HS13" s="8">
        <f t="shared" si="37"/>
        <v>0</v>
      </c>
      <c r="HT13" s="8">
        <f t="shared" si="37"/>
        <v>0</v>
      </c>
      <c r="HU13" s="8">
        <f t="shared" si="37"/>
        <v>0</v>
      </c>
      <c r="HV13" s="8">
        <f t="shared" si="37"/>
        <v>0</v>
      </c>
      <c r="HW13" s="8">
        <f t="shared" si="37"/>
        <v>0</v>
      </c>
      <c r="HX13" s="8">
        <f t="shared" si="37"/>
        <v>0</v>
      </c>
      <c r="HY13" s="8">
        <f t="shared" si="37"/>
        <v>0</v>
      </c>
      <c r="HZ13" s="8">
        <f t="shared" si="37"/>
        <v>0</v>
      </c>
      <c r="IA13" s="8">
        <f t="shared" si="37"/>
        <v>0</v>
      </c>
      <c r="IB13" s="8">
        <f t="shared" si="37"/>
        <v>0</v>
      </c>
    </row>
    <row r="14" spans="1:236" x14ac:dyDescent="0.35">
      <c r="T14" s="33">
        <f>D13-T13</f>
        <v>208789.44999999925</v>
      </c>
      <c r="AL14" s="33">
        <f>V13-AL13</f>
        <v>57825.25</v>
      </c>
      <c r="BD14" s="33">
        <f>AN13-BD13</f>
        <v>21227.300000000279</v>
      </c>
      <c r="BV14" s="33">
        <f>BF13-BV13</f>
        <v>67969</v>
      </c>
      <c r="CN14" s="33">
        <f>BX13-CN13</f>
        <v>61767.899999998976</v>
      </c>
    </row>
    <row r="15" spans="1:236" x14ac:dyDescent="0.35">
      <c r="T15" s="34">
        <f>T14/D13</f>
        <v>1.6428815546397947E-2</v>
      </c>
      <c r="AL15" s="34">
        <f>AL14/V13</f>
        <v>2.0403880407842964E-2</v>
      </c>
      <c r="BD15" s="34">
        <f>BD14/AN13</f>
        <v>1.6324293538441354E-2</v>
      </c>
      <c r="BV15" s="34">
        <f>BV14/BF13</f>
        <v>1.5736070929814747E-2</v>
      </c>
      <c r="CN15" s="34">
        <f>CN14/BX13</f>
        <v>1.4516409117573488E-2</v>
      </c>
    </row>
    <row r="16" spans="1:236" s="11" customFormat="1" ht="15" thickBot="1" x14ac:dyDescent="0.4">
      <c r="B16" s="12" t="s">
        <v>82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2:236" s="11" customFormat="1" x14ac:dyDescent="0.35">
      <c r="B17" s="14" t="s">
        <v>68</v>
      </c>
      <c r="C17" s="14"/>
      <c r="D17" s="45">
        <f>IFERROR(D6/T6,0)</f>
        <v>1.0152824748292948</v>
      </c>
      <c r="E17" s="15">
        <f>IFERROR(E6/T6,0)</f>
        <v>0.88865588648581284</v>
      </c>
      <c r="F17" s="16">
        <f t="shared" ref="F17:F24" si="38">IFERROR(F6/T6,0)</f>
        <v>1.7489504148922912E-2</v>
      </c>
      <c r="G17" s="16">
        <f t="shared" ref="G17:G24" si="39">IFERROR(G6/T6,0)</f>
        <v>2.0325639956856358E-2</v>
      </c>
      <c r="H17" s="16">
        <f t="shared" ref="H17:H24" si="40">IFERROR(H6/T6,0)</f>
        <v>0</v>
      </c>
      <c r="I17" s="16">
        <f t="shared" ref="I17:I24" si="41">IFERROR(I6/T6,0)</f>
        <v>3.1197493887267898E-2</v>
      </c>
      <c r="J17" s="16">
        <f t="shared" ref="J17:J24" si="42">IFERROR(J6/T6,0)</f>
        <v>0</v>
      </c>
      <c r="K17" s="16">
        <f t="shared" ref="K17:K24" si="43">IFERROR(K6/T6,0)</f>
        <v>0</v>
      </c>
      <c r="L17" s="16">
        <f t="shared" ref="L17:L24" si="44">IFERROR(L6/T6,0)</f>
        <v>0</v>
      </c>
      <c r="M17" s="16">
        <f t="shared" ref="M17:M24" si="45">IFERROR(M6/T6,0)</f>
        <v>9.4537860264448182E-4</v>
      </c>
      <c r="N17" s="16">
        <f t="shared" ref="N17:N24" si="46">IFERROR(N6/T6,0)</f>
        <v>6.6176502185113723E-3</v>
      </c>
      <c r="O17" s="16">
        <f t="shared" ref="O17:O24" si="47">IFERROR(O6/T6,0)</f>
        <v>0</v>
      </c>
      <c r="P17" s="16">
        <f t="shared" ref="P17:P24" si="48">IFERROR(P6/T6,0)</f>
        <v>1.8907572052889636E-3</v>
      </c>
      <c r="Q17" s="16">
        <f t="shared" ref="Q17:Q24" si="49">IFERROR(Q6/T6,0)</f>
        <v>0</v>
      </c>
      <c r="R17" s="16">
        <f t="shared" ref="R17:R24" si="50">IFERROR(R6/T6,0)</f>
        <v>3.2877689494695134E-2</v>
      </c>
      <c r="S17" s="16">
        <f t="shared" ref="S17:S24" si="51">IFERROR(S6/T6,0)</f>
        <v>0</v>
      </c>
      <c r="T17" s="48">
        <f t="shared" ref="T17:T24" si="52">IFERROR(T6/T6,0)</f>
        <v>1</v>
      </c>
      <c r="V17" s="45">
        <f>IFERROR(V6/AL6,0)</f>
        <v>1.0176364816655274</v>
      </c>
      <c r="W17" s="15">
        <f t="shared" ref="W17:W24" si="53">IFERROR(W6/AL6,0)</f>
        <v>0.86573869283223515</v>
      </c>
      <c r="X17" s="16">
        <f t="shared" ref="X17:X24" si="54">IFERROR(X6/AL6,0)</f>
        <v>3.1596302658110777E-3</v>
      </c>
      <c r="Y17" s="16">
        <f t="shared" ref="Y17:Y24" si="55">IFERROR(Y6/AL6,0)</f>
        <v>0</v>
      </c>
      <c r="Z17" s="16">
        <f t="shared" ref="Z17:Z24" si="56">IFERROR(Z6/AL6,0)</f>
        <v>0</v>
      </c>
      <c r="AA17" s="16">
        <f t="shared" ref="AA17:AA24" si="57">IFERROR(AA6/AL6,0)</f>
        <v>7.8990756645276938E-2</v>
      </c>
      <c r="AB17" s="16">
        <f t="shared" ref="AB17:AB24" si="58">IFERROR(AB6/AL6,0)</f>
        <v>0</v>
      </c>
      <c r="AC17" s="16">
        <f t="shared" ref="AC17:AC24" si="59">IFERROR(AC6/AL6,0)</f>
        <v>0</v>
      </c>
      <c r="AD17" s="16">
        <f t="shared" ref="AD17:AD24" si="60">IFERROR(AD6/AL6,0)</f>
        <v>0</v>
      </c>
      <c r="AE17" s="16">
        <f t="shared" ref="AE17:AE24" si="61">IFERROR(AE6/AL6,0)</f>
        <v>0</v>
      </c>
      <c r="AF17" s="16">
        <f t="shared" ref="AF17:AF24" si="62">IFERROR(AF6/AL6,0)</f>
        <v>6.3192605316221553E-3</v>
      </c>
      <c r="AG17" s="16">
        <f t="shared" ref="AG17:AG24" si="63">IFERROR(AG6/AL6,0)</f>
        <v>0</v>
      </c>
      <c r="AH17" s="16">
        <f t="shared" ref="AH17:AH24" si="64">IFERROR(AH6/AL6,0)</f>
        <v>0</v>
      </c>
      <c r="AI17" s="16">
        <f t="shared" ref="AI17:AI24" si="65">IFERROR(AI6/AL6,0)</f>
        <v>0</v>
      </c>
      <c r="AJ17" s="16">
        <f t="shared" ref="AJ17:AJ24" si="66">IFERROR(AJ6/AL6,0)</f>
        <v>4.5791659725054723E-2</v>
      </c>
      <c r="AK17" s="16">
        <f t="shared" ref="AK17:AK24" si="67">IFERROR(AK6/AL6,0)</f>
        <v>0</v>
      </c>
      <c r="AL17" s="48">
        <f t="shared" ref="AL17:AL24" si="68">IFERROR(AL6/AL6,0)</f>
        <v>1</v>
      </c>
      <c r="AN17" s="45">
        <f>IFERROR(AN6/BD6,0)</f>
        <v>1.0155557493853475</v>
      </c>
      <c r="AO17" s="15">
        <f t="shared" ref="AO17:AO24" si="69">IFERROR(AO6/BD6,0)</f>
        <v>0.81853715444539543</v>
      </c>
      <c r="AP17" s="16">
        <f t="shared" ref="AP17:AP24" si="70">IFERROR(AP6/BD6,0)</f>
        <v>6.8961005685875806E-2</v>
      </c>
      <c r="AQ17" s="16">
        <f t="shared" ref="AQ17:AQ24" si="71">IFERROR(AQ6/BD6,0)</f>
        <v>0</v>
      </c>
      <c r="AR17" s="16">
        <f t="shared" ref="AR17:AR24" si="72">IFERROR(AR6/BD6,0)</f>
        <v>0</v>
      </c>
      <c r="AS17" s="16">
        <f t="shared" ref="AS17:AS24" si="73">IFERROR(AS6/BD6,0)</f>
        <v>6.2964396495799643E-2</v>
      </c>
      <c r="AT17" s="16">
        <f t="shared" ref="AT17:AT24" si="74">IFERROR(AT6/BD6,0)</f>
        <v>0</v>
      </c>
      <c r="AU17" s="16">
        <f t="shared" ref="AU17:AU24" si="75">IFERROR(AU6/BD6,0)</f>
        <v>0</v>
      </c>
      <c r="AV17" s="16">
        <f t="shared" ref="AV17:AV24" si="76">IFERROR(AV6/BD6,0)</f>
        <v>0</v>
      </c>
      <c r="AW17" s="16">
        <f t="shared" ref="AW17:AW24" si="77">IFERROR(AW6/BD6,0)</f>
        <v>0</v>
      </c>
      <c r="AX17" s="16">
        <f t="shared" ref="AX17:AX24" si="78">IFERROR(AX6/BD6,0)</f>
        <v>1.1993218380152314E-2</v>
      </c>
      <c r="AY17" s="16">
        <f t="shared" ref="AY17:AY24" si="79">IFERROR(AY6/BD6,0)</f>
        <v>0</v>
      </c>
      <c r="AZ17" s="16">
        <f t="shared" ref="AZ17:AZ24" si="80">IFERROR(AZ6/BD6,0)</f>
        <v>5.996609190076157E-3</v>
      </c>
      <c r="BA17" s="16">
        <f t="shared" ref="BA17:BA24" si="81">IFERROR(BA6/BD6,0)</f>
        <v>0</v>
      </c>
      <c r="BB17" s="16">
        <f t="shared" ref="BB17:BB24" si="82">IFERROR(BB6/BD6,0)</f>
        <v>3.1547615802700657E-2</v>
      </c>
      <c r="BC17" s="16">
        <f t="shared" ref="BC17:BC24" si="83">IFERROR(BC6/BD6,0)</f>
        <v>0</v>
      </c>
      <c r="BD17" s="48">
        <f t="shared" ref="BD17:BD24" si="84">IFERROR(BD6/BD6,0)</f>
        <v>1</v>
      </c>
      <c r="BF17" s="45">
        <f>IFERROR(BF6/BV6,0)</f>
        <v>1.0156558168636678</v>
      </c>
      <c r="BG17" s="15">
        <f t="shared" ref="BG17:BG24" si="85">IFERROR(BG6/BV6,0)</f>
        <v>0.93097627068437339</v>
      </c>
      <c r="BH17" s="16">
        <f t="shared" ref="BH17:BH24" si="86">IFERROR(BH6/BV6,0)</f>
        <v>1.6624576262220952E-3</v>
      </c>
      <c r="BI17" s="16">
        <f t="shared" ref="BI17:BI24" si="87">IFERROR(BI6/BV6,0)</f>
        <v>0</v>
      </c>
      <c r="BJ17" s="16">
        <f t="shared" ref="BJ17:BJ24" si="88">IFERROR(BJ6/BV6,0)</f>
        <v>0</v>
      </c>
      <c r="BK17" s="16">
        <f t="shared" ref="BK17:BK24" si="89">IFERROR(BK6/BV6,0)</f>
        <v>1.3299661009776762E-2</v>
      </c>
      <c r="BL17" s="16">
        <f t="shared" ref="BL17:BL24" si="90">IFERROR(BL6/BV6,0)</f>
        <v>0</v>
      </c>
      <c r="BM17" s="16">
        <f t="shared" ref="BM17:BM24" si="91">IFERROR(BM6/BV6,0)</f>
        <v>0</v>
      </c>
      <c r="BN17" s="16">
        <f t="shared" ref="BN17:BN24" si="92">IFERROR(BN6/BV6,0)</f>
        <v>0</v>
      </c>
      <c r="BO17" s="16">
        <f t="shared" ref="BO17:BO24" si="93">IFERROR(BO6/BV6,0)</f>
        <v>0</v>
      </c>
      <c r="BP17" s="16">
        <f t="shared" ref="BP17:BP24" si="94">IFERROR(BP6/BV6,0)</f>
        <v>9.9747457573325735E-3</v>
      </c>
      <c r="BQ17" s="16">
        <f t="shared" ref="BQ17:BQ24" si="95">IFERROR(BQ6/BV6,0)</f>
        <v>0</v>
      </c>
      <c r="BR17" s="16">
        <f t="shared" ref="BR17:BR24" si="96">IFERROR(BR6/BV6,0)</f>
        <v>0</v>
      </c>
      <c r="BS17" s="16">
        <f t="shared" ref="BS17:BS24" si="97">IFERROR(BS6/BV6,0)</f>
        <v>0</v>
      </c>
      <c r="BT17" s="16">
        <f t="shared" ref="BT17:BT24" si="98">IFERROR(BT6/BV6,0)</f>
        <v>4.4086864922295216E-2</v>
      </c>
      <c r="BU17" s="16">
        <f t="shared" ref="BU17:BU24" si="99">IFERROR(BU6/BV6,0)</f>
        <v>0</v>
      </c>
      <c r="BV17" s="48">
        <f t="shared" ref="BV17:BV24" si="100">IFERROR(BV6/BV6,0)</f>
        <v>1</v>
      </c>
      <c r="BX17" s="45">
        <f>IFERROR(BX6/CN6,0)</f>
        <v>1.0140547945493736</v>
      </c>
      <c r="BY17" s="15">
        <f t="shared" ref="BY17:BY24" si="101">IFERROR(BY6/CN6,0)</f>
        <v>0.89465427499124073</v>
      </c>
      <c r="BZ17" s="16">
        <f t="shared" ref="BZ17:BZ24" si="102">IFERROR(BZ6/CN6,0)</f>
        <v>1.3888552781235299E-2</v>
      </c>
      <c r="CA17" s="16">
        <f t="shared" ref="CA17:CA24" si="103">IFERROR(CA6/CN6,0)</f>
        <v>4.9767314132759831E-2</v>
      </c>
      <c r="CB17" s="16">
        <f t="shared" ref="CB17:CB24" si="104">IFERROR(CB6/CN6,0)</f>
        <v>0</v>
      </c>
      <c r="CC17" s="16">
        <f t="shared" ref="CC17:CC24" si="105">IFERROR(CC6/CN6,0)</f>
        <v>1.3888552781235301E-2</v>
      </c>
      <c r="CD17" s="16">
        <f t="shared" ref="CD17:CD24" si="106">IFERROR(CD6/CN6,0)</f>
        <v>0</v>
      </c>
      <c r="CE17" s="16">
        <f t="shared" ref="CE17:CE24" si="107">IFERROR(CE6/CN6,0)</f>
        <v>0</v>
      </c>
      <c r="CF17" s="16">
        <f t="shared" ref="CF17:CF24" si="108">IFERROR(CF6/CN6,0)</f>
        <v>0</v>
      </c>
      <c r="CG17" s="16">
        <f t="shared" ref="CG17:CG24" si="109">IFERROR(CG6/CN6,0)</f>
        <v>2.3147587968725502E-3</v>
      </c>
      <c r="CH17" s="16">
        <f t="shared" ref="CH17:CH24" si="110">IFERROR(CH6/CN6,0)</f>
        <v>2.3147587968725502E-3</v>
      </c>
      <c r="CI17" s="16">
        <f t="shared" ref="CI17:CI24" si="111">IFERROR(CI6/CN6,0)</f>
        <v>0</v>
      </c>
      <c r="CJ17" s="16">
        <f t="shared" ref="CJ17:CJ24" si="112">IFERROR(CJ6/CN6,0)</f>
        <v>2.3147587968725502E-3</v>
      </c>
      <c r="CK17" s="16">
        <f t="shared" ref="CK17:CK24" si="113">IFERROR(CK6/CN6,0)</f>
        <v>0</v>
      </c>
      <c r="CL17" s="16">
        <f t="shared" ref="CL17:CL24" si="114">IFERROR(CL6/CN6,0)</f>
        <v>2.085702892291116E-2</v>
      </c>
      <c r="CM17" s="16">
        <f t="shared" ref="CM17:CM24" si="115">IFERROR(CM6/CN6,0)</f>
        <v>0</v>
      </c>
      <c r="CN17" s="48">
        <f t="shared" ref="CN17:DF24" si="116">IFERROR(CN6/CN6,0)</f>
        <v>1</v>
      </c>
      <c r="CP17" s="45">
        <f>IFERROR(CP6/DF6,0)</f>
        <v>0</v>
      </c>
      <c r="CQ17" s="15">
        <f t="shared" ref="CQ17:CQ24" si="117">IFERROR(CQ6/DF6,0)</f>
        <v>0</v>
      </c>
      <c r="CR17" s="16">
        <f t="shared" ref="CR17:CR24" si="118">IFERROR(CR6/DF6,0)</f>
        <v>0</v>
      </c>
      <c r="CS17" s="16">
        <f t="shared" ref="CS17:CS24" si="119">IFERROR(CS6/DF6,0)</f>
        <v>0</v>
      </c>
      <c r="CT17" s="16">
        <f t="shared" ref="CT17:CT24" si="120">IFERROR(CT6/DF6,0)</f>
        <v>0</v>
      </c>
      <c r="CU17" s="16">
        <f t="shared" ref="CU17:CU24" si="121">IFERROR(CU6/DF6,0)</f>
        <v>0</v>
      </c>
      <c r="CV17" s="16">
        <f t="shared" ref="CV17:CV24" si="122">IFERROR(CV6/DF6,0)</f>
        <v>0</v>
      </c>
      <c r="CW17" s="16">
        <f t="shared" ref="CW17:CW24" si="123">IFERROR(CW6/DF6,0)</f>
        <v>0</v>
      </c>
      <c r="CX17" s="16">
        <f t="shared" ref="CX17:CX24" si="124">IFERROR(CX6/DF6,0)</f>
        <v>0</v>
      </c>
      <c r="CY17" s="16">
        <f t="shared" ref="CY17:CY24" si="125">IFERROR(CY6/DF6,0)</f>
        <v>0</v>
      </c>
      <c r="CZ17" s="16">
        <f t="shared" ref="CZ17:CZ24" si="126">IFERROR(CZ6/DF6,0)</f>
        <v>0</v>
      </c>
      <c r="DA17" s="16">
        <f t="shared" ref="DA17:DA24" si="127">IFERROR(DA6/DF6,0)</f>
        <v>0</v>
      </c>
      <c r="DB17" s="16">
        <f t="shared" ref="DB17:DB24" si="128">IFERROR(DB6/DF6,0)</f>
        <v>0</v>
      </c>
      <c r="DC17" s="16">
        <f t="shared" ref="DC17:DC24" si="129">IFERROR(DC6/DF6,0)</f>
        <v>0</v>
      </c>
      <c r="DD17" s="16">
        <f t="shared" ref="DD17:DD24" si="130">IFERROR(DD6/DF6,0)</f>
        <v>0</v>
      </c>
      <c r="DE17" s="16">
        <f t="shared" ref="DE17:DE24" si="131">IFERROR(DE6/DF6,0)</f>
        <v>0</v>
      </c>
      <c r="DF17" s="48">
        <f t="shared" ref="DF17:DF23" si="132">IFERROR(DF6/DF6,0)</f>
        <v>0</v>
      </c>
      <c r="DH17" s="45">
        <f>IFERROR(DH6/DX6,0)</f>
        <v>0</v>
      </c>
      <c r="DI17" s="15">
        <f t="shared" ref="DI17:DI24" si="133">IFERROR(DI6/DX6,0)</f>
        <v>0</v>
      </c>
      <c r="DJ17" s="16">
        <f t="shared" ref="DJ17:DJ24" si="134">IFERROR(DJ6/DX6,0)</f>
        <v>0</v>
      </c>
      <c r="DK17" s="16">
        <f t="shared" ref="DK17:DK24" si="135">IFERROR(DK6/DX6,0)</f>
        <v>0</v>
      </c>
      <c r="DL17" s="16">
        <f t="shared" ref="DL17:DL24" si="136">IFERROR(DL6/DX6,0)</f>
        <v>0</v>
      </c>
      <c r="DM17" s="16">
        <f t="shared" ref="DM17:DM24" si="137">IFERROR(DM6/DX6,0)</f>
        <v>0</v>
      </c>
      <c r="DN17" s="16">
        <f t="shared" ref="DN17:DN24" si="138">IFERROR(DN6/DX6,0)</f>
        <v>0</v>
      </c>
      <c r="DO17" s="16">
        <f t="shared" ref="DO17:DO24" si="139">IFERROR(DO6/DX6,0)</f>
        <v>0</v>
      </c>
      <c r="DP17" s="16">
        <f t="shared" ref="DP17:DP24" si="140">IFERROR(DP6/DX6,0)</f>
        <v>0</v>
      </c>
      <c r="DQ17" s="16">
        <f t="shared" ref="DQ17:DQ24" si="141">IFERROR(DQ6/DX6,0)</f>
        <v>0</v>
      </c>
      <c r="DR17" s="16">
        <f t="shared" ref="DR17:DR24" si="142">IFERROR(DR6/DX6,0)</f>
        <v>0</v>
      </c>
      <c r="DS17" s="16">
        <f t="shared" ref="DS17:DS24" si="143">IFERROR(DS6/DX6,0)</f>
        <v>0</v>
      </c>
      <c r="DT17" s="16">
        <f t="shared" ref="DT17:DT24" si="144">IFERROR(DT6/DX6,0)</f>
        <v>0</v>
      </c>
      <c r="DU17" s="16">
        <f t="shared" ref="DU17:DU24" si="145">IFERROR(DU6/DX6,0)</f>
        <v>0</v>
      </c>
      <c r="DV17" s="16">
        <f t="shared" ref="DV17:DV24" si="146">IFERROR(DV6/DX6,0)</f>
        <v>0</v>
      </c>
      <c r="DW17" s="16">
        <f t="shared" ref="DW17:DW24" si="147">IFERROR(DW6/DX6,0)</f>
        <v>0</v>
      </c>
      <c r="DX17" s="48">
        <f t="shared" ref="DX17:EP24" si="148">IFERROR(DX6/DX6,0)</f>
        <v>0</v>
      </c>
      <c r="DZ17" s="45">
        <f>IFERROR(DZ6/EP6,0)</f>
        <v>0</v>
      </c>
      <c r="EA17" s="15">
        <f t="shared" ref="EA17:EA24" si="149">IFERROR(EA6/EP6,0)</f>
        <v>0</v>
      </c>
      <c r="EB17" s="16">
        <f t="shared" ref="EB17:EB24" si="150">IFERROR(EB6/EP6,0)</f>
        <v>0</v>
      </c>
      <c r="EC17" s="16">
        <f t="shared" ref="EC17:EC24" si="151">IFERROR(EC6/EP6,0)</f>
        <v>0</v>
      </c>
      <c r="ED17" s="16">
        <f t="shared" ref="ED17:ED24" si="152">IFERROR(ED6/EP6,0)</f>
        <v>0</v>
      </c>
      <c r="EE17" s="16">
        <f t="shared" ref="EE17:EE24" si="153">IFERROR(EE6/EP6,0)</f>
        <v>0</v>
      </c>
      <c r="EF17" s="16">
        <f t="shared" ref="EF17:EF24" si="154">IFERROR(EF6/EP6,0)</f>
        <v>0</v>
      </c>
      <c r="EG17" s="16">
        <f t="shared" ref="EG17:EG24" si="155">IFERROR(EG6/EP6,0)</f>
        <v>0</v>
      </c>
      <c r="EH17" s="16">
        <f t="shared" ref="EH17:EH24" si="156">IFERROR(EH6/EP6,0)</f>
        <v>0</v>
      </c>
      <c r="EI17" s="16">
        <f t="shared" ref="EI17:EI24" si="157">IFERROR(EI6/EP6,0)</f>
        <v>0</v>
      </c>
      <c r="EJ17" s="16">
        <f t="shared" ref="EJ17:EJ24" si="158">IFERROR(EJ6/EP6,0)</f>
        <v>0</v>
      </c>
      <c r="EK17" s="16">
        <f t="shared" ref="EK17:EK24" si="159">IFERROR(EK6/EP6,0)</f>
        <v>0</v>
      </c>
      <c r="EL17" s="16">
        <f t="shared" ref="EL17:EL24" si="160">IFERROR(EL6/EP6,0)</f>
        <v>0</v>
      </c>
      <c r="EM17" s="16">
        <f t="shared" ref="EM17:EM24" si="161">IFERROR(EM6/EP6,0)</f>
        <v>0</v>
      </c>
      <c r="EN17" s="16">
        <f t="shared" ref="EN17:EN24" si="162">IFERROR(EN6/EP6,0)</f>
        <v>0</v>
      </c>
      <c r="EO17" s="16">
        <f t="shared" ref="EO17:EO24" si="163">IFERROR(EO6/EP6,0)</f>
        <v>0</v>
      </c>
      <c r="EP17" s="48">
        <f t="shared" ref="EP17:EP23" si="164">IFERROR(EP6/EP6,0)</f>
        <v>0</v>
      </c>
      <c r="ER17" s="45">
        <f>IFERROR(ER6/FH6,0)</f>
        <v>0</v>
      </c>
      <c r="ES17" s="15">
        <f t="shared" ref="ES17:ES24" si="165">IFERROR(ES6/FH6,0)</f>
        <v>0</v>
      </c>
      <c r="ET17" s="16">
        <f t="shared" ref="ET17:ET24" si="166">IFERROR(ET6/FH6,0)</f>
        <v>0</v>
      </c>
      <c r="EU17" s="16">
        <f t="shared" ref="EU17:EU24" si="167">IFERROR(EU6/FH6,0)</f>
        <v>0</v>
      </c>
      <c r="EV17" s="16">
        <f t="shared" ref="EV17:EV24" si="168">IFERROR(EV6/FH6,0)</f>
        <v>0</v>
      </c>
      <c r="EW17" s="16">
        <f t="shared" ref="EW17:EW24" si="169">IFERROR(EW6/FH6,0)</f>
        <v>0</v>
      </c>
      <c r="EX17" s="16">
        <f t="shared" ref="EX17:EX24" si="170">IFERROR(EX6/FH6,0)</f>
        <v>0</v>
      </c>
      <c r="EY17" s="16">
        <f t="shared" ref="EY17:EY24" si="171">IFERROR(EY6/FH6,0)</f>
        <v>0</v>
      </c>
      <c r="EZ17" s="16">
        <f t="shared" ref="EZ17:EZ24" si="172">IFERROR(EZ6/FH6,0)</f>
        <v>0</v>
      </c>
      <c r="FA17" s="16">
        <f t="shared" ref="FA17:FA24" si="173">IFERROR(FA6/FH6,0)</f>
        <v>0</v>
      </c>
      <c r="FB17" s="16">
        <f t="shared" ref="FB17:FB24" si="174">IFERROR(FB6/FH6,0)</f>
        <v>0</v>
      </c>
      <c r="FC17" s="16">
        <f t="shared" ref="FC17:FC24" si="175">IFERROR(FC6/FH6,0)</f>
        <v>0</v>
      </c>
      <c r="FD17" s="16">
        <f t="shared" ref="FD17:FD24" si="176">IFERROR(FD6/FH6,0)</f>
        <v>0</v>
      </c>
      <c r="FE17" s="16">
        <f t="shared" ref="FE17:FE24" si="177">IFERROR(FE6/FH6,0)</f>
        <v>0</v>
      </c>
      <c r="FF17" s="16">
        <f t="shared" ref="FF17:FF24" si="178">IFERROR(FF6/FH6,0)</f>
        <v>0</v>
      </c>
      <c r="FG17" s="16">
        <f t="shared" ref="FG17:FG24" si="179">IFERROR(FG6/FH6,0)</f>
        <v>0</v>
      </c>
      <c r="FH17" s="48">
        <f t="shared" ref="FH17:FZ24" si="180">IFERROR(FH6/FH6,0)</f>
        <v>0</v>
      </c>
      <c r="FJ17" s="45">
        <f>IFERROR(FJ6/FZ6,0)</f>
        <v>0</v>
      </c>
      <c r="FK17" s="15">
        <f t="shared" ref="FK17:FK24" si="181">IFERROR(FK6/FZ6,0)</f>
        <v>0</v>
      </c>
      <c r="FL17" s="16">
        <f t="shared" ref="FL17:FL24" si="182">IFERROR(FL6/FZ6,0)</f>
        <v>0</v>
      </c>
      <c r="FM17" s="16">
        <f t="shared" ref="FM17:FM24" si="183">IFERROR(FM6/FZ6,0)</f>
        <v>0</v>
      </c>
      <c r="FN17" s="16">
        <f t="shared" ref="FN17:FN24" si="184">IFERROR(FN6/FZ6,0)</f>
        <v>0</v>
      </c>
      <c r="FO17" s="16">
        <f t="shared" ref="FO17:FO24" si="185">IFERROR(FO6/FZ6,0)</f>
        <v>0</v>
      </c>
      <c r="FP17" s="16">
        <f t="shared" ref="FP17:FP24" si="186">IFERROR(FP6/FZ6,0)</f>
        <v>0</v>
      </c>
      <c r="FQ17" s="16">
        <f t="shared" ref="FQ17:FQ24" si="187">IFERROR(FQ6/FZ6,0)</f>
        <v>0</v>
      </c>
      <c r="FR17" s="16">
        <f t="shared" ref="FR17:FR24" si="188">IFERROR(FR6/FZ6,0)</f>
        <v>0</v>
      </c>
      <c r="FS17" s="16">
        <f t="shared" ref="FS17:FS24" si="189">IFERROR(FS6/FZ6,0)</f>
        <v>0</v>
      </c>
      <c r="FT17" s="16">
        <f t="shared" ref="FT17:FT24" si="190">IFERROR(FT6/FZ6,0)</f>
        <v>0</v>
      </c>
      <c r="FU17" s="16">
        <f t="shared" ref="FU17:FU24" si="191">IFERROR(FU6/FZ6,0)</f>
        <v>0</v>
      </c>
      <c r="FV17" s="16">
        <f t="shared" ref="FV17:FV24" si="192">IFERROR(FV6/FZ6,0)</f>
        <v>0</v>
      </c>
      <c r="FW17" s="16">
        <f t="shared" ref="FW17:FW24" si="193">IFERROR(FW6/FZ6,0)</f>
        <v>0</v>
      </c>
      <c r="FX17" s="16">
        <f t="shared" ref="FX17:FX24" si="194">IFERROR(FX6/FZ6,0)</f>
        <v>0</v>
      </c>
      <c r="FY17" s="16">
        <f t="shared" ref="FY17:FY24" si="195">IFERROR(FY6/FZ6,0)</f>
        <v>0</v>
      </c>
      <c r="FZ17" s="48">
        <f t="shared" ref="FZ17:FZ23" si="196">IFERROR(FZ6/FZ6,0)</f>
        <v>0</v>
      </c>
      <c r="GB17" s="45">
        <f>IFERROR(GB6/GR6,0)</f>
        <v>0</v>
      </c>
      <c r="GC17" s="15">
        <f t="shared" ref="GC17:GC24" si="197">IFERROR(GC6/GR6,0)</f>
        <v>0</v>
      </c>
      <c r="GD17" s="16">
        <f t="shared" ref="GD17:GD24" si="198">IFERROR(GD6/GR6,0)</f>
        <v>0</v>
      </c>
      <c r="GE17" s="16">
        <f t="shared" ref="GE17:GE24" si="199">IFERROR(GE6/GR6,0)</f>
        <v>0</v>
      </c>
      <c r="GF17" s="16">
        <f t="shared" ref="GF17:GF24" si="200">IFERROR(GF6/GR6,0)</f>
        <v>0</v>
      </c>
      <c r="GG17" s="16">
        <f t="shared" ref="GG17:GG24" si="201">IFERROR(GG6/GR6,0)</f>
        <v>0</v>
      </c>
      <c r="GH17" s="16">
        <f t="shared" ref="GH17:GH24" si="202">IFERROR(GH6/GR6,0)</f>
        <v>0</v>
      </c>
      <c r="GI17" s="16">
        <f t="shared" ref="GI17:GI24" si="203">IFERROR(GI6/GR6,0)</f>
        <v>0</v>
      </c>
      <c r="GJ17" s="16">
        <f t="shared" ref="GJ17:GJ24" si="204">IFERROR(GJ6/GR6,0)</f>
        <v>0</v>
      </c>
      <c r="GK17" s="16">
        <f t="shared" ref="GK17:GK24" si="205">IFERROR(GK6/GR6,0)</f>
        <v>0</v>
      </c>
      <c r="GL17" s="16">
        <f t="shared" ref="GL17:GL24" si="206">IFERROR(GL6/GR6,0)</f>
        <v>0</v>
      </c>
      <c r="GM17" s="16">
        <f t="shared" ref="GM17:GM24" si="207">IFERROR(GM6/GR6,0)</f>
        <v>0</v>
      </c>
      <c r="GN17" s="16">
        <f t="shared" ref="GN17:GN24" si="208">IFERROR(GN6/GR6,0)</f>
        <v>0</v>
      </c>
      <c r="GO17" s="16">
        <f t="shared" ref="GO17:GO24" si="209">IFERROR(GO6/GR6,0)</f>
        <v>0</v>
      </c>
      <c r="GP17" s="16">
        <f t="shared" ref="GP17:GP24" si="210">IFERROR(GP6/GR6,0)</f>
        <v>0</v>
      </c>
      <c r="GQ17" s="16">
        <f t="shared" ref="GQ17:GQ24" si="211">IFERROR(GQ6/GR6,0)</f>
        <v>0</v>
      </c>
      <c r="GR17" s="48">
        <f t="shared" ref="GR17:HJ24" si="212">IFERROR(GR6/GR6,0)</f>
        <v>0</v>
      </c>
      <c r="GT17" s="45">
        <f>IFERROR(GT6/HJ6,0)</f>
        <v>0</v>
      </c>
      <c r="GU17" s="15">
        <f t="shared" ref="GU17:GU24" si="213">IFERROR(GU6/HJ6,0)</f>
        <v>0</v>
      </c>
      <c r="GV17" s="16">
        <f t="shared" ref="GV17:GV24" si="214">IFERROR(GV6/HJ6,0)</f>
        <v>0</v>
      </c>
      <c r="GW17" s="16">
        <f t="shared" ref="GW17:GW24" si="215">IFERROR(GW6/HJ6,0)</f>
        <v>0</v>
      </c>
      <c r="GX17" s="16">
        <f t="shared" ref="GX17:GX24" si="216">IFERROR(GX6/HJ6,0)</f>
        <v>0</v>
      </c>
      <c r="GY17" s="16">
        <f t="shared" ref="GY17:GY24" si="217">IFERROR(GY6/HJ6,0)</f>
        <v>0</v>
      </c>
      <c r="GZ17" s="16">
        <f t="shared" ref="GZ17:GZ24" si="218">IFERROR(GZ6/HJ6,0)</f>
        <v>0</v>
      </c>
      <c r="HA17" s="16">
        <f t="shared" ref="HA17:HA24" si="219">IFERROR(HA6/HJ6,0)</f>
        <v>0</v>
      </c>
      <c r="HB17" s="16">
        <f t="shared" ref="HB17:HB24" si="220">IFERROR(HB6/HJ6,0)</f>
        <v>0</v>
      </c>
      <c r="HC17" s="16">
        <f t="shared" ref="HC17:HC24" si="221">IFERROR(HC6/HJ6,0)</f>
        <v>0</v>
      </c>
      <c r="HD17" s="16">
        <f t="shared" ref="HD17:HD24" si="222">IFERROR(HD6/HJ6,0)</f>
        <v>0</v>
      </c>
      <c r="HE17" s="16">
        <f t="shared" ref="HE17:HE24" si="223">IFERROR(HE6/HJ6,0)</f>
        <v>0</v>
      </c>
      <c r="HF17" s="16">
        <f t="shared" ref="HF17:HF24" si="224">IFERROR(HF6/HJ6,0)</f>
        <v>0</v>
      </c>
      <c r="HG17" s="16">
        <f t="shared" ref="HG17:HG24" si="225">IFERROR(HG6/HJ6,0)</f>
        <v>0</v>
      </c>
      <c r="HH17" s="16">
        <f t="shared" ref="HH17:HH24" si="226">IFERROR(HH6/HJ6,0)</f>
        <v>0</v>
      </c>
      <c r="HI17" s="16">
        <f t="shared" ref="HI17:HI24" si="227">IFERROR(HI6/HJ6,0)</f>
        <v>0</v>
      </c>
      <c r="HJ17" s="48">
        <f t="shared" ref="HJ17:HJ23" si="228">IFERROR(HJ6/HJ6,0)</f>
        <v>0</v>
      </c>
      <c r="HL17" s="45">
        <f>IFERROR(HL6/IB6,0)</f>
        <v>0</v>
      </c>
      <c r="HM17" s="15">
        <f t="shared" ref="HM17:HM24" si="229">IFERROR(HM6/IB6,0)</f>
        <v>0</v>
      </c>
      <c r="HN17" s="16">
        <f t="shared" ref="HN17:HN24" si="230">IFERROR(HN6/IB6,0)</f>
        <v>0</v>
      </c>
      <c r="HO17" s="16">
        <f t="shared" ref="HO17:HO24" si="231">IFERROR(HO6/IB6,0)</f>
        <v>0</v>
      </c>
      <c r="HP17" s="16">
        <f t="shared" ref="HP17:HP24" si="232">IFERROR(HP6/IB6,0)</f>
        <v>0</v>
      </c>
      <c r="HQ17" s="16">
        <f t="shared" ref="HQ17:HQ24" si="233">IFERROR(HQ6/IB6,0)</f>
        <v>0</v>
      </c>
      <c r="HR17" s="16">
        <f t="shared" ref="HR17:HR24" si="234">IFERROR(HR6/IB6,0)</f>
        <v>0</v>
      </c>
      <c r="HS17" s="16">
        <f t="shared" ref="HS17:HS24" si="235">IFERROR(HS6/IB6,0)</f>
        <v>0</v>
      </c>
      <c r="HT17" s="16">
        <f t="shared" ref="HT17:HT24" si="236">IFERROR(HT6/IB6,0)</f>
        <v>0</v>
      </c>
      <c r="HU17" s="16">
        <f t="shared" ref="HU17:HU24" si="237">IFERROR(HU6/IB6,0)</f>
        <v>0</v>
      </c>
      <c r="HV17" s="16">
        <f t="shared" ref="HV17:HV24" si="238">IFERROR(HV6/IB6,0)</f>
        <v>0</v>
      </c>
      <c r="HW17" s="16">
        <f t="shared" ref="HW17:HW24" si="239">IFERROR(HW6/IB6,0)</f>
        <v>0</v>
      </c>
      <c r="HX17" s="16">
        <f t="shared" ref="HX17:HX24" si="240">IFERROR(HX6/IB6,0)</f>
        <v>0</v>
      </c>
      <c r="HY17" s="16">
        <f t="shared" ref="HY17:HY24" si="241">IFERROR(HY6/IB6,0)</f>
        <v>0</v>
      </c>
      <c r="HZ17" s="16">
        <f t="shared" ref="HZ17:HZ24" si="242">IFERROR(HZ6/IB6,0)</f>
        <v>0</v>
      </c>
      <c r="IA17" s="16">
        <f t="shared" ref="IA17:IA24" si="243">IFERROR(IA6/IB6,0)</f>
        <v>0</v>
      </c>
      <c r="IB17" s="48">
        <f t="shared" ref="IB17:IB24" si="244">IFERROR(IB6/IB6,0)</f>
        <v>0</v>
      </c>
    </row>
    <row r="18" spans="2:236" s="11" customFormat="1" x14ac:dyDescent="0.35">
      <c r="B18" s="17" t="s">
        <v>69</v>
      </c>
      <c r="C18" s="17"/>
      <c r="D18" s="45">
        <f t="shared" ref="D18:D24" si="245">IFERROR(D7/T7,0)</f>
        <v>1.0150658618950235</v>
      </c>
      <c r="E18" s="18">
        <f t="shared" ref="E18:E24" si="246">IFERROR(E7/T7,0)</f>
        <v>0</v>
      </c>
      <c r="F18" s="19">
        <f t="shared" si="38"/>
        <v>0.8842465702365363</v>
      </c>
      <c r="G18" s="18">
        <f t="shared" si="39"/>
        <v>4.6467362268998814E-2</v>
      </c>
      <c r="H18" s="18">
        <f t="shared" si="40"/>
        <v>0</v>
      </c>
      <c r="I18" s="18">
        <f t="shared" si="41"/>
        <v>6.8334356277939424E-3</v>
      </c>
      <c r="J18" s="18">
        <f t="shared" si="42"/>
        <v>0</v>
      </c>
      <c r="K18" s="18">
        <f t="shared" si="43"/>
        <v>0</v>
      </c>
      <c r="L18" s="18">
        <f t="shared" si="44"/>
        <v>0</v>
      </c>
      <c r="M18" s="18">
        <f t="shared" si="45"/>
        <v>0</v>
      </c>
      <c r="N18" s="18">
        <f t="shared" si="46"/>
        <v>1.6400245506705463E-2</v>
      </c>
      <c r="O18" s="18">
        <f t="shared" si="47"/>
        <v>0</v>
      </c>
      <c r="P18" s="18">
        <f t="shared" si="48"/>
        <v>0</v>
      </c>
      <c r="Q18" s="18">
        <f t="shared" si="49"/>
        <v>0</v>
      </c>
      <c r="R18" s="18">
        <f t="shared" si="50"/>
        <v>4.1703836415005725E-2</v>
      </c>
      <c r="S18" s="18">
        <f t="shared" si="51"/>
        <v>4.3485499449597825E-3</v>
      </c>
      <c r="T18" s="49">
        <f t="shared" si="52"/>
        <v>1</v>
      </c>
      <c r="V18" s="45">
        <f t="shared" ref="V18:V24" si="247">IFERROR(V7/AL7,0)</f>
        <v>0</v>
      </c>
      <c r="W18" s="18">
        <f t="shared" si="53"/>
        <v>0</v>
      </c>
      <c r="X18" s="19">
        <f t="shared" si="54"/>
        <v>0</v>
      </c>
      <c r="Y18" s="18">
        <f t="shared" si="55"/>
        <v>0</v>
      </c>
      <c r="Z18" s="18">
        <f t="shared" si="56"/>
        <v>0</v>
      </c>
      <c r="AA18" s="18">
        <f t="shared" si="57"/>
        <v>0</v>
      </c>
      <c r="AB18" s="18">
        <f t="shared" si="58"/>
        <v>0</v>
      </c>
      <c r="AC18" s="18">
        <f t="shared" si="59"/>
        <v>0</v>
      </c>
      <c r="AD18" s="18">
        <f t="shared" si="60"/>
        <v>0</v>
      </c>
      <c r="AE18" s="18">
        <f t="shared" si="61"/>
        <v>0</v>
      </c>
      <c r="AF18" s="18">
        <f t="shared" si="62"/>
        <v>0</v>
      </c>
      <c r="AG18" s="18">
        <f t="shared" si="63"/>
        <v>0</v>
      </c>
      <c r="AH18" s="18">
        <f t="shared" si="64"/>
        <v>0</v>
      </c>
      <c r="AI18" s="18">
        <f t="shared" si="65"/>
        <v>0</v>
      </c>
      <c r="AJ18" s="18">
        <f t="shared" si="66"/>
        <v>0</v>
      </c>
      <c r="AK18" s="18">
        <f t="shared" si="67"/>
        <v>0</v>
      </c>
      <c r="AL18" s="49">
        <f t="shared" si="68"/>
        <v>0</v>
      </c>
      <c r="AN18" s="45">
        <f t="shared" ref="AN18:AN24" si="248">IFERROR(AN7/BD7,0)</f>
        <v>0</v>
      </c>
      <c r="AO18" s="18">
        <f t="shared" si="69"/>
        <v>0</v>
      </c>
      <c r="AP18" s="19">
        <f t="shared" si="70"/>
        <v>0</v>
      </c>
      <c r="AQ18" s="18">
        <f t="shared" si="71"/>
        <v>0</v>
      </c>
      <c r="AR18" s="18">
        <f t="shared" si="72"/>
        <v>0</v>
      </c>
      <c r="AS18" s="18">
        <f t="shared" si="73"/>
        <v>0</v>
      </c>
      <c r="AT18" s="18">
        <f t="shared" si="74"/>
        <v>0</v>
      </c>
      <c r="AU18" s="18">
        <f t="shared" si="75"/>
        <v>0</v>
      </c>
      <c r="AV18" s="18">
        <f t="shared" si="76"/>
        <v>0</v>
      </c>
      <c r="AW18" s="18">
        <f t="shared" si="77"/>
        <v>0</v>
      </c>
      <c r="AX18" s="18">
        <f t="shared" si="78"/>
        <v>0</v>
      </c>
      <c r="AY18" s="18">
        <f t="shared" si="79"/>
        <v>0</v>
      </c>
      <c r="AZ18" s="18">
        <f t="shared" si="80"/>
        <v>0</v>
      </c>
      <c r="BA18" s="18">
        <f t="shared" si="81"/>
        <v>0</v>
      </c>
      <c r="BB18" s="18">
        <f t="shared" si="82"/>
        <v>0</v>
      </c>
      <c r="BC18" s="18">
        <f t="shared" si="83"/>
        <v>0</v>
      </c>
      <c r="BD18" s="49">
        <f t="shared" si="84"/>
        <v>0</v>
      </c>
      <c r="BF18" s="45">
        <f t="shared" ref="BF18:BF24" si="249">IFERROR(BF7/BV7,0)</f>
        <v>1.0150658618950235</v>
      </c>
      <c r="BG18" s="18">
        <f t="shared" si="85"/>
        <v>0</v>
      </c>
      <c r="BH18" s="19">
        <f t="shared" si="86"/>
        <v>0.8842465702365363</v>
      </c>
      <c r="BI18" s="18">
        <f t="shared" si="87"/>
        <v>4.6467362268998814E-2</v>
      </c>
      <c r="BJ18" s="18">
        <f t="shared" si="88"/>
        <v>0</v>
      </c>
      <c r="BK18" s="18">
        <f t="shared" si="89"/>
        <v>6.8334356277939424E-3</v>
      </c>
      <c r="BL18" s="18">
        <f t="shared" si="90"/>
        <v>0</v>
      </c>
      <c r="BM18" s="18">
        <f t="shared" si="91"/>
        <v>0</v>
      </c>
      <c r="BN18" s="18">
        <f t="shared" si="92"/>
        <v>0</v>
      </c>
      <c r="BO18" s="18">
        <f t="shared" si="93"/>
        <v>0</v>
      </c>
      <c r="BP18" s="18">
        <f t="shared" si="94"/>
        <v>1.6400245506705463E-2</v>
      </c>
      <c r="BQ18" s="18">
        <f t="shared" si="95"/>
        <v>0</v>
      </c>
      <c r="BR18" s="18">
        <f t="shared" si="96"/>
        <v>0</v>
      </c>
      <c r="BS18" s="18">
        <f t="shared" si="97"/>
        <v>0</v>
      </c>
      <c r="BT18" s="18">
        <f t="shared" si="98"/>
        <v>4.1703836415005725E-2</v>
      </c>
      <c r="BU18" s="18">
        <f t="shared" si="99"/>
        <v>4.3485499449597825E-3</v>
      </c>
      <c r="BV18" s="49">
        <f t="shared" si="100"/>
        <v>1</v>
      </c>
      <c r="BX18" s="45">
        <f t="shared" ref="BX18:BX24" si="250">IFERROR(BX7/CN7,0)</f>
        <v>0</v>
      </c>
      <c r="BY18" s="18">
        <f t="shared" si="101"/>
        <v>0</v>
      </c>
      <c r="BZ18" s="19">
        <f t="shared" si="102"/>
        <v>0</v>
      </c>
      <c r="CA18" s="18">
        <f t="shared" si="103"/>
        <v>0</v>
      </c>
      <c r="CB18" s="18">
        <f t="shared" si="104"/>
        <v>0</v>
      </c>
      <c r="CC18" s="18">
        <f t="shared" si="105"/>
        <v>0</v>
      </c>
      <c r="CD18" s="18">
        <f t="shared" si="106"/>
        <v>0</v>
      </c>
      <c r="CE18" s="18">
        <f t="shared" si="107"/>
        <v>0</v>
      </c>
      <c r="CF18" s="18">
        <f t="shared" si="108"/>
        <v>0</v>
      </c>
      <c r="CG18" s="18">
        <f t="shared" si="109"/>
        <v>0</v>
      </c>
      <c r="CH18" s="18">
        <f t="shared" si="110"/>
        <v>0</v>
      </c>
      <c r="CI18" s="18">
        <f t="shared" si="111"/>
        <v>0</v>
      </c>
      <c r="CJ18" s="18">
        <f t="shared" si="112"/>
        <v>0</v>
      </c>
      <c r="CK18" s="18">
        <f t="shared" si="113"/>
        <v>0</v>
      </c>
      <c r="CL18" s="18">
        <f t="shared" si="114"/>
        <v>0</v>
      </c>
      <c r="CM18" s="18">
        <f t="shared" si="115"/>
        <v>0</v>
      </c>
      <c r="CN18" s="49">
        <f t="shared" si="116"/>
        <v>0</v>
      </c>
      <c r="CP18" s="45">
        <f t="shared" ref="CP18:CP24" si="251">IFERROR(CP7/DF7,0)</f>
        <v>0</v>
      </c>
      <c r="CQ18" s="18">
        <f t="shared" si="117"/>
        <v>0</v>
      </c>
      <c r="CR18" s="19">
        <f t="shared" si="118"/>
        <v>0</v>
      </c>
      <c r="CS18" s="18">
        <f t="shared" si="119"/>
        <v>0</v>
      </c>
      <c r="CT18" s="18">
        <f t="shared" si="120"/>
        <v>0</v>
      </c>
      <c r="CU18" s="18">
        <f t="shared" si="121"/>
        <v>0</v>
      </c>
      <c r="CV18" s="18">
        <f t="shared" si="122"/>
        <v>0</v>
      </c>
      <c r="CW18" s="18">
        <f t="shared" si="123"/>
        <v>0</v>
      </c>
      <c r="CX18" s="18">
        <f t="shared" si="124"/>
        <v>0</v>
      </c>
      <c r="CY18" s="18">
        <f t="shared" si="125"/>
        <v>0</v>
      </c>
      <c r="CZ18" s="18">
        <f t="shared" si="126"/>
        <v>0</v>
      </c>
      <c r="DA18" s="18">
        <f t="shared" si="127"/>
        <v>0</v>
      </c>
      <c r="DB18" s="18">
        <f t="shared" si="128"/>
        <v>0</v>
      </c>
      <c r="DC18" s="18">
        <f t="shared" si="129"/>
        <v>0</v>
      </c>
      <c r="DD18" s="18">
        <f t="shared" si="130"/>
        <v>0</v>
      </c>
      <c r="DE18" s="18">
        <f t="shared" si="131"/>
        <v>0</v>
      </c>
      <c r="DF18" s="49">
        <f t="shared" si="132"/>
        <v>0</v>
      </c>
      <c r="DH18" s="45">
        <f t="shared" ref="DH18:DH24" si="252">IFERROR(DH7/DX7,0)</f>
        <v>0</v>
      </c>
      <c r="DI18" s="18">
        <f t="shared" si="133"/>
        <v>0</v>
      </c>
      <c r="DJ18" s="19">
        <f t="shared" si="134"/>
        <v>0</v>
      </c>
      <c r="DK18" s="18">
        <f t="shared" si="135"/>
        <v>0</v>
      </c>
      <c r="DL18" s="18">
        <f t="shared" si="136"/>
        <v>0</v>
      </c>
      <c r="DM18" s="18">
        <f t="shared" si="137"/>
        <v>0</v>
      </c>
      <c r="DN18" s="18">
        <f t="shared" si="138"/>
        <v>0</v>
      </c>
      <c r="DO18" s="18">
        <f t="shared" si="139"/>
        <v>0</v>
      </c>
      <c r="DP18" s="18">
        <f t="shared" si="140"/>
        <v>0</v>
      </c>
      <c r="DQ18" s="18">
        <f t="shared" si="141"/>
        <v>0</v>
      </c>
      <c r="DR18" s="18">
        <f t="shared" si="142"/>
        <v>0</v>
      </c>
      <c r="DS18" s="18">
        <f t="shared" si="143"/>
        <v>0</v>
      </c>
      <c r="DT18" s="18">
        <f t="shared" si="144"/>
        <v>0</v>
      </c>
      <c r="DU18" s="18">
        <f t="shared" si="145"/>
        <v>0</v>
      </c>
      <c r="DV18" s="18">
        <f t="shared" si="146"/>
        <v>0</v>
      </c>
      <c r="DW18" s="18">
        <f t="shared" si="147"/>
        <v>0</v>
      </c>
      <c r="DX18" s="49">
        <f t="shared" si="148"/>
        <v>0</v>
      </c>
      <c r="DZ18" s="45">
        <f t="shared" ref="DZ18:DZ24" si="253">IFERROR(DZ7/EP7,0)</f>
        <v>0</v>
      </c>
      <c r="EA18" s="18">
        <f t="shared" si="149"/>
        <v>0</v>
      </c>
      <c r="EB18" s="19">
        <f t="shared" si="150"/>
        <v>0</v>
      </c>
      <c r="EC18" s="18">
        <f t="shared" si="151"/>
        <v>0</v>
      </c>
      <c r="ED18" s="18">
        <f t="shared" si="152"/>
        <v>0</v>
      </c>
      <c r="EE18" s="18">
        <f t="shared" si="153"/>
        <v>0</v>
      </c>
      <c r="EF18" s="18">
        <f t="shared" si="154"/>
        <v>0</v>
      </c>
      <c r="EG18" s="18">
        <f t="shared" si="155"/>
        <v>0</v>
      </c>
      <c r="EH18" s="18">
        <f t="shared" si="156"/>
        <v>0</v>
      </c>
      <c r="EI18" s="18">
        <f t="shared" si="157"/>
        <v>0</v>
      </c>
      <c r="EJ18" s="18">
        <f t="shared" si="158"/>
        <v>0</v>
      </c>
      <c r="EK18" s="18">
        <f t="shared" si="159"/>
        <v>0</v>
      </c>
      <c r="EL18" s="18">
        <f t="shared" si="160"/>
        <v>0</v>
      </c>
      <c r="EM18" s="18">
        <f t="shared" si="161"/>
        <v>0</v>
      </c>
      <c r="EN18" s="18">
        <f t="shared" si="162"/>
        <v>0</v>
      </c>
      <c r="EO18" s="18">
        <f t="shared" si="163"/>
        <v>0</v>
      </c>
      <c r="EP18" s="49">
        <f t="shared" si="164"/>
        <v>0</v>
      </c>
      <c r="ER18" s="45">
        <f t="shared" ref="ER18:ER24" si="254">IFERROR(ER7/FH7,0)</f>
        <v>0</v>
      </c>
      <c r="ES18" s="18">
        <f t="shared" si="165"/>
        <v>0</v>
      </c>
      <c r="ET18" s="19">
        <f t="shared" si="166"/>
        <v>0</v>
      </c>
      <c r="EU18" s="18">
        <f t="shared" si="167"/>
        <v>0</v>
      </c>
      <c r="EV18" s="18">
        <f t="shared" si="168"/>
        <v>0</v>
      </c>
      <c r="EW18" s="18">
        <f t="shared" si="169"/>
        <v>0</v>
      </c>
      <c r="EX18" s="18">
        <f t="shared" si="170"/>
        <v>0</v>
      </c>
      <c r="EY18" s="18">
        <f t="shared" si="171"/>
        <v>0</v>
      </c>
      <c r="EZ18" s="18">
        <f t="shared" si="172"/>
        <v>0</v>
      </c>
      <c r="FA18" s="18">
        <f t="shared" si="173"/>
        <v>0</v>
      </c>
      <c r="FB18" s="18">
        <f t="shared" si="174"/>
        <v>0</v>
      </c>
      <c r="FC18" s="18">
        <f t="shared" si="175"/>
        <v>0</v>
      </c>
      <c r="FD18" s="18">
        <f t="shared" si="176"/>
        <v>0</v>
      </c>
      <c r="FE18" s="18">
        <f t="shared" si="177"/>
        <v>0</v>
      </c>
      <c r="FF18" s="18">
        <f t="shared" si="178"/>
        <v>0</v>
      </c>
      <c r="FG18" s="18">
        <f t="shared" si="179"/>
        <v>0</v>
      </c>
      <c r="FH18" s="49">
        <f t="shared" si="180"/>
        <v>0</v>
      </c>
      <c r="FJ18" s="45">
        <f t="shared" ref="FJ18:FJ24" si="255">IFERROR(FJ7/FZ7,0)</f>
        <v>0</v>
      </c>
      <c r="FK18" s="18">
        <f t="shared" si="181"/>
        <v>0</v>
      </c>
      <c r="FL18" s="19">
        <f t="shared" si="182"/>
        <v>0</v>
      </c>
      <c r="FM18" s="18">
        <f t="shared" si="183"/>
        <v>0</v>
      </c>
      <c r="FN18" s="18">
        <f t="shared" si="184"/>
        <v>0</v>
      </c>
      <c r="FO18" s="18">
        <f t="shared" si="185"/>
        <v>0</v>
      </c>
      <c r="FP18" s="18">
        <f t="shared" si="186"/>
        <v>0</v>
      </c>
      <c r="FQ18" s="18">
        <f t="shared" si="187"/>
        <v>0</v>
      </c>
      <c r="FR18" s="18">
        <f t="shared" si="188"/>
        <v>0</v>
      </c>
      <c r="FS18" s="18">
        <f t="shared" si="189"/>
        <v>0</v>
      </c>
      <c r="FT18" s="18">
        <f t="shared" si="190"/>
        <v>0</v>
      </c>
      <c r="FU18" s="18">
        <f t="shared" si="191"/>
        <v>0</v>
      </c>
      <c r="FV18" s="18">
        <f t="shared" si="192"/>
        <v>0</v>
      </c>
      <c r="FW18" s="18">
        <f t="shared" si="193"/>
        <v>0</v>
      </c>
      <c r="FX18" s="18">
        <f t="shared" si="194"/>
        <v>0</v>
      </c>
      <c r="FY18" s="18">
        <f t="shared" si="195"/>
        <v>0</v>
      </c>
      <c r="FZ18" s="49">
        <f t="shared" si="196"/>
        <v>0</v>
      </c>
      <c r="GB18" s="45">
        <f t="shared" ref="GB18:GB24" si="256">IFERROR(GB7/GR7,0)</f>
        <v>0</v>
      </c>
      <c r="GC18" s="18">
        <f t="shared" si="197"/>
        <v>0</v>
      </c>
      <c r="GD18" s="19">
        <f t="shared" si="198"/>
        <v>0</v>
      </c>
      <c r="GE18" s="18">
        <f t="shared" si="199"/>
        <v>0</v>
      </c>
      <c r="GF18" s="18">
        <f t="shared" si="200"/>
        <v>0</v>
      </c>
      <c r="GG18" s="18">
        <f t="shared" si="201"/>
        <v>0</v>
      </c>
      <c r="GH18" s="18">
        <f t="shared" si="202"/>
        <v>0</v>
      </c>
      <c r="GI18" s="18">
        <f t="shared" si="203"/>
        <v>0</v>
      </c>
      <c r="GJ18" s="18">
        <f t="shared" si="204"/>
        <v>0</v>
      </c>
      <c r="GK18" s="18">
        <f t="shared" si="205"/>
        <v>0</v>
      </c>
      <c r="GL18" s="18">
        <f t="shared" si="206"/>
        <v>0</v>
      </c>
      <c r="GM18" s="18">
        <f t="shared" si="207"/>
        <v>0</v>
      </c>
      <c r="GN18" s="18">
        <f t="shared" si="208"/>
        <v>0</v>
      </c>
      <c r="GO18" s="18">
        <f t="shared" si="209"/>
        <v>0</v>
      </c>
      <c r="GP18" s="18">
        <f t="shared" si="210"/>
        <v>0</v>
      </c>
      <c r="GQ18" s="18">
        <f t="shared" si="211"/>
        <v>0</v>
      </c>
      <c r="GR18" s="49">
        <f t="shared" si="212"/>
        <v>0</v>
      </c>
      <c r="GT18" s="45">
        <f t="shared" ref="GT18:GT24" si="257">IFERROR(GT7/HJ7,0)</f>
        <v>0</v>
      </c>
      <c r="GU18" s="18">
        <f t="shared" si="213"/>
        <v>0</v>
      </c>
      <c r="GV18" s="19">
        <f t="shared" si="214"/>
        <v>0</v>
      </c>
      <c r="GW18" s="18">
        <f t="shared" si="215"/>
        <v>0</v>
      </c>
      <c r="GX18" s="18">
        <f t="shared" si="216"/>
        <v>0</v>
      </c>
      <c r="GY18" s="18">
        <f t="shared" si="217"/>
        <v>0</v>
      </c>
      <c r="GZ18" s="18">
        <f t="shared" si="218"/>
        <v>0</v>
      </c>
      <c r="HA18" s="18">
        <f t="shared" si="219"/>
        <v>0</v>
      </c>
      <c r="HB18" s="18">
        <f t="shared" si="220"/>
        <v>0</v>
      </c>
      <c r="HC18" s="18">
        <f t="shared" si="221"/>
        <v>0</v>
      </c>
      <c r="HD18" s="18">
        <f t="shared" si="222"/>
        <v>0</v>
      </c>
      <c r="HE18" s="18">
        <f t="shared" si="223"/>
        <v>0</v>
      </c>
      <c r="HF18" s="18">
        <f t="shared" si="224"/>
        <v>0</v>
      </c>
      <c r="HG18" s="18">
        <f t="shared" si="225"/>
        <v>0</v>
      </c>
      <c r="HH18" s="18">
        <f t="shared" si="226"/>
        <v>0</v>
      </c>
      <c r="HI18" s="18">
        <f t="shared" si="227"/>
        <v>0</v>
      </c>
      <c r="HJ18" s="49">
        <f t="shared" si="228"/>
        <v>0</v>
      </c>
      <c r="HL18" s="45">
        <f t="shared" ref="HL18:HL24" si="258">IFERROR(HL7/IB7,0)</f>
        <v>0</v>
      </c>
      <c r="HM18" s="18">
        <f t="shared" si="229"/>
        <v>0</v>
      </c>
      <c r="HN18" s="19">
        <f t="shared" si="230"/>
        <v>0</v>
      </c>
      <c r="HO18" s="18">
        <f t="shared" si="231"/>
        <v>0</v>
      </c>
      <c r="HP18" s="18">
        <f t="shared" si="232"/>
        <v>0</v>
      </c>
      <c r="HQ18" s="18">
        <f t="shared" si="233"/>
        <v>0</v>
      </c>
      <c r="HR18" s="18">
        <f t="shared" si="234"/>
        <v>0</v>
      </c>
      <c r="HS18" s="18">
        <f t="shared" si="235"/>
        <v>0</v>
      </c>
      <c r="HT18" s="18">
        <f t="shared" si="236"/>
        <v>0</v>
      </c>
      <c r="HU18" s="18">
        <f t="shared" si="237"/>
        <v>0</v>
      </c>
      <c r="HV18" s="18">
        <f t="shared" si="238"/>
        <v>0</v>
      </c>
      <c r="HW18" s="18">
        <f t="shared" si="239"/>
        <v>0</v>
      </c>
      <c r="HX18" s="18">
        <f t="shared" si="240"/>
        <v>0</v>
      </c>
      <c r="HY18" s="18">
        <f t="shared" si="241"/>
        <v>0</v>
      </c>
      <c r="HZ18" s="18">
        <f t="shared" si="242"/>
        <v>0</v>
      </c>
      <c r="IA18" s="18">
        <f t="shared" si="243"/>
        <v>0</v>
      </c>
      <c r="IB18" s="49">
        <f t="shared" si="244"/>
        <v>0</v>
      </c>
    </row>
    <row r="19" spans="2:236" s="11" customFormat="1" x14ac:dyDescent="0.35">
      <c r="B19" s="17" t="s">
        <v>70</v>
      </c>
      <c r="C19" s="17"/>
      <c r="D19" s="45">
        <f t="shared" si="245"/>
        <v>1.015988242752742</v>
      </c>
      <c r="E19" s="18">
        <f t="shared" si="246"/>
        <v>0</v>
      </c>
      <c r="F19" s="18">
        <f t="shared" si="38"/>
        <v>1.9424220149069769E-2</v>
      </c>
      <c r="G19" s="19">
        <f t="shared" si="39"/>
        <v>0.9222797658565951</v>
      </c>
      <c r="H19" s="18">
        <f t="shared" si="40"/>
        <v>0</v>
      </c>
      <c r="I19" s="18">
        <f t="shared" si="41"/>
        <v>1.4086266520317772E-2</v>
      </c>
      <c r="J19" s="18">
        <f t="shared" si="42"/>
        <v>0</v>
      </c>
      <c r="K19" s="18">
        <f t="shared" si="43"/>
        <v>0</v>
      </c>
      <c r="L19" s="18">
        <f t="shared" si="44"/>
        <v>0</v>
      </c>
      <c r="M19" s="18">
        <f t="shared" si="45"/>
        <v>0</v>
      </c>
      <c r="N19" s="18">
        <f t="shared" si="46"/>
        <v>8.8965893812533294E-4</v>
      </c>
      <c r="O19" s="18">
        <f t="shared" si="47"/>
        <v>7.7103774637528851E-3</v>
      </c>
      <c r="P19" s="18">
        <f t="shared" si="48"/>
        <v>2.5169597132440528E-3</v>
      </c>
      <c r="Q19" s="18">
        <f t="shared" si="49"/>
        <v>0</v>
      </c>
      <c r="R19" s="18">
        <f t="shared" si="50"/>
        <v>3.3092751358895056E-2</v>
      </c>
      <c r="S19" s="18">
        <f t="shared" si="51"/>
        <v>0</v>
      </c>
      <c r="T19" s="49">
        <f t="shared" si="52"/>
        <v>1</v>
      </c>
      <c r="V19" s="45">
        <f t="shared" si="247"/>
        <v>1.0161147947499016</v>
      </c>
      <c r="W19" s="18">
        <f t="shared" si="53"/>
        <v>0</v>
      </c>
      <c r="X19" s="18">
        <f t="shared" si="54"/>
        <v>0</v>
      </c>
      <c r="Y19" s="19">
        <f t="shared" si="55"/>
        <v>0.95130896410004939</v>
      </c>
      <c r="Z19" s="18">
        <f t="shared" si="56"/>
        <v>0</v>
      </c>
      <c r="AA19" s="18">
        <f t="shared" si="57"/>
        <v>7.9322963057776637E-3</v>
      </c>
      <c r="AB19" s="18">
        <f t="shared" si="58"/>
        <v>0</v>
      </c>
      <c r="AC19" s="18">
        <f t="shared" si="59"/>
        <v>0</v>
      </c>
      <c r="AD19" s="18">
        <f t="shared" si="60"/>
        <v>0</v>
      </c>
      <c r="AE19" s="18">
        <f t="shared" si="61"/>
        <v>0</v>
      </c>
      <c r="AF19" s="18">
        <f t="shared" si="62"/>
        <v>1.133185186539666E-3</v>
      </c>
      <c r="AG19" s="18">
        <f t="shared" si="63"/>
        <v>6.7991111192379963E-3</v>
      </c>
      <c r="AH19" s="18">
        <f t="shared" si="64"/>
        <v>3.9518545670131607E-3</v>
      </c>
      <c r="AI19" s="18">
        <f t="shared" si="65"/>
        <v>0</v>
      </c>
      <c r="AJ19" s="18">
        <f t="shared" si="66"/>
        <v>2.8874588721382093E-2</v>
      </c>
      <c r="AK19" s="18">
        <f t="shared" si="67"/>
        <v>0</v>
      </c>
      <c r="AL19" s="49">
        <f t="shared" si="68"/>
        <v>1</v>
      </c>
      <c r="AN19" s="45">
        <f t="shared" si="248"/>
        <v>1.0165191902004826</v>
      </c>
      <c r="AO19" s="18">
        <f t="shared" si="69"/>
        <v>0</v>
      </c>
      <c r="AP19" s="18">
        <f t="shared" si="70"/>
        <v>0.10083924636637737</v>
      </c>
      <c r="AQ19" s="19">
        <f t="shared" si="71"/>
        <v>0.80179498330339094</v>
      </c>
      <c r="AR19" s="18">
        <f t="shared" si="72"/>
        <v>0</v>
      </c>
      <c r="AS19" s="18">
        <f t="shared" si="73"/>
        <v>1.2297469069070411E-2</v>
      </c>
      <c r="AT19" s="18">
        <f t="shared" si="74"/>
        <v>0</v>
      </c>
      <c r="AU19" s="18">
        <f t="shared" si="75"/>
        <v>0</v>
      </c>
      <c r="AV19" s="18">
        <f t="shared" si="76"/>
        <v>0</v>
      </c>
      <c r="AW19" s="18">
        <f t="shared" si="77"/>
        <v>0</v>
      </c>
      <c r="AX19" s="18">
        <f t="shared" si="78"/>
        <v>1.2297469069070411E-3</v>
      </c>
      <c r="AY19" s="18">
        <f t="shared" si="79"/>
        <v>3.566266030030419E-2</v>
      </c>
      <c r="AZ19" s="18">
        <f t="shared" si="80"/>
        <v>8.6082283483492859E-3</v>
      </c>
      <c r="BA19" s="18">
        <f t="shared" si="81"/>
        <v>0</v>
      </c>
      <c r="BB19" s="18">
        <f t="shared" si="82"/>
        <v>3.9567665705600823E-2</v>
      </c>
      <c r="BC19" s="18">
        <f t="shared" si="83"/>
        <v>0</v>
      </c>
      <c r="BD19" s="49">
        <f t="shared" si="84"/>
        <v>1</v>
      </c>
      <c r="BF19" s="45">
        <f t="shared" si="249"/>
        <v>1.0161500643399508</v>
      </c>
      <c r="BG19" s="18">
        <f t="shared" si="85"/>
        <v>0</v>
      </c>
      <c r="BH19" s="18">
        <f t="shared" si="86"/>
        <v>8.5541028587893617E-3</v>
      </c>
      <c r="BI19" s="19">
        <f t="shared" si="87"/>
        <v>0.93960066664702091</v>
      </c>
      <c r="BJ19" s="18">
        <f t="shared" si="88"/>
        <v>0</v>
      </c>
      <c r="BK19" s="18">
        <f t="shared" si="89"/>
        <v>1.5757557897769874E-2</v>
      </c>
      <c r="BL19" s="18">
        <f t="shared" si="90"/>
        <v>0</v>
      </c>
      <c r="BM19" s="18">
        <f t="shared" si="91"/>
        <v>0</v>
      </c>
      <c r="BN19" s="18">
        <f t="shared" si="92"/>
        <v>0</v>
      </c>
      <c r="BO19" s="18">
        <f t="shared" si="93"/>
        <v>0</v>
      </c>
      <c r="BP19" s="18">
        <f t="shared" si="94"/>
        <v>1.3506478198088464E-3</v>
      </c>
      <c r="BQ19" s="18">
        <f t="shared" si="95"/>
        <v>2.7012956396176928E-3</v>
      </c>
      <c r="BR19" s="18">
        <f t="shared" si="96"/>
        <v>1.3506478198088464E-3</v>
      </c>
      <c r="BS19" s="18">
        <f t="shared" si="97"/>
        <v>0</v>
      </c>
      <c r="BT19" s="18">
        <f t="shared" si="98"/>
        <v>3.068508131718449E-2</v>
      </c>
      <c r="BU19" s="18">
        <f t="shared" si="99"/>
        <v>0</v>
      </c>
      <c r="BV19" s="49">
        <f t="shared" si="100"/>
        <v>1</v>
      </c>
      <c r="BX19" s="45">
        <f t="shared" si="250"/>
        <v>1.0154665982355615</v>
      </c>
      <c r="BY19" s="18">
        <f t="shared" si="101"/>
        <v>0</v>
      </c>
      <c r="BZ19" s="18">
        <f t="shared" si="102"/>
        <v>1.5425044101603357E-2</v>
      </c>
      <c r="CA19" s="19">
        <f t="shared" si="103"/>
        <v>0.92653098236964204</v>
      </c>
      <c r="CB19" s="18">
        <f t="shared" si="104"/>
        <v>0</v>
      </c>
      <c r="CC19" s="18">
        <f t="shared" si="105"/>
        <v>1.8510052921924033E-2</v>
      </c>
      <c r="CD19" s="18">
        <f t="shared" si="106"/>
        <v>0</v>
      </c>
      <c r="CE19" s="18">
        <f t="shared" si="107"/>
        <v>0</v>
      </c>
      <c r="CF19" s="18">
        <f t="shared" si="108"/>
        <v>0</v>
      </c>
      <c r="CG19" s="18">
        <f t="shared" si="109"/>
        <v>0</v>
      </c>
      <c r="CH19" s="18">
        <f t="shared" si="110"/>
        <v>0</v>
      </c>
      <c r="CI19" s="18">
        <f t="shared" si="111"/>
        <v>2.5708406836005603E-3</v>
      </c>
      <c r="CJ19" s="18">
        <f t="shared" si="112"/>
        <v>0</v>
      </c>
      <c r="CK19" s="18">
        <f t="shared" si="113"/>
        <v>0</v>
      </c>
      <c r="CL19" s="18">
        <f t="shared" si="114"/>
        <v>3.6963079923230023E-2</v>
      </c>
      <c r="CM19" s="18">
        <f t="shared" si="115"/>
        <v>0</v>
      </c>
      <c r="CN19" s="49">
        <f t="shared" si="116"/>
        <v>1</v>
      </c>
      <c r="CP19" s="45">
        <f t="shared" si="251"/>
        <v>0</v>
      </c>
      <c r="CQ19" s="18">
        <f t="shared" si="117"/>
        <v>0</v>
      </c>
      <c r="CR19" s="18">
        <f t="shared" si="118"/>
        <v>0</v>
      </c>
      <c r="CS19" s="19">
        <f t="shared" si="119"/>
        <v>0</v>
      </c>
      <c r="CT19" s="18">
        <f t="shared" si="120"/>
        <v>0</v>
      </c>
      <c r="CU19" s="18">
        <f t="shared" si="121"/>
        <v>0</v>
      </c>
      <c r="CV19" s="18">
        <f t="shared" si="122"/>
        <v>0</v>
      </c>
      <c r="CW19" s="18">
        <f t="shared" si="123"/>
        <v>0</v>
      </c>
      <c r="CX19" s="18">
        <f t="shared" si="124"/>
        <v>0</v>
      </c>
      <c r="CY19" s="18">
        <f t="shared" si="125"/>
        <v>0</v>
      </c>
      <c r="CZ19" s="18">
        <f t="shared" si="126"/>
        <v>0</v>
      </c>
      <c r="DA19" s="18">
        <f t="shared" si="127"/>
        <v>0</v>
      </c>
      <c r="DB19" s="18">
        <f t="shared" si="128"/>
        <v>0</v>
      </c>
      <c r="DC19" s="18">
        <f t="shared" si="129"/>
        <v>0</v>
      </c>
      <c r="DD19" s="18">
        <f t="shared" si="130"/>
        <v>0</v>
      </c>
      <c r="DE19" s="18">
        <f t="shared" si="131"/>
        <v>0</v>
      </c>
      <c r="DF19" s="49">
        <f t="shared" si="132"/>
        <v>0</v>
      </c>
      <c r="DH19" s="45">
        <f t="shared" si="252"/>
        <v>0</v>
      </c>
      <c r="DI19" s="18">
        <f t="shared" si="133"/>
        <v>0</v>
      </c>
      <c r="DJ19" s="18">
        <f t="shared" si="134"/>
        <v>0</v>
      </c>
      <c r="DK19" s="19">
        <f t="shared" si="135"/>
        <v>0</v>
      </c>
      <c r="DL19" s="18">
        <f t="shared" si="136"/>
        <v>0</v>
      </c>
      <c r="DM19" s="18">
        <f t="shared" si="137"/>
        <v>0</v>
      </c>
      <c r="DN19" s="18">
        <f t="shared" si="138"/>
        <v>0</v>
      </c>
      <c r="DO19" s="18">
        <f t="shared" si="139"/>
        <v>0</v>
      </c>
      <c r="DP19" s="18">
        <f t="shared" si="140"/>
        <v>0</v>
      </c>
      <c r="DQ19" s="18">
        <f t="shared" si="141"/>
        <v>0</v>
      </c>
      <c r="DR19" s="18">
        <f t="shared" si="142"/>
        <v>0</v>
      </c>
      <c r="DS19" s="18">
        <f t="shared" si="143"/>
        <v>0</v>
      </c>
      <c r="DT19" s="18">
        <f t="shared" si="144"/>
        <v>0</v>
      </c>
      <c r="DU19" s="18">
        <f t="shared" si="145"/>
        <v>0</v>
      </c>
      <c r="DV19" s="18">
        <f t="shared" si="146"/>
        <v>0</v>
      </c>
      <c r="DW19" s="18">
        <f t="shared" si="147"/>
        <v>0</v>
      </c>
      <c r="DX19" s="49">
        <f t="shared" si="148"/>
        <v>0</v>
      </c>
      <c r="DZ19" s="45">
        <f t="shared" si="253"/>
        <v>0</v>
      </c>
      <c r="EA19" s="18">
        <f t="shared" si="149"/>
        <v>0</v>
      </c>
      <c r="EB19" s="18">
        <f t="shared" si="150"/>
        <v>0</v>
      </c>
      <c r="EC19" s="19">
        <f t="shared" si="151"/>
        <v>0</v>
      </c>
      <c r="ED19" s="18">
        <f t="shared" si="152"/>
        <v>0</v>
      </c>
      <c r="EE19" s="18">
        <f t="shared" si="153"/>
        <v>0</v>
      </c>
      <c r="EF19" s="18">
        <f t="shared" si="154"/>
        <v>0</v>
      </c>
      <c r="EG19" s="18">
        <f t="shared" si="155"/>
        <v>0</v>
      </c>
      <c r="EH19" s="18">
        <f t="shared" si="156"/>
        <v>0</v>
      </c>
      <c r="EI19" s="18">
        <f t="shared" si="157"/>
        <v>0</v>
      </c>
      <c r="EJ19" s="18">
        <f t="shared" si="158"/>
        <v>0</v>
      </c>
      <c r="EK19" s="18">
        <f t="shared" si="159"/>
        <v>0</v>
      </c>
      <c r="EL19" s="18">
        <f t="shared" si="160"/>
        <v>0</v>
      </c>
      <c r="EM19" s="18">
        <f t="shared" si="161"/>
        <v>0</v>
      </c>
      <c r="EN19" s="18">
        <f t="shared" si="162"/>
        <v>0</v>
      </c>
      <c r="EO19" s="18">
        <f t="shared" si="163"/>
        <v>0</v>
      </c>
      <c r="EP19" s="49">
        <f t="shared" si="164"/>
        <v>0</v>
      </c>
      <c r="ER19" s="45">
        <f t="shared" si="254"/>
        <v>0</v>
      </c>
      <c r="ES19" s="18">
        <f t="shared" si="165"/>
        <v>0</v>
      </c>
      <c r="ET19" s="18">
        <f t="shared" si="166"/>
        <v>0</v>
      </c>
      <c r="EU19" s="19">
        <f t="shared" si="167"/>
        <v>0</v>
      </c>
      <c r="EV19" s="18">
        <f t="shared" si="168"/>
        <v>0</v>
      </c>
      <c r="EW19" s="18">
        <f t="shared" si="169"/>
        <v>0</v>
      </c>
      <c r="EX19" s="18">
        <f t="shared" si="170"/>
        <v>0</v>
      </c>
      <c r="EY19" s="18">
        <f t="shared" si="171"/>
        <v>0</v>
      </c>
      <c r="EZ19" s="18">
        <f t="shared" si="172"/>
        <v>0</v>
      </c>
      <c r="FA19" s="18">
        <f t="shared" si="173"/>
        <v>0</v>
      </c>
      <c r="FB19" s="18">
        <f t="shared" si="174"/>
        <v>0</v>
      </c>
      <c r="FC19" s="18">
        <f t="shared" si="175"/>
        <v>0</v>
      </c>
      <c r="FD19" s="18">
        <f t="shared" si="176"/>
        <v>0</v>
      </c>
      <c r="FE19" s="18">
        <f t="shared" si="177"/>
        <v>0</v>
      </c>
      <c r="FF19" s="18">
        <f t="shared" si="178"/>
        <v>0</v>
      </c>
      <c r="FG19" s="18">
        <f t="shared" si="179"/>
        <v>0</v>
      </c>
      <c r="FH19" s="49">
        <f t="shared" si="180"/>
        <v>0</v>
      </c>
      <c r="FJ19" s="45">
        <f t="shared" si="255"/>
        <v>0</v>
      </c>
      <c r="FK19" s="18">
        <f t="shared" si="181"/>
        <v>0</v>
      </c>
      <c r="FL19" s="18">
        <f t="shared" si="182"/>
        <v>0</v>
      </c>
      <c r="FM19" s="19">
        <f t="shared" si="183"/>
        <v>0</v>
      </c>
      <c r="FN19" s="18">
        <f t="shared" si="184"/>
        <v>0</v>
      </c>
      <c r="FO19" s="18">
        <f t="shared" si="185"/>
        <v>0</v>
      </c>
      <c r="FP19" s="18">
        <f t="shared" si="186"/>
        <v>0</v>
      </c>
      <c r="FQ19" s="18">
        <f t="shared" si="187"/>
        <v>0</v>
      </c>
      <c r="FR19" s="18">
        <f t="shared" si="188"/>
        <v>0</v>
      </c>
      <c r="FS19" s="18">
        <f t="shared" si="189"/>
        <v>0</v>
      </c>
      <c r="FT19" s="18">
        <f t="shared" si="190"/>
        <v>0</v>
      </c>
      <c r="FU19" s="18">
        <f t="shared" si="191"/>
        <v>0</v>
      </c>
      <c r="FV19" s="18">
        <f t="shared" si="192"/>
        <v>0</v>
      </c>
      <c r="FW19" s="18">
        <f t="shared" si="193"/>
        <v>0</v>
      </c>
      <c r="FX19" s="18">
        <f t="shared" si="194"/>
        <v>0</v>
      </c>
      <c r="FY19" s="18">
        <f t="shared" si="195"/>
        <v>0</v>
      </c>
      <c r="FZ19" s="49">
        <f t="shared" si="196"/>
        <v>0</v>
      </c>
      <c r="GB19" s="45">
        <f t="shared" si="256"/>
        <v>0</v>
      </c>
      <c r="GC19" s="18">
        <f t="shared" si="197"/>
        <v>0</v>
      </c>
      <c r="GD19" s="18">
        <f t="shared" si="198"/>
        <v>0</v>
      </c>
      <c r="GE19" s="19">
        <f t="shared" si="199"/>
        <v>0</v>
      </c>
      <c r="GF19" s="18">
        <f t="shared" si="200"/>
        <v>0</v>
      </c>
      <c r="GG19" s="18">
        <f t="shared" si="201"/>
        <v>0</v>
      </c>
      <c r="GH19" s="18">
        <f t="shared" si="202"/>
        <v>0</v>
      </c>
      <c r="GI19" s="18">
        <f t="shared" si="203"/>
        <v>0</v>
      </c>
      <c r="GJ19" s="18">
        <f t="shared" si="204"/>
        <v>0</v>
      </c>
      <c r="GK19" s="18">
        <f t="shared" si="205"/>
        <v>0</v>
      </c>
      <c r="GL19" s="18">
        <f t="shared" si="206"/>
        <v>0</v>
      </c>
      <c r="GM19" s="18">
        <f t="shared" si="207"/>
        <v>0</v>
      </c>
      <c r="GN19" s="18">
        <f t="shared" si="208"/>
        <v>0</v>
      </c>
      <c r="GO19" s="18">
        <f t="shared" si="209"/>
        <v>0</v>
      </c>
      <c r="GP19" s="18">
        <f t="shared" si="210"/>
        <v>0</v>
      </c>
      <c r="GQ19" s="18">
        <f t="shared" si="211"/>
        <v>0</v>
      </c>
      <c r="GR19" s="49">
        <f t="shared" si="212"/>
        <v>0</v>
      </c>
      <c r="GT19" s="45">
        <f t="shared" si="257"/>
        <v>0</v>
      </c>
      <c r="GU19" s="18">
        <f t="shared" si="213"/>
        <v>0</v>
      </c>
      <c r="GV19" s="18">
        <f t="shared" si="214"/>
        <v>0</v>
      </c>
      <c r="GW19" s="19">
        <f t="shared" si="215"/>
        <v>0</v>
      </c>
      <c r="GX19" s="18">
        <f t="shared" si="216"/>
        <v>0</v>
      </c>
      <c r="GY19" s="18">
        <f t="shared" si="217"/>
        <v>0</v>
      </c>
      <c r="GZ19" s="18">
        <f t="shared" si="218"/>
        <v>0</v>
      </c>
      <c r="HA19" s="18">
        <f t="shared" si="219"/>
        <v>0</v>
      </c>
      <c r="HB19" s="18">
        <f t="shared" si="220"/>
        <v>0</v>
      </c>
      <c r="HC19" s="18">
        <f t="shared" si="221"/>
        <v>0</v>
      </c>
      <c r="HD19" s="18">
        <f t="shared" si="222"/>
        <v>0</v>
      </c>
      <c r="HE19" s="18">
        <f t="shared" si="223"/>
        <v>0</v>
      </c>
      <c r="HF19" s="18">
        <f t="shared" si="224"/>
        <v>0</v>
      </c>
      <c r="HG19" s="18">
        <f t="shared" si="225"/>
        <v>0</v>
      </c>
      <c r="HH19" s="18">
        <f t="shared" si="226"/>
        <v>0</v>
      </c>
      <c r="HI19" s="18">
        <f t="shared" si="227"/>
        <v>0</v>
      </c>
      <c r="HJ19" s="49">
        <f t="shared" si="228"/>
        <v>0</v>
      </c>
      <c r="HL19" s="45">
        <f t="shared" si="258"/>
        <v>0</v>
      </c>
      <c r="HM19" s="18">
        <f t="shared" si="229"/>
        <v>0</v>
      </c>
      <c r="HN19" s="18">
        <f t="shared" si="230"/>
        <v>0</v>
      </c>
      <c r="HO19" s="19">
        <f t="shared" si="231"/>
        <v>0</v>
      </c>
      <c r="HP19" s="18">
        <f t="shared" si="232"/>
        <v>0</v>
      </c>
      <c r="HQ19" s="18">
        <f t="shared" si="233"/>
        <v>0</v>
      </c>
      <c r="HR19" s="18">
        <f t="shared" si="234"/>
        <v>0</v>
      </c>
      <c r="HS19" s="18">
        <f t="shared" si="235"/>
        <v>0</v>
      </c>
      <c r="HT19" s="18">
        <f t="shared" si="236"/>
        <v>0</v>
      </c>
      <c r="HU19" s="18">
        <f t="shared" si="237"/>
        <v>0</v>
      </c>
      <c r="HV19" s="18">
        <f t="shared" si="238"/>
        <v>0</v>
      </c>
      <c r="HW19" s="18">
        <f t="shared" si="239"/>
        <v>0</v>
      </c>
      <c r="HX19" s="18">
        <f t="shared" si="240"/>
        <v>0</v>
      </c>
      <c r="HY19" s="18">
        <f t="shared" si="241"/>
        <v>0</v>
      </c>
      <c r="HZ19" s="18">
        <f t="shared" si="242"/>
        <v>0</v>
      </c>
      <c r="IA19" s="18">
        <f t="shared" si="243"/>
        <v>0</v>
      </c>
      <c r="IB19" s="49">
        <f t="shared" si="244"/>
        <v>0</v>
      </c>
    </row>
    <row r="20" spans="2:236" s="11" customFormat="1" x14ac:dyDescent="0.35">
      <c r="B20" s="17" t="s">
        <v>71</v>
      </c>
      <c r="C20" s="17"/>
      <c r="D20" s="45">
        <f t="shared" si="245"/>
        <v>1.0142859118903835</v>
      </c>
      <c r="E20" s="18">
        <f t="shared" si="246"/>
        <v>0</v>
      </c>
      <c r="F20" s="18">
        <f t="shared" si="38"/>
        <v>0</v>
      </c>
      <c r="G20" s="18">
        <f t="shared" si="39"/>
        <v>0</v>
      </c>
      <c r="H20" s="18">
        <f t="shared" si="40"/>
        <v>0</v>
      </c>
      <c r="I20" s="19">
        <f t="shared" si="41"/>
        <v>0.95414237844554617</v>
      </c>
      <c r="J20" s="18">
        <f t="shared" si="42"/>
        <v>0</v>
      </c>
      <c r="K20" s="18">
        <f t="shared" si="43"/>
        <v>0</v>
      </c>
      <c r="L20" s="18">
        <f t="shared" si="44"/>
        <v>0</v>
      </c>
      <c r="M20" s="18">
        <f t="shared" si="45"/>
        <v>0</v>
      </c>
      <c r="N20" s="18">
        <f t="shared" si="46"/>
        <v>0</v>
      </c>
      <c r="O20" s="18">
        <f t="shared" si="47"/>
        <v>0</v>
      </c>
      <c r="P20" s="18">
        <f t="shared" si="48"/>
        <v>1.9019449404230157E-2</v>
      </c>
      <c r="Q20" s="18">
        <f t="shared" si="49"/>
        <v>0</v>
      </c>
      <c r="R20" s="18">
        <f t="shared" si="50"/>
        <v>2.6838172150223681E-2</v>
      </c>
      <c r="S20" s="18">
        <f t="shared" si="51"/>
        <v>0</v>
      </c>
      <c r="T20" s="49">
        <f t="shared" si="52"/>
        <v>1</v>
      </c>
      <c r="V20" s="45">
        <f t="shared" si="247"/>
        <v>1.015538426625938</v>
      </c>
      <c r="W20" s="18">
        <f t="shared" si="53"/>
        <v>0</v>
      </c>
      <c r="X20" s="18">
        <f t="shared" si="54"/>
        <v>0</v>
      </c>
      <c r="Y20" s="18">
        <f t="shared" si="55"/>
        <v>0</v>
      </c>
      <c r="Z20" s="18">
        <f t="shared" si="56"/>
        <v>0</v>
      </c>
      <c r="AA20" s="19">
        <f t="shared" si="57"/>
        <v>0.95923139098750854</v>
      </c>
      <c r="AB20" s="18">
        <f t="shared" si="58"/>
        <v>0</v>
      </c>
      <c r="AC20" s="18">
        <f t="shared" si="59"/>
        <v>0</v>
      </c>
      <c r="AD20" s="18">
        <f t="shared" si="60"/>
        <v>0</v>
      </c>
      <c r="AE20" s="18">
        <f t="shared" si="61"/>
        <v>0</v>
      </c>
      <c r="AF20" s="18">
        <f t="shared" si="62"/>
        <v>0</v>
      </c>
      <c r="AG20" s="18">
        <f t="shared" si="63"/>
        <v>0</v>
      </c>
      <c r="AH20" s="18">
        <f t="shared" si="64"/>
        <v>5.6095402981725644E-3</v>
      </c>
      <c r="AI20" s="18">
        <f t="shared" si="65"/>
        <v>0</v>
      </c>
      <c r="AJ20" s="18">
        <f t="shared" si="66"/>
        <v>3.5159068714318863E-2</v>
      </c>
      <c r="AK20" s="18">
        <f t="shared" si="67"/>
        <v>0</v>
      </c>
      <c r="AL20" s="49">
        <f t="shared" si="68"/>
        <v>1</v>
      </c>
      <c r="AN20" s="45">
        <f t="shared" si="248"/>
        <v>0</v>
      </c>
      <c r="AO20" s="18">
        <f t="shared" si="69"/>
        <v>0</v>
      </c>
      <c r="AP20" s="18">
        <f t="shared" si="70"/>
        <v>0</v>
      </c>
      <c r="AQ20" s="18">
        <f t="shared" si="71"/>
        <v>0</v>
      </c>
      <c r="AR20" s="18">
        <f t="shared" si="72"/>
        <v>0</v>
      </c>
      <c r="AS20" s="19">
        <f t="shared" si="73"/>
        <v>0</v>
      </c>
      <c r="AT20" s="18">
        <f t="shared" si="74"/>
        <v>0</v>
      </c>
      <c r="AU20" s="18">
        <f t="shared" si="75"/>
        <v>0</v>
      </c>
      <c r="AV20" s="18">
        <f t="shared" si="76"/>
        <v>0</v>
      </c>
      <c r="AW20" s="18">
        <f t="shared" si="77"/>
        <v>0</v>
      </c>
      <c r="AX20" s="18">
        <f t="shared" si="78"/>
        <v>0</v>
      </c>
      <c r="AY20" s="18">
        <f t="shared" si="79"/>
        <v>0</v>
      </c>
      <c r="AZ20" s="18">
        <f t="shared" si="80"/>
        <v>0</v>
      </c>
      <c r="BA20" s="18">
        <f t="shared" si="81"/>
        <v>0</v>
      </c>
      <c r="BB20" s="18">
        <f t="shared" si="82"/>
        <v>0</v>
      </c>
      <c r="BC20" s="18">
        <f t="shared" si="83"/>
        <v>0</v>
      </c>
      <c r="BD20" s="49">
        <f t="shared" si="84"/>
        <v>0</v>
      </c>
      <c r="BF20" s="45">
        <f t="shared" si="249"/>
        <v>1.0151896194713723</v>
      </c>
      <c r="BG20" s="18">
        <f t="shared" si="85"/>
        <v>0</v>
      </c>
      <c r="BH20" s="18">
        <f t="shared" si="86"/>
        <v>0</v>
      </c>
      <c r="BI20" s="18">
        <f t="shared" si="87"/>
        <v>0</v>
      </c>
      <c r="BJ20" s="18">
        <f t="shared" si="88"/>
        <v>0</v>
      </c>
      <c r="BK20" s="19">
        <f t="shared" si="89"/>
        <v>0.89059891523189261</v>
      </c>
      <c r="BL20" s="18">
        <f t="shared" si="90"/>
        <v>0</v>
      </c>
      <c r="BM20" s="18">
        <f t="shared" si="91"/>
        <v>0</v>
      </c>
      <c r="BN20" s="18">
        <f t="shared" si="92"/>
        <v>0</v>
      </c>
      <c r="BO20" s="18">
        <f t="shared" si="93"/>
        <v>0</v>
      </c>
      <c r="BP20" s="18">
        <f t="shared" si="94"/>
        <v>0</v>
      </c>
      <c r="BQ20" s="18">
        <f t="shared" si="95"/>
        <v>0</v>
      </c>
      <c r="BR20" s="18">
        <f t="shared" si="96"/>
        <v>8.2754766459600629E-2</v>
      </c>
      <c r="BS20" s="18">
        <f t="shared" si="97"/>
        <v>0</v>
      </c>
      <c r="BT20" s="18">
        <f t="shared" si="98"/>
        <v>2.6646318308506899E-2</v>
      </c>
      <c r="BU20" s="18">
        <f t="shared" si="99"/>
        <v>0</v>
      </c>
      <c r="BV20" s="49">
        <f t="shared" si="100"/>
        <v>1</v>
      </c>
      <c r="BX20" s="45">
        <f t="shared" si="250"/>
        <v>1.0135869795128321</v>
      </c>
      <c r="BY20" s="18">
        <f t="shared" si="101"/>
        <v>0</v>
      </c>
      <c r="BZ20" s="18">
        <f t="shared" si="102"/>
        <v>0</v>
      </c>
      <c r="CA20" s="18">
        <f t="shared" si="103"/>
        <v>0</v>
      </c>
      <c r="CB20" s="18">
        <f t="shared" si="104"/>
        <v>0</v>
      </c>
      <c r="CC20" s="19">
        <f t="shared" si="105"/>
        <v>0.96894068939843325</v>
      </c>
      <c r="CD20" s="18">
        <f t="shared" si="106"/>
        <v>0</v>
      </c>
      <c r="CE20" s="18">
        <f t="shared" si="107"/>
        <v>0</v>
      </c>
      <c r="CF20" s="18">
        <f t="shared" si="108"/>
        <v>0</v>
      </c>
      <c r="CG20" s="18">
        <f t="shared" si="109"/>
        <v>0</v>
      </c>
      <c r="CH20" s="18">
        <f t="shared" si="110"/>
        <v>0</v>
      </c>
      <c r="CI20" s="18">
        <f t="shared" si="111"/>
        <v>0</v>
      </c>
      <c r="CJ20" s="18">
        <f t="shared" si="112"/>
        <v>7.2386177436382423E-3</v>
      </c>
      <c r="CK20" s="18">
        <f t="shared" si="113"/>
        <v>0</v>
      </c>
      <c r="CL20" s="18">
        <f t="shared" si="114"/>
        <v>2.3820692857928497E-2</v>
      </c>
      <c r="CM20" s="18">
        <f t="shared" si="115"/>
        <v>0</v>
      </c>
      <c r="CN20" s="49">
        <f t="shared" si="116"/>
        <v>1</v>
      </c>
      <c r="CP20" s="45">
        <f t="shared" si="251"/>
        <v>0</v>
      </c>
      <c r="CQ20" s="18">
        <f t="shared" si="117"/>
        <v>0</v>
      </c>
      <c r="CR20" s="18">
        <f t="shared" si="118"/>
        <v>0</v>
      </c>
      <c r="CS20" s="18">
        <f t="shared" si="119"/>
        <v>0</v>
      </c>
      <c r="CT20" s="18">
        <f t="shared" si="120"/>
        <v>0</v>
      </c>
      <c r="CU20" s="19">
        <f t="shared" si="121"/>
        <v>0</v>
      </c>
      <c r="CV20" s="18">
        <f t="shared" si="122"/>
        <v>0</v>
      </c>
      <c r="CW20" s="18">
        <f t="shared" si="123"/>
        <v>0</v>
      </c>
      <c r="CX20" s="18">
        <f t="shared" si="124"/>
        <v>0</v>
      </c>
      <c r="CY20" s="18">
        <f t="shared" si="125"/>
        <v>0</v>
      </c>
      <c r="CZ20" s="18">
        <f t="shared" si="126"/>
        <v>0</v>
      </c>
      <c r="DA20" s="18">
        <f t="shared" si="127"/>
        <v>0</v>
      </c>
      <c r="DB20" s="18">
        <f t="shared" si="128"/>
        <v>0</v>
      </c>
      <c r="DC20" s="18">
        <f t="shared" si="129"/>
        <v>0</v>
      </c>
      <c r="DD20" s="18">
        <f t="shared" si="130"/>
        <v>0</v>
      </c>
      <c r="DE20" s="18">
        <f t="shared" si="131"/>
        <v>0</v>
      </c>
      <c r="DF20" s="49">
        <f t="shared" si="132"/>
        <v>0</v>
      </c>
      <c r="DH20" s="45">
        <f t="shared" si="252"/>
        <v>0</v>
      </c>
      <c r="DI20" s="18">
        <f t="shared" si="133"/>
        <v>0</v>
      </c>
      <c r="DJ20" s="18">
        <f t="shared" si="134"/>
        <v>0</v>
      </c>
      <c r="DK20" s="18">
        <f t="shared" si="135"/>
        <v>0</v>
      </c>
      <c r="DL20" s="18">
        <f t="shared" si="136"/>
        <v>0</v>
      </c>
      <c r="DM20" s="19">
        <f t="shared" si="137"/>
        <v>0</v>
      </c>
      <c r="DN20" s="18">
        <f t="shared" si="138"/>
        <v>0</v>
      </c>
      <c r="DO20" s="18">
        <f t="shared" si="139"/>
        <v>0</v>
      </c>
      <c r="DP20" s="18">
        <f t="shared" si="140"/>
        <v>0</v>
      </c>
      <c r="DQ20" s="18">
        <f t="shared" si="141"/>
        <v>0</v>
      </c>
      <c r="DR20" s="18">
        <f t="shared" si="142"/>
        <v>0</v>
      </c>
      <c r="DS20" s="18">
        <f t="shared" si="143"/>
        <v>0</v>
      </c>
      <c r="DT20" s="18">
        <f t="shared" si="144"/>
        <v>0</v>
      </c>
      <c r="DU20" s="18">
        <f t="shared" si="145"/>
        <v>0</v>
      </c>
      <c r="DV20" s="18">
        <f t="shared" si="146"/>
        <v>0</v>
      </c>
      <c r="DW20" s="18">
        <f t="shared" si="147"/>
        <v>0</v>
      </c>
      <c r="DX20" s="49">
        <f t="shared" si="148"/>
        <v>0</v>
      </c>
      <c r="DZ20" s="45">
        <f t="shared" si="253"/>
        <v>0</v>
      </c>
      <c r="EA20" s="18">
        <f t="shared" si="149"/>
        <v>0</v>
      </c>
      <c r="EB20" s="18">
        <f t="shared" si="150"/>
        <v>0</v>
      </c>
      <c r="EC20" s="18">
        <f t="shared" si="151"/>
        <v>0</v>
      </c>
      <c r="ED20" s="18">
        <f t="shared" si="152"/>
        <v>0</v>
      </c>
      <c r="EE20" s="19">
        <f t="shared" si="153"/>
        <v>0</v>
      </c>
      <c r="EF20" s="18">
        <f t="shared" si="154"/>
        <v>0</v>
      </c>
      <c r="EG20" s="18">
        <f t="shared" si="155"/>
        <v>0</v>
      </c>
      <c r="EH20" s="18">
        <f t="shared" si="156"/>
        <v>0</v>
      </c>
      <c r="EI20" s="18">
        <f t="shared" si="157"/>
        <v>0</v>
      </c>
      <c r="EJ20" s="18">
        <f t="shared" si="158"/>
        <v>0</v>
      </c>
      <c r="EK20" s="18">
        <f t="shared" si="159"/>
        <v>0</v>
      </c>
      <c r="EL20" s="18">
        <f t="shared" si="160"/>
        <v>0</v>
      </c>
      <c r="EM20" s="18">
        <f t="shared" si="161"/>
        <v>0</v>
      </c>
      <c r="EN20" s="18">
        <f t="shared" si="162"/>
        <v>0</v>
      </c>
      <c r="EO20" s="18">
        <f t="shared" si="163"/>
        <v>0</v>
      </c>
      <c r="EP20" s="49">
        <f t="shared" si="164"/>
        <v>0</v>
      </c>
      <c r="ER20" s="45">
        <f t="shared" si="254"/>
        <v>0</v>
      </c>
      <c r="ES20" s="18">
        <f t="shared" si="165"/>
        <v>0</v>
      </c>
      <c r="ET20" s="18">
        <f t="shared" si="166"/>
        <v>0</v>
      </c>
      <c r="EU20" s="18">
        <f t="shared" si="167"/>
        <v>0</v>
      </c>
      <c r="EV20" s="18">
        <f t="shared" si="168"/>
        <v>0</v>
      </c>
      <c r="EW20" s="19">
        <f t="shared" si="169"/>
        <v>0</v>
      </c>
      <c r="EX20" s="18">
        <f t="shared" si="170"/>
        <v>0</v>
      </c>
      <c r="EY20" s="18">
        <f t="shared" si="171"/>
        <v>0</v>
      </c>
      <c r="EZ20" s="18">
        <f t="shared" si="172"/>
        <v>0</v>
      </c>
      <c r="FA20" s="18">
        <f t="shared" si="173"/>
        <v>0</v>
      </c>
      <c r="FB20" s="18">
        <f t="shared" si="174"/>
        <v>0</v>
      </c>
      <c r="FC20" s="18">
        <f t="shared" si="175"/>
        <v>0</v>
      </c>
      <c r="FD20" s="18">
        <f t="shared" si="176"/>
        <v>0</v>
      </c>
      <c r="FE20" s="18">
        <f t="shared" si="177"/>
        <v>0</v>
      </c>
      <c r="FF20" s="18">
        <f t="shared" si="178"/>
        <v>0</v>
      </c>
      <c r="FG20" s="18">
        <f t="shared" si="179"/>
        <v>0</v>
      </c>
      <c r="FH20" s="49">
        <f t="shared" si="180"/>
        <v>0</v>
      </c>
      <c r="FJ20" s="45">
        <f t="shared" si="255"/>
        <v>0</v>
      </c>
      <c r="FK20" s="18">
        <f t="shared" si="181"/>
        <v>0</v>
      </c>
      <c r="FL20" s="18">
        <f t="shared" si="182"/>
        <v>0</v>
      </c>
      <c r="FM20" s="18">
        <f t="shared" si="183"/>
        <v>0</v>
      </c>
      <c r="FN20" s="18">
        <f t="shared" si="184"/>
        <v>0</v>
      </c>
      <c r="FO20" s="19">
        <f t="shared" si="185"/>
        <v>0</v>
      </c>
      <c r="FP20" s="18">
        <f t="shared" si="186"/>
        <v>0</v>
      </c>
      <c r="FQ20" s="18">
        <f t="shared" si="187"/>
        <v>0</v>
      </c>
      <c r="FR20" s="18">
        <f t="shared" si="188"/>
        <v>0</v>
      </c>
      <c r="FS20" s="18">
        <f t="shared" si="189"/>
        <v>0</v>
      </c>
      <c r="FT20" s="18">
        <f t="shared" si="190"/>
        <v>0</v>
      </c>
      <c r="FU20" s="18">
        <f t="shared" si="191"/>
        <v>0</v>
      </c>
      <c r="FV20" s="18">
        <f t="shared" si="192"/>
        <v>0</v>
      </c>
      <c r="FW20" s="18">
        <f t="shared" si="193"/>
        <v>0</v>
      </c>
      <c r="FX20" s="18">
        <f t="shared" si="194"/>
        <v>0</v>
      </c>
      <c r="FY20" s="18">
        <f t="shared" si="195"/>
        <v>0</v>
      </c>
      <c r="FZ20" s="49">
        <f t="shared" si="196"/>
        <v>0</v>
      </c>
      <c r="GB20" s="45">
        <f t="shared" si="256"/>
        <v>0</v>
      </c>
      <c r="GC20" s="18">
        <f t="shared" si="197"/>
        <v>0</v>
      </c>
      <c r="GD20" s="18">
        <f t="shared" si="198"/>
        <v>0</v>
      </c>
      <c r="GE20" s="18">
        <f t="shared" si="199"/>
        <v>0</v>
      </c>
      <c r="GF20" s="18">
        <f t="shared" si="200"/>
        <v>0</v>
      </c>
      <c r="GG20" s="19">
        <f t="shared" si="201"/>
        <v>0</v>
      </c>
      <c r="GH20" s="18">
        <f t="shared" si="202"/>
        <v>0</v>
      </c>
      <c r="GI20" s="18">
        <f t="shared" si="203"/>
        <v>0</v>
      </c>
      <c r="GJ20" s="18">
        <f t="shared" si="204"/>
        <v>0</v>
      </c>
      <c r="GK20" s="18">
        <f t="shared" si="205"/>
        <v>0</v>
      </c>
      <c r="GL20" s="18">
        <f t="shared" si="206"/>
        <v>0</v>
      </c>
      <c r="GM20" s="18">
        <f t="shared" si="207"/>
        <v>0</v>
      </c>
      <c r="GN20" s="18">
        <f t="shared" si="208"/>
        <v>0</v>
      </c>
      <c r="GO20" s="18">
        <f t="shared" si="209"/>
        <v>0</v>
      </c>
      <c r="GP20" s="18">
        <f t="shared" si="210"/>
        <v>0</v>
      </c>
      <c r="GQ20" s="18">
        <f t="shared" si="211"/>
        <v>0</v>
      </c>
      <c r="GR20" s="49">
        <f t="shared" si="212"/>
        <v>0</v>
      </c>
      <c r="GT20" s="45">
        <f t="shared" si="257"/>
        <v>0</v>
      </c>
      <c r="GU20" s="18">
        <f t="shared" si="213"/>
        <v>0</v>
      </c>
      <c r="GV20" s="18">
        <f t="shared" si="214"/>
        <v>0</v>
      </c>
      <c r="GW20" s="18">
        <f t="shared" si="215"/>
        <v>0</v>
      </c>
      <c r="GX20" s="18">
        <f t="shared" si="216"/>
        <v>0</v>
      </c>
      <c r="GY20" s="19">
        <f t="shared" si="217"/>
        <v>0</v>
      </c>
      <c r="GZ20" s="18">
        <f t="shared" si="218"/>
        <v>0</v>
      </c>
      <c r="HA20" s="18">
        <f t="shared" si="219"/>
        <v>0</v>
      </c>
      <c r="HB20" s="18">
        <f t="shared" si="220"/>
        <v>0</v>
      </c>
      <c r="HC20" s="18">
        <f t="shared" si="221"/>
        <v>0</v>
      </c>
      <c r="HD20" s="18">
        <f t="shared" si="222"/>
        <v>0</v>
      </c>
      <c r="HE20" s="18">
        <f t="shared" si="223"/>
        <v>0</v>
      </c>
      <c r="HF20" s="18">
        <f t="shared" si="224"/>
        <v>0</v>
      </c>
      <c r="HG20" s="18">
        <f t="shared" si="225"/>
        <v>0</v>
      </c>
      <c r="HH20" s="18">
        <f t="shared" si="226"/>
        <v>0</v>
      </c>
      <c r="HI20" s="18">
        <f t="shared" si="227"/>
        <v>0</v>
      </c>
      <c r="HJ20" s="49">
        <f t="shared" si="228"/>
        <v>0</v>
      </c>
      <c r="HL20" s="45">
        <f t="shared" si="258"/>
        <v>0</v>
      </c>
      <c r="HM20" s="18">
        <f t="shared" si="229"/>
        <v>0</v>
      </c>
      <c r="HN20" s="18">
        <f t="shared" si="230"/>
        <v>0</v>
      </c>
      <c r="HO20" s="18">
        <f t="shared" si="231"/>
        <v>0</v>
      </c>
      <c r="HP20" s="18">
        <f t="shared" si="232"/>
        <v>0</v>
      </c>
      <c r="HQ20" s="19">
        <f t="shared" si="233"/>
        <v>0</v>
      </c>
      <c r="HR20" s="18">
        <f t="shared" si="234"/>
        <v>0</v>
      </c>
      <c r="HS20" s="18">
        <f t="shared" si="235"/>
        <v>0</v>
      </c>
      <c r="HT20" s="18">
        <f t="shared" si="236"/>
        <v>0</v>
      </c>
      <c r="HU20" s="18">
        <f t="shared" si="237"/>
        <v>0</v>
      </c>
      <c r="HV20" s="18">
        <f t="shared" si="238"/>
        <v>0</v>
      </c>
      <c r="HW20" s="18">
        <f t="shared" si="239"/>
        <v>0</v>
      </c>
      <c r="HX20" s="18">
        <f t="shared" si="240"/>
        <v>0</v>
      </c>
      <c r="HY20" s="18">
        <f t="shared" si="241"/>
        <v>0</v>
      </c>
      <c r="HZ20" s="18">
        <f t="shared" si="242"/>
        <v>0</v>
      </c>
      <c r="IA20" s="18">
        <f t="shared" si="243"/>
        <v>0</v>
      </c>
      <c r="IB20" s="49">
        <f t="shared" si="244"/>
        <v>0</v>
      </c>
    </row>
    <row r="21" spans="2:236" s="11" customFormat="1" x14ac:dyDescent="0.35">
      <c r="B21" s="17" t="s">
        <v>148</v>
      </c>
      <c r="C21" s="17"/>
      <c r="D21" s="45">
        <f t="shared" si="245"/>
        <v>1.0635420035872858</v>
      </c>
      <c r="E21" s="18">
        <f t="shared" si="246"/>
        <v>0</v>
      </c>
      <c r="F21" s="18">
        <f t="shared" si="38"/>
        <v>0</v>
      </c>
      <c r="G21" s="18">
        <f t="shared" si="39"/>
        <v>0</v>
      </c>
      <c r="H21" s="18">
        <f t="shared" si="40"/>
        <v>0</v>
      </c>
      <c r="I21" s="18">
        <f t="shared" si="41"/>
        <v>0</v>
      </c>
      <c r="J21" s="19">
        <f t="shared" si="42"/>
        <v>0.44805786703519657</v>
      </c>
      <c r="K21" s="18">
        <f t="shared" si="43"/>
        <v>0.40283454379723016</v>
      </c>
      <c r="L21" s="18">
        <f t="shared" si="44"/>
        <v>0</v>
      </c>
      <c r="M21" s="18">
        <f t="shared" si="45"/>
        <v>0</v>
      </c>
      <c r="N21" s="18">
        <f t="shared" si="46"/>
        <v>0</v>
      </c>
      <c r="O21" s="18">
        <f t="shared" si="47"/>
        <v>0</v>
      </c>
      <c r="P21" s="18">
        <f t="shared" si="48"/>
        <v>0</v>
      </c>
      <c r="Q21" s="18">
        <f t="shared" si="49"/>
        <v>4.1224381781293187E-2</v>
      </c>
      <c r="R21" s="50">
        <f t="shared" si="50"/>
        <v>0.1078832073862801</v>
      </c>
      <c r="S21" s="18">
        <f t="shared" si="51"/>
        <v>0</v>
      </c>
      <c r="T21" s="49">
        <f t="shared" si="52"/>
        <v>1</v>
      </c>
      <c r="V21" s="45">
        <f t="shared" si="247"/>
        <v>1.1189555125725339</v>
      </c>
      <c r="W21" s="18">
        <f t="shared" si="53"/>
        <v>0</v>
      </c>
      <c r="X21" s="18">
        <f t="shared" si="54"/>
        <v>0</v>
      </c>
      <c r="Y21" s="18">
        <f t="shared" si="55"/>
        <v>0</v>
      </c>
      <c r="Z21" s="18">
        <f t="shared" si="56"/>
        <v>0</v>
      </c>
      <c r="AA21" s="18">
        <f t="shared" si="57"/>
        <v>0</v>
      </c>
      <c r="AB21" s="19">
        <f t="shared" si="58"/>
        <v>0.13201160541586074</v>
      </c>
      <c r="AC21" s="18">
        <f t="shared" si="59"/>
        <v>0.69874274661508706</v>
      </c>
      <c r="AD21" s="18">
        <f t="shared" si="60"/>
        <v>0</v>
      </c>
      <c r="AE21" s="18">
        <f t="shared" si="61"/>
        <v>0</v>
      </c>
      <c r="AF21" s="18">
        <f t="shared" si="62"/>
        <v>0</v>
      </c>
      <c r="AG21" s="18">
        <f t="shared" si="63"/>
        <v>0</v>
      </c>
      <c r="AH21" s="18">
        <f t="shared" si="64"/>
        <v>0</v>
      </c>
      <c r="AI21" s="18">
        <f t="shared" si="65"/>
        <v>0</v>
      </c>
      <c r="AJ21" s="50">
        <f t="shared" si="66"/>
        <v>0.16924564796905223</v>
      </c>
      <c r="AK21" s="18">
        <f t="shared" si="67"/>
        <v>0</v>
      </c>
      <c r="AL21" s="49">
        <f t="shared" si="68"/>
        <v>1</v>
      </c>
      <c r="AN21" s="45">
        <f t="shared" si="248"/>
        <v>1.041901329128182</v>
      </c>
      <c r="AO21" s="18">
        <f t="shared" si="69"/>
        <v>0</v>
      </c>
      <c r="AP21" s="18">
        <f t="shared" si="70"/>
        <v>0</v>
      </c>
      <c r="AQ21" s="18">
        <f t="shared" si="71"/>
        <v>0</v>
      </c>
      <c r="AR21" s="18">
        <f t="shared" si="72"/>
        <v>0</v>
      </c>
      <c r="AS21" s="18">
        <f t="shared" si="73"/>
        <v>0</v>
      </c>
      <c r="AT21" s="19">
        <f t="shared" si="74"/>
        <v>0.6504843433205677</v>
      </c>
      <c r="AU21" s="18">
        <f t="shared" si="75"/>
        <v>0.26931741383194413</v>
      </c>
      <c r="AV21" s="18">
        <f t="shared" si="76"/>
        <v>0</v>
      </c>
      <c r="AW21" s="18">
        <f t="shared" si="77"/>
        <v>0</v>
      </c>
      <c r="AX21" s="18">
        <f t="shared" si="78"/>
        <v>0</v>
      </c>
      <c r="AY21" s="18">
        <f t="shared" si="79"/>
        <v>0</v>
      </c>
      <c r="AZ21" s="18">
        <f t="shared" si="80"/>
        <v>0</v>
      </c>
      <c r="BA21" s="18">
        <f t="shared" si="81"/>
        <v>0</v>
      </c>
      <c r="BB21" s="50">
        <f t="shared" si="82"/>
        <v>8.019824284748818E-2</v>
      </c>
      <c r="BC21" s="18">
        <f t="shared" si="83"/>
        <v>0</v>
      </c>
      <c r="BD21" s="49">
        <f t="shared" si="84"/>
        <v>1</v>
      </c>
      <c r="BF21" s="45">
        <f t="shared" si="249"/>
        <v>1.0248235026189934</v>
      </c>
      <c r="BG21" s="18">
        <f t="shared" si="85"/>
        <v>0</v>
      </c>
      <c r="BH21" s="18">
        <f t="shared" si="86"/>
        <v>0</v>
      </c>
      <c r="BI21" s="18">
        <f t="shared" si="87"/>
        <v>0</v>
      </c>
      <c r="BJ21" s="18">
        <f t="shared" si="88"/>
        <v>0</v>
      </c>
      <c r="BK21" s="18">
        <f t="shared" si="89"/>
        <v>0</v>
      </c>
      <c r="BL21" s="19">
        <f t="shared" si="90"/>
        <v>0.52903666590753817</v>
      </c>
      <c r="BM21" s="18">
        <f t="shared" si="91"/>
        <v>0.38556137554087905</v>
      </c>
      <c r="BN21" s="18">
        <f t="shared" si="92"/>
        <v>0</v>
      </c>
      <c r="BO21" s="18">
        <f t="shared" si="93"/>
        <v>0</v>
      </c>
      <c r="BP21" s="18">
        <f t="shared" si="94"/>
        <v>0</v>
      </c>
      <c r="BQ21" s="18">
        <f t="shared" si="95"/>
        <v>0</v>
      </c>
      <c r="BR21" s="18">
        <f t="shared" si="96"/>
        <v>0</v>
      </c>
      <c r="BS21" s="18">
        <f t="shared" si="97"/>
        <v>0</v>
      </c>
      <c r="BT21" s="50">
        <f t="shared" si="98"/>
        <v>8.5401958551582779E-2</v>
      </c>
      <c r="BU21" s="18">
        <f t="shared" si="99"/>
        <v>0</v>
      </c>
      <c r="BV21" s="49">
        <f t="shared" si="100"/>
        <v>1</v>
      </c>
      <c r="BX21" s="45">
        <f t="shared" si="250"/>
        <v>1.0512483574244416</v>
      </c>
      <c r="BY21" s="18">
        <f t="shared" si="101"/>
        <v>0</v>
      </c>
      <c r="BZ21" s="18">
        <f t="shared" si="102"/>
        <v>0</v>
      </c>
      <c r="CA21" s="18">
        <f t="shared" si="103"/>
        <v>0</v>
      </c>
      <c r="CB21" s="18">
        <f t="shared" si="104"/>
        <v>0</v>
      </c>
      <c r="CC21" s="18">
        <f t="shared" si="105"/>
        <v>0</v>
      </c>
      <c r="CD21" s="19">
        <f t="shared" si="106"/>
        <v>0</v>
      </c>
      <c r="CE21" s="18">
        <f t="shared" si="107"/>
        <v>0</v>
      </c>
      <c r="CF21" s="18">
        <f t="shared" si="108"/>
        <v>0</v>
      </c>
      <c r="CG21" s="18">
        <f t="shared" si="109"/>
        <v>0</v>
      </c>
      <c r="CH21" s="18">
        <f t="shared" si="110"/>
        <v>0</v>
      </c>
      <c r="CI21" s="18">
        <f t="shared" si="111"/>
        <v>0</v>
      </c>
      <c r="CJ21" s="18">
        <f t="shared" si="112"/>
        <v>0</v>
      </c>
      <c r="CK21" s="18">
        <f t="shared" si="113"/>
        <v>0.9211563731931669</v>
      </c>
      <c r="CL21" s="50">
        <f t="shared" si="114"/>
        <v>7.8843626806833114E-2</v>
      </c>
      <c r="CM21" s="18">
        <f t="shared" si="115"/>
        <v>0</v>
      </c>
      <c r="CN21" s="49">
        <f t="shared" si="116"/>
        <v>1</v>
      </c>
      <c r="CP21" s="45">
        <f t="shared" si="251"/>
        <v>0</v>
      </c>
      <c r="CQ21" s="18">
        <f t="shared" si="117"/>
        <v>0</v>
      </c>
      <c r="CR21" s="18">
        <f t="shared" si="118"/>
        <v>0</v>
      </c>
      <c r="CS21" s="18">
        <f t="shared" si="119"/>
        <v>0</v>
      </c>
      <c r="CT21" s="18">
        <f t="shared" si="120"/>
        <v>0</v>
      </c>
      <c r="CU21" s="18">
        <f t="shared" si="121"/>
        <v>0</v>
      </c>
      <c r="CV21" s="19">
        <f t="shared" si="122"/>
        <v>0</v>
      </c>
      <c r="CW21" s="18">
        <f t="shared" si="123"/>
        <v>0</v>
      </c>
      <c r="CX21" s="18">
        <f t="shared" si="124"/>
        <v>0</v>
      </c>
      <c r="CY21" s="18">
        <f t="shared" si="125"/>
        <v>0</v>
      </c>
      <c r="CZ21" s="18">
        <f t="shared" si="126"/>
        <v>0</v>
      </c>
      <c r="DA21" s="18">
        <f t="shared" si="127"/>
        <v>0</v>
      </c>
      <c r="DB21" s="18">
        <f t="shared" si="128"/>
        <v>0</v>
      </c>
      <c r="DC21" s="18">
        <f t="shared" si="129"/>
        <v>0</v>
      </c>
      <c r="DD21" s="18">
        <f t="shared" si="130"/>
        <v>0</v>
      </c>
      <c r="DE21" s="18">
        <f t="shared" si="131"/>
        <v>0</v>
      </c>
      <c r="DF21" s="49">
        <f t="shared" si="132"/>
        <v>0</v>
      </c>
      <c r="DH21" s="45">
        <f t="shared" si="252"/>
        <v>0</v>
      </c>
      <c r="DI21" s="18">
        <f t="shared" si="133"/>
        <v>0</v>
      </c>
      <c r="DJ21" s="18">
        <f t="shared" si="134"/>
        <v>0</v>
      </c>
      <c r="DK21" s="18">
        <f t="shared" si="135"/>
        <v>0</v>
      </c>
      <c r="DL21" s="18">
        <f t="shared" si="136"/>
        <v>0</v>
      </c>
      <c r="DM21" s="18">
        <f t="shared" si="137"/>
        <v>0</v>
      </c>
      <c r="DN21" s="19">
        <f t="shared" si="138"/>
        <v>0</v>
      </c>
      <c r="DO21" s="18">
        <f t="shared" si="139"/>
        <v>0</v>
      </c>
      <c r="DP21" s="18">
        <f t="shared" si="140"/>
        <v>0</v>
      </c>
      <c r="DQ21" s="18">
        <f t="shared" si="141"/>
        <v>0</v>
      </c>
      <c r="DR21" s="18">
        <f t="shared" si="142"/>
        <v>0</v>
      </c>
      <c r="DS21" s="18">
        <f t="shared" si="143"/>
        <v>0</v>
      </c>
      <c r="DT21" s="18">
        <f t="shared" si="144"/>
        <v>0</v>
      </c>
      <c r="DU21" s="18">
        <f t="shared" si="145"/>
        <v>0</v>
      </c>
      <c r="DV21" s="18">
        <f t="shared" si="146"/>
        <v>0</v>
      </c>
      <c r="DW21" s="18">
        <f t="shared" si="147"/>
        <v>0</v>
      </c>
      <c r="DX21" s="49">
        <f t="shared" si="148"/>
        <v>0</v>
      </c>
      <c r="DZ21" s="45">
        <f t="shared" si="253"/>
        <v>0</v>
      </c>
      <c r="EA21" s="18">
        <f t="shared" si="149"/>
        <v>0</v>
      </c>
      <c r="EB21" s="18">
        <f t="shared" si="150"/>
        <v>0</v>
      </c>
      <c r="EC21" s="18">
        <f t="shared" si="151"/>
        <v>0</v>
      </c>
      <c r="ED21" s="18">
        <f t="shared" si="152"/>
        <v>0</v>
      </c>
      <c r="EE21" s="18">
        <f t="shared" si="153"/>
        <v>0</v>
      </c>
      <c r="EF21" s="19">
        <f t="shared" si="154"/>
        <v>0</v>
      </c>
      <c r="EG21" s="18">
        <f t="shared" si="155"/>
        <v>0</v>
      </c>
      <c r="EH21" s="18">
        <f t="shared" si="156"/>
        <v>0</v>
      </c>
      <c r="EI21" s="18">
        <f t="shared" si="157"/>
        <v>0</v>
      </c>
      <c r="EJ21" s="18">
        <f t="shared" si="158"/>
        <v>0</v>
      </c>
      <c r="EK21" s="18">
        <f t="shared" si="159"/>
        <v>0</v>
      </c>
      <c r="EL21" s="18">
        <f t="shared" si="160"/>
        <v>0</v>
      </c>
      <c r="EM21" s="18">
        <f t="shared" si="161"/>
        <v>0</v>
      </c>
      <c r="EN21" s="18">
        <f t="shared" si="162"/>
        <v>0</v>
      </c>
      <c r="EO21" s="18">
        <f t="shared" si="163"/>
        <v>0</v>
      </c>
      <c r="EP21" s="49">
        <f t="shared" si="164"/>
        <v>0</v>
      </c>
      <c r="ER21" s="45">
        <f t="shared" si="254"/>
        <v>0</v>
      </c>
      <c r="ES21" s="18">
        <f t="shared" si="165"/>
        <v>0</v>
      </c>
      <c r="ET21" s="18">
        <f t="shared" si="166"/>
        <v>0</v>
      </c>
      <c r="EU21" s="18">
        <f t="shared" si="167"/>
        <v>0</v>
      </c>
      <c r="EV21" s="18">
        <f t="shared" si="168"/>
        <v>0</v>
      </c>
      <c r="EW21" s="18">
        <f t="shared" si="169"/>
        <v>0</v>
      </c>
      <c r="EX21" s="19">
        <f t="shared" si="170"/>
        <v>0</v>
      </c>
      <c r="EY21" s="18">
        <f t="shared" si="171"/>
        <v>0</v>
      </c>
      <c r="EZ21" s="18">
        <f t="shared" si="172"/>
        <v>0</v>
      </c>
      <c r="FA21" s="18">
        <f t="shared" si="173"/>
        <v>0</v>
      </c>
      <c r="FB21" s="18">
        <f t="shared" si="174"/>
        <v>0</v>
      </c>
      <c r="FC21" s="18">
        <f t="shared" si="175"/>
        <v>0</v>
      </c>
      <c r="FD21" s="18">
        <f t="shared" si="176"/>
        <v>0</v>
      </c>
      <c r="FE21" s="18">
        <f t="shared" si="177"/>
        <v>0</v>
      </c>
      <c r="FF21" s="18">
        <f t="shared" si="178"/>
        <v>0</v>
      </c>
      <c r="FG21" s="18">
        <f t="shared" si="179"/>
        <v>0</v>
      </c>
      <c r="FH21" s="49">
        <f t="shared" si="180"/>
        <v>0</v>
      </c>
      <c r="FJ21" s="45">
        <f t="shared" si="255"/>
        <v>0</v>
      </c>
      <c r="FK21" s="18">
        <f t="shared" si="181"/>
        <v>0</v>
      </c>
      <c r="FL21" s="18">
        <f t="shared" si="182"/>
        <v>0</v>
      </c>
      <c r="FM21" s="18">
        <f t="shared" si="183"/>
        <v>0</v>
      </c>
      <c r="FN21" s="18">
        <f t="shared" si="184"/>
        <v>0</v>
      </c>
      <c r="FO21" s="18">
        <f t="shared" si="185"/>
        <v>0</v>
      </c>
      <c r="FP21" s="19">
        <f t="shared" si="186"/>
        <v>0</v>
      </c>
      <c r="FQ21" s="18">
        <f t="shared" si="187"/>
        <v>0</v>
      </c>
      <c r="FR21" s="18">
        <f t="shared" si="188"/>
        <v>0</v>
      </c>
      <c r="FS21" s="18">
        <f t="shared" si="189"/>
        <v>0</v>
      </c>
      <c r="FT21" s="18">
        <f t="shared" si="190"/>
        <v>0</v>
      </c>
      <c r="FU21" s="18">
        <f t="shared" si="191"/>
        <v>0</v>
      </c>
      <c r="FV21" s="18">
        <f t="shared" si="192"/>
        <v>0</v>
      </c>
      <c r="FW21" s="18">
        <f t="shared" si="193"/>
        <v>0</v>
      </c>
      <c r="FX21" s="18">
        <f t="shared" si="194"/>
        <v>0</v>
      </c>
      <c r="FY21" s="18">
        <f t="shared" si="195"/>
        <v>0</v>
      </c>
      <c r="FZ21" s="49">
        <f t="shared" si="196"/>
        <v>0</v>
      </c>
      <c r="GB21" s="45">
        <f t="shared" si="256"/>
        <v>0</v>
      </c>
      <c r="GC21" s="18">
        <f t="shared" si="197"/>
        <v>0</v>
      </c>
      <c r="GD21" s="18">
        <f t="shared" si="198"/>
        <v>0</v>
      </c>
      <c r="GE21" s="18">
        <f t="shared" si="199"/>
        <v>0</v>
      </c>
      <c r="GF21" s="18">
        <f t="shared" si="200"/>
        <v>0</v>
      </c>
      <c r="GG21" s="18">
        <f t="shared" si="201"/>
        <v>0</v>
      </c>
      <c r="GH21" s="19">
        <f t="shared" si="202"/>
        <v>0</v>
      </c>
      <c r="GI21" s="18">
        <f t="shared" si="203"/>
        <v>0</v>
      </c>
      <c r="GJ21" s="18">
        <f t="shared" si="204"/>
        <v>0</v>
      </c>
      <c r="GK21" s="18">
        <f t="shared" si="205"/>
        <v>0</v>
      </c>
      <c r="GL21" s="18">
        <f t="shared" si="206"/>
        <v>0</v>
      </c>
      <c r="GM21" s="18">
        <f t="shared" si="207"/>
        <v>0</v>
      </c>
      <c r="GN21" s="18">
        <f t="shared" si="208"/>
        <v>0</v>
      </c>
      <c r="GO21" s="18">
        <f t="shared" si="209"/>
        <v>0</v>
      </c>
      <c r="GP21" s="18">
        <f t="shared" si="210"/>
        <v>0</v>
      </c>
      <c r="GQ21" s="18">
        <f t="shared" si="211"/>
        <v>0</v>
      </c>
      <c r="GR21" s="49">
        <f t="shared" si="212"/>
        <v>0</v>
      </c>
      <c r="GT21" s="45">
        <f t="shared" si="257"/>
        <v>0</v>
      </c>
      <c r="GU21" s="18">
        <f t="shared" si="213"/>
        <v>0</v>
      </c>
      <c r="GV21" s="18">
        <f t="shared" si="214"/>
        <v>0</v>
      </c>
      <c r="GW21" s="18">
        <f t="shared" si="215"/>
        <v>0</v>
      </c>
      <c r="GX21" s="18">
        <f t="shared" si="216"/>
        <v>0</v>
      </c>
      <c r="GY21" s="18">
        <f t="shared" si="217"/>
        <v>0</v>
      </c>
      <c r="GZ21" s="19">
        <f t="shared" si="218"/>
        <v>0</v>
      </c>
      <c r="HA21" s="18">
        <f t="shared" si="219"/>
        <v>0</v>
      </c>
      <c r="HB21" s="18">
        <f t="shared" si="220"/>
        <v>0</v>
      </c>
      <c r="HC21" s="18">
        <f t="shared" si="221"/>
        <v>0</v>
      </c>
      <c r="HD21" s="18">
        <f t="shared" si="222"/>
        <v>0</v>
      </c>
      <c r="HE21" s="18">
        <f t="shared" si="223"/>
        <v>0</v>
      </c>
      <c r="HF21" s="18">
        <f t="shared" si="224"/>
        <v>0</v>
      </c>
      <c r="HG21" s="18">
        <f t="shared" si="225"/>
        <v>0</v>
      </c>
      <c r="HH21" s="18">
        <f t="shared" si="226"/>
        <v>0</v>
      </c>
      <c r="HI21" s="18">
        <f t="shared" si="227"/>
        <v>0</v>
      </c>
      <c r="HJ21" s="49">
        <f t="shared" si="228"/>
        <v>0</v>
      </c>
      <c r="HL21" s="45">
        <f t="shared" si="258"/>
        <v>0</v>
      </c>
      <c r="HM21" s="18">
        <f t="shared" si="229"/>
        <v>0</v>
      </c>
      <c r="HN21" s="18">
        <f t="shared" si="230"/>
        <v>0</v>
      </c>
      <c r="HO21" s="18">
        <f t="shared" si="231"/>
        <v>0</v>
      </c>
      <c r="HP21" s="18">
        <f t="shared" si="232"/>
        <v>0</v>
      </c>
      <c r="HQ21" s="18">
        <f t="shared" si="233"/>
        <v>0</v>
      </c>
      <c r="HR21" s="19">
        <f t="shared" si="234"/>
        <v>0</v>
      </c>
      <c r="HS21" s="18">
        <f t="shared" si="235"/>
        <v>0</v>
      </c>
      <c r="HT21" s="18">
        <f t="shared" si="236"/>
        <v>0</v>
      </c>
      <c r="HU21" s="18">
        <f t="shared" si="237"/>
        <v>0</v>
      </c>
      <c r="HV21" s="18">
        <f t="shared" si="238"/>
        <v>0</v>
      </c>
      <c r="HW21" s="18">
        <f t="shared" si="239"/>
        <v>0</v>
      </c>
      <c r="HX21" s="18">
        <f t="shared" si="240"/>
        <v>0</v>
      </c>
      <c r="HY21" s="18">
        <f t="shared" si="241"/>
        <v>0</v>
      </c>
      <c r="HZ21" s="18">
        <f t="shared" si="242"/>
        <v>0</v>
      </c>
      <c r="IA21" s="18">
        <f t="shared" si="243"/>
        <v>0</v>
      </c>
      <c r="IB21" s="49">
        <f t="shared" si="244"/>
        <v>0</v>
      </c>
    </row>
    <row r="22" spans="2:236" s="11" customFormat="1" x14ac:dyDescent="0.35">
      <c r="B22" s="17" t="s">
        <v>147</v>
      </c>
      <c r="C22" s="17"/>
      <c r="D22" s="45">
        <f t="shared" si="245"/>
        <v>1.0891547465731226</v>
      </c>
      <c r="E22" s="18">
        <f t="shared" si="246"/>
        <v>0</v>
      </c>
      <c r="F22" s="18">
        <f t="shared" si="38"/>
        <v>0</v>
      </c>
      <c r="G22" s="18">
        <f t="shared" si="39"/>
        <v>0</v>
      </c>
      <c r="H22" s="18">
        <f t="shared" si="40"/>
        <v>0</v>
      </c>
      <c r="I22" s="18">
        <f t="shared" si="41"/>
        <v>0</v>
      </c>
      <c r="J22" s="18">
        <f t="shared" si="42"/>
        <v>3.6140327729670352E-2</v>
      </c>
      <c r="K22" s="19">
        <f t="shared" si="43"/>
        <v>0.71276757466849849</v>
      </c>
      <c r="L22" s="18">
        <f t="shared" si="44"/>
        <v>7.0186811075002636E-3</v>
      </c>
      <c r="M22" s="18">
        <f t="shared" si="45"/>
        <v>0</v>
      </c>
      <c r="N22" s="18">
        <f t="shared" si="46"/>
        <v>0</v>
      </c>
      <c r="O22" s="18">
        <f t="shared" si="47"/>
        <v>0</v>
      </c>
      <c r="P22" s="20">
        <f t="shared" si="48"/>
        <v>0</v>
      </c>
      <c r="Q22" s="20">
        <f t="shared" si="49"/>
        <v>0.17932486425865002</v>
      </c>
      <c r="R22" s="52">
        <f t="shared" si="50"/>
        <v>6.4748552235680823E-2</v>
      </c>
      <c r="S22" s="18">
        <f t="shared" si="51"/>
        <v>0</v>
      </c>
      <c r="T22" s="49">
        <f t="shared" si="52"/>
        <v>1</v>
      </c>
      <c r="V22" s="45">
        <f t="shared" si="247"/>
        <v>1.1674081850829967</v>
      </c>
      <c r="W22" s="18">
        <f t="shared" si="53"/>
        <v>0</v>
      </c>
      <c r="X22" s="18">
        <f t="shared" si="54"/>
        <v>0</v>
      </c>
      <c r="Y22" s="18">
        <f t="shared" si="55"/>
        <v>0</v>
      </c>
      <c r="Z22" s="18">
        <f t="shared" si="56"/>
        <v>0</v>
      </c>
      <c r="AA22" s="18">
        <f t="shared" si="57"/>
        <v>0</v>
      </c>
      <c r="AB22" s="18">
        <f t="shared" si="58"/>
        <v>6.721677730761598E-2</v>
      </c>
      <c r="AC22" s="19">
        <f t="shared" si="59"/>
        <v>0.48396079661483504</v>
      </c>
      <c r="AD22" s="18">
        <f t="shared" si="60"/>
        <v>1.5664709911593931E-2</v>
      </c>
      <c r="AE22" s="18">
        <f t="shared" si="61"/>
        <v>0</v>
      </c>
      <c r="AF22" s="18">
        <f t="shared" si="62"/>
        <v>0</v>
      </c>
      <c r="AG22" s="18">
        <f t="shared" si="63"/>
        <v>0</v>
      </c>
      <c r="AH22" s="20">
        <f t="shared" si="64"/>
        <v>0</v>
      </c>
      <c r="AI22" s="20">
        <f t="shared" si="65"/>
        <v>0.34952724199960311</v>
      </c>
      <c r="AJ22" s="52">
        <f t="shared" si="66"/>
        <v>8.3630474166351915E-2</v>
      </c>
      <c r="AK22" s="18">
        <f t="shared" si="67"/>
        <v>0</v>
      </c>
      <c r="AL22" s="49">
        <f t="shared" si="68"/>
        <v>1</v>
      </c>
      <c r="AN22" s="45">
        <f t="shared" si="248"/>
        <v>0</v>
      </c>
      <c r="AO22" s="18">
        <f t="shared" si="69"/>
        <v>0</v>
      </c>
      <c r="AP22" s="18">
        <f t="shared" si="70"/>
        <v>0</v>
      </c>
      <c r="AQ22" s="18">
        <f t="shared" si="71"/>
        <v>0</v>
      </c>
      <c r="AR22" s="18">
        <f t="shared" si="72"/>
        <v>0</v>
      </c>
      <c r="AS22" s="18">
        <f t="shared" si="73"/>
        <v>0</v>
      </c>
      <c r="AT22" s="18">
        <f t="shared" si="74"/>
        <v>0</v>
      </c>
      <c r="AU22" s="19">
        <f t="shared" si="75"/>
        <v>0</v>
      </c>
      <c r="AV22" s="18">
        <f t="shared" si="76"/>
        <v>0</v>
      </c>
      <c r="AW22" s="18">
        <f t="shared" si="77"/>
        <v>0</v>
      </c>
      <c r="AX22" s="18">
        <f t="shared" si="78"/>
        <v>0</v>
      </c>
      <c r="AY22" s="18">
        <f t="shared" si="79"/>
        <v>0</v>
      </c>
      <c r="AZ22" s="20">
        <f t="shared" si="80"/>
        <v>0</v>
      </c>
      <c r="BA22" s="20">
        <f t="shared" si="81"/>
        <v>0</v>
      </c>
      <c r="BB22" s="20">
        <f t="shared" si="82"/>
        <v>0</v>
      </c>
      <c r="BC22" s="18">
        <f t="shared" si="83"/>
        <v>0</v>
      </c>
      <c r="BD22" s="49">
        <f t="shared" si="84"/>
        <v>0</v>
      </c>
      <c r="BF22" s="45">
        <f t="shared" si="249"/>
        <v>1.0288940608568227</v>
      </c>
      <c r="BG22" s="18">
        <f t="shared" si="85"/>
        <v>0</v>
      </c>
      <c r="BH22" s="18">
        <f t="shared" si="86"/>
        <v>0</v>
      </c>
      <c r="BI22" s="18">
        <f t="shared" si="87"/>
        <v>0</v>
      </c>
      <c r="BJ22" s="18">
        <f t="shared" si="88"/>
        <v>0</v>
      </c>
      <c r="BK22" s="18">
        <f t="shared" si="89"/>
        <v>0</v>
      </c>
      <c r="BL22" s="18">
        <f t="shared" si="90"/>
        <v>1.8101887768295837E-2</v>
      </c>
      <c r="BM22" s="19">
        <f t="shared" si="91"/>
        <v>0.87492457546763214</v>
      </c>
      <c r="BN22" s="18">
        <f t="shared" si="92"/>
        <v>0</v>
      </c>
      <c r="BO22" s="18">
        <f t="shared" si="93"/>
        <v>0</v>
      </c>
      <c r="BP22" s="18">
        <f t="shared" si="94"/>
        <v>0</v>
      </c>
      <c r="BQ22" s="18">
        <f t="shared" si="95"/>
        <v>0</v>
      </c>
      <c r="BR22" s="20">
        <f t="shared" si="96"/>
        <v>0</v>
      </c>
      <c r="BS22" s="20">
        <f t="shared" si="97"/>
        <v>6.0425825359882772E-2</v>
      </c>
      <c r="BT22" s="20">
        <f t="shared" si="98"/>
        <v>4.6547711404189292E-2</v>
      </c>
      <c r="BU22" s="18">
        <f t="shared" si="99"/>
        <v>0</v>
      </c>
      <c r="BV22" s="49">
        <f t="shared" si="100"/>
        <v>1</v>
      </c>
      <c r="BX22" s="45">
        <f t="shared" si="250"/>
        <v>1.0206752159120649</v>
      </c>
      <c r="BY22" s="18">
        <f t="shared" si="101"/>
        <v>0</v>
      </c>
      <c r="BZ22" s="18">
        <f t="shared" si="102"/>
        <v>0</v>
      </c>
      <c r="CA22" s="18">
        <f t="shared" si="103"/>
        <v>0</v>
      </c>
      <c r="CB22" s="18">
        <f t="shared" si="104"/>
        <v>0</v>
      </c>
      <c r="CC22" s="18">
        <f t="shared" si="105"/>
        <v>0</v>
      </c>
      <c r="CD22" s="18">
        <f t="shared" si="106"/>
        <v>0</v>
      </c>
      <c r="CE22" s="19">
        <f t="shared" si="107"/>
        <v>0.93431038995027482</v>
      </c>
      <c r="CF22" s="18">
        <f t="shared" si="108"/>
        <v>0</v>
      </c>
      <c r="CG22" s="18">
        <f t="shared" si="109"/>
        <v>0</v>
      </c>
      <c r="CH22" s="18">
        <f t="shared" si="110"/>
        <v>0</v>
      </c>
      <c r="CI22" s="18">
        <f t="shared" si="111"/>
        <v>0</v>
      </c>
      <c r="CJ22" s="20">
        <f t="shared" si="112"/>
        <v>0</v>
      </c>
      <c r="CK22" s="20">
        <f t="shared" si="113"/>
        <v>1.190787751897409E-2</v>
      </c>
      <c r="CL22" s="20">
        <f t="shared" si="114"/>
        <v>5.3781732530751115E-2</v>
      </c>
      <c r="CM22" s="18">
        <f t="shared" si="115"/>
        <v>0</v>
      </c>
      <c r="CN22" s="49">
        <f t="shared" si="116"/>
        <v>1</v>
      </c>
      <c r="CP22" s="45">
        <f t="shared" si="251"/>
        <v>0</v>
      </c>
      <c r="CQ22" s="18">
        <f t="shared" si="117"/>
        <v>0</v>
      </c>
      <c r="CR22" s="18">
        <f t="shared" si="118"/>
        <v>0</v>
      </c>
      <c r="CS22" s="18">
        <f t="shared" si="119"/>
        <v>0</v>
      </c>
      <c r="CT22" s="18">
        <f t="shared" si="120"/>
        <v>0</v>
      </c>
      <c r="CU22" s="18">
        <f t="shared" si="121"/>
        <v>0</v>
      </c>
      <c r="CV22" s="18">
        <f t="shared" si="122"/>
        <v>0</v>
      </c>
      <c r="CW22" s="19">
        <f t="shared" si="123"/>
        <v>0</v>
      </c>
      <c r="CX22" s="18">
        <f t="shared" si="124"/>
        <v>0</v>
      </c>
      <c r="CY22" s="18">
        <f t="shared" si="125"/>
        <v>0</v>
      </c>
      <c r="CZ22" s="18">
        <f t="shared" si="126"/>
        <v>0</v>
      </c>
      <c r="DA22" s="18">
        <f t="shared" si="127"/>
        <v>0</v>
      </c>
      <c r="DB22" s="20">
        <f t="shared" si="128"/>
        <v>0</v>
      </c>
      <c r="DC22" s="20">
        <f t="shared" si="129"/>
        <v>0</v>
      </c>
      <c r="DD22" s="20">
        <f t="shared" si="130"/>
        <v>0</v>
      </c>
      <c r="DE22" s="18">
        <f t="shared" si="131"/>
        <v>0</v>
      </c>
      <c r="DF22" s="49">
        <f t="shared" si="132"/>
        <v>0</v>
      </c>
      <c r="DH22" s="45">
        <f t="shared" si="252"/>
        <v>0</v>
      </c>
      <c r="DI22" s="18">
        <f t="shared" si="133"/>
        <v>0</v>
      </c>
      <c r="DJ22" s="18">
        <f t="shared" si="134"/>
        <v>0</v>
      </c>
      <c r="DK22" s="18">
        <f t="shared" si="135"/>
        <v>0</v>
      </c>
      <c r="DL22" s="18">
        <f t="shared" si="136"/>
        <v>0</v>
      </c>
      <c r="DM22" s="18">
        <f t="shared" si="137"/>
        <v>0</v>
      </c>
      <c r="DN22" s="18">
        <f t="shared" si="138"/>
        <v>0</v>
      </c>
      <c r="DO22" s="19">
        <f t="shared" si="139"/>
        <v>0</v>
      </c>
      <c r="DP22" s="18">
        <f t="shared" si="140"/>
        <v>0</v>
      </c>
      <c r="DQ22" s="18">
        <f t="shared" si="141"/>
        <v>0</v>
      </c>
      <c r="DR22" s="18">
        <f t="shared" si="142"/>
        <v>0</v>
      </c>
      <c r="DS22" s="18">
        <f t="shared" si="143"/>
        <v>0</v>
      </c>
      <c r="DT22" s="20">
        <f t="shared" si="144"/>
        <v>0</v>
      </c>
      <c r="DU22" s="20">
        <f t="shared" si="145"/>
        <v>0</v>
      </c>
      <c r="DV22" s="20">
        <f t="shared" si="146"/>
        <v>0</v>
      </c>
      <c r="DW22" s="18">
        <f t="shared" si="147"/>
        <v>0</v>
      </c>
      <c r="DX22" s="49">
        <f t="shared" si="148"/>
        <v>0</v>
      </c>
      <c r="DZ22" s="45">
        <f t="shared" si="253"/>
        <v>0</v>
      </c>
      <c r="EA22" s="18">
        <f t="shared" si="149"/>
        <v>0</v>
      </c>
      <c r="EB22" s="18">
        <f t="shared" si="150"/>
        <v>0</v>
      </c>
      <c r="EC22" s="18">
        <f t="shared" si="151"/>
        <v>0</v>
      </c>
      <c r="ED22" s="18">
        <f t="shared" si="152"/>
        <v>0</v>
      </c>
      <c r="EE22" s="18">
        <f t="shared" si="153"/>
        <v>0</v>
      </c>
      <c r="EF22" s="18">
        <f t="shared" si="154"/>
        <v>0</v>
      </c>
      <c r="EG22" s="19">
        <f t="shared" si="155"/>
        <v>0</v>
      </c>
      <c r="EH22" s="18">
        <f t="shared" si="156"/>
        <v>0</v>
      </c>
      <c r="EI22" s="18">
        <f t="shared" si="157"/>
        <v>0</v>
      </c>
      <c r="EJ22" s="18">
        <f t="shared" si="158"/>
        <v>0</v>
      </c>
      <c r="EK22" s="18">
        <f t="shared" si="159"/>
        <v>0</v>
      </c>
      <c r="EL22" s="20">
        <f t="shared" si="160"/>
        <v>0</v>
      </c>
      <c r="EM22" s="20">
        <f t="shared" si="161"/>
        <v>0</v>
      </c>
      <c r="EN22" s="20">
        <f t="shared" si="162"/>
        <v>0</v>
      </c>
      <c r="EO22" s="18">
        <f t="shared" si="163"/>
        <v>0</v>
      </c>
      <c r="EP22" s="49">
        <f t="shared" si="164"/>
        <v>0</v>
      </c>
      <c r="ER22" s="45">
        <f t="shared" si="254"/>
        <v>0</v>
      </c>
      <c r="ES22" s="18">
        <f t="shared" si="165"/>
        <v>0</v>
      </c>
      <c r="ET22" s="18">
        <f t="shared" si="166"/>
        <v>0</v>
      </c>
      <c r="EU22" s="18">
        <f t="shared" si="167"/>
        <v>0</v>
      </c>
      <c r="EV22" s="18">
        <f t="shared" si="168"/>
        <v>0</v>
      </c>
      <c r="EW22" s="18">
        <f t="shared" si="169"/>
        <v>0</v>
      </c>
      <c r="EX22" s="18">
        <f t="shared" si="170"/>
        <v>0</v>
      </c>
      <c r="EY22" s="19">
        <f t="shared" si="171"/>
        <v>0</v>
      </c>
      <c r="EZ22" s="18">
        <f t="shared" si="172"/>
        <v>0</v>
      </c>
      <c r="FA22" s="18">
        <f t="shared" si="173"/>
        <v>0</v>
      </c>
      <c r="FB22" s="18">
        <f t="shared" si="174"/>
        <v>0</v>
      </c>
      <c r="FC22" s="18">
        <f t="shared" si="175"/>
        <v>0</v>
      </c>
      <c r="FD22" s="20">
        <f t="shared" si="176"/>
        <v>0</v>
      </c>
      <c r="FE22" s="20">
        <f t="shared" si="177"/>
        <v>0</v>
      </c>
      <c r="FF22" s="20">
        <f t="shared" si="178"/>
        <v>0</v>
      </c>
      <c r="FG22" s="18">
        <f t="shared" si="179"/>
        <v>0</v>
      </c>
      <c r="FH22" s="49">
        <f t="shared" si="180"/>
        <v>0</v>
      </c>
      <c r="FJ22" s="45">
        <f t="shared" si="255"/>
        <v>0</v>
      </c>
      <c r="FK22" s="18">
        <f t="shared" si="181"/>
        <v>0</v>
      </c>
      <c r="FL22" s="18">
        <f t="shared" si="182"/>
        <v>0</v>
      </c>
      <c r="FM22" s="18">
        <f t="shared" si="183"/>
        <v>0</v>
      </c>
      <c r="FN22" s="18">
        <f t="shared" si="184"/>
        <v>0</v>
      </c>
      <c r="FO22" s="18">
        <f t="shared" si="185"/>
        <v>0</v>
      </c>
      <c r="FP22" s="18">
        <f t="shared" si="186"/>
        <v>0</v>
      </c>
      <c r="FQ22" s="19">
        <f t="shared" si="187"/>
        <v>0</v>
      </c>
      <c r="FR22" s="18">
        <f t="shared" si="188"/>
        <v>0</v>
      </c>
      <c r="FS22" s="18">
        <f t="shared" si="189"/>
        <v>0</v>
      </c>
      <c r="FT22" s="18">
        <f t="shared" si="190"/>
        <v>0</v>
      </c>
      <c r="FU22" s="18">
        <f t="shared" si="191"/>
        <v>0</v>
      </c>
      <c r="FV22" s="20">
        <f t="shared" si="192"/>
        <v>0</v>
      </c>
      <c r="FW22" s="20">
        <f t="shared" si="193"/>
        <v>0</v>
      </c>
      <c r="FX22" s="20">
        <f t="shared" si="194"/>
        <v>0</v>
      </c>
      <c r="FY22" s="18">
        <f t="shared" si="195"/>
        <v>0</v>
      </c>
      <c r="FZ22" s="49">
        <f t="shared" si="196"/>
        <v>0</v>
      </c>
      <c r="GB22" s="45">
        <f t="shared" si="256"/>
        <v>0</v>
      </c>
      <c r="GC22" s="18">
        <f t="shared" si="197"/>
        <v>0</v>
      </c>
      <c r="GD22" s="18">
        <f t="shared" si="198"/>
        <v>0</v>
      </c>
      <c r="GE22" s="18">
        <f t="shared" si="199"/>
        <v>0</v>
      </c>
      <c r="GF22" s="18">
        <f t="shared" si="200"/>
        <v>0</v>
      </c>
      <c r="GG22" s="18">
        <f t="shared" si="201"/>
        <v>0</v>
      </c>
      <c r="GH22" s="18">
        <f t="shared" si="202"/>
        <v>0</v>
      </c>
      <c r="GI22" s="19">
        <f t="shared" si="203"/>
        <v>0</v>
      </c>
      <c r="GJ22" s="18">
        <f t="shared" si="204"/>
        <v>0</v>
      </c>
      <c r="GK22" s="18">
        <f t="shared" si="205"/>
        <v>0</v>
      </c>
      <c r="GL22" s="18">
        <f t="shared" si="206"/>
        <v>0</v>
      </c>
      <c r="GM22" s="18">
        <f t="shared" si="207"/>
        <v>0</v>
      </c>
      <c r="GN22" s="20">
        <f t="shared" si="208"/>
        <v>0</v>
      </c>
      <c r="GO22" s="20">
        <f t="shared" si="209"/>
        <v>0</v>
      </c>
      <c r="GP22" s="20">
        <f t="shared" si="210"/>
        <v>0</v>
      </c>
      <c r="GQ22" s="18">
        <f t="shared" si="211"/>
        <v>0</v>
      </c>
      <c r="GR22" s="49">
        <f t="shared" si="212"/>
        <v>0</v>
      </c>
      <c r="GT22" s="45">
        <f t="shared" si="257"/>
        <v>0</v>
      </c>
      <c r="GU22" s="18">
        <f t="shared" si="213"/>
        <v>0</v>
      </c>
      <c r="GV22" s="18">
        <f t="shared" si="214"/>
        <v>0</v>
      </c>
      <c r="GW22" s="18">
        <f t="shared" si="215"/>
        <v>0</v>
      </c>
      <c r="GX22" s="18">
        <f t="shared" si="216"/>
        <v>0</v>
      </c>
      <c r="GY22" s="18">
        <f t="shared" si="217"/>
        <v>0</v>
      </c>
      <c r="GZ22" s="18">
        <f t="shared" si="218"/>
        <v>0</v>
      </c>
      <c r="HA22" s="19">
        <f t="shared" si="219"/>
        <v>0</v>
      </c>
      <c r="HB22" s="18">
        <f t="shared" si="220"/>
        <v>0</v>
      </c>
      <c r="HC22" s="18">
        <f t="shared" si="221"/>
        <v>0</v>
      </c>
      <c r="HD22" s="18">
        <f t="shared" si="222"/>
        <v>0</v>
      </c>
      <c r="HE22" s="18">
        <f t="shared" si="223"/>
        <v>0</v>
      </c>
      <c r="HF22" s="20">
        <f t="shared" si="224"/>
        <v>0</v>
      </c>
      <c r="HG22" s="20">
        <f t="shared" si="225"/>
        <v>0</v>
      </c>
      <c r="HH22" s="20">
        <f t="shared" si="226"/>
        <v>0</v>
      </c>
      <c r="HI22" s="18">
        <f t="shared" si="227"/>
        <v>0</v>
      </c>
      <c r="HJ22" s="49">
        <f t="shared" si="228"/>
        <v>0</v>
      </c>
      <c r="HL22" s="45">
        <f t="shared" si="258"/>
        <v>0</v>
      </c>
      <c r="HM22" s="18">
        <f t="shared" si="229"/>
        <v>0</v>
      </c>
      <c r="HN22" s="18">
        <f t="shared" si="230"/>
        <v>0</v>
      </c>
      <c r="HO22" s="18">
        <f t="shared" si="231"/>
        <v>0</v>
      </c>
      <c r="HP22" s="18">
        <f t="shared" si="232"/>
        <v>0</v>
      </c>
      <c r="HQ22" s="18">
        <f t="shared" si="233"/>
        <v>0</v>
      </c>
      <c r="HR22" s="18">
        <f t="shared" si="234"/>
        <v>0</v>
      </c>
      <c r="HS22" s="19">
        <f t="shared" si="235"/>
        <v>0</v>
      </c>
      <c r="HT22" s="18">
        <f t="shared" si="236"/>
        <v>0</v>
      </c>
      <c r="HU22" s="18">
        <f t="shared" si="237"/>
        <v>0</v>
      </c>
      <c r="HV22" s="18">
        <f t="shared" si="238"/>
        <v>0</v>
      </c>
      <c r="HW22" s="18">
        <f t="shared" si="239"/>
        <v>0</v>
      </c>
      <c r="HX22" s="20">
        <f t="shared" si="240"/>
        <v>0</v>
      </c>
      <c r="HY22" s="20">
        <f t="shared" si="241"/>
        <v>0</v>
      </c>
      <c r="HZ22" s="20">
        <f t="shared" si="242"/>
        <v>0</v>
      </c>
      <c r="IA22" s="18">
        <f t="shared" si="243"/>
        <v>0</v>
      </c>
      <c r="IB22" s="49">
        <f t="shared" si="244"/>
        <v>0</v>
      </c>
    </row>
    <row r="23" spans="2:236" s="11" customFormat="1" x14ac:dyDescent="0.35">
      <c r="B23" s="17" t="s">
        <v>76</v>
      </c>
      <c r="C23" s="17"/>
      <c r="D23" s="45">
        <f t="shared" si="245"/>
        <v>1</v>
      </c>
      <c r="E23" s="18">
        <f t="shared" si="246"/>
        <v>0</v>
      </c>
      <c r="F23" s="18">
        <f t="shared" si="38"/>
        <v>0</v>
      </c>
      <c r="G23" s="18">
        <f t="shared" si="39"/>
        <v>0</v>
      </c>
      <c r="H23" s="18">
        <f t="shared" si="40"/>
        <v>0</v>
      </c>
      <c r="I23" s="18">
        <f t="shared" si="41"/>
        <v>0</v>
      </c>
      <c r="J23" s="18">
        <f t="shared" si="42"/>
        <v>0</v>
      </c>
      <c r="K23" s="18">
        <f t="shared" si="43"/>
        <v>0</v>
      </c>
      <c r="L23" s="18">
        <f t="shared" si="44"/>
        <v>0</v>
      </c>
      <c r="M23" s="18">
        <f t="shared" si="45"/>
        <v>0</v>
      </c>
      <c r="N23" s="18">
        <f t="shared" si="46"/>
        <v>0</v>
      </c>
      <c r="O23" s="18">
        <f t="shared" si="47"/>
        <v>0</v>
      </c>
      <c r="P23" s="20">
        <f t="shared" si="48"/>
        <v>0</v>
      </c>
      <c r="Q23" s="20">
        <f t="shared" si="49"/>
        <v>0</v>
      </c>
      <c r="R23" s="20">
        <f t="shared" si="50"/>
        <v>0</v>
      </c>
      <c r="S23" s="18">
        <f t="shared" si="51"/>
        <v>1</v>
      </c>
      <c r="T23" s="49">
        <f t="shared" si="52"/>
        <v>1</v>
      </c>
      <c r="V23" s="45">
        <f t="shared" si="247"/>
        <v>1</v>
      </c>
      <c r="W23" s="18">
        <f t="shared" si="53"/>
        <v>0</v>
      </c>
      <c r="X23" s="18">
        <f t="shared" si="54"/>
        <v>0</v>
      </c>
      <c r="Y23" s="18">
        <f t="shared" si="55"/>
        <v>0</v>
      </c>
      <c r="Z23" s="18">
        <f t="shared" si="56"/>
        <v>0</v>
      </c>
      <c r="AA23" s="18">
        <f t="shared" si="57"/>
        <v>0</v>
      </c>
      <c r="AB23" s="18">
        <f t="shared" si="58"/>
        <v>0</v>
      </c>
      <c r="AC23" s="18">
        <f t="shared" si="59"/>
        <v>0</v>
      </c>
      <c r="AD23" s="18">
        <f t="shared" si="60"/>
        <v>0</v>
      </c>
      <c r="AE23" s="18">
        <f t="shared" si="61"/>
        <v>0</v>
      </c>
      <c r="AF23" s="18">
        <f t="shared" si="62"/>
        <v>0</v>
      </c>
      <c r="AG23" s="18">
        <f t="shared" si="63"/>
        <v>0</v>
      </c>
      <c r="AH23" s="20">
        <f t="shared" si="64"/>
        <v>0</v>
      </c>
      <c r="AI23" s="20">
        <f t="shared" si="65"/>
        <v>0</v>
      </c>
      <c r="AJ23" s="20">
        <f t="shared" si="66"/>
        <v>0</v>
      </c>
      <c r="AK23" s="18">
        <f t="shared" si="67"/>
        <v>1</v>
      </c>
      <c r="AL23" s="49">
        <f t="shared" si="68"/>
        <v>1</v>
      </c>
      <c r="AN23" s="45">
        <f t="shared" si="248"/>
        <v>0</v>
      </c>
      <c r="AO23" s="18">
        <f t="shared" si="69"/>
        <v>0</v>
      </c>
      <c r="AP23" s="18">
        <f t="shared" si="70"/>
        <v>0</v>
      </c>
      <c r="AQ23" s="18">
        <f t="shared" si="71"/>
        <v>0</v>
      </c>
      <c r="AR23" s="18">
        <f t="shared" si="72"/>
        <v>0</v>
      </c>
      <c r="AS23" s="18">
        <f t="shared" si="73"/>
        <v>0</v>
      </c>
      <c r="AT23" s="18">
        <f t="shared" si="74"/>
        <v>0</v>
      </c>
      <c r="AU23" s="18">
        <f t="shared" si="75"/>
        <v>0</v>
      </c>
      <c r="AV23" s="18">
        <f t="shared" si="76"/>
        <v>0</v>
      </c>
      <c r="AW23" s="18">
        <f t="shared" si="77"/>
        <v>0</v>
      </c>
      <c r="AX23" s="18">
        <f t="shared" si="78"/>
        <v>0</v>
      </c>
      <c r="AY23" s="18">
        <f t="shared" si="79"/>
        <v>0</v>
      </c>
      <c r="AZ23" s="20">
        <f t="shared" si="80"/>
        <v>0</v>
      </c>
      <c r="BA23" s="20">
        <f t="shared" si="81"/>
        <v>0</v>
      </c>
      <c r="BB23" s="20">
        <f t="shared" si="82"/>
        <v>0</v>
      </c>
      <c r="BC23" s="18">
        <f t="shared" si="83"/>
        <v>0</v>
      </c>
      <c r="BD23" s="49">
        <f t="shared" si="84"/>
        <v>0</v>
      </c>
      <c r="BF23" s="45">
        <f t="shared" si="249"/>
        <v>0</v>
      </c>
      <c r="BG23" s="18">
        <f t="shared" si="85"/>
        <v>0</v>
      </c>
      <c r="BH23" s="18">
        <f t="shared" si="86"/>
        <v>0</v>
      </c>
      <c r="BI23" s="18">
        <f t="shared" si="87"/>
        <v>0</v>
      </c>
      <c r="BJ23" s="18">
        <f t="shared" si="88"/>
        <v>0</v>
      </c>
      <c r="BK23" s="18">
        <f t="shared" si="89"/>
        <v>0</v>
      </c>
      <c r="BL23" s="18">
        <f t="shared" si="90"/>
        <v>0</v>
      </c>
      <c r="BM23" s="18">
        <f t="shared" si="91"/>
        <v>0</v>
      </c>
      <c r="BN23" s="18">
        <f t="shared" si="92"/>
        <v>0</v>
      </c>
      <c r="BO23" s="18">
        <f t="shared" si="93"/>
        <v>0</v>
      </c>
      <c r="BP23" s="18">
        <f t="shared" si="94"/>
        <v>0</v>
      </c>
      <c r="BQ23" s="18">
        <f t="shared" si="95"/>
        <v>0</v>
      </c>
      <c r="BR23" s="20">
        <f t="shared" si="96"/>
        <v>0</v>
      </c>
      <c r="BS23" s="20">
        <f t="shared" si="97"/>
        <v>0</v>
      </c>
      <c r="BT23" s="20">
        <f t="shared" si="98"/>
        <v>0</v>
      </c>
      <c r="BU23" s="18">
        <f t="shared" si="99"/>
        <v>0</v>
      </c>
      <c r="BV23" s="49">
        <f t="shared" si="100"/>
        <v>0</v>
      </c>
      <c r="BX23" s="45">
        <f t="shared" si="250"/>
        <v>0</v>
      </c>
      <c r="BY23" s="18">
        <f t="shared" si="101"/>
        <v>0</v>
      </c>
      <c r="BZ23" s="18">
        <f t="shared" si="102"/>
        <v>0</v>
      </c>
      <c r="CA23" s="18">
        <f t="shared" si="103"/>
        <v>0</v>
      </c>
      <c r="CB23" s="18">
        <f t="shared" si="104"/>
        <v>0</v>
      </c>
      <c r="CC23" s="18">
        <f t="shared" si="105"/>
        <v>0</v>
      </c>
      <c r="CD23" s="18">
        <f t="shared" si="106"/>
        <v>0</v>
      </c>
      <c r="CE23" s="18">
        <f t="shared" si="107"/>
        <v>0</v>
      </c>
      <c r="CF23" s="18">
        <f t="shared" si="108"/>
        <v>0</v>
      </c>
      <c r="CG23" s="18">
        <f t="shared" si="109"/>
        <v>0</v>
      </c>
      <c r="CH23" s="18">
        <f t="shared" si="110"/>
        <v>0</v>
      </c>
      <c r="CI23" s="18">
        <f t="shared" si="111"/>
        <v>0</v>
      </c>
      <c r="CJ23" s="20">
        <f t="shared" si="112"/>
        <v>0</v>
      </c>
      <c r="CK23" s="20">
        <f t="shared" si="113"/>
        <v>0</v>
      </c>
      <c r="CL23" s="20">
        <f t="shared" si="114"/>
        <v>0</v>
      </c>
      <c r="CM23" s="18">
        <f t="shared" si="115"/>
        <v>0</v>
      </c>
      <c r="CN23" s="49">
        <f t="shared" si="116"/>
        <v>0</v>
      </c>
      <c r="CP23" s="45">
        <f t="shared" si="251"/>
        <v>0</v>
      </c>
      <c r="CQ23" s="18">
        <f t="shared" si="117"/>
        <v>0</v>
      </c>
      <c r="CR23" s="18">
        <f t="shared" si="118"/>
        <v>0</v>
      </c>
      <c r="CS23" s="18">
        <f t="shared" si="119"/>
        <v>0</v>
      </c>
      <c r="CT23" s="18">
        <f t="shared" si="120"/>
        <v>0</v>
      </c>
      <c r="CU23" s="18">
        <f t="shared" si="121"/>
        <v>0</v>
      </c>
      <c r="CV23" s="18">
        <f t="shared" si="122"/>
        <v>0</v>
      </c>
      <c r="CW23" s="18">
        <f t="shared" si="123"/>
        <v>0</v>
      </c>
      <c r="CX23" s="18">
        <f t="shared" si="124"/>
        <v>0</v>
      </c>
      <c r="CY23" s="18">
        <f t="shared" si="125"/>
        <v>0</v>
      </c>
      <c r="CZ23" s="18">
        <f t="shared" si="126"/>
        <v>0</v>
      </c>
      <c r="DA23" s="18">
        <f t="shared" si="127"/>
        <v>0</v>
      </c>
      <c r="DB23" s="20">
        <f t="shared" si="128"/>
        <v>0</v>
      </c>
      <c r="DC23" s="20">
        <f t="shared" si="129"/>
        <v>0</v>
      </c>
      <c r="DD23" s="20">
        <f t="shared" si="130"/>
        <v>0</v>
      </c>
      <c r="DE23" s="18">
        <f t="shared" si="131"/>
        <v>0</v>
      </c>
      <c r="DF23" s="49">
        <f t="shared" si="132"/>
        <v>0</v>
      </c>
      <c r="DH23" s="45">
        <f t="shared" si="252"/>
        <v>0</v>
      </c>
      <c r="DI23" s="18">
        <f t="shared" si="133"/>
        <v>0</v>
      </c>
      <c r="DJ23" s="18">
        <f t="shared" si="134"/>
        <v>0</v>
      </c>
      <c r="DK23" s="18">
        <f t="shared" si="135"/>
        <v>0</v>
      </c>
      <c r="DL23" s="18">
        <f t="shared" si="136"/>
        <v>0</v>
      </c>
      <c r="DM23" s="18">
        <f t="shared" si="137"/>
        <v>0</v>
      </c>
      <c r="DN23" s="18">
        <f t="shared" si="138"/>
        <v>0</v>
      </c>
      <c r="DO23" s="18">
        <f t="shared" si="139"/>
        <v>0</v>
      </c>
      <c r="DP23" s="18">
        <f t="shared" si="140"/>
        <v>0</v>
      </c>
      <c r="DQ23" s="18">
        <f t="shared" si="141"/>
        <v>0</v>
      </c>
      <c r="DR23" s="18">
        <f t="shared" si="142"/>
        <v>0</v>
      </c>
      <c r="DS23" s="18">
        <f t="shared" si="143"/>
        <v>0</v>
      </c>
      <c r="DT23" s="20">
        <f t="shared" si="144"/>
        <v>0</v>
      </c>
      <c r="DU23" s="20">
        <f t="shared" si="145"/>
        <v>0</v>
      </c>
      <c r="DV23" s="20">
        <f t="shared" si="146"/>
        <v>0</v>
      </c>
      <c r="DW23" s="18">
        <f t="shared" si="147"/>
        <v>0</v>
      </c>
      <c r="DX23" s="49">
        <f t="shared" si="148"/>
        <v>0</v>
      </c>
      <c r="DZ23" s="45">
        <f t="shared" si="253"/>
        <v>0</v>
      </c>
      <c r="EA23" s="18">
        <f t="shared" si="149"/>
        <v>0</v>
      </c>
      <c r="EB23" s="18">
        <f t="shared" si="150"/>
        <v>0</v>
      </c>
      <c r="EC23" s="18">
        <f t="shared" si="151"/>
        <v>0</v>
      </c>
      <c r="ED23" s="18">
        <f t="shared" si="152"/>
        <v>0</v>
      </c>
      <c r="EE23" s="18">
        <f t="shared" si="153"/>
        <v>0</v>
      </c>
      <c r="EF23" s="18">
        <f t="shared" si="154"/>
        <v>0</v>
      </c>
      <c r="EG23" s="18">
        <f t="shared" si="155"/>
        <v>0</v>
      </c>
      <c r="EH23" s="18">
        <f t="shared" si="156"/>
        <v>0</v>
      </c>
      <c r="EI23" s="18">
        <f t="shared" si="157"/>
        <v>0</v>
      </c>
      <c r="EJ23" s="18">
        <f t="shared" si="158"/>
        <v>0</v>
      </c>
      <c r="EK23" s="18">
        <f t="shared" si="159"/>
        <v>0</v>
      </c>
      <c r="EL23" s="20">
        <f t="shared" si="160"/>
        <v>0</v>
      </c>
      <c r="EM23" s="20">
        <f t="shared" si="161"/>
        <v>0</v>
      </c>
      <c r="EN23" s="20">
        <f t="shared" si="162"/>
        <v>0</v>
      </c>
      <c r="EO23" s="18">
        <f t="shared" si="163"/>
        <v>0</v>
      </c>
      <c r="EP23" s="49">
        <f t="shared" si="164"/>
        <v>0</v>
      </c>
      <c r="ER23" s="45">
        <f t="shared" si="254"/>
        <v>0</v>
      </c>
      <c r="ES23" s="18">
        <f t="shared" si="165"/>
        <v>0</v>
      </c>
      <c r="ET23" s="18">
        <f t="shared" si="166"/>
        <v>0</v>
      </c>
      <c r="EU23" s="18">
        <f t="shared" si="167"/>
        <v>0</v>
      </c>
      <c r="EV23" s="18">
        <f t="shared" si="168"/>
        <v>0</v>
      </c>
      <c r="EW23" s="18">
        <f t="shared" si="169"/>
        <v>0</v>
      </c>
      <c r="EX23" s="18">
        <f t="shared" si="170"/>
        <v>0</v>
      </c>
      <c r="EY23" s="18">
        <f t="shared" si="171"/>
        <v>0</v>
      </c>
      <c r="EZ23" s="18">
        <f t="shared" si="172"/>
        <v>0</v>
      </c>
      <c r="FA23" s="18">
        <f t="shared" si="173"/>
        <v>0</v>
      </c>
      <c r="FB23" s="18">
        <f t="shared" si="174"/>
        <v>0</v>
      </c>
      <c r="FC23" s="18">
        <f t="shared" si="175"/>
        <v>0</v>
      </c>
      <c r="FD23" s="20">
        <f t="shared" si="176"/>
        <v>0</v>
      </c>
      <c r="FE23" s="20">
        <f t="shared" si="177"/>
        <v>0</v>
      </c>
      <c r="FF23" s="20">
        <f t="shared" si="178"/>
        <v>0</v>
      </c>
      <c r="FG23" s="18">
        <f t="shared" si="179"/>
        <v>0</v>
      </c>
      <c r="FH23" s="49">
        <f t="shared" si="180"/>
        <v>0</v>
      </c>
      <c r="FJ23" s="45">
        <f t="shared" si="255"/>
        <v>0</v>
      </c>
      <c r="FK23" s="18">
        <f t="shared" si="181"/>
        <v>0</v>
      </c>
      <c r="FL23" s="18">
        <f t="shared" si="182"/>
        <v>0</v>
      </c>
      <c r="FM23" s="18">
        <f t="shared" si="183"/>
        <v>0</v>
      </c>
      <c r="FN23" s="18">
        <f t="shared" si="184"/>
        <v>0</v>
      </c>
      <c r="FO23" s="18">
        <f t="shared" si="185"/>
        <v>0</v>
      </c>
      <c r="FP23" s="18">
        <f t="shared" si="186"/>
        <v>0</v>
      </c>
      <c r="FQ23" s="18">
        <f t="shared" si="187"/>
        <v>0</v>
      </c>
      <c r="FR23" s="18">
        <f t="shared" si="188"/>
        <v>0</v>
      </c>
      <c r="FS23" s="18">
        <f t="shared" si="189"/>
        <v>0</v>
      </c>
      <c r="FT23" s="18">
        <f t="shared" si="190"/>
        <v>0</v>
      </c>
      <c r="FU23" s="18">
        <f t="shared" si="191"/>
        <v>0</v>
      </c>
      <c r="FV23" s="20">
        <f t="shared" si="192"/>
        <v>0</v>
      </c>
      <c r="FW23" s="20">
        <f t="shared" si="193"/>
        <v>0</v>
      </c>
      <c r="FX23" s="20">
        <f t="shared" si="194"/>
        <v>0</v>
      </c>
      <c r="FY23" s="18">
        <f t="shared" si="195"/>
        <v>0</v>
      </c>
      <c r="FZ23" s="49">
        <f t="shared" si="196"/>
        <v>0</v>
      </c>
      <c r="GB23" s="45">
        <f t="shared" si="256"/>
        <v>0</v>
      </c>
      <c r="GC23" s="18">
        <f t="shared" si="197"/>
        <v>0</v>
      </c>
      <c r="GD23" s="18">
        <f t="shared" si="198"/>
        <v>0</v>
      </c>
      <c r="GE23" s="18">
        <f t="shared" si="199"/>
        <v>0</v>
      </c>
      <c r="GF23" s="18">
        <f t="shared" si="200"/>
        <v>0</v>
      </c>
      <c r="GG23" s="18">
        <f t="shared" si="201"/>
        <v>0</v>
      </c>
      <c r="GH23" s="18">
        <f t="shared" si="202"/>
        <v>0</v>
      </c>
      <c r="GI23" s="18">
        <f t="shared" si="203"/>
        <v>0</v>
      </c>
      <c r="GJ23" s="18">
        <f t="shared" si="204"/>
        <v>0</v>
      </c>
      <c r="GK23" s="18">
        <f t="shared" si="205"/>
        <v>0</v>
      </c>
      <c r="GL23" s="18">
        <f t="shared" si="206"/>
        <v>0</v>
      </c>
      <c r="GM23" s="18">
        <f t="shared" si="207"/>
        <v>0</v>
      </c>
      <c r="GN23" s="20">
        <f t="shared" si="208"/>
        <v>0</v>
      </c>
      <c r="GO23" s="20">
        <f t="shared" si="209"/>
        <v>0</v>
      </c>
      <c r="GP23" s="20">
        <f t="shared" si="210"/>
        <v>0</v>
      </c>
      <c r="GQ23" s="18">
        <f t="shared" si="211"/>
        <v>0</v>
      </c>
      <c r="GR23" s="49">
        <f t="shared" si="212"/>
        <v>0</v>
      </c>
      <c r="GT23" s="45">
        <f t="shared" si="257"/>
        <v>0</v>
      </c>
      <c r="GU23" s="18">
        <f t="shared" si="213"/>
        <v>0</v>
      </c>
      <c r="GV23" s="18">
        <f t="shared" si="214"/>
        <v>0</v>
      </c>
      <c r="GW23" s="18">
        <f t="shared" si="215"/>
        <v>0</v>
      </c>
      <c r="GX23" s="18">
        <f t="shared" si="216"/>
        <v>0</v>
      </c>
      <c r="GY23" s="18">
        <f t="shared" si="217"/>
        <v>0</v>
      </c>
      <c r="GZ23" s="18">
        <f t="shared" si="218"/>
        <v>0</v>
      </c>
      <c r="HA23" s="18">
        <f t="shared" si="219"/>
        <v>0</v>
      </c>
      <c r="HB23" s="18">
        <f t="shared" si="220"/>
        <v>0</v>
      </c>
      <c r="HC23" s="18">
        <f t="shared" si="221"/>
        <v>0</v>
      </c>
      <c r="HD23" s="18">
        <f t="shared" si="222"/>
        <v>0</v>
      </c>
      <c r="HE23" s="18">
        <f t="shared" si="223"/>
        <v>0</v>
      </c>
      <c r="HF23" s="20">
        <f t="shared" si="224"/>
        <v>0</v>
      </c>
      <c r="HG23" s="20">
        <f t="shared" si="225"/>
        <v>0</v>
      </c>
      <c r="HH23" s="20">
        <f t="shared" si="226"/>
        <v>0</v>
      </c>
      <c r="HI23" s="18">
        <f t="shared" si="227"/>
        <v>0</v>
      </c>
      <c r="HJ23" s="49">
        <f t="shared" si="228"/>
        <v>0</v>
      </c>
      <c r="HL23" s="45">
        <f t="shared" si="258"/>
        <v>0</v>
      </c>
      <c r="HM23" s="18">
        <f t="shared" si="229"/>
        <v>0</v>
      </c>
      <c r="HN23" s="18">
        <f t="shared" si="230"/>
        <v>0</v>
      </c>
      <c r="HO23" s="18">
        <f t="shared" si="231"/>
        <v>0</v>
      </c>
      <c r="HP23" s="18">
        <f t="shared" si="232"/>
        <v>0</v>
      </c>
      <c r="HQ23" s="18">
        <f t="shared" si="233"/>
        <v>0</v>
      </c>
      <c r="HR23" s="18">
        <f t="shared" si="234"/>
        <v>0</v>
      </c>
      <c r="HS23" s="18">
        <f t="shared" si="235"/>
        <v>0</v>
      </c>
      <c r="HT23" s="18">
        <f t="shared" si="236"/>
        <v>0</v>
      </c>
      <c r="HU23" s="18">
        <f t="shared" si="237"/>
        <v>0</v>
      </c>
      <c r="HV23" s="18">
        <f t="shared" si="238"/>
        <v>0</v>
      </c>
      <c r="HW23" s="18">
        <f t="shared" si="239"/>
        <v>0</v>
      </c>
      <c r="HX23" s="20">
        <f t="shared" si="240"/>
        <v>0</v>
      </c>
      <c r="HY23" s="20">
        <f t="shared" si="241"/>
        <v>0</v>
      </c>
      <c r="HZ23" s="20">
        <f t="shared" si="242"/>
        <v>0</v>
      </c>
      <c r="IA23" s="18">
        <f t="shared" si="243"/>
        <v>0</v>
      </c>
      <c r="IB23" s="49">
        <f t="shared" si="244"/>
        <v>0</v>
      </c>
    </row>
    <row r="24" spans="2:236" s="11" customFormat="1" x14ac:dyDescent="0.35">
      <c r="B24" s="35" t="s">
        <v>158</v>
      </c>
      <c r="C24" s="17"/>
      <c r="D24" s="45">
        <f t="shared" si="245"/>
        <v>1.0167032298282759</v>
      </c>
      <c r="E24" s="36">
        <f t="shared" si="246"/>
        <v>0.16544073124803213</v>
      </c>
      <c r="F24" s="36">
        <f t="shared" si="38"/>
        <v>7.1720317003801159E-2</v>
      </c>
      <c r="G24" s="36">
        <f t="shared" si="39"/>
        <v>0.55413844929194589</v>
      </c>
      <c r="H24" s="36">
        <f t="shared" si="40"/>
        <v>0</v>
      </c>
      <c r="I24" s="36">
        <f t="shared" si="41"/>
        <v>0.14704864995503281</v>
      </c>
      <c r="J24" s="36">
        <f t="shared" si="42"/>
        <v>1.7230476158704622E-3</v>
      </c>
      <c r="K24" s="36">
        <f t="shared" si="43"/>
        <v>1.1036048779335604E-2</v>
      </c>
      <c r="L24" s="36">
        <f t="shared" si="44"/>
        <v>9.7880432631512217E-5</v>
      </c>
      <c r="M24" s="36">
        <f t="shared" si="45"/>
        <v>1.7600077792343842E-4</v>
      </c>
      <c r="N24" s="36">
        <f t="shared" si="46"/>
        <v>2.8160124467750147E-3</v>
      </c>
      <c r="O24" s="36">
        <f t="shared" si="47"/>
        <v>4.5760202260093988E-3</v>
      </c>
      <c r="P24" s="37">
        <f t="shared" si="48"/>
        <v>4.4857998272352364E-3</v>
      </c>
      <c r="Q24" s="37">
        <f t="shared" si="49"/>
        <v>2.6129715493342482E-3</v>
      </c>
      <c r="R24" s="37">
        <f t="shared" si="50"/>
        <v>3.3368067486858291E-2</v>
      </c>
      <c r="S24" s="36">
        <f t="shared" si="51"/>
        <v>7.6000335921484773E-4</v>
      </c>
      <c r="T24" s="49">
        <f t="shared" si="52"/>
        <v>1</v>
      </c>
      <c r="V24" s="45">
        <f t="shared" si="247"/>
        <v>1.0208288701841099</v>
      </c>
      <c r="W24" s="36">
        <f t="shared" si="53"/>
        <v>0.10856540133403249</v>
      </c>
      <c r="X24" s="36">
        <f t="shared" si="54"/>
        <v>3.9622409245997265E-4</v>
      </c>
      <c r="Y24" s="36">
        <f t="shared" si="55"/>
        <v>0.66526025124029387</v>
      </c>
      <c r="Z24" s="36">
        <f t="shared" si="56"/>
        <v>0</v>
      </c>
      <c r="AA24" s="36">
        <f t="shared" si="57"/>
        <v>0.15096137922724959</v>
      </c>
      <c r="AB24" s="36">
        <f t="shared" si="58"/>
        <v>2.3827476105661083E-3</v>
      </c>
      <c r="AC24" s="36">
        <f t="shared" si="59"/>
        <v>1.6218172511827517E-2</v>
      </c>
      <c r="AD24" s="36">
        <f t="shared" si="60"/>
        <v>4.4070925193161496E-4</v>
      </c>
      <c r="AE24" s="36">
        <f t="shared" si="61"/>
        <v>0</v>
      </c>
      <c r="AF24" s="36">
        <f t="shared" si="62"/>
        <v>1.5848963698398906E-3</v>
      </c>
      <c r="AG24" s="36">
        <f t="shared" si="63"/>
        <v>4.7546891095196714E-3</v>
      </c>
      <c r="AH24" s="37">
        <f t="shared" si="64"/>
        <v>3.5560211788981501E-3</v>
      </c>
      <c r="AI24" s="37">
        <f t="shared" si="65"/>
        <v>9.833561567415685E-3</v>
      </c>
      <c r="AJ24" s="37">
        <f t="shared" si="66"/>
        <v>3.3884724183456442E-2</v>
      </c>
      <c r="AK24" s="36">
        <f t="shared" si="67"/>
        <v>2.1612223225089418E-3</v>
      </c>
      <c r="AL24" s="49">
        <f t="shared" si="68"/>
        <v>1</v>
      </c>
      <c r="AN24" s="45">
        <f t="shared" si="248"/>
        <v>1.0165951984289239</v>
      </c>
      <c r="AO24" s="36">
        <f t="shared" si="69"/>
        <v>0.23477022928991192</v>
      </c>
      <c r="AP24" s="36">
        <f t="shared" si="70"/>
        <v>9.0296242034581503E-2</v>
      </c>
      <c r="AQ24" s="36">
        <f t="shared" si="71"/>
        <v>0.56069666482425862</v>
      </c>
      <c r="AR24" s="36">
        <f t="shared" si="72"/>
        <v>0</v>
      </c>
      <c r="AS24" s="36">
        <f t="shared" si="73"/>
        <v>2.6658890505447872E-2</v>
      </c>
      <c r="AT24" s="36">
        <f t="shared" si="74"/>
        <v>9.0296242034581514E-3</v>
      </c>
      <c r="AU24" s="36">
        <f t="shared" si="75"/>
        <v>3.7384989559252706E-3</v>
      </c>
      <c r="AV24" s="36">
        <f t="shared" si="76"/>
        <v>0</v>
      </c>
      <c r="AW24" s="36">
        <f t="shared" si="77"/>
        <v>0</v>
      </c>
      <c r="AX24" s="36">
        <f t="shared" si="78"/>
        <v>4.2998210492657864E-3</v>
      </c>
      <c r="AY24" s="36">
        <f t="shared" si="79"/>
        <v>2.4938962085741558E-2</v>
      </c>
      <c r="AZ24" s="37">
        <f t="shared" si="80"/>
        <v>7.7396778886784151E-3</v>
      </c>
      <c r="BA24" s="37">
        <f t="shared" si="81"/>
        <v>0</v>
      </c>
      <c r="BB24" s="37">
        <f t="shared" si="82"/>
        <v>3.783138916273103E-2</v>
      </c>
      <c r="BC24" s="36">
        <f t="shared" si="83"/>
        <v>0</v>
      </c>
      <c r="BD24" s="49">
        <f t="shared" si="84"/>
        <v>1</v>
      </c>
      <c r="BF24" s="45">
        <f t="shared" si="249"/>
        <v>1.0159876537837573</v>
      </c>
      <c r="BG24" s="36">
        <f t="shared" si="85"/>
        <v>0.14489538952749756</v>
      </c>
      <c r="BH24" s="36">
        <f t="shared" si="86"/>
        <v>0.17258075859793012</v>
      </c>
      <c r="BI24" s="36">
        <f t="shared" si="87"/>
        <v>0.54879128783539699</v>
      </c>
      <c r="BJ24" s="36">
        <f t="shared" si="88"/>
        <v>0</v>
      </c>
      <c r="BK24" s="36">
        <f t="shared" si="89"/>
        <v>7.0895244161668439E-2</v>
      </c>
      <c r="BL24" s="36">
        <f t="shared" si="90"/>
        <v>7.9339634557832662E-4</v>
      </c>
      <c r="BM24" s="36">
        <f t="shared" si="91"/>
        <v>1.2335631352257393E-2</v>
      </c>
      <c r="BN24" s="36">
        <f t="shared" si="92"/>
        <v>0</v>
      </c>
      <c r="BO24" s="36">
        <f t="shared" si="93"/>
        <v>0</v>
      </c>
      <c r="BP24" s="36">
        <f t="shared" si="94"/>
        <v>5.4335771072811581E-3</v>
      </c>
      <c r="BQ24" s="36">
        <f t="shared" si="95"/>
        <v>1.5524506020803308E-3</v>
      </c>
      <c r="BR24" s="37">
        <f t="shared" si="96"/>
        <v>6.2098024083213233E-3</v>
      </c>
      <c r="BS24" s="37">
        <f t="shared" si="97"/>
        <v>8.2444535761993327E-4</v>
      </c>
      <c r="BT24" s="37">
        <f t="shared" si="98"/>
        <v>3.4864747445689515E-2</v>
      </c>
      <c r="BU24" s="36">
        <f t="shared" si="99"/>
        <v>8.2326925867896329E-4</v>
      </c>
      <c r="BV24" s="49">
        <f t="shared" si="100"/>
        <v>1</v>
      </c>
      <c r="BX24" s="45">
        <f t="shared" si="250"/>
        <v>1.0147302392976174</v>
      </c>
      <c r="BY24" s="36">
        <f t="shared" si="101"/>
        <v>0.20277721073185809</v>
      </c>
      <c r="BZ24" s="36">
        <f t="shared" si="102"/>
        <v>1.1017649224758133E-2</v>
      </c>
      <c r="CA24" s="36">
        <f t="shared" si="103"/>
        <v>0.48398959094473248</v>
      </c>
      <c r="CB24" s="36">
        <f t="shared" si="104"/>
        <v>0</v>
      </c>
      <c r="CC24" s="36">
        <f t="shared" si="105"/>
        <v>0.25839010681873248</v>
      </c>
      <c r="CD24" s="36">
        <f t="shared" si="106"/>
        <v>0</v>
      </c>
      <c r="CE24" s="36">
        <f t="shared" si="107"/>
        <v>8.5136380373131045E-3</v>
      </c>
      <c r="CF24" s="36">
        <f t="shared" si="108"/>
        <v>0</v>
      </c>
      <c r="CG24" s="36">
        <f t="shared" si="109"/>
        <v>5.2464996308372071E-4</v>
      </c>
      <c r="CH24" s="36">
        <f t="shared" si="110"/>
        <v>5.2464996308372071E-4</v>
      </c>
      <c r="CI24" s="36">
        <f t="shared" si="111"/>
        <v>1.311624907709302E-3</v>
      </c>
      <c r="CJ24" s="37">
        <f t="shared" si="112"/>
        <v>2.3609248338767432E-3</v>
      </c>
      <c r="CK24" s="37">
        <f t="shared" si="113"/>
        <v>4.428522642938497E-4</v>
      </c>
      <c r="CL24" s="37">
        <f t="shared" si="114"/>
        <v>3.0147102310558439E-2</v>
      </c>
      <c r="CM24" s="36">
        <f t="shared" si="115"/>
        <v>0</v>
      </c>
      <c r="CN24" s="49">
        <f t="shared" si="116"/>
        <v>1</v>
      </c>
      <c r="CP24" s="45">
        <f t="shared" si="251"/>
        <v>0</v>
      </c>
      <c r="CQ24" s="36">
        <f t="shared" si="117"/>
        <v>0</v>
      </c>
      <c r="CR24" s="36">
        <f t="shared" si="118"/>
        <v>0</v>
      </c>
      <c r="CS24" s="36">
        <f t="shared" si="119"/>
        <v>0</v>
      </c>
      <c r="CT24" s="36">
        <f t="shared" si="120"/>
        <v>0</v>
      </c>
      <c r="CU24" s="36">
        <f t="shared" si="121"/>
        <v>0</v>
      </c>
      <c r="CV24" s="36">
        <f t="shared" si="122"/>
        <v>0</v>
      </c>
      <c r="CW24" s="36">
        <f t="shared" si="123"/>
        <v>0</v>
      </c>
      <c r="CX24" s="36">
        <f t="shared" si="124"/>
        <v>0</v>
      </c>
      <c r="CY24" s="36">
        <f t="shared" si="125"/>
        <v>0</v>
      </c>
      <c r="CZ24" s="36">
        <f t="shared" si="126"/>
        <v>0</v>
      </c>
      <c r="DA24" s="36">
        <f t="shared" si="127"/>
        <v>0</v>
      </c>
      <c r="DB24" s="37">
        <f t="shared" si="128"/>
        <v>0</v>
      </c>
      <c r="DC24" s="37">
        <f t="shared" si="129"/>
        <v>0</v>
      </c>
      <c r="DD24" s="37">
        <f t="shared" si="130"/>
        <v>0</v>
      </c>
      <c r="DE24" s="36">
        <f t="shared" si="131"/>
        <v>0</v>
      </c>
      <c r="DF24" s="49">
        <f t="shared" si="116"/>
        <v>0</v>
      </c>
      <c r="DH24" s="45">
        <f t="shared" si="252"/>
        <v>0</v>
      </c>
      <c r="DI24" s="36">
        <f t="shared" si="133"/>
        <v>0</v>
      </c>
      <c r="DJ24" s="36">
        <f t="shared" si="134"/>
        <v>0</v>
      </c>
      <c r="DK24" s="36">
        <f t="shared" si="135"/>
        <v>0</v>
      </c>
      <c r="DL24" s="36">
        <f t="shared" si="136"/>
        <v>0</v>
      </c>
      <c r="DM24" s="36">
        <f t="shared" si="137"/>
        <v>0</v>
      </c>
      <c r="DN24" s="36">
        <f t="shared" si="138"/>
        <v>0</v>
      </c>
      <c r="DO24" s="36">
        <f t="shared" si="139"/>
        <v>0</v>
      </c>
      <c r="DP24" s="36">
        <f t="shared" si="140"/>
        <v>0</v>
      </c>
      <c r="DQ24" s="36">
        <f t="shared" si="141"/>
        <v>0</v>
      </c>
      <c r="DR24" s="36">
        <f t="shared" si="142"/>
        <v>0</v>
      </c>
      <c r="DS24" s="36">
        <f t="shared" si="143"/>
        <v>0</v>
      </c>
      <c r="DT24" s="37">
        <f t="shared" si="144"/>
        <v>0</v>
      </c>
      <c r="DU24" s="37">
        <f t="shared" si="145"/>
        <v>0</v>
      </c>
      <c r="DV24" s="37">
        <f t="shared" si="146"/>
        <v>0</v>
      </c>
      <c r="DW24" s="36">
        <f t="shared" si="147"/>
        <v>0</v>
      </c>
      <c r="DX24" s="49">
        <f t="shared" si="148"/>
        <v>0</v>
      </c>
      <c r="DZ24" s="45">
        <f t="shared" si="253"/>
        <v>0</v>
      </c>
      <c r="EA24" s="36">
        <f t="shared" si="149"/>
        <v>0</v>
      </c>
      <c r="EB24" s="36">
        <f t="shared" si="150"/>
        <v>0</v>
      </c>
      <c r="EC24" s="36">
        <f t="shared" si="151"/>
        <v>0</v>
      </c>
      <c r="ED24" s="36">
        <f t="shared" si="152"/>
        <v>0</v>
      </c>
      <c r="EE24" s="36">
        <f t="shared" si="153"/>
        <v>0</v>
      </c>
      <c r="EF24" s="36">
        <f t="shared" si="154"/>
        <v>0</v>
      </c>
      <c r="EG24" s="36">
        <f t="shared" si="155"/>
        <v>0</v>
      </c>
      <c r="EH24" s="36">
        <f t="shared" si="156"/>
        <v>0</v>
      </c>
      <c r="EI24" s="36">
        <f t="shared" si="157"/>
        <v>0</v>
      </c>
      <c r="EJ24" s="36">
        <f t="shared" si="158"/>
        <v>0</v>
      </c>
      <c r="EK24" s="36">
        <f t="shared" si="159"/>
        <v>0</v>
      </c>
      <c r="EL24" s="37">
        <f t="shared" si="160"/>
        <v>0</v>
      </c>
      <c r="EM24" s="37">
        <f t="shared" si="161"/>
        <v>0</v>
      </c>
      <c r="EN24" s="37">
        <f t="shared" si="162"/>
        <v>0</v>
      </c>
      <c r="EO24" s="36">
        <f t="shared" si="163"/>
        <v>0</v>
      </c>
      <c r="EP24" s="49">
        <f t="shared" si="148"/>
        <v>0</v>
      </c>
      <c r="ER24" s="45">
        <f t="shared" si="254"/>
        <v>0</v>
      </c>
      <c r="ES24" s="36">
        <f t="shared" si="165"/>
        <v>0</v>
      </c>
      <c r="ET24" s="36">
        <f t="shared" si="166"/>
        <v>0</v>
      </c>
      <c r="EU24" s="36">
        <f t="shared" si="167"/>
        <v>0</v>
      </c>
      <c r="EV24" s="36">
        <f t="shared" si="168"/>
        <v>0</v>
      </c>
      <c r="EW24" s="36">
        <f t="shared" si="169"/>
        <v>0</v>
      </c>
      <c r="EX24" s="36">
        <f t="shared" si="170"/>
        <v>0</v>
      </c>
      <c r="EY24" s="36">
        <f t="shared" si="171"/>
        <v>0</v>
      </c>
      <c r="EZ24" s="36">
        <f t="shared" si="172"/>
        <v>0</v>
      </c>
      <c r="FA24" s="36">
        <f t="shared" si="173"/>
        <v>0</v>
      </c>
      <c r="FB24" s="36">
        <f t="shared" si="174"/>
        <v>0</v>
      </c>
      <c r="FC24" s="36">
        <f t="shared" si="175"/>
        <v>0</v>
      </c>
      <c r="FD24" s="37">
        <f t="shared" si="176"/>
        <v>0</v>
      </c>
      <c r="FE24" s="37">
        <f t="shared" si="177"/>
        <v>0</v>
      </c>
      <c r="FF24" s="37">
        <f t="shared" si="178"/>
        <v>0</v>
      </c>
      <c r="FG24" s="36">
        <f t="shared" si="179"/>
        <v>0</v>
      </c>
      <c r="FH24" s="49">
        <f t="shared" si="180"/>
        <v>0</v>
      </c>
      <c r="FJ24" s="45">
        <f t="shared" si="255"/>
        <v>0</v>
      </c>
      <c r="FK24" s="36">
        <f t="shared" si="181"/>
        <v>0</v>
      </c>
      <c r="FL24" s="36">
        <f t="shared" si="182"/>
        <v>0</v>
      </c>
      <c r="FM24" s="36">
        <f t="shared" si="183"/>
        <v>0</v>
      </c>
      <c r="FN24" s="36">
        <f t="shared" si="184"/>
        <v>0</v>
      </c>
      <c r="FO24" s="36">
        <f t="shared" si="185"/>
        <v>0</v>
      </c>
      <c r="FP24" s="36">
        <f t="shared" si="186"/>
        <v>0</v>
      </c>
      <c r="FQ24" s="36">
        <f t="shared" si="187"/>
        <v>0</v>
      </c>
      <c r="FR24" s="36">
        <f t="shared" si="188"/>
        <v>0</v>
      </c>
      <c r="FS24" s="36">
        <f t="shared" si="189"/>
        <v>0</v>
      </c>
      <c r="FT24" s="36">
        <f t="shared" si="190"/>
        <v>0</v>
      </c>
      <c r="FU24" s="36">
        <f t="shared" si="191"/>
        <v>0</v>
      </c>
      <c r="FV24" s="37">
        <f t="shared" si="192"/>
        <v>0</v>
      </c>
      <c r="FW24" s="37">
        <f t="shared" si="193"/>
        <v>0</v>
      </c>
      <c r="FX24" s="37">
        <f t="shared" si="194"/>
        <v>0</v>
      </c>
      <c r="FY24" s="36">
        <f t="shared" si="195"/>
        <v>0</v>
      </c>
      <c r="FZ24" s="49">
        <f t="shared" si="180"/>
        <v>0</v>
      </c>
      <c r="GB24" s="45">
        <f t="shared" si="256"/>
        <v>0</v>
      </c>
      <c r="GC24" s="36">
        <f t="shared" si="197"/>
        <v>0</v>
      </c>
      <c r="GD24" s="36">
        <f t="shared" si="198"/>
        <v>0</v>
      </c>
      <c r="GE24" s="36">
        <f t="shared" si="199"/>
        <v>0</v>
      </c>
      <c r="GF24" s="36">
        <f t="shared" si="200"/>
        <v>0</v>
      </c>
      <c r="GG24" s="36">
        <f t="shared" si="201"/>
        <v>0</v>
      </c>
      <c r="GH24" s="36">
        <f t="shared" si="202"/>
        <v>0</v>
      </c>
      <c r="GI24" s="36">
        <f t="shared" si="203"/>
        <v>0</v>
      </c>
      <c r="GJ24" s="36">
        <f t="shared" si="204"/>
        <v>0</v>
      </c>
      <c r="GK24" s="36">
        <f t="shared" si="205"/>
        <v>0</v>
      </c>
      <c r="GL24" s="36">
        <f t="shared" si="206"/>
        <v>0</v>
      </c>
      <c r="GM24" s="36">
        <f t="shared" si="207"/>
        <v>0</v>
      </c>
      <c r="GN24" s="37">
        <f t="shared" si="208"/>
        <v>0</v>
      </c>
      <c r="GO24" s="37">
        <f t="shared" si="209"/>
        <v>0</v>
      </c>
      <c r="GP24" s="37">
        <f t="shared" si="210"/>
        <v>0</v>
      </c>
      <c r="GQ24" s="36">
        <f t="shared" si="211"/>
        <v>0</v>
      </c>
      <c r="GR24" s="49">
        <f t="shared" si="212"/>
        <v>0</v>
      </c>
      <c r="GT24" s="45">
        <f t="shared" si="257"/>
        <v>0</v>
      </c>
      <c r="GU24" s="36">
        <f t="shared" si="213"/>
        <v>0</v>
      </c>
      <c r="GV24" s="36">
        <f t="shared" si="214"/>
        <v>0</v>
      </c>
      <c r="GW24" s="36">
        <f t="shared" si="215"/>
        <v>0</v>
      </c>
      <c r="GX24" s="36">
        <f t="shared" si="216"/>
        <v>0</v>
      </c>
      <c r="GY24" s="36">
        <f t="shared" si="217"/>
        <v>0</v>
      </c>
      <c r="GZ24" s="36">
        <f t="shared" si="218"/>
        <v>0</v>
      </c>
      <c r="HA24" s="36">
        <f t="shared" si="219"/>
        <v>0</v>
      </c>
      <c r="HB24" s="36">
        <f t="shared" si="220"/>
        <v>0</v>
      </c>
      <c r="HC24" s="36">
        <f t="shared" si="221"/>
        <v>0</v>
      </c>
      <c r="HD24" s="36">
        <f t="shared" si="222"/>
        <v>0</v>
      </c>
      <c r="HE24" s="36">
        <f t="shared" si="223"/>
        <v>0</v>
      </c>
      <c r="HF24" s="37">
        <f t="shared" si="224"/>
        <v>0</v>
      </c>
      <c r="HG24" s="37">
        <f t="shared" si="225"/>
        <v>0</v>
      </c>
      <c r="HH24" s="37">
        <f t="shared" si="226"/>
        <v>0</v>
      </c>
      <c r="HI24" s="36">
        <f t="shared" si="227"/>
        <v>0</v>
      </c>
      <c r="HJ24" s="49">
        <f t="shared" si="212"/>
        <v>0</v>
      </c>
      <c r="HL24" s="45">
        <f t="shared" si="258"/>
        <v>0</v>
      </c>
      <c r="HM24" s="36">
        <f t="shared" si="229"/>
        <v>0</v>
      </c>
      <c r="HN24" s="36">
        <f t="shared" si="230"/>
        <v>0</v>
      </c>
      <c r="HO24" s="36">
        <f t="shared" si="231"/>
        <v>0</v>
      </c>
      <c r="HP24" s="36">
        <f t="shared" si="232"/>
        <v>0</v>
      </c>
      <c r="HQ24" s="36">
        <f t="shared" si="233"/>
        <v>0</v>
      </c>
      <c r="HR24" s="36">
        <f t="shared" si="234"/>
        <v>0</v>
      </c>
      <c r="HS24" s="36">
        <f t="shared" si="235"/>
        <v>0</v>
      </c>
      <c r="HT24" s="36">
        <f t="shared" si="236"/>
        <v>0</v>
      </c>
      <c r="HU24" s="36">
        <f t="shared" si="237"/>
        <v>0</v>
      </c>
      <c r="HV24" s="36">
        <f t="shared" si="238"/>
        <v>0</v>
      </c>
      <c r="HW24" s="36">
        <f t="shared" si="239"/>
        <v>0</v>
      </c>
      <c r="HX24" s="37">
        <f t="shared" si="240"/>
        <v>0</v>
      </c>
      <c r="HY24" s="37">
        <f t="shared" si="241"/>
        <v>0</v>
      </c>
      <c r="HZ24" s="37">
        <f t="shared" si="242"/>
        <v>0</v>
      </c>
      <c r="IA24" s="36">
        <f t="shared" si="243"/>
        <v>0</v>
      </c>
      <c r="IB24" s="49">
        <f t="shared" si="244"/>
        <v>0</v>
      </c>
    </row>
    <row r="25" spans="2:236" x14ac:dyDescent="0.35">
      <c r="P25" s="2"/>
      <c r="Q25" s="2"/>
      <c r="R25" s="2"/>
    </row>
    <row r="26" spans="2:236" ht="15" thickBot="1" x14ac:dyDescent="0.4">
      <c r="B26" s="12" t="s">
        <v>159</v>
      </c>
      <c r="P26" s="2"/>
      <c r="Q26" s="2"/>
      <c r="R26" s="2"/>
    </row>
    <row r="27" spans="2:236" x14ac:dyDescent="0.35">
      <c r="B27" s="14" t="s">
        <v>68</v>
      </c>
      <c r="D27" s="46">
        <f>IFERROR(D6/D$13,0)</f>
        <v>0.18590946689246204</v>
      </c>
      <c r="E27" s="51">
        <f>IFERROR(E6/E$13,0)</f>
        <v>1</v>
      </c>
      <c r="F27" s="18">
        <f t="shared" ref="F27:T34" si="259">IFERROR(F6/F$13,0)</f>
        <v>4.5398773006134971E-2</v>
      </c>
      <c r="G27" s="18">
        <f t="shared" si="259"/>
        <v>6.8286485628076864E-3</v>
      </c>
      <c r="H27" s="18">
        <f t="shared" si="259"/>
        <v>0</v>
      </c>
      <c r="I27" s="18">
        <f t="shared" si="259"/>
        <v>3.949730700179533E-2</v>
      </c>
      <c r="J27" s="18">
        <f t="shared" si="259"/>
        <v>0</v>
      </c>
      <c r="K27" s="18">
        <f t="shared" si="259"/>
        <v>0</v>
      </c>
      <c r="L27" s="18">
        <f t="shared" si="259"/>
        <v>0</v>
      </c>
      <c r="M27" s="50">
        <f t="shared" si="259"/>
        <v>1</v>
      </c>
      <c r="N27" s="18">
        <f t="shared" si="259"/>
        <v>0.4375</v>
      </c>
      <c r="O27" s="18">
        <f t="shared" si="259"/>
        <v>0</v>
      </c>
      <c r="P27" s="18">
        <f t="shared" si="259"/>
        <v>7.8470188016353901E-2</v>
      </c>
      <c r="Q27" s="18">
        <f t="shared" si="259"/>
        <v>0</v>
      </c>
      <c r="R27" s="18">
        <f t="shared" si="259"/>
        <v>0.18343366922481233</v>
      </c>
      <c r="S27" s="18">
        <f t="shared" si="259"/>
        <v>0</v>
      </c>
      <c r="T27" s="40">
        <f t="shared" si="259"/>
        <v>0.1861696228697331</v>
      </c>
      <c r="V27" s="46">
        <f>IFERROR(V6/V$13,0)</f>
        <v>0.12500987991666998</v>
      </c>
      <c r="W27" s="51">
        <f t="shared" ref="W27:AL27" si="260">IFERROR(W6/W$13,0)</f>
        <v>1</v>
      </c>
      <c r="X27" s="18">
        <f t="shared" si="260"/>
        <v>1</v>
      </c>
      <c r="Y27" s="18">
        <f t="shared" si="260"/>
        <v>0</v>
      </c>
      <c r="Z27" s="18">
        <f t="shared" si="260"/>
        <v>0</v>
      </c>
      <c r="AA27" s="18">
        <f t="shared" si="260"/>
        <v>6.5616797900262466E-2</v>
      </c>
      <c r="AB27" s="18">
        <f t="shared" si="260"/>
        <v>0</v>
      </c>
      <c r="AC27" s="18">
        <f t="shared" si="260"/>
        <v>0</v>
      </c>
      <c r="AD27" s="18">
        <f t="shared" si="260"/>
        <v>0</v>
      </c>
      <c r="AE27" s="18">
        <f t="shared" si="260"/>
        <v>0</v>
      </c>
      <c r="AF27" s="18">
        <f t="shared" si="260"/>
        <v>0.5</v>
      </c>
      <c r="AG27" s="18">
        <f t="shared" si="260"/>
        <v>0</v>
      </c>
      <c r="AH27" s="18">
        <f t="shared" si="260"/>
        <v>0</v>
      </c>
      <c r="AI27" s="18">
        <f t="shared" si="260"/>
        <v>0</v>
      </c>
      <c r="AJ27" s="18">
        <f t="shared" si="260"/>
        <v>0.16946774244985169</v>
      </c>
      <c r="AK27" s="18">
        <f t="shared" si="260"/>
        <v>0</v>
      </c>
      <c r="AL27" s="40">
        <f t="shared" si="260"/>
        <v>0.12540204363381799</v>
      </c>
      <c r="AN27" s="46">
        <f t="shared" ref="AN27:BD27" si="261">IFERROR(AN6/AN$13,0)</f>
        <v>0.28652356215090652</v>
      </c>
      <c r="AO27" s="51">
        <f t="shared" si="261"/>
        <v>1</v>
      </c>
      <c r="AP27" s="18">
        <f t="shared" si="261"/>
        <v>0.21904761904761905</v>
      </c>
      <c r="AQ27" s="18">
        <f t="shared" si="261"/>
        <v>0</v>
      </c>
      <c r="AR27" s="18">
        <f t="shared" si="261"/>
        <v>0</v>
      </c>
      <c r="AS27" s="18">
        <f t="shared" si="261"/>
        <v>0.67741935483870963</v>
      </c>
      <c r="AT27" s="18">
        <f t="shared" si="261"/>
        <v>0</v>
      </c>
      <c r="AU27" s="18">
        <f t="shared" si="261"/>
        <v>0</v>
      </c>
      <c r="AV27" s="18">
        <f t="shared" si="261"/>
        <v>0</v>
      </c>
      <c r="AW27" s="18">
        <f t="shared" si="261"/>
        <v>0</v>
      </c>
      <c r="AX27" s="18">
        <f t="shared" si="261"/>
        <v>0.8</v>
      </c>
      <c r="AY27" s="18">
        <f t="shared" si="261"/>
        <v>0</v>
      </c>
      <c r="AZ27" s="18">
        <f t="shared" si="261"/>
        <v>0.22222222222222221</v>
      </c>
      <c r="BA27" s="18">
        <f t="shared" si="261"/>
        <v>0</v>
      </c>
      <c r="BB27" s="18">
        <f t="shared" si="261"/>
        <v>0.23917670641234939</v>
      </c>
      <c r="BC27" s="18">
        <f t="shared" si="261"/>
        <v>0</v>
      </c>
      <c r="BD27" s="40">
        <f t="shared" si="261"/>
        <v>0.28681682684151566</v>
      </c>
      <c r="BF27" s="46">
        <f t="shared" ref="BF27:BV27" si="262">IFERROR(BF6/BF$13,0)</f>
        <v>0.15558727871475828</v>
      </c>
      <c r="BG27" s="51">
        <f t="shared" si="262"/>
        <v>1</v>
      </c>
      <c r="BH27" s="18">
        <f t="shared" si="262"/>
        <v>1.4992503748125937E-3</v>
      </c>
      <c r="BI27" s="18">
        <f t="shared" si="262"/>
        <v>0</v>
      </c>
      <c r="BJ27" s="18">
        <f t="shared" si="262"/>
        <v>0</v>
      </c>
      <c r="BK27" s="18">
        <f t="shared" si="262"/>
        <v>2.9197080291970802E-2</v>
      </c>
      <c r="BL27" s="18">
        <f t="shared" si="262"/>
        <v>0</v>
      </c>
      <c r="BM27" s="18">
        <f t="shared" si="262"/>
        <v>0</v>
      </c>
      <c r="BN27" s="18">
        <f t="shared" si="262"/>
        <v>0</v>
      </c>
      <c r="BO27" s="18">
        <f t="shared" si="262"/>
        <v>0</v>
      </c>
      <c r="BP27" s="18">
        <f t="shared" si="262"/>
        <v>0.28571428571428575</v>
      </c>
      <c r="BQ27" s="18">
        <f t="shared" si="262"/>
        <v>0</v>
      </c>
      <c r="BR27" s="18">
        <f t="shared" si="262"/>
        <v>0</v>
      </c>
      <c r="BS27" s="18">
        <f t="shared" si="262"/>
        <v>0</v>
      </c>
      <c r="BT27" s="18">
        <f t="shared" si="262"/>
        <v>0.19680614213814412</v>
      </c>
      <c r="BU27" s="18">
        <f t="shared" si="262"/>
        <v>0</v>
      </c>
      <c r="BV27" s="40">
        <f t="shared" si="262"/>
        <v>0.15563811247410525</v>
      </c>
      <c r="BX27" s="46">
        <f t="shared" ref="BX27:CN34" si="263">IFERROR(BX6/BX$13,0)</f>
        <v>0.22650339894580063</v>
      </c>
      <c r="BY27" s="51">
        <f t="shared" si="263"/>
        <v>1</v>
      </c>
      <c r="BZ27" s="18">
        <f t="shared" si="263"/>
        <v>0.2857142857142857</v>
      </c>
      <c r="CA27" s="18">
        <f t="shared" si="263"/>
        <v>2.3306233062330619E-2</v>
      </c>
      <c r="CB27" s="18">
        <f t="shared" si="263"/>
        <v>0</v>
      </c>
      <c r="CC27" s="18">
        <f t="shared" si="263"/>
        <v>1.2182741116751269E-2</v>
      </c>
      <c r="CD27" s="18">
        <f t="shared" si="263"/>
        <v>0</v>
      </c>
      <c r="CE27" s="18">
        <f t="shared" si="263"/>
        <v>0</v>
      </c>
      <c r="CF27" s="18">
        <f t="shared" si="263"/>
        <v>0</v>
      </c>
      <c r="CG27" s="18">
        <f t="shared" si="263"/>
        <v>1</v>
      </c>
      <c r="CH27" s="18">
        <f t="shared" si="263"/>
        <v>1</v>
      </c>
      <c r="CI27" s="18">
        <f t="shared" si="263"/>
        <v>0</v>
      </c>
      <c r="CJ27" s="18">
        <f t="shared" si="263"/>
        <v>0.22222222222222221</v>
      </c>
      <c r="CK27" s="18">
        <f t="shared" si="263"/>
        <v>0</v>
      </c>
      <c r="CL27" s="18">
        <f t="shared" si="263"/>
        <v>0.15680892299173352</v>
      </c>
      <c r="CM27" s="18">
        <f t="shared" si="263"/>
        <v>0</v>
      </c>
      <c r="CN27" s="40">
        <f t="shared" si="263"/>
        <v>0.22665426902905417</v>
      </c>
      <c r="CP27" s="46">
        <f t="shared" ref="CP27:DU34" si="264">IFERROR(CP6/CP$13,0)</f>
        <v>0</v>
      </c>
      <c r="CQ27" s="51">
        <f t="shared" si="264"/>
        <v>0</v>
      </c>
      <c r="CR27" s="18">
        <f t="shared" si="264"/>
        <v>0</v>
      </c>
      <c r="CS27" s="18">
        <f t="shared" si="264"/>
        <v>0</v>
      </c>
      <c r="CT27" s="18">
        <f t="shared" si="264"/>
        <v>0</v>
      </c>
      <c r="CU27" s="18">
        <f t="shared" si="264"/>
        <v>0</v>
      </c>
      <c r="CV27" s="18">
        <f t="shared" si="264"/>
        <v>0</v>
      </c>
      <c r="CW27" s="18">
        <f t="shared" si="264"/>
        <v>0</v>
      </c>
      <c r="CX27" s="18">
        <f t="shared" si="264"/>
        <v>0</v>
      </c>
      <c r="CY27" s="18">
        <f t="shared" si="264"/>
        <v>0</v>
      </c>
      <c r="CZ27" s="18">
        <f t="shared" si="264"/>
        <v>0</v>
      </c>
      <c r="DA27" s="18">
        <f t="shared" si="264"/>
        <v>0</v>
      </c>
      <c r="DB27" s="18">
        <f t="shared" si="264"/>
        <v>0</v>
      </c>
      <c r="DC27" s="18">
        <f t="shared" si="264"/>
        <v>0</v>
      </c>
      <c r="DD27" s="18">
        <f t="shared" si="264"/>
        <v>0</v>
      </c>
      <c r="DE27" s="18">
        <f t="shared" si="264"/>
        <v>0</v>
      </c>
      <c r="DF27" s="40">
        <f t="shared" si="264"/>
        <v>0</v>
      </c>
      <c r="DH27" s="46">
        <f t="shared" ref="DH27:DX34" si="265">IFERROR(DH6/DH$13,0)</f>
        <v>0</v>
      </c>
      <c r="DI27" s="51">
        <f t="shared" si="265"/>
        <v>0</v>
      </c>
      <c r="DJ27" s="18">
        <f t="shared" si="265"/>
        <v>0</v>
      </c>
      <c r="DK27" s="18">
        <f t="shared" si="265"/>
        <v>0</v>
      </c>
      <c r="DL27" s="18">
        <f t="shared" si="265"/>
        <v>0</v>
      </c>
      <c r="DM27" s="18">
        <f t="shared" si="265"/>
        <v>0</v>
      </c>
      <c r="DN27" s="18">
        <f t="shared" si="265"/>
        <v>0</v>
      </c>
      <c r="DO27" s="18">
        <f t="shared" si="265"/>
        <v>0</v>
      </c>
      <c r="DP27" s="18">
        <f t="shared" si="265"/>
        <v>0</v>
      </c>
      <c r="DQ27" s="18">
        <f t="shared" si="265"/>
        <v>0</v>
      </c>
      <c r="DR27" s="18">
        <f t="shared" si="265"/>
        <v>0</v>
      </c>
      <c r="DS27" s="18">
        <f t="shared" si="265"/>
        <v>0</v>
      </c>
      <c r="DT27" s="18">
        <f t="shared" si="265"/>
        <v>0</v>
      </c>
      <c r="DU27" s="18">
        <f t="shared" si="265"/>
        <v>0</v>
      </c>
      <c r="DV27" s="18">
        <f t="shared" si="265"/>
        <v>0</v>
      </c>
      <c r="DW27" s="18">
        <f t="shared" si="265"/>
        <v>0</v>
      </c>
      <c r="DX27" s="40">
        <f t="shared" si="265"/>
        <v>0</v>
      </c>
      <c r="DZ27" s="46">
        <f t="shared" ref="DZ27:FE34" si="266">IFERROR(DZ6/DZ$13,0)</f>
        <v>0</v>
      </c>
      <c r="EA27" s="51">
        <f t="shared" si="266"/>
        <v>0</v>
      </c>
      <c r="EB27" s="18">
        <f t="shared" si="266"/>
        <v>0</v>
      </c>
      <c r="EC27" s="18">
        <f t="shared" si="266"/>
        <v>0</v>
      </c>
      <c r="ED27" s="18">
        <f t="shared" si="266"/>
        <v>0</v>
      </c>
      <c r="EE27" s="18">
        <f t="shared" si="266"/>
        <v>0</v>
      </c>
      <c r="EF27" s="18">
        <f t="shared" si="266"/>
        <v>0</v>
      </c>
      <c r="EG27" s="18">
        <f t="shared" si="266"/>
        <v>0</v>
      </c>
      <c r="EH27" s="18">
        <f t="shared" si="266"/>
        <v>0</v>
      </c>
      <c r="EI27" s="18">
        <f t="shared" si="266"/>
        <v>0</v>
      </c>
      <c r="EJ27" s="18">
        <f t="shared" si="266"/>
        <v>0</v>
      </c>
      <c r="EK27" s="18">
        <f t="shared" si="266"/>
        <v>0</v>
      </c>
      <c r="EL27" s="18">
        <f t="shared" si="266"/>
        <v>0</v>
      </c>
      <c r="EM27" s="18">
        <f t="shared" si="266"/>
        <v>0</v>
      </c>
      <c r="EN27" s="18">
        <f t="shared" si="266"/>
        <v>0</v>
      </c>
      <c r="EO27" s="18">
        <f t="shared" si="266"/>
        <v>0</v>
      </c>
      <c r="EP27" s="40">
        <f t="shared" si="266"/>
        <v>0</v>
      </c>
      <c r="ER27" s="46">
        <f t="shared" ref="ER27:FH34" si="267">IFERROR(ER6/ER$13,0)</f>
        <v>0</v>
      </c>
      <c r="ES27" s="51">
        <f t="shared" si="267"/>
        <v>0</v>
      </c>
      <c r="ET27" s="18">
        <f t="shared" si="267"/>
        <v>0</v>
      </c>
      <c r="EU27" s="18">
        <f t="shared" si="267"/>
        <v>0</v>
      </c>
      <c r="EV27" s="18">
        <f t="shared" si="267"/>
        <v>0</v>
      </c>
      <c r="EW27" s="18">
        <f t="shared" si="267"/>
        <v>0</v>
      </c>
      <c r="EX27" s="18">
        <f t="shared" si="267"/>
        <v>0</v>
      </c>
      <c r="EY27" s="18">
        <f t="shared" si="267"/>
        <v>0</v>
      </c>
      <c r="EZ27" s="18">
        <f t="shared" si="267"/>
        <v>0</v>
      </c>
      <c r="FA27" s="18">
        <f t="shared" si="267"/>
        <v>0</v>
      </c>
      <c r="FB27" s="18">
        <f t="shared" si="267"/>
        <v>0</v>
      </c>
      <c r="FC27" s="18">
        <f t="shared" si="267"/>
        <v>0</v>
      </c>
      <c r="FD27" s="18">
        <f t="shared" si="267"/>
        <v>0</v>
      </c>
      <c r="FE27" s="18">
        <f t="shared" si="267"/>
        <v>0</v>
      </c>
      <c r="FF27" s="18">
        <f t="shared" si="267"/>
        <v>0</v>
      </c>
      <c r="FG27" s="18">
        <f t="shared" si="267"/>
        <v>0</v>
      </c>
      <c r="FH27" s="40">
        <f t="shared" si="267"/>
        <v>0</v>
      </c>
      <c r="FJ27" s="46">
        <f t="shared" ref="FJ27:GO34" si="268">IFERROR(FJ6/FJ$13,0)</f>
        <v>0</v>
      </c>
      <c r="FK27" s="18">
        <f t="shared" si="268"/>
        <v>0</v>
      </c>
      <c r="FL27" s="18">
        <f t="shared" si="268"/>
        <v>0</v>
      </c>
      <c r="FM27" s="18">
        <f t="shared" si="268"/>
        <v>0</v>
      </c>
      <c r="FN27" s="18">
        <f t="shared" si="268"/>
        <v>0</v>
      </c>
      <c r="FO27" s="18">
        <f t="shared" si="268"/>
        <v>0</v>
      </c>
      <c r="FP27" s="18">
        <f t="shared" si="268"/>
        <v>0</v>
      </c>
      <c r="FQ27" s="18">
        <f t="shared" si="268"/>
        <v>0</v>
      </c>
      <c r="FR27" s="18">
        <f t="shared" si="268"/>
        <v>0</v>
      </c>
      <c r="FS27" s="18">
        <f t="shared" si="268"/>
        <v>0</v>
      </c>
      <c r="FT27" s="18">
        <f t="shared" si="268"/>
        <v>0</v>
      </c>
      <c r="FU27" s="18">
        <f t="shared" si="268"/>
        <v>0</v>
      </c>
      <c r="FV27" s="18">
        <f t="shared" si="268"/>
        <v>0</v>
      </c>
      <c r="FW27" s="18">
        <f t="shared" si="268"/>
        <v>0</v>
      </c>
      <c r="FX27" s="18">
        <f t="shared" si="268"/>
        <v>0</v>
      </c>
      <c r="FY27" s="18">
        <f t="shared" si="268"/>
        <v>0</v>
      </c>
      <c r="FZ27" s="40">
        <f t="shared" si="268"/>
        <v>0</v>
      </c>
      <c r="GB27" s="46">
        <f t="shared" ref="GB27:GR34" si="269">IFERROR(GB6/GB$13,0)</f>
        <v>0</v>
      </c>
      <c r="GC27" s="51">
        <f t="shared" si="269"/>
        <v>0</v>
      </c>
      <c r="GD27" s="18">
        <f t="shared" si="269"/>
        <v>0</v>
      </c>
      <c r="GE27" s="18">
        <f t="shared" si="269"/>
        <v>0</v>
      </c>
      <c r="GF27" s="18">
        <f t="shared" si="269"/>
        <v>0</v>
      </c>
      <c r="GG27" s="18">
        <f t="shared" si="269"/>
        <v>0</v>
      </c>
      <c r="GH27" s="18">
        <f t="shared" si="269"/>
        <v>0</v>
      </c>
      <c r="GI27" s="18">
        <f t="shared" si="269"/>
        <v>0</v>
      </c>
      <c r="GJ27" s="18">
        <f t="shared" si="269"/>
        <v>0</v>
      </c>
      <c r="GK27" s="18">
        <f t="shared" si="269"/>
        <v>0</v>
      </c>
      <c r="GL27" s="18">
        <f t="shared" si="269"/>
        <v>0</v>
      </c>
      <c r="GM27" s="18">
        <f t="shared" si="269"/>
        <v>0</v>
      </c>
      <c r="GN27" s="18">
        <f t="shared" si="269"/>
        <v>0</v>
      </c>
      <c r="GO27" s="18">
        <f t="shared" si="269"/>
        <v>0</v>
      </c>
      <c r="GP27" s="18">
        <f t="shared" si="269"/>
        <v>0</v>
      </c>
      <c r="GQ27" s="18">
        <f t="shared" si="269"/>
        <v>0</v>
      </c>
      <c r="GR27" s="40">
        <f t="shared" si="269"/>
        <v>0</v>
      </c>
      <c r="GT27" s="46">
        <f t="shared" ref="GT27:IB34" si="270">IFERROR(GT6/GT$13,0)</f>
        <v>0</v>
      </c>
      <c r="GU27" s="51">
        <f t="shared" si="270"/>
        <v>0</v>
      </c>
      <c r="GV27" s="18">
        <f t="shared" si="270"/>
        <v>0</v>
      </c>
      <c r="GW27" s="18">
        <f t="shared" si="270"/>
        <v>0</v>
      </c>
      <c r="GX27" s="18">
        <f t="shared" si="270"/>
        <v>0</v>
      </c>
      <c r="GY27" s="18">
        <f t="shared" si="270"/>
        <v>0</v>
      </c>
      <c r="GZ27" s="18">
        <f t="shared" si="270"/>
        <v>0</v>
      </c>
      <c r="HA27" s="18">
        <f t="shared" si="270"/>
        <v>0</v>
      </c>
      <c r="HB27" s="18">
        <f t="shared" si="270"/>
        <v>0</v>
      </c>
      <c r="HC27" s="18">
        <f t="shared" si="270"/>
        <v>0</v>
      </c>
      <c r="HD27" s="18">
        <f t="shared" si="270"/>
        <v>0</v>
      </c>
      <c r="HE27" s="18">
        <f t="shared" si="270"/>
        <v>0</v>
      </c>
      <c r="HF27" s="18">
        <f t="shared" si="270"/>
        <v>0</v>
      </c>
      <c r="HG27" s="18">
        <f t="shared" si="270"/>
        <v>0</v>
      </c>
      <c r="HH27" s="18">
        <f t="shared" si="270"/>
        <v>0</v>
      </c>
      <c r="HI27" s="18">
        <f t="shared" si="270"/>
        <v>0</v>
      </c>
      <c r="HJ27" s="40">
        <f t="shared" si="270"/>
        <v>0</v>
      </c>
      <c r="HL27" s="46">
        <f t="shared" ref="HL27:IB27" si="271">IFERROR(HL6/HL$13,0)</f>
        <v>0</v>
      </c>
      <c r="HM27" s="51">
        <f t="shared" si="271"/>
        <v>0</v>
      </c>
      <c r="HN27" s="18">
        <f t="shared" si="271"/>
        <v>0</v>
      </c>
      <c r="HO27" s="18">
        <f t="shared" si="271"/>
        <v>0</v>
      </c>
      <c r="HP27" s="18">
        <f t="shared" si="271"/>
        <v>0</v>
      </c>
      <c r="HQ27" s="18">
        <f t="shared" si="271"/>
        <v>0</v>
      </c>
      <c r="HR27" s="18">
        <f t="shared" si="271"/>
        <v>0</v>
      </c>
      <c r="HS27" s="18">
        <f t="shared" si="271"/>
        <v>0</v>
      </c>
      <c r="HT27" s="18">
        <f t="shared" si="271"/>
        <v>0</v>
      </c>
      <c r="HU27" s="18">
        <f t="shared" si="271"/>
        <v>0</v>
      </c>
      <c r="HV27" s="18">
        <f t="shared" si="271"/>
        <v>0</v>
      </c>
      <c r="HW27" s="18">
        <f t="shared" si="271"/>
        <v>0</v>
      </c>
      <c r="HX27" s="18">
        <f t="shared" si="271"/>
        <v>0</v>
      </c>
      <c r="HY27" s="18">
        <f t="shared" si="271"/>
        <v>0</v>
      </c>
      <c r="HZ27" s="18">
        <f t="shared" si="271"/>
        <v>0</v>
      </c>
      <c r="IA27" s="18">
        <f t="shared" si="271"/>
        <v>0</v>
      </c>
      <c r="IB27" s="40">
        <f t="shared" si="271"/>
        <v>0</v>
      </c>
    </row>
    <row r="28" spans="2:236" x14ac:dyDescent="0.35">
      <c r="B28" s="17" t="s">
        <v>69</v>
      </c>
      <c r="D28" s="46">
        <f t="shared" ref="D28:E34" si="272">IFERROR(D7/D$13,0)</f>
        <v>6.4285867273862721E-2</v>
      </c>
      <c r="E28" s="18">
        <f t="shared" si="272"/>
        <v>0</v>
      </c>
      <c r="F28" s="51">
        <f t="shared" si="259"/>
        <v>0.79386503067484659</v>
      </c>
      <c r="G28" s="18">
        <f t="shared" si="259"/>
        <v>5.3993965380339844E-3</v>
      </c>
      <c r="H28" s="18">
        <f t="shared" si="259"/>
        <v>0</v>
      </c>
      <c r="I28" s="18">
        <f t="shared" si="259"/>
        <v>2.9922202274087367E-3</v>
      </c>
      <c r="J28" s="18">
        <f t="shared" si="259"/>
        <v>0</v>
      </c>
      <c r="K28" s="18">
        <f t="shared" si="259"/>
        <v>0</v>
      </c>
      <c r="L28" s="18">
        <f t="shared" si="259"/>
        <v>0</v>
      </c>
      <c r="M28" s="18">
        <f t="shared" si="259"/>
        <v>0</v>
      </c>
      <c r="N28" s="50">
        <f t="shared" si="259"/>
        <v>0.375</v>
      </c>
      <c r="O28" s="18">
        <f t="shared" si="259"/>
        <v>0</v>
      </c>
      <c r="P28" s="18">
        <f t="shared" si="259"/>
        <v>0</v>
      </c>
      <c r="Q28" s="18">
        <f t="shared" si="259"/>
        <v>0</v>
      </c>
      <c r="R28" s="18">
        <f t="shared" si="259"/>
        <v>8.047489924454386E-2</v>
      </c>
      <c r="S28" s="18">
        <f t="shared" si="259"/>
        <v>0.36842105263157893</v>
      </c>
      <c r="T28" s="40">
        <f t="shared" si="259"/>
        <v>6.4389564601875546E-2</v>
      </c>
      <c r="V28" s="46">
        <f t="shared" ref="V28:CG32" si="273">IFERROR(V7/V$13,0)</f>
        <v>0</v>
      </c>
      <c r="W28" s="18">
        <f t="shared" si="273"/>
        <v>0</v>
      </c>
      <c r="X28" s="51">
        <f t="shared" si="273"/>
        <v>0</v>
      </c>
      <c r="Y28" s="18">
        <f t="shared" si="273"/>
        <v>0</v>
      </c>
      <c r="Z28" s="18">
        <f t="shared" si="273"/>
        <v>0</v>
      </c>
      <c r="AA28" s="18">
        <f t="shared" si="273"/>
        <v>0</v>
      </c>
      <c r="AB28" s="18">
        <f t="shared" si="273"/>
        <v>0</v>
      </c>
      <c r="AC28" s="18">
        <f t="shared" si="273"/>
        <v>0</v>
      </c>
      <c r="AD28" s="18">
        <f t="shared" si="273"/>
        <v>0</v>
      </c>
      <c r="AE28" s="18">
        <f t="shared" si="273"/>
        <v>0</v>
      </c>
      <c r="AF28" s="18">
        <f t="shared" si="273"/>
        <v>0</v>
      </c>
      <c r="AG28" s="18">
        <f t="shared" si="273"/>
        <v>0</v>
      </c>
      <c r="AH28" s="18">
        <f t="shared" si="273"/>
        <v>0</v>
      </c>
      <c r="AI28" s="18">
        <f t="shared" si="273"/>
        <v>0</v>
      </c>
      <c r="AJ28" s="18">
        <f t="shared" si="273"/>
        <v>0</v>
      </c>
      <c r="AK28" s="18">
        <f t="shared" si="273"/>
        <v>0</v>
      </c>
      <c r="AL28" s="40">
        <f t="shared" si="273"/>
        <v>0</v>
      </c>
      <c r="AN28" s="46">
        <f t="shared" si="273"/>
        <v>0</v>
      </c>
      <c r="AO28" s="18">
        <f t="shared" si="273"/>
        <v>0</v>
      </c>
      <c r="AP28" s="51">
        <f t="shared" si="273"/>
        <v>0</v>
      </c>
      <c r="AQ28" s="18">
        <f t="shared" si="273"/>
        <v>0</v>
      </c>
      <c r="AR28" s="18">
        <f t="shared" si="273"/>
        <v>0</v>
      </c>
      <c r="AS28" s="18">
        <f t="shared" si="273"/>
        <v>0</v>
      </c>
      <c r="AT28" s="18">
        <f t="shared" si="273"/>
        <v>0</v>
      </c>
      <c r="AU28" s="18">
        <f t="shared" si="273"/>
        <v>0</v>
      </c>
      <c r="AV28" s="18">
        <f t="shared" si="273"/>
        <v>0</v>
      </c>
      <c r="AW28" s="18">
        <f t="shared" si="273"/>
        <v>0</v>
      </c>
      <c r="AX28" s="18">
        <f t="shared" si="273"/>
        <v>0</v>
      </c>
      <c r="AY28" s="18">
        <f t="shared" si="273"/>
        <v>0</v>
      </c>
      <c r="AZ28" s="18">
        <f t="shared" si="273"/>
        <v>0</v>
      </c>
      <c r="BA28" s="18">
        <f t="shared" si="273"/>
        <v>0</v>
      </c>
      <c r="BB28" s="18">
        <f t="shared" si="273"/>
        <v>0</v>
      </c>
      <c r="BC28" s="18">
        <f t="shared" si="273"/>
        <v>0</v>
      </c>
      <c r="BD28" s="40">
        <f t="shared" si="273"/>
        <v>0</v>
      </c>
      <c r="BF28" s="46">
        <f t="shared" si="273"/>
        <v>0.18914864219116376</v>
      </c>
      <c r="BG28" s="18">
        <f t="shared" si="273"/>
        <v>0</v>
      </c>
      <c r="BH28" s="51">
        <f t="shared" si="273"/>
        <v>0.97001499250374812</v>
      </c>
      <c r="BI28" s="18">
        <f t="shared" si="273"/>
        <v>1.6030174446016031E-2</v>
      </c>
      <c r="BJ28" s="18">
        <f t="shared" si="273"/>
        <v>0</v>
      </c>
      <c r="BK28" s="18">
        <f t="shared" si="273"/>
        <v>1.824817518248175E-2</v>
      </c>
      <c r="BL28" s="18">
        <f t="shared" si="273"/>
        <v>0</v>
      </c>
      <c r="BM28" s="18">
        <f t="shared" si="273"/>
        <v>0</v>
      </c>
      <c r="BN28" s="18">
        <f t="shared" si="273"/>
        <v>0</v>
      </c>
      <c r="BO28" s="18">
        <f t="shared" si="273"/>
        <v>0</v>
      </c>
      <c r="BP28" s="18">
        <f t="shared" si="273"/>
        <v>0.5714285714285714</v>
      </c>
      <c r="BQ28" s="18">
        <f t="shared" si="273"/>
        <v>0</v>
      </c>
      <c r="BR28" s="18">
        <f t="shared" si="273"/>
        <v>0</v>
      </c>
      <c r="BS28" s="18">
        <f t="shared" si="273"/>
        <v>0</v>
      </c>
      <c r="BT28" s="18">
        <f t="shared" si="273"/>
        <v>0.22645761088097582</v>
      </c>
      <c r="BU28" s="18">
        <f t="shared" si="273"/>
        <v>1</v>
      </c>
      <c r="BV28" s="40">
        <f t="shared" si="273"/>
        <v>0.18932041004454356</v>
      </c>
      <c r="BX28" s="46">
        <f t="shared" si="273"/>
        <v>0</v>
      </c>
      <c r="BY28" s="18">
        <f t="shared" si="273"/>
        <v>0</v>
      </c>
      <c r="BZ28" s="51">
        <f t="shared" si="273"/>
        <v>0</v>
      </c>
      <c r="CA28" s="18">
        <f t="shared" si="273"/>
        <v>0</v>
      </c>
      <c r="CB28" s="18">
        <f t="shared" si="273"/>
        <v>0</v>
      </c>
      <c r="CC28" s="18">
        <f t="shared" si="273"/>
        <v>0</v>
      </c>
      <c r="CD28" s="18">
        <f t="shared" si="273"/>
        <v>0</v>
      </c>
      <c r="CE28" s="18">
        <f t="shared" si="273"/>
        <v>0</v>
      </c>
      <c r="CF28" s="18">
        <f t="shared" si="273"/>
        <v>0</v>
      </c>
      <c r="CG28" s="18">
        <f t="shared" si="273"/>
        <v>0</v>
      </c>
      <c r="CH28" s="18">
        <f t="shared" si="263"/>
        <v>0</v>
      </c>
      <c r="CI28" s="18">
        <f t="shared" si="263"/>
        <v>0</v>
      </c>
      <c r="CJ28" s="18">
        <f t="shared" si="263"/>
        <v>0</v>
      </c>
      <c r="CK28" s="18">
        <f t="shared" si="263"/>
        <v>0</v>
      </c>
      <c r="CL28" s="18">
        <f t="shared" si="263"/>
        <v>0</v>
      </c>
      <c r="CM28" s="18">
        <f t="shared" si="263"/>
        <v>0</v>
      </c>
      <c r="CN28" s="40">
        <f t="shared" si="263"/>
        <v>0</v>
      </c>
      <c r="CP28" s="46">
        <f t="shared" si="264"/>
        <v>0</v>
      </c>
      <c r="CQ28" s="18">
        <f t="shared" si="264"/>
        <v>0</v>
      </c>
      <c r="CR28" s="51">
        <f t="shared" si="264"/>
        <v>0</v>
      </c>
      <c r="CS28" s="18">
        <f t="shared" si="264"/>
        <v>0</v>
      </c>
      <c r="CT28" s="18">
        <f t="shared" si="264"/>
        <v>0</v>
      </c>
      <c r="CU28" s="18">
        <f t="shared" si="264"/>
        <v>0</v>
      </c>
      <c r="CV28" s="18">
        <f t="shared" si="264"/>
        <v>0</v>
      </c>
      <c r="CW28" s="18">
        <f t="shared" si="264"/>
        <v>0</v>
      </c>
      <c r="CX28" s="18">
        <f t="shared" si="264"/>
        <v>0</v>
      </c>
      <c r="CY28" s="18">
        <f t="shared" si="264"/>
        <v>0</v>
      </c>
      <c r="CZ28" s="18">
        <f t="shared" si="264"/>
        <v>0</v>
      </c>
      <c r="DA28" s="18">
        <f t="shared" si="264"/>
        <v>0</v>
      </c>
      <c r="DB28" s="18">
        <f t="shared" si="264"/>
        <v>0</v>
      </c>
      <c r="DC28" s="18">
        <f t="shared" si="264"/>
        <v>0</v>
      </c>
      <c r="DD28" s="18">
        <f t="shared" si="264"/>
        <v>0</v>
      </c>
      <c r="DE28" s="18">
        <f t="shared" si="264"/>
        <v>0</v>
      </c>
      <c r="DF28" s="40">
        <f t="shared" si="264"/>
        <v>0</v>
      </c>
      <c r="DH28" s="46">
        <f t="shared" si="264"/>
        <v>0</v>
      </c>
      <c r="DI28" s="18">
        <f t="shared" si="264"/>
        <v>0</v>
      </c>
      <c r="DJ28" s="51">
        <f t="shared" si="264"/>
        <v>0</v>
      </c>
      <c r="DK28" s="18">
        <f t="shared" si="264"/>
        <v>0</v>
      </c>
      <c r="DL28" s="18">
        <f t="shared" si="264"/>
        <v>0</v>
      </c>
      <c r="DM28" s="18">
        <f t="shared" si="264"/>
        <v>0</v>
      </c>
      <c r="DN28" s="18">
        <f t="shared" si="264"/>
        <v>0</v>
      </c>
      <c r="DO28" s="18">
        <f t="shared" si="264"/>
        <v>0</v>
      </c>
      <c r="DP28" s="18">
        <f t="shared" si="264"/>
        <v>0</v>
      </c>
      <c r="DQ28" s="18">
        <f t="shared" si="264"/>
        <v>0</v>
      </c>
      <c r="DR28" s="18">
        <f t="shared" si="264"/>
        <v>0</v>
      </c>
      <c r="DS28" s="18">
        <f t="shared" si="264"/>
        <v>0</v>
      </c>
      <c r="DT28" s="18">
        <f t="shared" si="264"/>
        <v>0</v>
      </c>
      <c r="DU28" s="18">
        <f t="shared" si="264"/>
        <v>0</v>
      </c>
      <c r="DV28" s="18">
        <f t="shared" si="265"/>
        <v>0</v>
      </c>
      <c r="DW28" s="18">
        <f t="shared" si="265"/>
        <v>0</v>
      </c>
      <c r="DX28" s="40">
        <f t="shared" si="265"/>
        <v>0</v>
      </c>
      <c r="DZ28" s="46">
        <f t="shared" si="266"/>
        <v>0</v>
      </c>
      <c r="EA28" s="18">
        <f t="shared" si="266"/>
        <v>0</v>
      </c>
      <c r="EB28" s="51">
        <f t="shared" si="266"/>
        <v>0</v>
      </c>
      <c r="EC28" s="18">
        <f t="shared" si="266"/>
        <v>0</v>
      </c>
      <c r="ED28" s="18">
        <f t="shared" si="266"/>
        <v>0</v>
      </c>
      <c r="EE28" s="18">
        <f t="shared" si="266"/>
        <v>0</v>
      </c>
      <c r="EF28" s="18">
        <f t="shared" si="266"/>
        <v>0</v>
      </c>
      <c r="EG28" s="18">
        <f t="shared" si="266"/>
        <v>0</v>
      </c>
      <c r="EH28" s="18">
        <f t="shared" si="266"/>
        <v>0</v>
      </c>
      <c r="EI28" s="18">
        <f t="shared" si="266"/>
        <v>0</v>
      </c>
      <c r="EJ28" s="18">
        <f t="shared" si="266"/>
        <v>0</v>
      </c>
      <c r="EK28" s="18">
        <f t="shared" si="266"/>
        <v>0</v>
      </c>
      <c r="EL28" s="18">
        <f t="shared" si="266"/>
        <v>0</v>
      </c>
      <c r="EM28" s="18">
        <f t="shared" si="266"/>
        <v>0</v>
      </c>
      <c r="EN28" s="18">
        <f t="shared" si="266"/>
        <v>0</v>
      </c>
      <c r="EO28" s="18">
        <f t="shared" si="266"/>
        <v>0</v>
      </c>
      <c r="EP28" s="40">
        <f t="shared" si="266"/>
        <v>0</v>
      </c>
      <c r="ER28" s="46">
        <f t="shared" si="266"/>
        <v>0</v>
      </c>
      <c r="ES28" s="18">
        <f t="shared" si="266"/>
        <v>0</v>
      </c>
      <c r="ET28" s="51">
        <f t="shared" si="266"/>
        <v>0</v>
      </c>
      <c r="EU28" s="18">
        <f t="shared" si="266"/>
        <v>0</v>
      </c>
      <c r="EV28" s="18">
        <f t="shared" si="266"/>
        <v>0</v>
      </c>
      <c r="EW28" s="18">
        <f t="shared" si="266"/>
        <v>0</v>
      </c>
      <c r="EX28" s="18">
        <f t="shared" si="266"/>
        <v>0</v>
      </c>
      <c r="EY28" s="18">
        <f t="shared" si="266"/>
        <v>0</v>
      </c>
      <c r="EZ28" s="18">
        <f t="shared" si="266"/>
        <v>0</v>
      </c>
      <c r="FA28" s="18">
        <f t="shared" si="266"/>
        <v>0</v>
      </c>
      <c r="FB28" s="18">
        <f t="shared" si="266"/>
        <v>0</v>
      </c>
      <c r="FC28" s="18">
        <f t="shared" si="266"/>
        <v>0</v>
      </c>
      <c r="FD28" s="18">
        <f t="shared" si="266"/>
        <v>0</v>
      </c>
      <c r="FE28" s="18">
        <f t="shared" si="266"/>
        <v>0</v>
      </c>
      <c r="FF28" s="18">
        <f t="shared" si="267"/>
        <v>0</v>
      </c>
      <c r="FG28" s="18">
        <f t="shared" si="267"/>
        <v>0</v>
      </c>
      <c r="FH28" s="40">
        <f t="shared" si="267"/>
        <v>0</v>
      </c>
      <c r="FJ28" s="46">
        <f t="shared" si="268"/>
        <v>0</v>
      </c>
      <c r="FK28" s="18">
        <f t="shared" si="268"/>
        <v>0</v>
      </c>
      <c r="FL28" s="18">
        <f t="shared" si="268"/>
        <v>0</v>
      </c>
      <c r="FM28" s="18">
        <f t="shared" si="268"/>
        <v>0</v>
      </c>
      <c r="FN28" s="18">
        <f t="shared" si="268"/>
        <v>0</v>
      </c>
      <c r="FO28" s="18">
        <f t="shared" si="268"/>
        <v>0</v>
      </c>
      <c r="FP28" s="18">
        <f t="shared" si="268"/>
        <v>0</v>
      </c>
      <c r="FQ28" s="18">
        <f t="shared" si="268"/>
        <v>0</v>
      </c>
      <c r="FR28" s="18">
        <f t="shared" si="268"/>
        <v>0</v>
      </c>
      <c r="FS28" s="18">
        <f t="shared" si="268"/>
        <v>0</v>
      </c>
      <c r="FT28" s="18">
        <f t="shared" si="268"/>
        <v>0</v>
      </c>
      <c r="FU28" s="18">
        <f t="shared" si="268"/>
        <v>0</v>
      </c>
      <c r="FV28" s="18">
        <f t="shared" si="268"/>
        <v>0</v>
      </c>
      <c r="FW28" s="18">
        <f t="shared" si="268"/>
        <v>0</v>
      </c>
      <c r="FX28" s="18">
        <f t="shared" si="268"/>
        <v>0</v>
      </c>
      <c r="FY28" s="18">
        <f t="shared" si="268"/>
        <v>0</v>
      </c>
      <c r="FZ28" s="40">
        <f t="shared" si="268"/>
        <v>0</v>
      </c>
      <c r="GB28" s="46">
        <f t="shared" si="268"/>
        <v>0</v>
      </c>
      <c r="GC28" s="18">
        <f t="shared" si="268"/>
        <v>0</v>
      </c>
      <c r="GD28" s="51">
        <f t="shared" si="268"/>
        <v>0</v>
      </c>
      <c r="GE28" s="18">
        <f t="shared" si="268"/>
        <v>0</v>
      </c>
      <c r="GF28" s="18">
        <f t="shared" si="268"/>
        <v>0</v>
      </c>
      <c r="GG28" s="18">
        <f t="shared" si="268"/>
        <v>0</v>
      </c>
      <c r="GH28" s="18">
        <f t="shared" si="268"/>
        <v>0</v>
      </c>
      <c r="GI28" s="18">
        <f t="shared" si="268"/>
        <v>0</v>
      </c>
      <c r="GJ28" s="18">
        <f t="shared" si="268"/>
        <v>0</v>
      </c>
      <c r="GK28" s="18">
        <f t="shared" si="268"/>
        <v>0</v>
      </c>
      <c r="GL28" s="18">
        <f t="shared" si="268"/>
        <v>0</v>
      </c>
      <c r="GM28" s="18">
        <f t="shared" si="268"/>
        <v>0</v>
      </c>
      <c r="GN28" s="18">
        <f t="shared" si="268"/>
        <v>0</v>
      </c>
      <c r="GO28" s="18">
        <f t="shared" si="268"/>
        <v>0</v>
      </c>
      <c r="GP28" s="18">
        <f t="shared" si="269"/>
        <v>0</v>
      </c>
      <c r="GQ28" s="18">
        <f t="shared" si="269"/>
        <v>0</v>
      </c>
      <c r="GR28" s="40">
        <f t="shared" si="269"/>
        <v>0</v>
      </c>
      <c r="GT28" s="46">
        <f t="shared" si="270"/>
        <v>0</v>
      </c>
      <c r="GU28" s="18">
        <f t="shared" si="270"/>
        <v>0</v>
      </c>
      <c r="GV28" s="51">
        <f t="shared" si="270"/>
        <v>0</v>
      </c>
      <c r="GW28" s="18">
        <f t="shared" si="270"/>
        <v>0</v>
      </c>
      <c r="GX28" s="18">
        <f t="shared" si="270"/>
        <v>0</v>
      </c>
      <c r="GY28" s="18">
        <f t="shared" si="270"/>
        <v>0</v>
      </c>
      <c r="GZ28" s="18">
        <f t="shared" si="270"/>
        <v>0</v>
      </c>
      <c r="HA28" s="18">
        <f t="shared" si="270"/>
        <v>0</v>
      </c>
      <c r="HB28" s="18">
        <f t="shared" si="270"/>
        <v>0</v>
      </c>
      <c r="HC28" s="18">
        <f t="shared" si="270"/>
        <v>0</v>
      </c>
      <c r="HD28" s="18">
        <f t="shared" si="270"/>
        <v>0</v>
      </c>
      <c r="HE28" s="18">
        <f t="shared" si="270"/>
        <v>0</v>
      </c>
      <c r="HF28" s="18">
        <f t="shared" si="270"/>
        <v>0</v>
      </c>
      <c r="HG28" s="18">
        <f t="shared" si="270"/>
        <v>0</v>
      </c>
      <c r="HH28" s="18">
        <f t="shared" si="270"/>
        <v>0</v>
      </c>
      <c r="HI28" s="18">
        <f t="shared" si="270"/>
        <v>0</v>
      </c>
      <c r="HJ28" s="40">
        <f t="shared" si="270"/>
        <v>0</v>
      </c>
      <c r="HL28" s="46">
        <f t="shared" si="270"/>
        <v>0</v>
      </c>
      <c r="HM28" s="18">
        <f t="shared" si="270"/>
        <v>0</v>
      </c>
      <c r="HN28" s="51">
        <f t="shared" si="270"/>
        <v>0</v>
      </c>
      <c r="HO28" s="18">
        <f t="shared" si="270"/>
        <v>0</v>
      </c>
      <c r="HP28" s="18">
        <f t="shared" si="270"/>
        <v>0</v>
      </c>
      <c r="HQ28" s="18">
        <f t="shared" si="270"/>
        <v>0</v>
      </c>
      <c r="HR28" s="18">
        <f t="shared" si="270"/>
        <v>0</v>
      </c>
      <c r="HS28" s="18">
        <f t="shared" si="270"/>
        <v>0</v>
      </c>
      <c r="HT28" s="18">
        <f t="shared" si="270"/>
        <v>0</v>
      </c>
      <c r="HU28" s="18">
        <f t="shared" si="270"/>
        <v>0</v>
      </c>
      <c r="HV28" s="18">
        <f t="shared" si="270"/>
        <v>0</v>
      </c>
      <c r="HW28" s="18">
        <f t="shared" si="270"/>
        <v>0</v>
      </c>
      <c r="HX28" s="18">
        <f t="shared" si="270"/>
        <v>0</v>
      </c>
      <c r="HY28" s="18">
        <f t="shared" si="270"/>
        <v>0</v>
      </c>
      <c r="HZ28" s="18">
        <f t="shared" si="270"/>
        <v>0</v>
      </c>
      <c r="IA28" s="18">
        <f t="shared" si="270"/>
        <v>0</v>
      </c>
      <c r="IB28" s="40">
        <f t="shared" si="270"/>
        <v>0</v>
      </c>
    </row>
    <row r="29" spans="2:236" x14ac:dyDescent="0.35">
      <c r="B29" s="17" t="s">
        <v>70</v>
      </c>
      <c r="D29" s="46">
        <f t="shared" si="272"/>
        <v>0.59307111797176459</v>
      </c>
      <c r="E29" s="18">
        <f t="shared" si="272"/>
        <v>0</v>
      </c>
      <c r="F29" s="18">
        <f t="shared" si="259"/>
        <v>0.16073619631901839</v>
      </c>
      <c r="G29" s="51">
        <f t="shared" si="259"/>
        <v>0.98777195489915837</v>
      </c>
      <c r="H29" s="18">
        <f t="shared" si="259"/>
        <v>0</v>
      </c>
      <c r="I29" s="18">
        <f t="shared" si="259"/>
        <v>5.6852184320766011E-2</v>
      </c>
      <c r="J29" s="18">
        <f t="shared" si="259"/>
        <v>0</v>
      </c>
      <c r="K29" s="18">
        <f t="shared" si="259"/>
        <v>0</v>
      </c>
      <c r="L29" s="18">
        <f t="shared" si="259"/>
        <v>0</v>
      </c>
      <c r="M29" s="18">
        <f t="shared" si="259"/>
        <v>0</v>
      </c>
      <c r="N29" s="18">
        <f t="shared" si="259"/>
        <v>0.1875</v>
      </c>
      <c r="O29" s="50">
        <f t="shared" si="259"/>
        <v>1</v>
      </c>
      <c r="P29" s="18">
        <f t="shared" si="259"/>
        <v>0.33300340186099187</v>
      </c>
      <c r="Q29" s="18">
        <f t="shared" si="259"/>
        <v>0</v>
      </c>
      <c r="R29" s="18">
        <f t="shared" si="259"/>
        <v>0.58859167727565875</v>
      </c>
      <c r="S29" s="18">
        <f t="shared" si="259"/>
        <v>0</v>
      </c>
      <c r="T29" s="40">
        <f t="shared" si="259"/>
        <v>0.59348848321909586</v>
      </c>
      <c r="V29" s="46">
        <f t="shared" si="273"/>
        <v>0.696081060482027</v>
      </c>
      <c r="W29" s="18">
        <f t="shared" si="273"/>
        <v>0</v>
      </c>
      <c r="X29" s="18">
        <f t="shared" si="273"/>
        <v>0</v>
      </c>
      <c r="Y29" s="51">
        <f t="shared" si="273"/>
        <v>1</v>
      </c>
      <c r="Z29" s="18">
        <f>IFERROR(Z8/Z$13,0)</f>
        <v>0</v>
      </c>
      <c r="AA29" s="18">
        <f t="shared" si="273"/>
        <v>3.6745406824146988E-2</v>
      </c>
      <c r="AB29" s="18">
        <f t="shared" si="273"/>
        <v>0</v>
      </c>
      <c r="AC29" s="18">
        <f t="shared" si="273"/>
        <v>0</v>
      </c>
      <c r="AD29" s="18">
        <f t="shared" si="273"/>
        <v>0</v>
      </c>
      <c r="AE29" s="18">
        <f t="shared" si="273"/>
        <v>0</v>
      </c>
      <c r="AF29" s="18">
        <f t="shared" si="273"/>
        <v>0.5</v>
      </c>
      <c r="AG29" s="18">
        <f t="shared" si="273"/>
        <v>1</v>
      </c>
      <c r="AH29" s="18">
        <f t="shared" si="273"/>
        <v>0.77715313125174112</v>
      </c>
      <c r="AI29" s="18">
        <f t="shared" si="273"/>
        <v>0</v>
      </c>
      <c r="AJ29" s="18">
        <f t="shared" si="273"/>
        <v>0.59591159868609878</v>
      </c>
      <c r="AK29" s="18">
        <f t="shared" si="273"/>
        <v>0</v>
      </c>
      <c r="AL29" s="40">
        <f t="shared" si="273"/>
        <v>0.69931039898235237</v>
      </c>
      <c r="AN29" s="46">
        <f t="shared" si="273"/>
        <v>0.69924950223028381</v>
      </c>
      <c r="AO29" s="18">
        <f t="shared" si="273"/>
        <v>0</v>
      </c>
      <c r="AP29" s="18">
        <f t="shared" si="273"/>
        <v>0.78095238095238095</v>
      </c>
      <c r="AQ29" s="51">
        <f t="shared" si="273"/>
        <v>1</v>
      </c>
      <c r="AR29" s="18">
        <f t="shared" si="273"/>
        <v>0</v>
      </c>
      <c r="AS29" s="18">
        <f t="shared" si="273"/>
        <v>0.32258064516129031</v>
      </c>
      <c r="AT29" s="18">
        <f t="shared" si="273"/>
        <v>0</v>
      </c>
      <c r="AU29" s="18">
        <f t="shared" si="273"/>
        <v>0</v>
      </c>
      <c r="AV29" s="18">
        <f t="shared" si="273"/>
        <v>0</v>
      </c>
      <c r="AW29" s="18">
        <f t="shared" si="273"/>
        <v>0</v>
      </c>
      <c r="AX29" s="18">
        <f t="shared" si="273"/>
        <v>0.2</v>
      </c>
      <c r="AY29" s="18">
        <f t="shared" si="273"/>
        <v>1</v>
      </c>
      <c r="AZ29" s="18">
        <f t="shared" si="273"/>
        <v>0.77777777777777768</v>
      </c>
      <c r="BA29" s="18">
        <f t="shared" si="273"/>
        <v>0</v>
      </c>
      <c r="BB29" s="18">
        <f t="shared" si="273"/>
        <v>0.73139633402905502</v>
      </c>
      <c r="BC29" s="18">
        <f t="shared" si="273"/>
        <v>0</v>
      </c>
      <c r="BD29" s="40">
        <f t="shared" si="273"/>
        <v>0.6993017872401639</v>
      </c>
      <c r="BF29" s="46">
        <f t="shared" si="273"/>
        <v>0.57479779187055724</v>
      </c>
      <c r="BG29" s="18">
        <f t="shared" si="273"/>
        <v>0</v>
      </c>
      <c r="BH29" s="18">
        <f t="shared" si="273"/>
        <v>2.8485757121439279E-2</v>
      </c>
      <c r="BI29" s="51">
        <f t="shared" si="273"/>
        <v>0.98396982555398393</v>
      </c>
      <c r="BJ29" s="18">
        <f t="shared" si="273"/>
        <v>0</v>
      </c>
      <c r="BK29" s="18">
        <f t="shared" si="273"/>
        <v>0.12773722627737225</v>
      </c>
      <c r="BL29" s="18">
        <f t="shared" si="273"/>
        <v>0</v>
      </c>
      <c r="BM29" s="18">
        <f t="shared" si="273"/>
        <v>0</v>
      </c>
      <c r="BN29" s="18">
        <f t="shared" si="273"/>
        <v>0</v>
      </c>
      <c r="BO29" s="18">
        <f t="shared" si="273"/>
        <v>0</v>
      </c>
      <c r="BP29" s="18">
        <f t="shared" si="273"/>
        <v>0.14285714285714285</v>
      </c>
      <c r="BQ29" s="18">
        <f t="shared" si="273"/>
        <v>1</v>
      </c>
      <c r="BR29" s="18">
        <f t="shared" si="273"/>
        <v>0.125</v>
      </c>
      <c r="BS29" s="18">
        <f t="shared" si="273"/>
        <v>0</v>
      </c>
      <c r="BT29" s="18">
        <f t="shared" si="273"/>
        <v>0.50580885428613831</v>
      </c>
      <c r="BU29" s="18">
        <f t="shared" si="273"/>
        <v>0</v>
      </c>
      <c r="BV29" s="40">
        <f t="shared" si="273"/>
        <v>0.57470592234030515</v>
      </c>
      <c r="BX29" s="46">
        <f t="shared" si="273"/>
        <v>0.51056322644589058</v>
      </c>
      <c r="BY29" s="18">
        <f t="shared" si="273"/>
        <v>0</v>
      </c>
      <c r="BZ29" s="18">
        <f t="shared" si="273"/>
        <v>0.71428571428571419</v>
      </c>
      <c r="CA29" s="51">
        <f t="shared" si="273"/>
        <v>0.97669376693766941</v>
      </c>
      <c r="CB29" s="18">
        <f t="shared" si="273"/>
        <v>0</v>
      </c>
      <c r="CC29" s="18">
        <f t="shared" si="273"/>
        <v>3.654822335025381E-2</v>
      </c>
      <c r="CD29" s="18">
        <f t="shared" si="273"/>
        <v>0</v>
      </c>
      <c r="CE29" s="18">
        <f t="shared" si="273"/>
        <v>0</v>
      </c>
      <c r="CF29" s="18">
        <f t="shared" si="273"/>
        <v>0</v>
      </c>
      <c r="CG29" s="18">
        <f t="shared" si="273"/>
        <v>0</v>
      </c>
      <c r="CH29" s="18">
        <f t="shared" si="263"/>
        <v>0</v>
      </c>
      <c r="CI29" s="18">
        <f t="shared" si="263"/>
        <v>1</v>
      </c>
      <c r="CJ29" s="18">
        <f t="shared" si="263"/>
        <v>0</v>
      </c>
      <c r="CK29" s="18">
        <f t="shared" si="263"/>
        <v>0</v>
      </c>
      <c r="CL29" s="18">
        <f t="shared" si="263"/>
        <v>0.62554285488272754</v>
      </c>
      <c r="CM29" s="18">
        <f t="shared" si="263"/>
        <v>0</v>
      </c>
      <c r="CN29" s="40">
        <f t="shared" si="263"/>
        <v>0.51019299487369296</v>
      </c>
      <c r="CP29" s="46">
        <f t="shared" si="264"/>
        <v>0</v>
      </c>
      <c r="CQ29" s="18">
        <f t="shared" si="264"/>
        <v>0</v>
      </c>
      <c r="CR29" s="18">
        <f t="shared" si="264"/>
        <v>0</v>
      </c>
      <c r="CS29" s="51">
        <f t="shared" si="264"/>
        <v>0</v>
      </c>
      <c r="CT29" s="18">
        <f t="shared" si="264"/>
        <v>0</v>
      </c>
      <c r="CU29" s="18">
        <f t="shared" si="264"/>
        <v>0</v>
      </c>
      <c r="CV29" s="18">
        <f t="shared" si="264"/>
        <v>0</v>
      </c>
      <c r="CW29" s="18">
        <f t="shared" si="264"/>
        <v>0</v>
      </c>
      <c r="CX29" s="18">
        <f t="shared" si="264"/>
        <v>0</v>
      </c>
      <c r="CY29" s="18">
        <f t="shared" si="264"/>
        <v>0</v>
      </c>
      <c r="CZ29" s="18">
        <f t="shared" si="264"/>
        <v>0</v>
      </c>
      <c r="DA29" s="18">
        <f t="shared" si="264"/>
        <v>0</v>
      </c>
      <c r="DB29" s="18">
        <f t="shared" si="264"/>
        <v>0</v>
      </c>
      <c r="DC29" s="18">
        <f t="shared" si="264"/>
        <v>0</v>
      </c>
      <c r="DD29" s="18">
        <f t="shared" si="264"/>
        <v>0</v>
      </c>
      <c r="DE29" s="18">
        <f t="shared" si="264"/>
        <v>0</v>
      </c>
      <c r="DF29" s="40">
        <f t="shared" si="264"/>
        <v>0</v>
      </c>
      <c r="DH29" s="46">
        <f t="shared" si="264"/>
        <v>0</v>
      </c>
      <c r="DI29" s="18">
        <f t="shared" si="264"/>
        <v>0</v>
      </c>
      <c r="DJ29" s="18">
        <f t="shared" si="264"/>
        <v>0</v>
      </c>
      <c r="DK29" s="51">
        <f t="shared" si="264"/>
        <v>0</v>
      </c>
      <c r="DL29" s="18">
        <f t="shared" si="264"/>
        <v>0</v>
      </c>
      <c r="DM29" s="18">
        <f t="shared" si="264"/>
        <v>0</v>
      </c>
      <c r="DN29" s="18">
        <f t="shared" si="264"/>
        <v>0</v>
      </c>
      <c r="DO29" s="18">
        <f t="shared" si="264"/>
        <v>0</v>
      </c>
      <c r="DP29" s="18">
        <f t="shared" si="264"/>
        <v>0</v>
      </c>
      <c r="DQ29" s="18">
        <f t="shared" si="264"/>
        <v>0</v>
      </c>
      <c r="DR29" s="18">
        <f t="shared" si="264"/>
        <v>0</v>
      </c>
      <c r="DS29" s="18">
        <f t="shared" si="264"/>
        <v>0</v>
      </c>
      <c r="DT29" s="18">
        <f t="shared" si="264"/>
        <v>0</v>
      </c>
      <c r="DU29" s="18">
        <f t="shared" si="264"/>
        <v>0</v>
      </c>
      <c r="DV29" s="18">
        <f t="shared" si="265"/>
        <v>0</v>
      </c>
      <c r="DW29" s="18">
        <f t="shared" si="265"/>
        <v>0</v>
      </c>
      <c r="DX29" s="40">
        <f t="shared" si="265"/>
        <v>0</v>
      </c>
      <c r="DZ29" s="46">
        <f t="shared" si="266"/>
        <v>0</v>
      </c>
      <c r="EA29" s="18">
        <f t="shared" si="266"/>
        <v>0</v>
      </c>
      <c r="EB29" s="18">
        <f t="shared" si="266"/>
        <v>0</v>
      </c>
      <c r="EC29" s="51">
        <f t="shared" si="266"/>
        <v>0</v>
      </c>
      <c r="ED29" s="18">
        <f t="shared" si="266"/>
        <v>0</v>
      </c>
      <c r="EE29" s="18">
        <f t="shared" si="266"/>
        <v>0</v>
      </c>
      <c r="EF29" s="18">
        <f t="shared" si="266"/>
        <v>0</v>
      </c>
      <c r="EG29" s="18">
        <f t="shared" si="266"/>
        <v>0</v>
      </c>
      <c r="EH29" s="18">
        <f t="shared" si="266"/>
        <v>0</v>
      </c>
      <c r="EI29" s="18">
        <f t="shared" si="266"/>
        <v>0</v>
      </c>
      <c r="EJ29" s="18">
        <f t="shared" si="266"/>
        <v>0</v>
      </c>
      <c r="EK29" s="18">
        <f t="shared" si="266"/>
        <v>0</v>
      </c>
      <c r="EL29" s="18">
        <f t="shared" si="266"/>
        <v>0</v>
      </c>
      <c r="EM29" s="18">
        <f t="shared" si="266"/>
        <v>0</v>
      </c>
      <c r="EN29" s="18">
        <f t="shared" si="266"/>
        <v>0</v>
      </c>
      <c r="EO29" s="18">
        <f t="shared" si="266"/>
        <v>0</v>
      </c>
      <c r="EP29" s="40">
        <f t="shared" si="266"/>
        <v>0</v>
      </c>
      <c r="ER29" s="46">
        <f t="shared" si="266"/>
        <v>0</v>
      </c>
      <c r="ES29" s="18">
        <f t="shared" si="266"/>
        <v>0</v>
      </c>
      <c r="ET29" s="18">
        <f t="shared" si="266"/>
        <v>0</v>
      </c>
      <c r="EU29" s="51">
        <f t="shared" si="266"/>
        <v>0</v>
      </c>
      <c r="EV29" s="18">
        <f t="shared" si="266"/>
        <v>0</v>
      </c>
      <c r="EW29" s="18">
        <f t="shared" si="266"/>
        <v>0</v>
      </c>
      <c r="EX29" s="18">
        <f t="shared" si="266"/>
        <v>0</v>
      </c>
      <c r="EY29" s="18">
        <f t="shared" si="266"/>
        <v>0</v>
      </c>
      <c r="EZ29" s="18">
        <f t="shared" si="266"/>
        <v>0</v>
      </c>
      <c r="FA29" s="18">
        <f t="shared" si="266"/>
        <v>0</v>
      </c>
      <c r="FB29" s="18">
        <f t="shared" si="266"/>
        <v>0</v>
      </c>
      <c r="FC29" s="18">
        <f t="shared" si="266"/>
        <v>0</v>
      </c>
      <c r="FD29" s="18">
        <f t="shared" si="266"/>
        <v>0</v>
      </c>
      <c r="FE29" s="18">
        <f t="shared" si="266"/>
        <v>0</v>
      </c>
      <c r="FF29" s="18">
        <f t="shared" si="267"/>
        <v>0</v>
      </c>
      <c r="FG29" s="18">
        <f t="shared" si="267"/>
        <v>0</v>
      </c>
      <c r="FH29" s="40">
        <f t="shared" si="267"/>
        <v>0</v>
      </c>
      <c r="FJ29" s="46">
        <f t="shared" si="268"/>
        <v>0</v>
      </c>
      <c r="FK29" s="18">
        <f t="shared" si="268"/>
        <v>0</v>
      </c>
      <c r="FL29" s="18">
        <f t="shared" si="268"/>
        <v>0</v>
      </c>
      <c r="FM29" s="18">
        <f t="shared" si="268"/>
        <v>0</v>
      </c>
      <c r="FN29" s="18">
        <f t="shared" si="268"/>
        <v>0</v>
      </c>
      <c r="FO29" s="18">
        <f t="shared" si="268"/>
        <v>0</v>
      </c>
      <c r="FP29" s="18">
        <f t="shared" si="268"/>
        <v>0</v>
      </c>
      <c r="FQ29" s="18">
        <f t="shared" si="268"/>
        <v>0</v>
      </c>
      <c r="FR29" s="18">
        <f t="shared" si="268"/>
        <v>0</v>
      </c>
      <c r="FS29" s="18">
        <f t="shared" si="268"/>
        <v>0</v>
      </c>
      <c r="FT29" s="18">
        <f t="shared" si="268"/>
        <v>0</v>
      </c>
      <c r="FU29" s="18">
        <f t="shared" si="268"/>
        <v>0</v>
      </c>
      <c r="FV29" s="18">
        <f t="shared" si="268"/>
        <v>0</v>
      </c>
      <c r="FW29" s="18">
        <f t="shared" si="268"/>
        <v>0</v>
      </c>
      <c r="FX29" s="18">
        <f t="shared" si="268"/>
        <v>0</v>
      </c>
      <c r="FY29" s="18">
        <f t="shared" si="268"/>
        <v>0</v>
      </c>
      <c r="FZ29" s="40">
        <f t="shared" si="268"/>
        <v>0</v>
      </c>
      <c r="GB29" s="46">
        <f t="shared" si="268"/>
        <v>0</v>
      </c>
      <c r="GC29" s="18">
        <f t="shared" si="268"/>
        <v>0</v>
      </c>
      <c r="GD29" s="18">
        <f t="shared" si="268"/>
        <v>0</v>
      </c>
      <c r="GE29" s="51">
        <f t="shared" si="268"/>
        <v>0</v>
      </c>
      <c r="GF29" s="18">
        <f t="shared" si="268"/>
        <v>0</v>
      </c>
      <c r="GG29" s="18">
        <f t="shared" si="268"/>
        <v>0</v>
      </c>
      <c r="GH29" s="18">
        <f t="shared" si="268"/>
        <v>0</v>
      </c>
      <c r="GI29" s="18">
        <f t="shared" si="268"/>
        <v>0</v>
      </c>
      <c r="GJ29" s="18">
        <f t="shared" si="268"/>
        <v>0</v>
      </c>
      <c r="GK29" s="18">
        <f t="shared" si="268"/>
        <v>0</v>
      </c>
      <c r="GL29" s="18">
        <f t="shared" si="268"/>
        <v>0</v>
      </c>
      <c r="GM29" s="18">
        <f t="shared" si="268"/>
        <v>0</v>
      </c>
      <c r="GN29" s="18">
        <f t="shared" si="268"/>
        <v>0</v>
      </c>
      <c r="GO29" s="18">
        <f t="shared" si="268"/>
        <v>0</v>
      </c>
      <c r="GP29" s="18">
        <f t="shared" si="269"/>
        <v>0</v>
      </c>
      <c r="GQ29" s="18">
        <f t="shared" si="269"/>
        <v>0</v>
      </c>
      <c r="GR29" s="40">
        <f t="shared" si="269"/>
        <v>0</v>
      </c>
      <c r="GT29" s="46">
        <f t="shared" si="270"/>
        <v>0</v>
      </c>
      <c r="GU29" s="18">
        <f t="shared" si="270"/>
        <v>0</v>
      </c>
      <c r="GV29" s="18">
        <f t="shared" si="270"/>
        <v>0</v>
      </c>
      <c r="GW29" s="51">
        <f t="shared" si="270"/>
        <v>0</v>
      </c>
      <c r="GX29" s="18">
        <f t="shared" si="270"/>
        <v>0</v>
      </c>
      <c r="GY29" s="18">
        <f t="shared" si="270"/>
        <v>0</v>
      </c>
      <c r="GZ29" s="18">
        <f t="shared" si="270"/>
        <v>0</v>
      </c>
      <c r="HA29" s="18">
        <f t="shared" si="270"/>
        <v>0</v>
      </c>
      <c r="HB29" s="18">
        <f t="shared" si="270"/>
        <v>0</v>
      </c>
      <c r="HC29" s="18">
        <f t="shared" si="270"/>
        <v>0</v>
      </c>
      <c r="HD29" s="18">
        <f t="shared" si="270"/>
        <v>0</v>
      </c>
      <c r="HE29" s="18">
        <f t="shared" si="270"/>
        <v>0</v>
      </c>
      <c r="HF29" s="18">
        <f t="shared" si="270"/>
        <v>0</v>
      </c>
      <c r="HG29" s="18">
        <f t="shared" si="270"/>
        <v>0</v>
      </c>
      <c r="HH29" s="18">
        <f t="shared" si="270"/>
        <v>0</v>
      </c>
      <c r="HI29" s="18">
        <f t="shared" si="270"/>
        <v>0</v>
      </c>
      <c r="HJ29" s="40">
        <f t="shared" si="270"/>
        <v>0</v>
      </c>
      <c r="HL29" s="46">
        <f t="shared" si="270"/>
        <v>0</v>
      </c>
      <c r="HM29" s="18">
        <f t="shared" si="270"/>
        <v>0</v>
      </c>
      <c r="HN29" s="18">
        <f t="shared" si="270"/>
        <v>0</v>
      </c>
      <c r="HO29" s="51">
        <f t="shared" si="270"/>
        <v>0</v>
      </c>
      <c r="HP29" s="18">
        <f t="shared" si="270"/>
        <v>0</v>
      </c>
      <c r="HQ29" s="18">
        <f t="shared" si="270"/>
        <v>0</v>
      </c>
      <c r="HR29" s="18">
        <f t="shared" si="270"/>
        <v>0</v>
      </c>
      <c r="HS29" s="18">
        <f t="shared" si="270"/>
        <v>0</v>
      </c>
      <c r="HT29" s="18">
        <f t="shared" si="270"/>
        <v>0</v>
      </c>
      <c r="HU29" s="18">
        <f t="shared" si="270"/>
        <v>0</v>
      </c>
      <c r="HV29" s="18">
        <f t="shared" si="270"/>
        <v>0</v>
      </c>
      <c r="HW29" s="18">
        <f t="shared" si="270"/>
        <v>0</v>
      </c>
      <c r="HX29" s="18">
        <f t="shared" si="270"/>
        <v>0</v>
      </c>
      <c r="HY29" s="18">
        <f t="shared" si="270"/>
        <v>0</v>
      </c>
      <c r="HZ29" s="18">
        <f t="shared" si="270"/>
        <v>0</v>
      </c>
      <c r="IA29" s="18">
        <f t="shared" si="270"/>
        <v>0</v>
      </c>
      <c r="IB29" s="40">
        <f t="shared" si="270"/>
        <v>0</v>
      </c>
    </row>
    <row r="30" spans="2:236" x14ac:dyDescent="0.35">
      <c r="B30" s="17" t="s">
        <v>71</v>
      </c>
      <c r="D30" s="46">
        <f t="shared" si="272"/>
        <v>0.13847586803727474</v>
      </c>
      <c r="E30" s="18">
        <f t="shared" si="272"/>
        <v>0</v>
      </c>
      <c r="F30" s="18">
        <f t="shared" si="259"/>
        <v>0</v>
      </c>
      <c r="G30" s="18">
        <f t="shared" si="259"/>
        <v>0</v>
      </c>
      <c r="H30" s="18">
        <f t="shared" si="259"/>
        <v>0</v>
      </c>
      <c r="I30" s="51">
        <f t="shared" si="259"/>
        <v>0.90065828845002993</v>
      </c>
      <c r="J30" s="18">
        <f t="shared" si="259"/>
        <v>0</v>
      </c>
      <c r="K30" s="18">
        <f t="shared" si="259"/>
        <v>0</v>
      </c>
      <c r="L30" s="18">
        <f t="shared" si="259"/>
        <v>0</v>
      </c>
      <c r="M30" s="18">
        <f t="shared" si="259"/>
        <v>0</v>
      </c>
      <c r="N30" s="18">
        <f t="shared" si="259"/>
        <v>0</v>
      </c>
      <c r="O30" s="18">
        <f t="shared" si="259"/>
        <v>0</v>
      </c>
      <c r="P30" s="50">
        <f t="shared" si="259"/>
        <v>0.58852641012265428</v>
      </c>
      <c r="Q30" s="18">
        <f t="shared" si="259"/>
        <v>0</v>
      </c>
      <c r="R30" s="18">
        <f t="shared" si="259"/>
        <v>0.11164255968007596</v>
      </c>
      <c r="S30" s="18">
        <f t="shared" si="259"/>
        <v>0</v>
      </c>
      <c r="T30" s="40">
        <f t="shared" si="259"/>
        <v>0.13880589352204936</v>
      </c>
      <c r="V30" s="46">
        <f t="shared" si="273"/>
        <v>0.14053581610934529</v>
      </c>
      <c r="W30" s="18">
        <f t="shared" si="273"/>
        <v>0</v>
      </c>
      <c r="X30" s="18">
        <f t="shared" si="273"/>
        <v>0</v>
      </c>
      <c r="Y30" s="18">
        <f t="shared" si="273"/>
        <v>0</v>
      </c>
      <c r="Z30" s="18">
        <f t="shared" si="273"/>
        <v>0</v>
      </c>
      <c r="AA30" s="51">
        <f t="shared" si="273"/>
        <v>0.89763779527559051</v>
      </c>
      <c r="AB30" s="18">
        <f t="shared" si="273"/>
        <v>0</v>
      </c>
      <c r="AC30" s="18">
        <f t="shared" si="273"/>
        <v>0</v>
      </c>
      <c r="AD30" s="18">
        <f t="shared" si="273"/>
        <v>0</v>
      </c>
      <c r="AE30" s="18">
        <f t="shared" si="273"/>
        <v>0</v>
      </c>
      <c r="AF30" s="18">
        <f t="shared" si="273"/>
        <v>0</v>
      </c>
      <c r="AG30" s="18">
        <f t="shared" si="273"/>
        <v>0</v>
      </c>
      <c r="AH30" s="18">
        <f t="shared" si="273"/>
        <v>0.22284686874825901</v>
      </c>
      <c r="AI30" s="18">
        <f t="shared" si="273"/>
        <v>0</v>
      </c>
      <c r="AJ30" s="18">
        <f t="shared" si="273"/>
        <v>0.14658077409616141</v>
      </c>
      <c r="AK30" s="18">
        <f t="shared" si="273"/>
        <v>0</v>
      </c>
      <c r="AL30" s="40">
        <f t="shared" si="273"/>
        <v>0.14126793690707656</v>
      </c>
      <c r="AN30" s="46">
        <f t="shared" si="273"/>
        <v>0</v>
      </c>
      <c r="AO30" s="18">
        <f t="shared" si="273"/>
        <v>0</v>
      </c>
      <c r="AP30" s="18">
        <f t="shared" si="273"/>
        <v>0</v>
      </c>
      <c r="AQ30" s="18">
        <f t="shared" si="273"/>
        <v>0</v>
      </c>
      <c r="AR30" s="18">
        <f t="shared" si="273"/>
        <v>0</v>
      </c>
      <c r="AS30" s="51">
        <f t="shared" si="273"/>
        <v>0</v>
      </c>
      <c r="AT30" s="18">
        <f t="shared" si="273"/>
        <v>0</v>
      </c>
      <c r="AU30" s="18">
        <f t="shared" si="273"/>
        <v>0</v>
      </c>
      <c r="AV30" s="18">
        <f t="shared" si="273"/>
        <v>0</v>
      </c>
      <c r="AW30" s="18">
        <f t="shared" si="273"/>
        <v>0</v>
      </c>
      <c r="AX30" s="18">
        <f t="shared" si="273"/>
        <v>0</v>
      </c>
      <c r="AY30" s="18">
        <f t="shared" si="273"/>
        <v>0</v>
      </c>
      <c r="AZ30" s="18">
        <f t="shared" si="273"/>
        <v>0</v>
      </c>
      <c r="BA30" s="18">
        <f t="shared" si="273"/>
        <v>0</v>
      </c>
      <c r="BB30" s="18">
        <f t="shared" si="273"/>
        <v>0</v>
      </c>
      <c r="BC30" s="18">
        <f t="shared" si="273"/>
        <v>0</v>
      </c>
      <c r="BD30" s="40">
        <f t="shared" si="273"/>
        <v>0</v>
      </c>
      <c r="BF30" s="46">
        <f t="shared" si="273"/>
        <v>6.5607207814577864E-2</v>
      </c>
      <c r="BG30" s="18">
        <f t="shared" si="273"/>
        <v>0</v>
      </c>
      <c r="BH30" s="18">
        <f t="shared" si="273"/>
        <v>0</v>
      </c>
      <c r="BI30" s="18">
        <f t="shared" si="273"/>
        <v>0</v>
      </c>
      <c r="BJ30" s="18">
        <f t="shared" si="273"/>
        <v>0</v>
      </c>
      <c r="BK30" s="51">
        <f t="shared" si="273"/>
        <v>0.82481751824817529</v>
      </c>
      <c r="BL30" s="18">
        <f t="shared" si="273"/>
        <v>0</v>
      </c>
      <c r="BM30" s="18">
        <f t="shared" si="273"/>
        <v>0</v>
      </c>
      <c r="BN30" s="18">
        <f t="shared" si="273"/>
        <v>0</v>
      </c>
      <c r="BO30" s="18">
        <f t="shared" si="273"/>
        <v>0</v>
      </c>
      <c r="BP30" s="18">
        <f t="shared" si="273"/>
        <v>0</v>
      </c>
      <c r="BQ30" s="18">
        <f t="shared" si="273"/>
        <v>0</v>
      </c>
      <c r="BR30" s="18">
        <f t="shared" si="273"/>
        <v>0.875</v>
      </c>
      <c r="BS30" s="18">
        <f t="shared" si="273"/>
        <v>0</v>
      </c>
      <c r="BT30" s="18">
        <f t="shared" si="273"/>
        <v>5.0181484529961809E-2</v>
      </c>
      <c r="BU30" s="18">
        <f t="shared" si="273"/>
        <v>0</v>
      </c>
      <c r="BV30" s="40">
        <f t="shared" si="273"/>
        <v>6.5658781236893851E-2</v>
      </c>
      <c r="BX30" s="46">
        <f t="shared" si="273"/>
        <v>0.25339174845340479</v>
      </c>
      <c r="BY30" s="18">
        <f t="shared" si="273"/>
        <v>0</v>
      </c>
      <c r="BZ30" s="18">
        <f t="shared" si="273"/>
        <v>0</v>
      </c>
      <c r="CA30" s="18">
        <f t="shared" si="273"/>
        <v>0</v>
      </c>
      <c r="CB30" s="18">
        <f t="shared" si="273"/>
        <v>0</v>
      </c>
      <c r="CC30" s="51">
        <f t="shared" si="273"/>
        <v>0.95126903553299491</v>
      </c>
      <c r="CD30" s="18">
        <f t="shared" si="273"/>
        <v>0</v>
      </c>
      <c r="CE30" s="18">
        <f t="shared" si="273"/>
        <v>0</v>
      </c>
      <c r="CF30" s="18">
        <f t="shared" si="273"/>
        <v>0</v>
      </c>
      <c r="CG30" s="18">
        <f t="shared" si="273"/>
        <v>0</v>
      </c>
      <c r="CH30" s="18">
        <f t="shared" si="263"/>
        <v>0</v>
      </c>
      <c r="CI30" s="18">
        <f t="shared" si="263"/>
        <v>0</v>
      </c>
      <c r="CJ30" s="18">
        <f t="shared" si="263"/>
        <v>0.77777777777777779</v>
      </c>
      <c r="CK30" s="18">
        <f t="shared" si="263"/>
        <v>0</v>
      </c>
      <c r="CL30" s="18">
        <f t="shared" si="263"/>
        <v>0.20044298540521296</v>
      </c>
      <c r="CM30" s="18">
        <f t="shared" si="263"/>
        <v>0</v>
      </c>
      <c r="CN30" s="40">
        <f t="shared" si="263"/>
        <v>0.25367755776396089</v>
      </c>
      <c r="CP30" s="46">
        <f t="shared" si="264"/>
        <v>0</v>
      </c>
      <c r="CQ30" s="18">
        <f t="shared" si="264"/>
        <v>0</v>
      </c>
      <c r="CR30" s="18">
        <f t="shared" si="264"/>
        <v>0</v>
      </c>
      <c r="CS30" s="18">
        <f t="shared" si="264"/>
        <v>0</v>
      </c>
      <c r="CT30" s="18">
        <f t="shared" si="264"/>
        <v>0</v>
      </c>
      <c r="CU30" s="51">
        <f t="shared" si="264"/>
        <v>0</v>
      </c>
      <c r="CV30" s="18">
        <f t="shared" si="264"/>
        <v>0</v>
      </c>
      <c r="CW30" s="18">
        <f t="shared" si="264"/>
        <v>0</v>
      </c>
      <c r="CX30" s="18">
        <f t="shared" si="264"/>
        <v>0</v>
      </c>
      <c r="CY30" s="18">
        <f t="shared" si="264"/>
        <v>0</v>
      </c>
      <c r="CZ30" s="18">
        <f t="shared" si="264"/>
        <v>0</v>
      </c>
      <c r="DA30" s="18">
        <f t="shared" si="264"/>
        <v>0</v>
      </c>
      <c r="DB30" s="18">
        <f t="shared" si="264"/>
        <v>0</v>
      </c>
      <c r="DC30" s="18">
        <f t="shared" si="264"/>
        <v>0</v>
      </c>
      <c r="DD30" s="18">
        <f t="shared" si="264"/>
        <v>0</v>
      </c>
      <c r="DE30" s="18">
        <f t="shared" si="264"/>
        <v>0</v>
      </c>
      <c r="DF30" s="40">
        <f t="shared" si="264"/>
        <v>0</v>
      </c>
      <c r="DH30" s="46">
        <f t="shared" si="264"/>
        <v>0</v>
      </c>
      <c r="DI30" s="18">
        <f t="shared" si="264"/>
        <v>0</v>
      </c>
      <c r="DJ30" s="18">
        <f t="shared" si="264"/>
        <v>0</v>
      </c>
      <c r="DK30" s="18">
        <f t="shared" si="264"/>
        <v>0</v>
      </c>
      <c r="DL30" s="18">
        <f t="shared" si="264"/>
        <v>0</v>
      </c>
      <c r="DM30" s="51">
        <f t="shared" si="264"/>
        <v>0</v>
      </c>
      <c r="DN30" s="18">
        <f t="shared" si="264"/>
        <v>0</v>
      </c>
      <c r="DO30" s="18">
        <f t="shared" si="264"/>
        <v>0</v>
      </c>
      <c r="DP30" s="18">
        <f t="shared" si="264"/>
        <v>0</v>
      </c>
      <c r="DQ30" s="18">
        <f t="shared" si="264"/>
        <v>0</v>
      </c>
      <c r="DR30" s="18">
        <f t="shared" si="264"/>
        <v>0</v>
      </c>
      <c r="DS30" s="18">
        <f t="shared" si="264"/>
        <v>0</v>
      </c>
      <c r="DT30" s="18">
        <f t="shared" si="264"/>
        <v>0</v>
      </c>
      <c r="DU30" s="18">
        <f t="shared" si="264"/>
        <v>0</v>
      </c>
      <c r="DV30" s="18">
        <f t="shared" si="265"/>
        <v>0</v>
      </c>
      <c r="DW30" s="18">
        <f t="shared" si="265"/>
        <v>0</v>
      </c>
      <c r="DX30" s="40">
        <f t="shared" si="265"/>
        <v>0</v>
      </c>
      <c r="DZ30" s="46">
        <f t="shared" si="266"/>
        <v>0</v>
      </c>
      <c r="EA30" s="18">
        <f t="shared" si="266"/>
        <v>0</v>
      </c>
      <c r="EB30" s="18">
        <f t="shared" si="266"/>
        <v>0</v>
      </c>
      <c r="EC30" s="18">
        <f t="shared" si="266"/>
        <v>0</v>
      </c>
      <c r="ED30" s="18">
        <f t="shared" si="266"/>
        <v>0</v>
      </c>
      <c r="EE30" s="51">
        <f t="shared" si="266"/>
        <v>0</v>
      </c>
      <c r="EF30" s="18">
        <f t="shared" si="266"/>
        <v>0</v>
      </c>
      <c r="EG30" s="18">
        <f t="shared" si="266"/>
        <v>0</v>
      </c>
      <c r="EH30" s="18">
        <f t="shared" si="266"/>
        <v>0</v>
      </c>
      <c r="EI30" s="18">
        <f t="shared" si="266"/>
        <v>0</v>
      </c>
      <c r="EJ30" s="18">
        <f t="shared" si="266"/>
        <v>0</v>
      </c>
      <c r="EK30" s="18">
        <f t="shared" si="266"/>
        <v>0</v>
      </c>
      <c r="EL30" s="18">
        <f t="shared" si="266"/>
        <v>0</v>
      </c>
      <c r="EM30" s="18">
        <f t="shared" si="266"/>
        <v>0</v>
      </c>
      <c r="EN30" s="18">
        <f t="shared" si="266"/>
        <v>0</v>
      </c>
      <c r="EO30" s="18">
        <f t="shared" si="266"/>
        <v>0</v>
      </c>
      <c r="EP30" s="40">
        <f t="shared" si="266"/>
        <v>0</v>
      </c>
      <c r="ER30" s="46">
        <f t="shared" si="266"/>
        <v>0</v>
      </c>
      <c r="ES30" s="18">
        <f t="shared" si="266"/>
        <v>0</v>
      </c>
      <c r="ET30" s="18">
        <f t="shared" si="266"/>
        <v>0</v>
      </c>
      <c r="EU30" s="18">
        <f t="shared" si="266"/>
        <v>0</v>
      </c>
      <c r="EV30" s="18">
        <f t="shared" si="266"/>
        <v>0</v>
      </c>
      <c r="EW30" s="51">
        <f t="shared" si="266"/>
        <v>0</v>
      </c>
      <c r="EX30" s="18">
        <f t="shared" si="266"/>
        <v>0</v>
      </c>
      <c r="EY30" s="18">
        <f t="shared" si="266"/>
        <v>0</v>
      </c>
      <c r="EZ30" s="18">
        <f t="shared" si="266"/>
        <v>0</v>
      </c>
      <c r="FA30" s="18">
        <f t="shared" si="266"/>
        <v>0</v>
      </c>
      <c r="FB30" s="18">
        <f t="shared" si="266"/>
        <v>0</v>
      </c>
      <c r="FC30" s="18">
        <f t="shared" si="266"/>
        <v>0</v>
      </c>
      <c r="FD30" s="18">
        <f t="shared" si="266"/>
        <v>0</v>
      </c>
      <c r="FE30" s="18">
        <f t="shared" si="266"/>
        <v>0</v>
      </c>
      <c r="FF30" s="18">
        <f t="shared" si="267"/>
        <v>0</v>
      </c>
      <c r="FG30" s="18">
        <f t="shared" si="267"/>
        <v>0</v>
      </c>
      <c r="FH30" s="40">
        <f t="shared" si="267"/>
        <v>0</v>
      </c>
      <c r="FJ30" s="46">
        <f t="shared" si="268"/>
        <v>0</v>
      </c>
      <c r="FK30" s="18">
        <f t="shared" si="268"/>
        <v>0</v>
      </c>
      <c r="FL30" s="18">
        <f t="shared" si="268"/>
        <v>0</v>
      </c>
      <c r="FM30" s="18">
        <f t="shared" si="268"/>
        <v>0</v>
      </c>
      <c r="FN30" s="18">
        <f t="shared" si="268"/>
        <v>0</v>
      </c>
      <c r="FO30" s="18">
        <f t="shared" si="268"/>
        <v>0</v>
      </c>
      <c r="FP30" s="18">
        <f t="shared" si="268"/>
        <v>0</v>
      </c>
      <c r="FQ30" s="18">
        <f t="shared" si="268"/>
        <v>0</v>
      </c>
      <c r="FR30" s="18">
        <f t="shared" si="268"/>
        <v>0</v>
      </c>
      <c r="FS30" s="18">
        <f t="shared" si="268"/>
        <v>0</v>
      </c>
      <c r="FT30" s="18">
        <f t="shared" si="268"/>
        <v>0</v>
      </c>
      <c r="FU30" s="18">
        <f t="shared" si="268"/>
        <v>0</v>
      </c>
      <c r="FV30" s="18">
        <f t="shared" si="268"/>
        <v>0</v>
      </c>
      <c r="FW30" s="18">
        <f t="shared" si="268"/>
        <v>0</v>
      </c>
      <c r="FX30" s="18">
        <f t="shared" si="268"/>
        <v>0</v>
      </c>
      <c r="FY30" s="18">
        <f t="shared" si="268"/>
        <v>0</v>
      </c>
      <c r="FZ30" s="40">
        <f t="shared" si="268"/>
        <v>0</v>
      </c>
      <c r="GB30" s="46">
        <f t="shared" si="268"/>
        <v>0</v>
      </c>
      <c r="GC30" s="18">
        <f t="shared" si="268"/>
        <v>0</v>
      </c>
      <c r="GD30" s="18">
        <f t="shared" si="268"/>
        <v>0</v>
      </c>
      <c r="GE30" s="18">
        <f t="shared" si="268"/>
        <v>0</v>
      </c>
      <c r="GF30" s="18">
        <f t="shared" si="268"/>
        <v>0</v>
      </c>
      <c r="GG30" s="51">
        <f t="shared" si="268"/>
        <v>0</v>
      </c>
      <c r="GH30" s="18">
        <f t="shared" si="268"/>
        <v>0</v>
      </c>
      <c r="GI30" s="18">
        <f t="shared" si="268"/>
        <v>0</v>
      </c>
      <c r="GJ30" s="18">
        <f t="shared" si="268"/>
        <v>0</v>
      </c>
      <c r="GK30" s="18">
        <f t="shared" si="268"/>
        <v>0</v>
      </c>
      <c r="GL30" s="18">
        <f t="shared" si="268"/>
        <v>0</v>
      </c>
      <c r="GM30" s="18">
        <f t="shared" si="268"/>
        <v>0</v>
      </c>
      <c r="GN30" s="18">
        <f t="shared" si="268"/>
        <v>0</v>
      </c>
      <c r="GO30" s="18">
        <f t="shared" si="268"/>
        <v>0</v>
      </c>
      <c r="GP30" s="18">
        <f t="shared" si="269"/>
        <v>0</v>
      </c>
      <c r="GQ30" s="18">
        <f t="shared" si="269"/>
        <v>0</v>
      </c>
      <c r="GR30" s="40">
        <f t="shared" si="269"/>
        <v>0</v>
      </c>
      <c r="GT30" s="46">
        <f t="shared" si="270"/>
        <v>0</v>
      </c>
      <c r="GU30" s="18">
        <f t="shared" si="270"/>
        <v>0</v>
      </c>
      <c r="GV30" s="18">
        <f t="shared" si="270"/>
        <v>0</v>
      </c>
      <c r="GW30" s="18">
        <f t="shared" si="270"/>
        <v>0</v>
      </c>
      <c r="GX30" s="18">
        <f t="shared" si="270"/>
        <v>0</v>
      </c>
      <c r="GY30" s="51">
        <f t="shared" si="270"/>
        <v>0</v>
      </c>
      <c r="GZ30" s="18">
        <f t="shared" si="270"/>
        <v>0</v>
      </c>
      <c r="HA30" s="18">
        <f t="shared" si="270"/>
        <v>0</v>
      </c>
      <c r="HB30" s="18">
        <f t="shared" si="270"/>
        <v>0</v>
      </c>
      <c r="HC30" s="18">
        <f t="shared" si="270"/>
        <v>0</v>
      </c>
      <c r="HD30" s="18">
        <f t="shared" si="270"/>
        <v>0</v>
      </c>
      <c r="HE30" s="18">
        <f t="shared" si="270"/>
        <v>0</v>
      </c>
      <c r="HF30" s="18">
        <f t="shared" si="270"/>
        <v>0</v>
      </c>
      <c r="HG30" s="18">
        <f t="shared" si="270"/>
        <v>0</v>
      </c>
      <c r="HH30" s="18">
        <f t="shared" si="270"/>
        <v>0</v>
      </c>
      <c r="HI30" s="18">
        <f t="shared" si="270"/>
        <v>0</v>
      </c>
      <c r="HJ30" s="40">
        <f t="shared" si="270"/>
        <v>0</v>
      </c>
      <c r="HL30" s="46">
        <f t="shared" si="270"/>
        <v>0</v>
      </c>
      <c r="HM30" s="18">
        <f t="shared" si="270"/>
        <v>0</v>
      </c>
      <c r="HN30" s="18">
        <f t="shared" si="270"/>
        <v>0</v>
      </c>
      <c r="HO30" s="18">
        <f t="shared" si="270"/>
        <v>0</v>
      </c>
      <c r="HP30" s="18">
        <f t="shared" si="270"/>
        <v>0</v>
      </c>
      <c r="HQ30" s="51">
        <f t="shared" si="270"/>
        <v>0</v>
      </c>
      <c r="HR30" s="18">
        <f t="shared" si="270"/>
        <v>0</v>
      </c>
      <c r="HS30" s="18">
        <f t="shared" si="270"/>
        <v>0</v>
      </c>
      <c r="HT30" s="18">
        <f t="shared" si="270"/>
        <v>0</v>
      </c>
      <c r="HU30" s="18">
        <f t="shared" si="270"/>
        <v>0</v>
      </c>
      <c r="HV30" s="18">
        <f t="shared" si="270"/>
        <v>0</v>
      </c>
      <c r="HW30" s="18">
        <f t="shared" si="270"/>
        <v>0</v>
      </c>
      <c r="HX30" s="18">
        <f t="shared" si="270"/>
        <v>0</v>
      </c>
      <c r="HY30" s="18">
        <f t="shared" si="270"/>
        <v>0</v>
      </c>
      <c r="HZ30" s="18">
        <f t="shared" si="270"/>
        <v>0</v>
      </c>
      <c r="IA30" s="18">
        <f t="shared" si="270"/>
        <v>0</v>
      </c>
      <c r="IB30" s="40">
        <f t="shared" si="270"/>
        <v>0</v>
      </c>
    </row>
    <row r="31" spans="2:236" x14ac:dyDescent="0.35">
      <c r="B31" s="17" t="s">
        <v>148</v>
      </c>
      <c r="D31" s="46">
        <f t="shared" si="272"/>
        <v>2.8460741589827255E-3</v>
      </c>
      <c r="E31" s="18">
        <f t="shared" si="272"/>
        <v>0</v>
      </c>
      <c r="F31" s="18">
        <f t="shared" si="259"/>
        <v>0</v>
      </c>
      <c r="G31" s="18">
        <f t="shared" si="259"/>
        <v>0</v>
      </c>
      <c r="H31" s="18">
        <f t="shared" si="259"/>
        <v>0</v>
      </c>
      <c r="I31" s="18">
        <f t="shared" si="259"/>
        <v>0</v>
      </c>
      <c r="J31" s="51">
        <f t="shared" si="259"/>
        <v>0.70749373200854304</v>
      </c>
      <c r="K31" s="18">
        <f t="shared" si="259"/>
        <v>9.9311344690105108E-2</v>
      </c>
      <c r="L31" s="18">
        <f t="shared" si="259"/>
        <v>0</v>
      </c>
      <c r="M31" s="18">
        <f t="shared" si="259"/>
        <v>0</v>
      </c>
      <c r="N31" s="18">
        <f t="shared" si="259"/>
        <v>0</v>
      </c>
      <c r="O31" s="18">
        <f t="shared" si="259"/>
        <v>0</v>
      </c>
      <c r="P31" s="18">
        <f t="shared" si="259"/>
        <v>0</v>
      </c>
      <c r="Q31" s="18">
        <f t="shared" si="259"/>
        <v>4.2924499418284245E-2</v>
      </c>
      <c r="R31" s="18">
        <f t="shared" si="259"/>
        <v>8.7964727798436337E-3</v>
      </c>
      <c r="S31" s="18">
        <f t="shared" si="259"/>
        <v>0</v>
      </c>
      <c r="T31" s="40">
        <f t="shared" si="259"/>
        <v>2.7207320256355532E-3</v>
      </c>
      <c r="V31" s="46">
        <f t="shared" si="273"/>
        <v>4.0825227096941748E-3</v>
      </c>
      <c r="W31" s="18">
        <f t="shared" si="273"/>
        <v>0</v>
      </c>
      <c r="X31" s="18">
        <f t="shared" si="273"/>
        <v>0</v>
      </c>
      <c r="Y31" s="18">
        <f t="shared" si="273"/>
        <v>0</v>
      </c>
      <c r="Z31" s="18">
        <f t="shared" si="273"/>
        <v>0</v>
      </c>
      <c r="AA31" s="18">
        <f t="shared" si="273"/>
        <v>0</v>
      </c>
      <c r="AB31" s="51">
        <f t="shared" si="273"/>
        <v>0.20634920634920634</v>
      </c>
      <c r="AC31" s="18">
        <f t="shared" si="273"/>
        <v>0.16046640755136035</v>
      </c>
      <c r="AD31" s="18">
        <f t="shared" si="273"/>
        <v>0</v>
      </c>
      <c r="AE31" s="18">
        <f t="shared" si="273"/>
        <v>0</v>
      </c>
      <c r="AF31" s="18">
        <f t="shared" si="273"/>
        <v>0</v>
      </c>
      <c r="AG31" s="18">
        <f t="shared" si="273"/>
        <v>0</v>
      </c>
      <c r="AH31" s="18">
        <f t="shared" si="273"/>
        <v>0</v>
      </c>
      <c r="AI31" s="18">
        <f t="shared" si="273"/>
        <v>0</v>
      </c>
      <c r="AJ31" s="18">
        <f t="shared" si="273"/>
        <v>1.8602970097054354E-2</v>
      </c>
      <c r="AK31" s="18">
        <f t="shared" si="273"/>
        <v>0</v>
      </c>
      <c r="AL31" s="40">
        <f t="shared" si="273"/>
        <v>3.7245064691237431E-3</v>
      </c>
      <c r="AN31" s="46">
        <f t="shared" si="273"/>
        <v>1.4226935618809789E-2</v>
      </c>
      <c r="AO31" s="18">
        <f t="shared" si="273"/>
        <v>0</v>
      </c>
      <c r="AP31" s="18">
        <f t="shared" si="273"/>
        <v>0</v>
      </c>
      <c r="AQ31" s="18">
        <f t="shared" si="273"/>
        <v>0</v>
      </c>
      <c r="AR31" s="18">
        <f t="shared" si="273"/>
        <v>0</v>
      </c>
      <c r="AS31" s="18">
        <f t="shared" si="273"/>
        <v>0</v>
      </c>
      <c r="AT31" s="51">
        <f t="shared" si="273"/>
        <v>1</v>
      </c>
      <c r="AU31" s="18">
        <f t="shared" si="273"/>
        <v>1</v>
      </c>
      <c r="AV31" s="18">
        <f t="shared" si="273"/>
        <v>0</v>
      </c>
      <c r="AW31" s="18">
        <f t="shared" si="273"/>
        <v>0</v>
      </c>
      <c r="AX31" s="18">
        <f t="shared" si="273"/>
        <v>0</v>
      </c>
      <c r="AY31" s="18">
        <f t="shared" si="273"/>
        <v>0</v>
      </c>
      <c r="AZ31" s="18">
        <f t="shared" si="273"/>
        <v>0</v>
      </c>
      <c r="BA31" s="18">
        <f t="shared" si="273"/>
        <v>0</v>
      </c>
      <c r="BB31" s="18">
        <f t="shared" si="273"/>
        <v>2.9426959558595606E-2</v>
      </c>
      <c r="BC31" s="18">
        <f t="shared" si="273"/>
        <v>0</v>
      </c>
      <c r="BD31" s="40">
        <f t="shared" si="273"/>
        <v>1.38813859183206E-2</v>
      </c>
      <c r="BF31" s="46">
        <f t="shared" si="273"/>
        <v>1.041832588152928E-3</v>
      </c>
      <c r="BG31" s="18">
        <f t="shared" si="273"/>
        <v>0</v>
      </c>
      <c r="BH31" s="18">
        <f t="shared" si="273"/>
        <v>0</v>
      </c>
      <c r="BI31" s="18">
        <f t="shared" si="273"/>
        <v>0</v>
      </c>
      <c r="BJ31" s="18">
        <f t="shared" si="273"/>
        <v>0</v>
      </c>
      <c r="BK31" s="18">
        <f t="shared" si="273"/>
        <v>0</v>
      </c>
      <c r="BL31" s="51">
        <f t="shared" si="273"/>
        <v>0.68870441743255262</v>
      </c>
      <c r="BM31" s="18">
        <f t="shared" si="273"/>
        <v>3.2282668802318705E-2</v>
      </c>
      <c r="BN31" s="18">
        <f t="shared" si="273"/>
        <v>0</v>
      </c>
      <c r="BO31" s="18">
        <f t="shared" si="273"/>
        <v>0</v>
      </c>
      <c r="BP31" s="18">
        <f t="shared" si="273"/>
        <v>0</v>
      </c>
      <c r="BQ31" s="18">
        <f t="shared" si="273"/>
        <v>0</v>
      </c>
      <c r="BR31" s="18">
        <f t="shared" si="273"/>
        <v>0</v>
      </c>
      <c r="BS31" s="18">
        <f t="shared" si="273"/>
        <v>0</v>
      </c>
      <c r="BT31" s="18">
        <f t="shared" si="273"/>
        <v>2.5299888005829094E-3</v>
      </c>
      <c r="BU31" s="18">
        <f t="shared" si="273"/>
        <v>0</v>
      </c>
      <c r="BV31" s="40">
        <f t="shared" si="273"/>
        <v>1.0328500899598079E-3</v>
      </c>
      <c r="BX31" s="46">
        <f t="shared" si="273"/>
        <v>3.7602467605532915E-4</v>
      </c>
      <c r="BY31" s="18">
        <f t="shared" si="273"/>
        <v>0</v>
      </c>
      <c r="BZ31" s="18">
        <f t="shared" si="273"/>
        <v>0</v>
      </c>
      <c r="CA31" s="18">
        <f t="shared" si="273"/>
        <v>0</v>
      </c>
      <c r="CB31" s="18">
        <f t="shared" si="273"/>
        <v>0</v>
      </c>
      <c r="CC31" s="18">
        <f t="shared" si="273"/>
        <v>0</v>
      </c>
      <c r="CD31" s="51">
        <f t="shared" si="273"/>
        <v>0</v>
      </c>
      <c r="CE31" s="18">
        <f t="shared" si="273"/>
        <v>0</v>
      </c>
      <c r="CF31" s="18">
        <f t="shared" si="273"/>
        <v>0</v>
      </c>
      <c r="CG31" s="18">
        <f t="shared" si="273"/>
        <v>0</v>
      </c>
      <c r="CH31" s="18">
        <f t="shared" si="263"/>
        <v>0</v>
      </c>
      <c r="CI31" s="18">
        <f t="shared" si="263"/>
        <v>0</v>
      </c>
      <c r="CJ31" s="18">
        <f t="shared" si="263"/>
        <v>0</v>
      </c>
      <c r="CK31" s="18">
        <f t="shared" si="263"/>
        <v>0.75498115239633823</v>
      </c>
      <c r="CL31" s="18">
        <f t="shared" si="263"/>
        <v>9.4925443974211909E-4</v>
      </c>
      <c r="CM31" s="18">
        <f t="shared" si="263"/>
        <v>0</v>
      </c>
      <c r="CN31" s="40">
        <f t="shared" si="263"/>
        <v>3.629623835515559E-4</v>
      </c>
      <c r="CP31" s="46">
        <f t="shared" si="264"/>
        <v>0</v>
      </c>
      <c r="CQ31" s="18">
        <f t="shared" si="264"/>
        <v>0</v>
      </c>
      <c r="CR31" s="18">
        <f t="shared" si="264"/>
        <v>0</v>
      </c>
      <c r="CS31" s="18">
        <f t="shared" si="264"/>
        <v>0</v>
      </c>
      <c r="CT31" s="18">
        <f t="shared" si="264"/>
        <v>0</v>
      </c>
      <c r="CU31" s="18">
        <f t="shared" si="264"/>
        <v>0</v>
      </c>
      <c r="CV31" s="51">
        <f t="shared" si="264"/>
        <v>0</v>
      </c>
      <c r="CW31" s="18">
        <f t="shared" si="264"/>
        <v>0</v>
      </c>
      <c r="CX31" s="18">
        <f t="shared" si="264"/>
        <v>0</v>
      </c>
      <c r="CY31" s="18">
        <f t="shared" si="264"/>
        <v>0</v>
      </c>
      <c r="CZ31" s="18">
        <f t="shared" si="264"/>
        <v>0</v>
      </c>
      <c r="DA31" s="18">
        <f t="shared" si="264"/>
        <v>0</v>
      </c>
      <c r="DB31" s="18">
        <f t="shared" si="264"/>
        <v>0</v>
      </c>
      <c r="DC31" s="18">
        <f t="shared" si="264"/>
        <v>0</v>
      </c>
      <c r="DD31" s="18">
        <f t="shared" si="264"/>
        <v>0</v>
      </c>
      <c r="DE31" s="18">
        <f t="shared" si="264"/>
        <v>0</v>
      </c>
      <c r="DF31" s="40">
        <f t="shared" si="264"/>
        <v>0</v>
      </c>
      <c r="DH31" s="46">
        <f t="shared" si="264"/>
        <v>0</v>
      </c>
      <c r="DI31" s="18">
        <f t="shared" si="264"/>
        <v>0</v>
      </c>
      <c r="DJ31" s="18">
        <f t="shared" si="264"/>
        <v>0</v>
      </c>
      <c r="DK31" s="18">
        <f t="shared" si="264"/>
        <v>0</v>
      </c>
      <c r="DL31" s="18">
        <f t="shared" si="264"/>
        <v>0</v>
      </c>
      <c r="DM31" s="18">
        <f t="shared" si="264"/>
        <v>0</v>
      </c>
      <c r="DN31" s="51">
        <f t="shared" si="264"/>
        <v>0</v>
      </c>
      <c r="DO31" s="18">
        <f t="shared" si="264"/>
        <v>0</v>
      </c>
      <c r="DP31" s="18">
        <f t="shared" si="264"/>
        <v>0</v>
      </c>
      <c r="DQ31" s="18">
        <f t="shared" si="264"/>
        <v>0</v>
      </c>
      <c r="DR31" s="18">
        <f t="shared" si="264"/>
        <v>0</v>
      </c>
      <c r="DS31" s="18">
        <f t="shared" si="264"/>
        <v>0</v>
      </c>
      <c r="DT31" s="18">
        <f t="shared" si="264"/>
        <v>0</v>
      </c>
      <c r="DU31" s="18">
        <f t="shared" si="264"/>
        <v>0</v>
      </c>
      <c r="DV31" s="18">
        <f t="shared" si="265"/>
        <v>0</v>
      </c>
      <c r="DW31" s="18">
        <f t="shared" si="265"/>
        <v>0</v>
      </c>
      <c r="DX31" s="40">
        <f t="shared" si="265"/>
        <v>0</v>
      </c>
      <c r="DZ31" s="46">
        <f t="shared" si="266"/>
        <v>0</v>
      </c>
      <c r="EA31" s="18">
        <f t="shared" si="266"/>
        <v>0</v>
      </c>
      <c r="EB31" s="18">
        <f t="shared" si="266"/>
        <v>0</v>
      </c>
      <c r="EC31" s="18">
        <f t="shared" si="266"/>
        <v>0</v>
      </c>
      <c r="ED31" s="18">
        <f t="shared" si="266"/>
        <v>0</v>
      </c>
      <c r="EE31" s="18">
        <f t="shared" si="266"/>
        <v>0</v>
      </c>
      <c r="EF31" s="51">
        <f t="shared" si="266"/>
        <v>0</v>
      </c>
      <c r="EG31" s="18">
        <f t="shared" si="266"/>
        <v>0</v>
      </c>
      <c r="EH31" s="18">
        <f t="shared" si="266"/>
        <v>0</v>
      </c>
      <c r="EI31" s="18">
        <f t="shared" si="266"/>
        <v>0</v>
      </c>
      <c r="EJ31" s="18">
        <f t="shared" si="266"/>
        <v>0</v>
      </c>
      <c r="EK31" s="18">
        <f t="shared" si="266"/>
        <v>0</v>
      </c>
      <c r="EL31" s="18">
        <f t="shared" si="266"/>
        <v>0</v>
      </c>
      <c r="EM31" s="18">
        <f t="shared" si="266"/>
        <v>0</v>
      </c>
      <c r="EN31" s="18">
        <f t="shared" si="266"/>
        <v>0</v>
      </c>
      <c r="EO31" s="18">
        <f t="shared" si="266"/>
        <v>0</v>
      </c>
      <c r="EP31" s="40">
        <f t="shared" si="266"/>
        <v>0</v>
      </c>
      <c r="ER31" s="46">
        <f t="shared" si="266"/>
        <v>0</v>
      </c>
      <c r="ES31" s="18">
        <f t="shared" si="266"/>
        <v>0</v>
      </c>
      <c r="ET31" s="18">
        <f t="shared" si="266"/>
        <v>0</v>
      </c>
      <c r="EU31" s="18">
        <f t="shared" si="266"/>
        <v>0</v>
      </c>
      <c r="EV31" s="18">
        <f t="shared" si="266"/>
        <v>0</v>
      </c>
      <c r="EW31" s="18">
        <f t="shared" si="266"/>
        <v>0</v>
      </c>
      <c r="EX31" s="51">
        <f t="shared" si="266"/>
        <v>0</v>
      </c>
      <c r="EY31" s="18">
        <f t="shared" si="266"/>
        <v>0</v>
      </c>
      <c r="EZ31" s="18">
        <f t="shared" si="266"/>
        <v>0</v>
      </c>
      <c r="FA31" s="18">
        <f t="shared" si="266"/>
        <v>0</v>
      </c>
      <c r="FB31" s="18">
        <f t="shared" si="266"/>
        <v>0</v>
      </c>
      <c r="FC31" s="18">
        <f t="shared" si="266"/>
        <v>0</v>
      </c>
      <c r="FD31" s="18">
        <f t="shared" si="266"/>
        <v>0</v>
      </c>
      <c r="FE31" s="18">
        <f t="shared" si="266"/>
        <v>0</v>
      </c>
      <c r="FF31" s="18">
        <f t="shared" si="267"/>
        <v>0</v>
      </c>
      <c r="FG31" s="18">
        <f t="shared" si="267"/>
        <v>0</v>
      </c>
      <c r="FH31" s="40">
        <f t="shared" si="267"/>
        <v>0</v>
      </c>
      <c r="FJ31" s="46">
        <f t="shared" si="268"/>
        <v>0</v>
      </c>
      <c r="FK31" s="18">
        <f t="shared" si="268"/>
        <v>0</v>
      </c>
      <c r="FL31" s="18">
        <f t="shared" si="268"/>
        <v>0</v>
      </c>
      <c r="FM31" s="18">
        <f t="shared" si="268"/>
        <v>0</v>
      </c>
      <c r="FN31" s="18">
        <f t="shared" si="268"/>
        <v>0</v>
      </c>
      <c r="FO31" s="18">
        <f t="shared" si="268"/>
        <v>0</v>
      </c>
      <c r="FP31" s="18">
        <f t="shared" si="268"/>
        <v>0</v>
      </c>
      <c r="FQ31" s="18">
        <f t="shared" si="268"/>
        <v>0</v>
      </c>
      <c r="FR31" s="18">
        <f t="shared" si="268"/>
        <v>0</v>
      </c>
      <c r="FS31" s="18">
        <f t="shared" si="268"/>
        <v>0</v>
      </c>
      <c r="FT31" s="18">
        <f t="shared" si="268"/>
        <v>0</v>
      </c>
      <c r="FU31" s="18">
        <f t="shared" si="268"/>
        <v>0</v>
      </c>
      <c r="FV31" s="18">
        <f t="shared" si="268"/>
        <v>0</v>
      </c>
      <c r="FW31" s="18">
        <f t="shared" si="268"/>
        <v>0</v>
      </c>
      <c r="FX31" s="18">
        <f t="shared" si="268"/>
        <v>0</v>
      </c>
      <c r="FY31" s="18">
        <f t="shared" si="268"/>
        <v>0</v>
      </c>
      <c r="FZ31" s="40">
        <f t="shared" si="268"/>
        <v>0</v>
      </c>
      <c r="GB31" s="46">
        <f t="shared" si="268"/>
        <v>0</v>
      </c>
      <c r="GC31" s="18">
        <f t="shared" si="268"/>
        <v>0</v>
      </c>
      <c r="GD31" s="18">
        <f t="shared" si="268"/>
        <v>0</v>
      </c>
      <c r="GE31" s="18">
        <f t="shared" si="268"/>
        <v>0</v>
      </c>
      <c r="GF31" s="18">
        <f t="shared" si="268"/>
        <v>0</v>
      </c>
      <c r="GG31" s="18">
        <f t="shared" si="268"/>
        <v>0</v>
      </c>
      <c r="GH31" s="51">
        <f t="shared" si="268"/>
        <v>0</v>
      </c>
      <c r="GI31" s="18">
        <f t="shared" si="268"/>
        <v>0</v>
      </c>
      <c r="GJ31" s="18">
        <f t="shared" si="268"/>
        <v>0</v>
      </c>
      <c r="GK31" s="18">
        <f t="shared" si="268"/>
        <v>0</v>
      </c>
      <c r="GL31" s="18">
        <f t="shared" si="268"/>
        <v>0</v>
      </c>
      <c r="GM31" s="18">
        <f t="shared" si="268"/>
        <v>0</v>
      </c>
      <c r="GN31" s="18">
        <f t="shared" si="268"/>
        <v>0</v>
      </c>
      <c r="GO31" s="18">
        <f t="shared" si="268"/>
        <v>0</v>
      </c>
      <c r="GP31" s="18">
        <f t="shared" si="269"/>
        <v>0</v>
      </c>
      <c r="GQ31" s="18">
        <f t="shared" si="269"/>
        <v>0</v>
      </c>
      <c r="GR31" s="40">
        <f t="shared" si="269"/>
        <v>0</v>
      </c>
      <c r="GT31" s="46">
        <f t="shared" si="270"/>
        <v>0</v>
      </c>
      <c r="GU31" s="18">
        <f t="shared" si="270"/>
        <v>0</v>
      </c>
      <c r="GV31" s="18">
        <f t="shared" si="270"/>
        <v>0</v>
      </c>
      <c r="GW31" s="18">
        <f t="shared" si="270"/>
        <v>0</v>
      </c>
      <c r="GX31" s="18">
        <f t="shared" si="270"/>
        <v>0</v>
      </c>
      <c r="GY31" s="18">
        <f t="shared" si="270"/>
        <v>0</v>
      </c>
      <c r="GZ31" s="51">
        <f t="shared" si="270"/>
        <v>0</v>
      </c>
      <c r="HA31" s="18">
        <f t="shared" si="270"/>
        <v>0</v>
      </c>
      <c r="HB31" s="18">
        <f t="shared" si="270"/>
        <v>0</v>
      </c>
      <c r="HC31" s="18">
        <f t="shared" si="270"/>
        <v>0</v>
      </c>
      <c r="HD31" s="18">
        <f t="shared" si="270"/>
        <v>0</v>
      </c>
      <c r="HE31" s="18">
        <f t="shared" si="270"/>
        <v>0</v>
      </c>
      <c r="HF31" s="18">
        <f t="shared" si="270"/>
        <v>0</v>
      </c>
      <c r="HG31" s="18">
        <f t="shared" si="270"/>
        <v>0</v>
      </c>
      <c r="HH31" s="18">
        <f t="shared" si="270"/>
        <v>0</v>
      </c>
      <c r="HI31" s="18">
        <f t="shared" si="270"/>
        <v>0</v>
      </c>
      <c r="HJ31" s="40">
        <f t="shared" si="270"/>
        <v>0</v>
      </c>
      <c r="HL31" s="46">
        <f t="shared" si="270"/>
        <v>0</v>
      </c>
      <c r="HM31" s="18">
        <f t="shared" si="270"/>
        <v>0</v>
      </c>
      <c r="HN31" s="18">
        <f t="shared" si="270"/>
        <v>0</v>
      </c>
      <c r="HO31" s="18">
        <f t="shared" si="270"/>
        <v>0</v>
      </c>
      <c r="HP31" s="18">
        <f t="shared" si="270"/>
        <v>0</v>
      </c>
      <c r="HQ31" s="18">
        <f t="shared" si="270"/>
        <v>0</v>
      </c>
      <c r="HR31" s="51">
        <f t="shared" si="270"/>
        <v>0</v>
      </c>
      <c r="HS31" s="18">
        <f t="shared" si="270"/>
        <v>0</v>
      </c>
      <c r="HT31" s="18">
        <f t="shared" si="270"/>
        <v>0</v>
      </c>
      <c r="HU31" s="18">
        <f t="shared" si="270"/>
        <v>0</v>
      </c>
      <c r="HV31" s="18">
        <f t="shared" si="270"/>
        <v>0</v>
      </c>
      <c r="HW31" s="18">
        <f t="shared" si="270"/>
        <v>0</v>
      </c>
      <c r="HX31" s="18">
        <f t="shared" si="270"/>
        <v>0</v>
      </c>
      <c r="HY31" s="18">
        <f t="shared" si="270"/>
        <v>0</v>
      </c>
      <c r="HZ31" s="18">
        <f t="shared" si="270"/>
        <v>0</v>
      </c>
      <c r="IA31" s="18">
        <f t="shared" si="270"/>
        <v>0</v>
      </c>
      <c r="IB31" s="40">
        <f t="shared" si="270"/>
        <v>0</v>
      </c>
    </row>
    <row r="32" spans="2:236" x14ac:dyDescent="0.35">
      <c r="B32" s="17" t="s">
        <v>147</v>
      </c>
      <c r="D32" s="46">
        <f t="shared" si="272"/>
        <v>1.493948941036158E-2</v>
      </c>
      <c r="E32" s="18">
        <f t="shared" si="272"/>
        <v>0</v>
      </c>
      <c r="F32" s="18">
        <f t="shared" si="259"/>
        <v>0</v>
      </c>
      <c r="G32" s="18">
        <f t="shared" si="259"/>
        <v>0</v>
      </c>
      <c r="H32" s="18">
        <f t="shared" si="259"/>
        <v>0</v>
      </c>
      <c r="I32" s="18">
        <f t="shared" si="259"/>
        <v>0</v>
      </c>
      <c r="J32" s="18">
        <f t="shared" si="259"/>
        <v>0.29250626799145696</v>
      </c>
      <c r="K32" s="51">
        <f t="shared" si="259"/>
        <v>0.90068865530989484</v>
      </c>
      <c r="L32" s="18">
        <f t="shared" si="259"/>
        <v>1</v>
      </c>
      <c r="M32" s="18">
        <f t="shared" si="259"/>
        <v>0</v>
      </c>
      <c r="N32" s="18">
        <f t="shared" si="259"/>
        <v>0</v>
      </c>
      <c r="O32" s="18">
        <f t="shared" si="259"/>
        <v>0</v>
      </c>
      <c r="P32" s="18">
        <f t="shared" si="259"/>
        <v>0</v>
      </c>
      <c r="Q32" s="50">
        <f t="shared" si="259"/>
        <v>0.95707550058171575</v>
      </c>
      <c r="R32" s="18">
        <f t="shared" si="259"/>
        <v>2.706072179506544E-2</v>
      </c>
      <c r="S32" s="18">
        <f t="shared" si="259"/>
        <v>0</v>
      </c>
      <c r="T32" s="40">
        <f t="shared" si="259"/>
        <v>1.3945701640001249E-2</v>
      </c>
      <c r="V32" s="46">
        <f t="shared" si="273"/>
        <v>3.2173595781557873E-2</v>
      </c>
      <c r="W32" s="18">
        <f t="shared" si="273"/>
        <v>0</v>
      </c>
      <c r="X32" s="18">
        <f t="shared" si="273"/>
        <v>0</v>
      </c>
      <c r="Y32" s="18">
        <f t="shared" si="273"/>
        <v>0</v>
      </c>
      <c r="Z32" s="18">
        <f t="shared" si="273"/>
        <v>0</v>
      </c>
      <c r="AA32" s="18">
        <f t="shared" si="273"/>
        <v>0</v>
      </c>
      <c r="AB32" s="18">
        <f t="shared" si="273"/>
        <v>0.79365079365079361</v>
      </c>
      <c r="AC32" s="51">
        <f t="shared" si="273"/>
        <v>0.83953359244863968</v>
      </c>
      <c r="AD32" s="18">
        <f t="shared" si="273"/>
        <v>1</v>
      </c>
      <c r="AE32" s="18">
        <f t="shared" si="273"/>
        <v>0</v>
      </c>
      <c r="AF32" s="18">
        <f t="shared" si="273"/>
        <v>0</v>
      </c>
      <c r="AG32" s="18">
        <f t="shared" si="273"/>
        <v>0</v>
      </c>
      <c r="AH32" s="18">
        <f t="shared" ref="AH32:CG32" si="274">IFERROR(AH11/AH$13,0)</f>
        <v>0</v>
      </c>
      <c r="AI32" s="18">
        <f t="shared" si="274"/>
        <v>1</v>
      </c>
      <c r="AJ32" s="18">
        <f t="shared" si="274"/>
        <v>6.9436914670833738E-2</v>
      </c>
      <c r="AK32" s="18">
        <f t="shared" si="274"/>
        <v>0</v>
      </c>
      <c r="AL32" s="40">
        <f t="shared" si="274"/>
        <v>2.8133891685120357E-2</v>
      </c>
      <c r="AN32" s="46">
        <f t="shared" si="274"/>
        <v>0</v>
      </c>
      <c r="AO32" s="18">
        <f t="shared" si="274"/>
        <v>0</v>
      </c>
      <c r="AP32" s="18">
        <f t="shared" si="274"/>
        <v>0</v>
      </c>
      <c r="AQ32" s="18">
        <f t="shared" si="274"/>
        <v>0</v>
      </c>
      <c r="AR32" s="18">
        <f t="shared" si="274"/>
        <v>0</v>
      </c>
      <c r="AS32" s="18">
        <f t="shared" si="274"/>
        <v>0</v>
      </c>
      <c r="AT32" s="18">
        <f t="shared" si="274"/>
        <v>0</v>
      </c>
      <c r="AU32" s="51">
        <f t="shared" si="274"/>
        <v>0</v>
      </c>
      <c r="AV32" s="18">
        <f t="shared" si="274"/>
        <v>0</v>
      </c>
      <c r="AW32" s="18">
        <f t="shared" si="274"/>
        <v>0</v>
      </c>
      <c r="AX32" s="18">
        <f t="shared" si="274"/>
        <v>0</v>
      </c>
      <c r="AY32" s="18">
        <f t="shared" si="274"/>
        <v>0</v>
      </c>
      <c r="AZ32" s="18">
        <f t="shared" si="274"/>
        <v>0</v>
      </c>
      <c r="BA32" s="18">
        <f t="shared" si="274"/>
        <v>0</v>
      </c>
      <c r="BB32" s="18">
        <f t="shared" si="274"/>
        <v>0</v>
      </c>
      <c r="BC32" s="18">
        <f t="shared" si="274"/>
        <v>0</v>
      </c>
      <c r="BD32" s="40">
        <f t="shared" si="274"/>
        <v>0</v>
      </c>
      <c r="BF32" s="46">
        <f t="shared" si="274"/>
        <v>1.3817246820789978E-2</v>
      </c>
      <c r="BG32" s="18">
        <f t="shared" si="274"/>
        <v>0</v>
      </c>
      <c r="BH32" s="18">
        <f t="shared" si="274"/>
        <v>0</v>
      </c>
      <c r="BI32" s="18">
        <f t="shared" si="274"/>
        <v>0</v>
      </c>
      <c r="BJ32" s="18">
        <f t="shared" si="274"/>
        <v>0</v>
      </c>
      <c r="BK32" s="18">
        <f t="shared" si="274"/>
        <v>0</v>
      </c>
      <c r="BL32" s="18">
        <f t="shared" si="274"/>
        <v>0.31129558256744738</v>
      </c>
      <c r="BM32" s="51">
        <f t="shared" si="274"/>
        <v>0.96771733119768133</v>
      </c>
      <c r="BN32" s="18">
        <f t="shared" si="274"/>
        <v>0</v>
      </c>
      <c r="BO32" s="18">
        <f t="shared" si="274"/>
        <v>0</v>
      </c>
      <c r="BP32" s="18">
        <f t="shared" si="274"/>
        <v>0</v>
      </c>
      <c r="BQ32" s="18">
        <f t="shared" si="274"/>
        <v>0</v>
      </c>
      <c r="BR32" s="18">
        <f t="shared" si="274"/>
        <v>0</v>
      </c>
      <c r="BS32" s="18">
        <f t="shared" si="274"/>
        <v>1</v>
      </c>
      <c r="BT32" s="18">
        <f t="shared" si="274"/>
        <v>1.8215919364196947E-2</v>
      </c>
      <c r="BU32" s="18">
        <f t="shared" si="274"/>
        <v>0</v>
      </c>
      <c r="BV32" s="40">
        <f t="shared" si="274"/>
        <v>1.3643923814192362E-2</v>
      </c>
      <c r="BX32" s="46">
        <f t="shared" si="274"/>
        <v>9.1656014788486489E-3</v>
      </c>
      <c r="BY32" s="18">
        <f t="shared" si="274"/>
        <v>0</v>
      </c>
      <c r="BZ32" s="18">
        <f t="shared" si="274"/>
        <v>0</v>
      </c>
      <c r="CA32" s="18">
        <f t="shared" si="274"/>
        <v>0</v>
      </c>
      <c r="CB32" s="18">
        <f t="shared" si="274"/>
        <v>0</v>
      </c>
      <c r="CC32" s="18">
        <f t="shared" si="274"/>
        <v>0</v>
      </c>
      <c r="CD32" s="18">
        <f t="shared" si="274"/>
        <v>0</v>
      </c>
      <c r="CE32" s="51">
        <f t="shared" si="274"/>
        <v>1</v>
      </c>
      <c r="CF32" s="18">
        <f t="shared" si="274"/>
        <v>0</v>
      </c>
      <c r="CG32" s="18">
        <f t="shared" si="274"/>
        <v>0</v>
      </c>
      <c r="CH32" s="18">
        <f t="shared" si="263"/>
        <v>0</v>
      </c>
      <c r="CI32" s="18">
        <f t="shared" si="263"/>
        <v>0</v>
      </c>
      <c r="CJ32" s="18">
        <f t="shared" si="263"/>
        <v>0</v>
      </c>
      <c r="CK32" s="18">
        <f t="shared" si="263"/>
        <v>0.24501884760366183</v>
      </c>
      <c r="CL32" s="18">
        <f t="shared" si="263"/>
        <v>1.6255982280583791E-2</v>
      </c>
      <c r="CM32" s="18">
        <f t="shared" si="263"/>
        <v>0</v>
      </c>
      <c r="CN32" s="40">
        <f t="shared" si="263"/>
        <v>9.1122159497404407E-3</v>
      </c>
      <c r="CP32" s="46">
        <f t="shared" si="264"/>
        <v>0</v>
      </c>
      <c r="CQ32" s="18">
        <f t="shared" si="264"/>
        <v>0</v>
      </c>
      <c r="CR32" s="18">
        <f t="shared" si="264"/>
        <v>0</v>
      </c>
      <c r="CS32" s="18">
        <f t="shared" si="264"/>
        <v>0</v>
      </c>
      <c r="CT32" s="18">
        <f t="shared" si="264"/>
        <v>0</v>
      </c>
      <c r="CU32" s="18">
        <f t="shared" si="264"/>
        <v>0</v>
      </c>
      <c r="CV32" s="18">
        <f t="shared" si="264"/>
        <v>0</v>
      </c>
      <c r="CW32" s="51">
        <f t="shared" si="264"/>
        <v>0</v>
      </c>
      <c r="CX32" s="18">
        <f t="shared" si="264"/>
        <v>0</v>
      </c>
      <c r="CY32" s="18">
        <f t="shared" si="264"/>
        <v>0</v>
      </c>
      <c r="CZ32" s="18">
        <f t="shared" si="264"/>
        <v>0</v>
      </c>
      <c r="DA32" s="18">
        <f t="shared" si="264"/>
        <v>0</v>
      </c>
      <c r="DB32" s="18">
        <f t="shared" si="264"/>
        <v>0</v>
      </c>
      <c r="DC32" s="18">
        <f t="shared" si="264"/>
        <v>0</v>
      </c>
      <c r="DD32" s="18">
        <f t="shared" si="264"/>
        <v>0</v>
      </c>
      <c r="DE32" s="18">
        <f t="shared" si="264"/>
        <v>0</v>
      </c>
      <c r="DF32" s="40">
        <f t="shared" si="264"/>
        <v>0</v>
      </c>
      <c r="DH32" s="46">
        <f t="shared" si="264"/>
        <v>0</v>
      </c>
      <c r="DI32" s="18">
        <f t="shared" si="264"/>
        <v>0</v>
      </c>
      <c r="DJ32" s="18">
        <f t="shared" si="264"/>
        <v>0</v>
      </c>
      <c r="DK32" s="18">
        <f t="shared" si="264"/>
        <v>0</v>
      </c>
      <c r="DL32" s="18">
        <f t="shared" si="264"/>
        <v>0</v>
      </c>
      <c r="DM32" s="18">
        <f t="shared" si="264"/>
        <v>0</v>
      </c>
      <c r="DN32" s="18">
        <f t="shared" si="264"/>
        <v>0</v>
      </c>
      <c r="DO32" s="51">
        <f t="shared" si="264"/>
        <v>0</v>
      </c>
      <c r="DP32" s="18">
        <f t="shared" si="264"/>
        <v>0</v>
      </c>
      <c r="DQ32" s="18">
        <f t="shared" si="264"/>
        <v>0</v>
      </c>
      <c r="DR32" s="18">
        <f t="shared" si="264"/>
        <v>0</v>
      </c>
      <c r="DS32" s="18">
        <f t="shared" si="264"/>
        <v>0</v>
      </c>
      <c r="DT32" s="18">
        <f t="shared" si="264"/>
        <v>0</v>
      </c>
      <c r="DU32" s="18">
        <f t="shared" si="264"/>
        <v>0</v>
      </c>
      <c r="DV32" s="18">
        <f t="shared" si="265"/>
        <v>0</v>
      </c>
      <c r="DW32" s="18">
        <f t="shared" si="265"/>
        <v>0</v>
      </c>
      <c r="DX32" s="40">
        <f t="shared" si="265"/>
        <v>0</v>
      </c>
      <c r="DZ32" s="46">
        <f t="shared" si="266"/>
        <v>0</v>
      </c>
      <c r="EA32" s="18">
        <f t="shared" si="266"/>
        <v>0</v>
      </c>
      <c r="EB32" s="18">
        <f t="shared" si="266"/>
        <v>0</v>
      </c>
      <c r="EC32" s="18">
        <f t="shared" si="266"/>
        <v>0</v>
      </c>
      <c r="ED32" s="18">
        <f t="shared" si="266"/>
        <v>0</v>
      </c>
      <c r="EE32" s="18">
        <f t="shared" si="266"/>
        <v>0</v>
      </c>
      <c r="EF32" s="18">
        <f t="shared" si="266"/>
        <v>0</v>
      </c>
      <c r="EG32" s="51">
        <f t="shared" si="266"/>
        <v>0</v>
      </c>
      <c r="EH32" s="18">
        <f t="shared" si="266"/>
        <v>0</v>
      </c>
      <c r="EI32" s="18">
        <f t="shared" si="266"/>
        <v>0</v>
      </c>
      <c r="EJ32" s="18">
        <f t="shared" si="266"/>
        <v>0</v>
      </c>
      <c r="EK32" s="18">
        <f t="shared" si="266"/>
        <v>0</v>
      </c>
      <c r="EL32" s="18">
        <f t="shared" si="266"/>
        <v>0</v>
      </c>
      <c r="EM32" s="18">
        <f t="shared" si="266"/>
        <v>0</v>
      </c>
      <c r="EN32" s="18">
        <f t="shared" si="266"/>
        <v>0</v>
      </c>
      <c r="EO32" s="18">
        <f t="shared" si="266"/>
        <v>0</v>
      </c>
      <c r="EP32" s="40">
        <f t="shared" si="266"/>
        <v>0</v>
      </c>
      <c r="ER32" s="46">
        <f t="shared" si="266"/>
        <v>0</v>
      </c>
      <c r="ES32" s="18">
        <f t="shared" si="266"/>
        <v>0</v>
      </c>
      <c r="ET32" s="18">
        <f t="shared" si="266"/>
        <v>0</v>
      </c>
      <c r="EU32" s="18">
        <f t="shared" si="266"/>
        <v>0</v>
      </c>
      <c r="EV32" s="18">
        <f t="shared" si="266"/>
        <v>0</v>
      </c>
      <c r="EW32" s="18">
        <f t="shared" si="266"/>
        <v>0</v>
      </c>
      <c r="EX32" s="18">
        <f t="shared" si="266"/>
        <v>0</v>
      </c>
      <c r="EY32" s="51">
        <f t="shared" si="266"/>
        <v>0</v>
      </c>
      <c r="EZ32" s="18">
        <f t="shared" si="266"/>
        <v>0</v>
      </c>
      <c r="FA32" s="18">
        <f t="shared" si="266"/>
        <v>0</v>
      </c>
      <c r="FB32" s="18">
        <f t="shared" si="266"/>
        <v>0</v>
      </c>
      <c r="FC32" s="18">
        <f t="shared" si="266"/>
        <v>0</v>
      </c>
      <c r="FD32" s="18">
        <f t="shared" si="266"/>
        <v>0</v>
      </c>
      <c r="FE32" s="18">
        <f t="shared" si="266"/>
        <v>0</v>
      </c>
      <c r="FF32" s="18">
        <f t="shared" si="267"/>
        <v>0</v>
      </c>
      <c r="FG32" s="18">
        <f t="shared" si="267"/>
        <v>0</v>
      </c>
      <c r="FH32" s="40">
        <f t="shared" si="267"/>
        <v>0</v>
      </c>
      <c r="FJ32" s="46">
        <f t="shared" si="268"/>
        <v>0</v>
      </c>
      <c r="FK32" s="18">
        <f t="shared" si="268"/>
        <v>0</v>
      </c>
      <c r="FL32" s="18">
        <f t="shared" si="268"/>
        <v>0</v>
      </c>
      <c r="FM32" s="18">
        <f t="shared" si="268"/>
        <v>0</v>
      </c>
      <c r="FN32" s="18">
        <f t="shared" si="268"/>
        <v>0</v>
      </c>
      <c r="FO32" s="18">
        <f t="shared" si="268"/>
        <v>0</v>
      </c>
      <c r="FP32" s="18">
        <f t="shared" si="268"/>
        <v>0</v>
      </c>
      <c r="FQ32" s="18">
        <f t="shared" si="268"/>
        <v>0</v>
      </c>
      <c r="FR32" s="18">
        <f t="shared" si="268"/>
        <v>0</v>
      </c>
      <c r="FS32" s="18">
        <f t="shared" si="268"/>
        <v>0</v>
      </c>
      <c r="FT32" s="18">
        <f t="shared" si="268"/>
        <v>0</v>
      </c>
      <c r="FU32" s="18">
        <f t="shared" si="268"/>
        <v>0</v>
      </c>
      <c r="FV32" s="18">
        <f t="shared" si="268"/>
        <v>0</v>
      </c>
      <c r="FW32" s="18">
        <f t="shared" si="268"/>
        <v>0</v>
      </c>
      <c r="FX32" s="18">
        <f t="shared" si="268"/>
        <v>0</v>
      </c>
      <c r="FY32" s="18">
        <f t="shared" si="268"/>
        <v>0</v>
      </c>
      <c r="FZ32" s="40">
        <f t="shared" si="268"/>
        <v>0</v>
      </c>
      <c r="GB32" s="46">
        <f t="shared" si="268"/>
        <v>0</v>
      </c>
      <c r="GC32" s="18">
        <f t="shared" si="268"/>
        <v>0</v>
      </c>
      <c r="GD32" s="18">
        <f t="shared" si="268"/>
        <v>0</v>
      </c>
      <c r="GE32" s="18">
        <f t="shared" si="268"/>
        <v>0</v>
      </c>
      <c r="GF32" s="18">
        <f t="shared" si="268"/>
        <v>0</v>
      </c>
      <c r="GG32" s="18">
        <f t="shared" si="268"/>
        <v>0</v>
      </c>
      <c r="GH32" s="18">
        <f t="shared" si="268"/>
        <v>0</v>
      </c>
      <c r="GI32" s="51">
        <f t="shared" si="268"/>
        <v>0</v>
      </c>
      <c r="GJ32" s="18">
        <f t="shared" si="268"/>
        <v>0</v>
      </c>
      <c r="GK32" s="18">
        <f t="shared" si="268"/>
        <v>0</v>
      </c>
      <c r="GL32" s="18">
        <f t="shared" si="268"/>
        <v>0</v>
      </c>
      <c r="GM32" s="18">
        <f t="shared" si="268"/>
        <v>0</v>
      </c>
      <c r="GN32" s="18">
        <f t="shared" si="268"/>
        <v>0</v>
      </c>
      <c r="GO32" s="18">
        <f t="shared" si="268"/>
        <v>0</v>
      </c>
      <c r="GP32" s="18">
        <f t="shared" si="269"/>
        <v>0</v>
      </c>
      <c r="GQ32" s="18">
        <f t="shared" si="269"/>
        <v>0</v>
      </c>
      <c r="GR32" s="40">
        <f t="shared" si="269"/>
        <v>0</v>
      </c>
      <c r="GT32" s="46">
        <f t="shared" si="270"/>
        <v>0</v>
      </c>
      <c r="GU32" s="18">
        <f t="shared" si="270"/>
        <v>0</v>
      </c>
      <c r="GV32" s="18">
        <f t="shared" si="270"/>
        <v>0</v>
      </c>
      <c r="GW32" s="18">
        <f t="shared" si="270"/>
        <v>0</v>
      </c>
      <c r="GX32" s="18">
        <f t="shared" si="270"/>
        <v>0</v>
      </c>
      <c r="GY32" s="18">
        <f t="shared" si="270"/>
        <v>0</v>
      </c>
      <c r="GZ32" s="18">
        <f t="shared" si="270"/>
        <v>0</v>
      </c>
      <c r="HA32" s="51">
        <f t="shared" si="270"/>
        <v>0</v>
      </c>
      <c r="HB32" s="18">
        <f t="shared" si="270"/>
        <v>0</v>
      </c>
      <c r="HC32" s="18">
        <f t="shared" si="270"/>
        <v>0</v>
      </c>
      <c r="HD32" s="18">
        <f t="shared" si="270"/>
        <v>0</v>
      </c>
      <c r="HE32" s="18">
        <f t="shared" si="270"/>
        <v>0</v>
      </c>
      <c r="HF32" s="18">
        <f t="shared" si="270"/>
        <v>0</v>
      </c>
      <c r="HG32" s="18">
        <f t="shared" si="270"/>
        <v>0</v>
      </c>
      <c r="HH32" s="18">
        <f t="shared" si="270"/>
        <v>0</v>
      </c>
      <c r="HI32" s="18">
        <f t="shared" si="270"/>
        <v>0</v>
      </c>
      <c r="HJ32" s="40">
        <f t="shared" si="270"/>
        <v>0</v>
      </c>
      <c r="HL32" s="46">
        <f t="shared" si="270"/>
        <v>0</v>
      </c>
      <c r="HM32" s="18">
        <f t="shared" si="270"/>
        <v>0</v>
      </c>
      <c r="HN32" s="18">
        <f t="shared" si="270"/>
        <v>0</v>
      </c>
      <c r="HO32" s="18">
        <f t="shared" si="270"/>
        <v>0</v>
      </c>
      <c r="HP32" s="18">
        <f t="shared" si="270"/>
        <v>0</v>
      </c>
      <c r="HQ32" s="18">
        <f t="shared" si="270"/>
        <v>0</v>
      </c>
      <c r="HR32" s="18">
        <f t="shared" si="270"/>
        <v>0</v>
      </c>
      <c r="HS32" s="51">
        <f t="shared" si="270"/>
        <v>0</v>
      </c>
      <c r="HT32" s="18">
        <f t="shared" si="270"/>
        <v>0</v>
      </c>
      <c r="HU32" s="18">
        <f t="shared" si="270"/>
        <v>0</v>
      </c>
      <c r="HV32" s="18">
        <f t="shared" si="270"/>
        <v>0</v>
      </c>
      <c r="HW32" s="18">
        <f t="shared" si="270"/>
        <v>0</v>
      </c>
      <c r="HX32" s="18">
        <f t="shared" si="270"/>
        <v>0</v>
      </c>
      <c r="HY32" s="18">
        <f t="shared" si="270"/>
        <v>0</v>
      </c>
      <c r="HZ32" s="18">
        <f t="shared" si="270"/>
        <v>0</v>
      </c>
      <c r="IA32" s="18">
        <f t="shared" si="270"/>
        <v>0</v>
      </c>
      <c r="IB32" s="40">
        <f t="shared" si="270"/>
        <v>0</v>
      </c>
    </row>
    <row r="33" spans="1:236" x14ac:dyDescent="0.35">
      <c r="B33" s="17" t="s">
        <v>76</v>
      </c>
      <c r="D33" s="46">
        <f t="shared" si="272"/>
        <v>4.7211625529157739E-4</v>
      </c>
      <c r="E33" s="18">
        <f t="shared" si="272"/>
        <v>0</v>
      </c>
      <c r="F33" s="18">
        <f t="shared" si="259"/>
        <v>0</v>
      </c>
      <c r="G33" s="18">
        <f t="shared" si="259"/>
        <v>0</v>
      </c>
      <c r="H33" s="18">
        <f t="shared" si="259"/>
        <v>0</v>
      </c>
      <c r="I33" s="18">
        <f t="shared" si="259"/>
        <v>0</v>
      </c>
      <c r="J33" s="18">
        <f t="shared" si="259"/>
        <v>0</v>
      </c>
      <c r="K33" s="18">
        <f t="shared" si="259"/>
        <v>0</v>
      </c>
      <c r="L33" s="18">
        <f t="shared" si="259"/>
        <v>0</v>
      </c>
      <c r="M33" s="18">
        <f t="shared" si="259"/>
        <v>0</v>
      </c>
      <c r="N33" s="18">
        <f t="shared" si="259"/>
        <v>0</v>
      </c>
      <c r="O33" s="18">
        <f t="shared" si="259"/>
        <v>0</v>
      </c>
      <c r="P33" s="18">
        <f t="shared" si="259"/>
        <v>0</v>
      </c>
      <c r="Q33" s="18">
        <f t="shared" si="259"/>
        <v>0</v>
      </c>
      <c r="R33" s="18">
        <f t="shared" si="259"/>
        <v>0</v>
      </c>
      <c r="S33" s="18">
        <f t="shared" si="259"/>
        <v>0.63157894736842102</v>
      </c>
      <c r="T33" s="40">
        <f t="shared" si="259"/>
        <v>4.8000212160937751E-4</v>
      </c>
      <c r="V33" s="46">
        <f t="shared" ref="V33:CG34" si="275">IFERROR(V12/V$13,0)</f>
        <v>2.1171250007057086E-3</v>
      </c>
      <c r="W33" s="18">
        <f t="shared" si="275"/>
        <v>0</v>
      </c>
      <c r="X33" s="18">
        <f t="shared" si="275"/>
        <v>0</v>
      </c>
      <c r="Y33" s="18">
        <f t="shared" si="275"/>
        <v>0</v>
      </c>
      <c r="Z33" s="18">
        <f t="shared" si="275"/>
        <v>0</v>
      </c>
      <c r="AA33" s="18">
        <f t="shared" si="275"/>
        <v>0</v>
      </c>
      <c r="AB33" s="18">
        <f t="shared" si="275"/>
        <v>0</v>
      </c>
      <c r="AC33" s="18">
        <f t="shared" si="275"/>
        <v>0</v>
      </c>
      <c r="AD33" s="18">
        <f t="shared" si="275"/>
        <v>0</v>
      </c>
      <c r="AE33" s="18">
        <f t="shared" si="275"/>
        <v>0</v>
      </c>
      <c r="AF33" s="18">
        <f t="shared" si="275"/>
        <v>0</v>
      </c>
      <c r="AG33" s="18">
        <f t="shared" si="275"/>
        <v>0</v>
      </c>
      <c r="AH33" s="18">
        <f t="shared" si="275"/>
        <v>0</v>
      </c>
      <c r="AI33" s="18">
        <f t="shared" si="275"/>
        <v>0</v>
      </c>
      <c r="AJ33" s="18">
        <f t="shared" si="275"/>
        <v>0</v>
      </c>
      <c r="AK33" s="18">
        <f t="shared" si="275"/>
        <v>1</v>
      </c>
      <c r="AL33" s="40">
        <f t="shared" si="275"/>
        <v>2.1612223225089418E-3</v>
      </c>
      <c r="AN33" s="46">
        <f t="shared" si="275"/>
        <v>0</v>
      </c>
      <c r="AO33" s="18">
        <f t="shared" si="275"/>
        <v>0</v>
      </c>
      <c r="AP33" s="18">
        <f t="shared" si="275"/>
        <v>0</v>
      </c>
      <c r="AQ33" s="18">
        <f t="shared" si="275"/>
        <v>0</v>
      </c>
      <c r="AR33" s="18">
        <f t="shared" si="275"/>
        <v>0</v>
      </c>
      <c r="AS33" s="18">
        <f t="shared" si="275"/>
        <v>0</v>
      </c>
      <c r="AT33" s="18">
        <f t="shared" si="275"/>
        <v>0</v>
      </c>
      <c r="AU33" s="18">
        <f t="shared" si="275"/>
        <v>0</v>
      </c>
      <c r="AV33" s="18">
        <f t="shared" si="275"/>
        <v>0</v>
      </c>
      <c r="AW33" s="18">
        <f t="shared" si="275"/>
        <v>0</v>
      </c>
      <c r="AX33" s="18">
        <f t="shared" si="275"/>
        <v>0</v>
      </c>
      <c r="AY33" s="18">
        <f t="shared" si="275"/>
        <v>0</v>
      </c>
      <c r="AZ33" s="18">
        <f t="shared" si="275"/>
        <v>0</v>
      </c>
      <c r="BA33" s="18">
        <f t="shared" si="275"/>
        <v>0</v>
      </c>
      <c r="BB33" s="18">
        <f t="shared" si="275"/>
        <v>0</v>
      </c>
      <c r="BC33" s="18">
        <f t="shared" si="275"/>
        <v>0</v>
      </c>
      <c r="BD33" s="40">
        <f t="shared" si="275"/>
        <v>0</v>
      </c>
      <c r="BF33" s="46">
        <f t="shared" si="275"/>
        <v>0</v>
      </c>
      <c r="BG33" s="18">
        <f t="shared" si="275"/>
        <v>0</v>
      </c>
      <c r="BH33" s="18">
        <f t="shared" si="275"/>
        <v>0</v>
      </c>
      <c r="BI33" s="18">
        <f t="shared" si="275"/>
        <v>0</v>
      </c>
      <c r="BJ33" s="18">
        <f t="shared" si="275"/>
        <v>0</v>
      </c>
      <c r="BK33" s="18">
        <f t="shared" si="275"/>
        <v>0</v>
      </c>
      <c r="BL33" s="18">
        <f t="shared" si="275"/>
        <v>0</v>
      </c>
      <c r="BM33" s="18">
        <f t="shared" si="275"/>
        <v>0</v>
      </c>
      <c r="BN33" s="18">
        <f t="shared" si="275"/>
        <v>0</v>
      </c>
      <c r="BO33" s="18">
        <f t="shared" si="275"/>
        <v>0</v>
      </c>
      <c r="BP33" s="18">
        <f t="shared" si="275"/>
        <v>0</v>
      </c>
      <c r="BQ33" s="18">
        <f t="shared" si="275"/>
        <v>0</v>
      </c>
      <c r="BR33" s="18">
        <f t="shared" si="275"/>
        <v>0</v>
      </c>
      <c r="BS33" s="18">
        <f t="shared" si="275"/>
        <v>0</v>
      </c>
      <c r="BT33" s="18">
        <f t="shared" si="275"/>
        <v>0</v>
      </c>
      <c r="BU33" s="18">
        <f t="shared" si="275"/>
        <v>0</v>
      </c>
      <c r="BV33" s="40">
        <f t="shared" si="275"/>
        <v>0</v>
      </c>
      <c r="BX33" s="46">
        <f t="shared" si="275"/>
        <v>0</v>
      </c>
      <c r="BY33" s="18">
        <f t="shared" si="275"/>
        <v>0</v>
      </c>
      <c r="BZ33" s="18">
        <f t="shared" si="275"/>
        <v>0</v>
      </c>
      <c r="CA33" s="18">
        <f t="shared" si="275"/>
        <v>0</v>
      </c>
      <c r="CB33" s="18">
        <f t="shared" si="275"/>
        <v>0</v>
      </c>
      <c r="CC33" s="18">
        <f t="shared" si="275"/>
        <v>0</v>
      </c>
      <c r="CD33" s="18">
        <f t="shared" si="275"/>
        <v>0</v>
      </c>
      <c r="CE33" s="18">
        <f t="shared" si="275"/>
        <v>0</v>
      </c>
      <c r="CF33" s="18">
        <f t="shared" si="275"/>
        <v>0</v>
      </c>
      <c r="CG33" s="18">
        <f t="shared" si="275"/>
        <v>0</v>
      </c>
      <c r="CH33" s="18">
        <f t="shared" si="263"/>
        <v>0</v>
      </c>
      <c r="CI33" s="18">
        <f t="shared" si="263"/>
        <v>0</v>
      </c>
      <c r="CJ33" s="18">
        <f t="shared" si="263"/>
        <v>0</v>
      </c>
      <c r="CK33" s="18">
        <f t="shared" si="263"/>
        <v>0</v>
      </c>
      <c r="CL33" s="18">
        <f t="shared" si="263"/>
        <v>0</v>
      </c>
      <c r="CM33" s="18">
        <f t="shared" si="263"/>
        <v>0</v>
      </c>
      <c r="CN33" s="40">
        <f t="shared" si="263"/>
        <v>0</v>
      </c>
      <c r="CP33" s="46">
        <f t="shared" si="264"/>
        <v>0</v>
      </c>
      <c r="CQ33" s="18">
        <f t="shared" si="264"/>
        <v>0</v>
      </c>
      <c r="CR33" s="18">
        <f t="shared" si="264"/>
        <v>0</v>
      </c>
      <c r="CS33" s="18">
        <f t="shared" si="264"/>
        <v>0</v>
      </c>
      <c r="CT33" s="18">
        <f t="shared" si="264"/>
        <v>0</v>
      </c>
      <c r="CU33" s="18">
        <f t="shared" si="264"/>
        <v>0</v>
      </c>
      <c r="CV33" s="18">
        <f t="shared" si="264"/>
        <v>0</v>
      </c>
      <c r="CW33" s="18">
        <f t="shared" si="264"/>
        <v>0</v>
      </c>
      <c r="CX33" s="18">
        <f t="shared" si="264"/>
        <v>0</v>
      </c>
      <c r="CY33" s="18">
        <f t="shared" si="264"/>
        <v>0</v>
      </c>
      <c r="CZ33" s="18">
        <f t="shared" si="264"/>
        <v>0</v>
      </c>
      <c r="DA33" s="18">
        <f t="shared" si="264"/>
        <v>0</v>
      </c>
      <c r="DB33" s="18">
        <f t="shared" si="264"/>
        <v>0</v>
      </c>
      <c r="DC33" s="18">
        <f t="shared" si="264"/>
        <v>0</v>
      </c>
      <c r="DD33" s="18">
        <f t="shared" si="264"/>
        <v>0</v>
      </c>
      <c r="DE33" s="18">
        <f t="shared" si="264"/>
        <v>0</v>
      </c>
      <c r="DF33" s="40">
        <f t="shared" si="264"/>
        <v>0</v>
      </c>
      <c r="DH33" s="46">
        <f t="shared" si="264"/>
        <v>0</v>
      </c>
      <c r="DI33" s="18">
        <f t="shared" si="264"/>
        <v>0</v>
      </c>
      <c r="DJ33" s="18">
        <f t="shared" si="264"/>
        <v>0</v>
      </c>
      <c r="DK33" s="18">
        <f t="shared" si="264"/>
        <v>0</v>
      </c>
      <c r="DL33" s="18">
        <f t="shared" si="264"/>
        <v>0</v>
      </c>
      <c r="DM33" s="18">
        <f t="shared" si="264"/>
        <v>0</v>
      </c>
      <c r="DN33" s="18">
        <f t="shared" si="264"/>
        <v>0</v>
      </c>
      <c r="DO33" s="18">
        <f t="shared" si="264"/>
        <v>0</v>
      </c>
      <c r="DP33" s="18">
        <f t="shared" si="264"/>
        <v>0</v>
      </c>
      <c r="DQ33" s="18">
        <f t="shared" si="264"/>
        <v>0</v>
      </c>
      <c r="DR33" s="18">
        <f t="shared" si="264"/>
        <v>0</v>
      </c>
      <c r="DS33" s="18">
        <f t="shared" si="264"/>
        <v>0</v>
      </c>
      <c r="DT33" s="18">
        <f t="shared" si="264"/>
        <v>0</v>
      </c>
      <c r="DU33" s="18">
        <f t="shared" si="264"/>
        <v>0</v>
      </c>
      <c r="DV33" s="18">
        <f t="shared" si="265"/>
        <v>0</v>
      </c>
      <c r="DW33" s="18">
        <f t="shared" si="265"/>
        <v>0</v>
      </c>
      <c r="DX33" s="40">
        <f t="shared" si="265"/>
        <v>0</v>
      </c>
      <c r="DZ33" s="46">
        <f t="shared" si="266"/>
        <v>0</v>
      </c>
      <c r="EA33" s="18">
        <f t="shared" si="266"/>
        <v>0</v>
      </c>
      <c r="EB33" s="18">
        <f t="shared" si="266"/>
        <v>0</v>
      </c>
      <c r="EC33" s="18">
        <f t="shared" si="266"/>
        <v>0</v>
      </c>
      <c r="ED33" s="18">
        <f t="shared" si="266"/>
        <v>0</v>
      </c>
      <c r="EE33" s="18">
        <f t="shared" si="266"/>
        <v>0</v>
      </c>
      <c r="EF33" s="18">
        <f t="shared" si="266"/>
        <v>0</v>
      </c>
      <c r="EG33" s="18">
        <f t="shared" si="266"/>
        <v>0</v>
      </c>
      <c r="EH33" s="18">
        <f t="shared" si="266"/>
        <v>0</v>
      </c>
      <c r="EI33" s="18">
        <f t="shared" si="266"/>
        <v>0</v>
      </c>
      <c r="EJ33" s="18">
        <f t="shared" si="266"/>
        <v>0</v>
      </c>
      <c r="EK33" s="18">
        <f t="shared" si="266"/>
        <v>0</v>
      </c>
      <c r="EL33" s="18">
        <f t="shared" si="266"/>
        <v>0</v>
      </c>
      <c r="EM33" s="18">
        <f t="shared" si="266"/>
        <v>0</v>
      </c>
      <c r="EN33" s="18">
        <f t="shared" si="266"/>
        <v>0</v>
      </c>
      <c r="EO33" s="18">
        <f t="shared" si="266"/>
        <v>0</v>
      </c>
      <c r="EP33" s="40">
        <f t="shared" si="266"/>
        <v>0</v>
      </c>
      <c r="ER33" s="46">
        <f t="shared" si="266"/>
        <v>0</v>
      </c>
      <c r="ES33" s="18">
        <f t="shared" si="266"/>
        <v>0</v>
      </c>
      <c r="ET33" s="18">
        <f t="shared" si="266"/>
        <v>0</v>
      </c>
      <c r="EU33" s="18">
        <f t="shared" si="266"/>
        <v>0</v>
      </c>
      <c r="EV33" s="18">
        <f t="shared" si="266"/>
        <v>0</v>
      </c>
      <c r="EW33" s="18">
        <f t="shared" si="266"/>
        <v>0</v>
      </c>
      <c r="EX33" s="18">
        <f t="shared" si="266"/>
        <v>0</v>
      </c>
      <c r="EY33" s="18">
        <f t="shared" si="266"/>
        <v>0</v>
      </c>
      <c r="EZ33" s="18">
        <f t="shared" si="266"/>
        <v>0</v>
      </c>
      <c r="FA33" s="18">
        <f t="shared" si="266"/>
        <v>0</v>
      </c>
      <c r="FB33" s="18">
        <f t="shared" si="266"/>
        <v>0</v>
      </c>
      <c r="FC33" s="18">
        <f t="shared" si="266"/>
        <v>0</v>
      </c>
      <c r="FD33" s="18">
        <f t="shared" si="266"/>
        <v>0</v>
      </c>
      <c r="FE33" s="18">
        <f t="shared" si="266"/>
        <v>0</v>
      </c>
      <c r="FF33" s="18">
        <f t="shared" si="267"/>
        <v>0</v>
      </c>
      <c r="FG33" s="18">
        <f t="shared" si="267"/>
        <v>0</v>
      </c>
      <c r="FH33" s="40">
        <f t="shared" si="267"/>
        <v>0</v>
      </c>
      <c r="FJ33" s="46">
        <f t="shared" si="268"/>
        <v>0</v>
      </c>
      <c r="FK33" s="18">
        <f t="shared" si="268"/>
        <v>0</v>
      </c>
      <c r="FL33" s="18">
        <f t="shared" si="268"/>
        <v>0</v>
      </c>
      <c r="FM33" s="18">
        <f t="shared" si="268"/>
        <v>0</v>
      </c>
      <c r="FN33" s="18">
        <f t="shared" si="268"/>
        <v>0</v>
      </c>
      <c r="FO33" s="18">
        <f t="shared" si="268"/>
        <v>0</v>
      </c>
      <c r="FP33" s="18">
        <f t="shared" si="268"/>
        <v>0</v>
      </c>
      <c r="FQ33" s="18">
        <f t="shared" si="268"/>
        <v>0</v>
      </c>
      <c r="FR33" s="18">
        <f t="shared" si="268"/>
        <v>0</v>
      </c>
      <c r="FS33" s="18">
        <f t="shared" si="268"/>
        <v>0</v>
      </c>
      <c r="FT33" s="18">
        <f t="shared" si="268"/>
        <v>0</v>
      </c>
      <c r="FU33" s="18">
        <f t="shared" si="268"/>
        <v>0</v>
      </c>
      <c r="FV33" s="18">
        <f t="shared" si="268"/>
        <v>0</v>
      </c>
      <c r="FW33" s="18">
        <f t="shared" si="268"/>
        <v>0</v>
      </c>
      <c r="FX33" s="18">
        <f t="shared" si="268"/>
        <v>0</v>
      </c>
      <c r="FY33" s="18">
        <f t="shared" si="268"/>
        <v>0</v>
      </c>
      <c r="FZ33" s="40">
        <f t="shared" si="268"/>
        <v>0</v>
      </c>
      <c r="GB33" s="46">
        <f t="shared" si="268"/>
        <v>0</v>
      </c>
      <c r="GC33" s="18">
        <f t="shared" si="268"/>
        <v>0</v>
      </c>
      <c r="GD33" s="18">
        <f t="shared" si="268"/>
        <v>0</v>
      </c>
      <c r="GE33" s="18">
        <f t="shared" si="268"/>
        <v>0</v>
      </c>
      <c r="GF33" s="18">
        <f t="shared" si="268"/>
        <v>0</v>
      </c>
      <c r="GG33" s="18">
        <f t="shared" si="268"/>
        <v>0</v>
      </c>
      <c r="GH33" s="18">
        <f t="shared" si="268"/>
        <v>0</v>
      </c>
      <c r="GI33" s="18">
        <f t="shared" si="268"/>
        <v>0</v>
      </c>
      <c r="GJ33" s="18">
        <f t="shared" si="268"/>
        <v>0</v>
      </c>
      <c r="GK33" s="18">
        <f t="shared" si="268"/>
        <v>0</v>
      </c>
      <c r="GL33" s="18">
        <f t="shared" si="268"/>
        <v>0</v>
      </c>
      <c r="GM33" s="18">
        <f t="shared" si="268"/>
        <v>0</v>
      </c>
      <c r="GN33" s="18">
        <f t="shared" si="268"/>
        <v>0</v>
      </c>
      <c r="GO33" s="18">
        <f t="shared" si="268"/>
        <v>0</v>
      </c>
      <c r="GP33" s="18">
        <f t="shared" si="269"/>
        <v>0</v>
      </c>
      <c r="GQ33" s="18">
        <f t="shared" si="269"/>
        <v>0</v>
      </c>
      <c r="GR33" s="40">
        <f t="shared" si="269"/>
        <v>0</v>
      </c>
      <c r="GT33" s="46">
        <f t="shared" si="270"/>
        <v>0</v>
      </c>
      <c r="GU33" s="18">
        <f t="shared" si="270"/>
        <v>0</v>
      </c>
      <c r="GV33" s="18">
        <f t="shared" si="270"/>
        <v>0</v>
      </c>
      <c r="GW33" s="18">
        <f t="shared" si="270"/>
        <v>0</v>
      </c>
      <c r="GX33" s="18">
        <f t="shared" si="270"/>
        <v>0</v>
      </c>
      <c r="GY33" s="18">
        <f t="shared" si="270"/>
        <v>0</v>
      </c>
      <c r="GZ33" s="18">
        <f t="shared" si="270"/>
        <v>0</v>
      </c>
      <c r="HA33" s="18">
        <f t="shared" si="270"/>
        <v>0</v>
      </c>
      <c r="HB33" s="18">
        <f t="shared" si="270"/>
        <v>0</v>
      </c>
      <c r="HC33" s="18">
        <f t="shared" si="270"/>
        <v>0</v>
      </c>
      <c r="HD33" s="18">
        <f t="shared" si="270"/>
        <v>0</v>
      </c>
      <c r="HE33" s="18">
        <f t="shared" si="270"/>
        <v>0</v>
      </c>
      <c r="HF33" s="18">
        <f t="shared" si="270"/>
        <v>0</v>
      </c>
      <c r="HG33" s="18">
        <f t="shared" si="270"/>
        <v>0</v>
      </c>
      <c r="HH33" s="18">
        <f t="shared" si="270"/>
        <v>0</v>
      </c>
      <c r="HI33" s="18">
        <f t="shared" si="270"/>
        <v>0</v>
      </c>
      <c r="HJ33" s="40">
        <f t="shared" si="270"/>
        <v>0</v>
      </c>
      <c r="HL33" s="46">
        <f t="shared" si="270"/>
        <v>0</v>
      </c>
      <c r="HM33" s="18">
        <f t="shared" si="270"/>
        <v>0</v>
      </c>
      <c r="HN33" s="18">
        <f t="shared" si="270"/>
        <v>0</v>
      </c>
      <c r="HO33" s="18">
        <f t="shared" si="270"/>
        <v>0</v>
      </c>
      <c r="HP33" s="18">
        <f t="shared" si="270"/>
        <v>0</v>
      </c>
      <c r="HQ33" s="18">
        <f t="shared" si="270"/>
        <v>0</v>
      </c>
      <c r="HR33" s="18">
        <f t="shared" si="270"/>
        <v>0</v>
      </c>
      <c r="HS33" s="18">
        <f t="shared" si="270"/>
        <v>0</v>
      </c>
      <c r="HT33" s="18">
        <f t="shared" si="270"/>
        <v>0</v>
      </c>
      <c r="HU33" s="18">
        <f t="shared" si="270"/>
        <v>0</v>
      </c>
      <c r="HV33" s="18">
        <f t="shared" si="270"/>
        <v>0</v>
      </c>
      <c r="HW33" s="18">
        <f t="shared" si="270"/>
        <v>0</v>
      </c>
      <c r="HX33" s="18">
        <f t="shared" si="270"/>
        <v>0</v>
      </c>
      <c r="HY33" s="18">
        <f t="shared" si="270"/>
        <v>0</v>
      </c>
      <c r="HZ33" s="18">
        <f t="shared" si="270"/>
        <v>0</v>
      </c>
      <c r="IA33" s="18">
        <f t="shared" si="270"/>
        <v>0</v>
      </c>
      <c r="IB33" s="40">
        <f t="shared" si="270"/>
        <v>0</v>
      </c>
    </row>
    <row r="34" spans="1:236" s="1" customFormat="1" x14ac:dyDescent="0.35">
      <c r="A34" s="6"/>
      <c r="B34" s="35" t="s">
        <v>158</v>
      </c>
      <c r="D34" s="47">
        <f t="shared" si="272"/>
        <v>1</v>
      </c>
      <c r="E34" s="38">
        <f t="shared" si="272"/>
        <v>1</v>
      </c>
      <c r="F34" s="38">
        <f t="shared" si="259"/>
        <v>1</v>
      </c>
      <c r="G34" s="38">
        <f t="shared" si="259"/>
        <v>1</v>
      </c>
      <c r="H34" s="38">
        <f t="shared" si="259"/>
        <v>0</v>
      </c>
      <c r="I34" s="38">
        <f t="shared" si="259"/>
        <v>1</v>
      </c>
      <c r="J34" s="38">
        <f t="shared" si="259"/>
        <v>1</v>
      </c>
      <c r="K34" s="38">
        <f t="shared" si="259"/>
        <v>1</v>
      </c>
      <c r="L34" s="38">
        <f t="shared" si="259"/>
        <v>1</v>
      </c>
      <c r="M34" s="38">
        <f t="shared" si="259"/>
        <v>1</v>
      </c>
      <c r="N34" s="38">
        <f t="shared" si="259"/>
        <v>1</v>
      </c>
      <c r="O34" s="38">
        <f t="shared" si="259"/>
        <v>1</v>
      </c>
      <c r="P34" s="38">
        <f t="shared" si="259"/>
        <v>1</v>
      </c>
      <c r="Q34" s="38">
        <f t="shared" si="259"/>
        <v>1</v>
      </c>
      <c r="R34" s="38">
        <f t="shared" si="259"/>
        <v>1</v>
      </c>
      <c r="S34" s="38">
        <f t="shared" si="259"/>
        <v>1</v>
      </c>
      <c r="T34" s="39">
        <f t="shared" si="259"/>
        <v>1</v>
      </c>
      <c r="V34" s="47">
        <f t="shared" si="275"/>
        <v>1</v>
      </c>
      <c r="W34" s="38">
        <f t="shared" si="275"/>
        <v>1</v>
      </c>
      <c r="X34" s="38">
        <f t="shared" si="275"/>
        <v>1</v>
      </c>
      <c r="Y34" s="38">
        <f t="shared" si="275"/>
        <v>1</v>
      </c>
      <c r="Z34" s="38">
        <f t="shared" si="275"/>
        <v>0</v>
      </c>
      <c r="AA34" s="38">
        <f t="shared" si="275"/>
        <v>1</v>
      </c>
      <c r="AB34" s="38">
        <f t="shared" si="275"/>
        <v>1</v>
      </c>
      <c r="AC34" s="38">
        <f t="shared" si="275"/>
        <v>1</v>
      </c>
      <c r="AD34" s="38">
        <f t="shared" si="275"/>
        <v>1</v>
      </c>
      <c r="AE34" s="38">
        <f t="shared" si="275"/>
        <v>0</v>
      </c>
      <c r="AF34" s="38">
        <f t="shared" si="275"/>
        <v>1</v>
      </c>
      <c r="AG34" s="38">
        <f t="shared" si="275"/>
        <v>1</v>
      </c>
      <c r="AH34" s="38">
        <f t="shared" si="275"/>
        <v>1</v>
      </c>
      <c r="AI34" s="38">
        <f t="shared" si="275"/>
        <v>1</v>
      </c>
      <c r="AJ34" s="38">
        <f t="shared" si="275"/>
        <v>1</v>
      </c>
      <c r="AK34" s="38">
        <f t="shared" si="275"/>
        <v>1</v>
      </c>
      <c r="AL34" s="39">
        <f t="shared" si="275"/>
        <v>1</v>
      </c>
      <c r="AN34" s="47">
        <f t="shared" si="275"/>
        <v>1</v>
      </c>
      <c r="AO34" s="38">
        <f t="shared" si="275"/>
        <v>1</v>
      </c>
      <c r="AP34" s="38">
        <f t="shared" si="275"/>
        <v>1</v>
      </c>
      <c r="AQ34" s="38">
        <f t="shared" si="275"/>
        <v>1</v>
      </c>
      <c r="AR34" s="38">
        <f t="shared" si="275"/>
        <v>0</v>
      </c>
      <c r="AS34" s="38">
        <f t="shared" si="275"/>
        <v>1</v>
      </c>
      <c r="AT34" s="38">
        <f t="shared" si="275"/>
        <v>1</v>
      </c>
      <c r="AU34" s="38">
        <f t="shared" si="275"/>
        <v>1</v>
      </c>
      <c r="AV34" s="38">
        <f t="shared" si="275"/>
        <v>0</v>
      </c>
      <c r="AW34" s="38">
        <f t="shared" si="275"/>
        <v>0</v>
      </c>
      <c r="AX34" s="38">
        <f t="shared" si="275"/>
        <v>1</v>
      </c>
      <c r="AY34" s="38">
        <f t="shared" si="275"/>
        <v>1</v>
      </c>
      <c r="AZ34" s="38">
        <f t="shared" si="275"/>
        <v>1</v>
      </c>
      <c r="BA34" s="38">
        <f t="shared" si="275"/>
        <v>0</v>
      </c>
      <c r="BB34" s="38">
        <f t="shared" si="275"/>
        <v>1</v>
      </c>
      <c r="BC34" s="38">
        <f t="shared" si="275"/>
        <v>0</v>
      </c>
      <c r="BD34" s="39">
        <f t="shared" si="275"/>
        <v>1</v>
      </c>
      <c r="BF34" s="47">
        <f t="shared" si="275"/>
        <v>1</v>
      </c>
      <c r="BG34" s="38">
        <f t="shared" si="275"/>
        <v>1</v>
      </c>
      <c r="BH34" s="38">
        <f t="shared" si="275"/>
        <v>1</v>
      </c>
      <c r="BI34" s="38">
        <f t="shared" si="275"/>
        <v>1</v>
      </c>
      <c r="BJ34" s="38">
        <f t="shared" si="275"/>
        <v>0</v>
      </c>
      <c r="BK34" s="38">
        <f t="shared" si="275"/>
        <v>1</v>
      </c>
      <c r="BL34" s="38">
        <f t="shared" si="275"/>
        <v>1</v>
      </c>
      <c r="BM34" s="38">
        <f t="shared" si="275"/>
        <v>1</v>
      </c>
      <c r="BN34" s="38">
        <f t="shared" si="275"/>
        <v>0</v>
      </c>
      <c r="BO34" s="38">
        <f t="shared" si="275"/>
        <v>0</v>
      </c>
      <c r="BP34" s="38">
        <f t="shared" si="275"/>
        <v>1</v>
      </c>
      <c r="BQ34" s="38">
        <f t="shared" si="275"/>
        <v>1</v>
      </c>
      <c r="BR34" s="38">
        <f t="shared" si="275"/>
        <v>1</v>
      </c>
      <c r="BS34" s="38">
        <f t="shared" si="275"/>
        <v>1</v>
      </c>
      <c r="BT34" s="38">
        <f t="shared" si="275"/>
        <v>1</v>
      </c>
      <c r="BU34" s="38">
        <f t="shared" si="275"/>
        <v>1</v>
      </c>
      <c r="BV34" s="39">
        <f t="shared" si="275"/>
        <v>1</v>
      </c>
      <c r="BX34" s="47">
        <f t="shared" si="275"/>
        <v>1</v>
      </c>
      <c r="BY34" s="38">
        <f t="shared" si="275"/>
        <v>1</v>
      </c>
      <c r="BZ34" s="38">
        <f t="shared" si="275"/>
        <v>1</v>
      </c>
      <c r="CA34" s="38">
        <f t="shared" si="275"/>
        <v>1</v>
      </c>
      <c r="CB34" s="38">
        <f t="shared" si="275"/>
        <v>0</v>
      </c>
      <c r="CC34" s="38">
        <f t="shared" si="275"/>
        <v>1</v>
      </c>
      <c r="CD34" s="38">
        <f t="shared" si="275"/>
        <v>0</v>
      </c>
      <c r="CE34" s="38">
        <f t="shared" si="275"/>
        <v>1</v>
      </c>
      <c r="CF34" s="38">
        <f t="shared" si="275"/>
        <v>0</v>
      </c>
      <c r="CG34" s="38">
        <f t="shared" si="275"/>
        <v>1</v>
      </c>
      <c r="CH34" s="38">
        <f t="shared" si="263"/>
        <v>1</v>
      </c>
      <c r="CI34" s="38">
        <f t="shared" si="263"/>
        <v>1</v>
      </c>
      <c r="CJ34" s="38">
        <f t="shared" si="263"/>
        <v>1</v>
      </c>
      <c r="CK34" s="38">
        <f t="shared" si="263"/>
        <v>1</v>
      </c>
      <c r="CL34" s="38">
        <f t="shared" si="263"/>
        <v>1</v>
      </c>
      <c r="CM34" s="38">
        <f t="shared" si="263"/>
        <v>0</v>
      </c>
      <c r="CN34" s="39">
        <f t="shared" si="263"/>
        <v>1</v>
      </c>
      <c r="CP34" s="47">
        <f t="shared" si="264"/>
        <v>0</v>
      </c>
      <c r="CQ34" s="38">
        <f t="shared" si="264"/>
        <v>0</v>
      </c>
      <c r="CR34" s="38">
        <f t="shared" si="264"/>
        <v>0</v>
      </c>
      <c r="CS34" s="38">
        <f t="shared" si="264"/>
        <v>0</v>
      </c>
      <c r="CT34" s="38">
        <f t="shared" si="264"/>
        <v>0</v>
      </c>
      <c r="CU34" s="38">
        <f t="shared" si="264"/>
        <v>0</v>
      </c>
      <c r="CV34" s="38">
        <f t="shared" si="264"/>
        <v>0</v>
      </c>
      <c r="CW34" s="38">
        <f t="shared" si="264"/>
        <v>0</v>
      </c>
      <c r="CX34" s="38">
        <f t="shared" si="264"/>
        <v>0</v>
      </c>
      <c r="CY34" s="38">
        <f t="shared" si="264"/>
        <v>0</v>
      </c>
      <c r="CZ34" s="38">
        <f t="shared" si="264"/>
        <v>0</v>
      </c>
      <c r="DA34" s="38">
        <f t="shared" si="264"/>
        <v>0</v>
      </c>
      <c r="DB34" s="38">
        <f t="shared" si="264"/>
        <v>0</v>
      </c>
      <c r="DC34" s="38">
        <f t="shared" si="264"/>
        <v>0</v>
      </c>
      <c r="DD34" s="38">
        <f t="shared" si="264"/>
        <v>0</v>
      </c>
      <c r="DE34" s="38">
        <f t="shared" si="264"/>
        <v>0</v>
      </c>
      <c r="DF34" s="39">
        <f t="shared" si="264"/>
        <v>0</v>
      </c>
      <c r="DH34" s="47">
        <f t="shared" si="264"/>
        <v>0</v>
      </c>
      <c r="DI34" s="38">
        <f t="shared" si="264"/>
        <v>0</v>
      </c>
      <c r="DJ34" s="38">
        <f t="shared" si="264"/>
        <v>0</v>
      </c>
      <c r="DK34" s="38">
        <f t="shared" si="264"/>
        <v>0</v>
      </c>
      <c r="DL34" s="38">
        <f t="shared" si="264"/>
        <v>0</v>
      </c>
      <c r="DM34" s="38">
        <f t="shared" si="264"/>
        <v>0</v>
      </c>
      <c r="DN34" s="38">
        <f t="shared" si="264"/>
        <v>0</v>
      </c>
      <c r="DO34" s="38">
        <f t="shared" si="264"/>
        <v>0</v>
      </c>
      <c r="DP34" s="38">
        <f t="shared" si="264"/>
        <v>0</v>
      </c>
      <c r="DQ34" s="38">
        <f t="shared" si="264"/>
        <v>0</v>
      </c>
      <c r="DR34" s="38">
        <f t="shared" si="264"/>
        <v>0</v>
      </c>
      <c r="DS34" s="38">
        <f t="shared" si="264"/>
        <v>0</v>
      </c>
      <c r="DT34" s="38">
        <f t="shared" si="264"/>
        <v>0</v>
      </c>
      <c r="DU34" s="38">
        <f t="shared" si="264"/>
        <v>0</v>
      </c>
      <c r="DV34" s="38">
        <f t="shared" si="265"/>
        <v>0</v>
      </c>
      <c r="DW34" s="38">
        <f t="shared" si="265"/>
        <v>0</v>
      </c>
      <c r="DX34" s="39">
        <f t="shared" si="265"/>
        <v>0</v>
      </c>
      <c r="DZ34" s="47">
        <f t="shared" si="266"/>
        <v>0</v>
      </c>
      <c r="EA34" s="38">
        <f t="shared" si="266"/>
        <v>0</v>
      </c>
      <c r="EB34" s="38">
        <f t="shared" si="266"/>
        <v>0</v>
      </c>
      <c r="EC34" s="38">
        <f t="shared" si="266"/>
        <v>0</v>
      </c>
      <c r="ED34" s="38">
        <f t="shared" si="266"/>
        <v>0</v>
      </c>
      <c r="EE34" s="38">
        <f t="shared" si="266"/>
        <v>0</v>
      </c>
      <c r="EF34" s="38">
        <f t="shared" si="266"/>
        <v>0</v>
      </c>
      <c r="EG34" s="38">
        <f t="shared" si="266"/>
        <v>0</v>
      </c>
      <c r="EH34" s="38">
        <f t="shared" si="266"/>
        <v>0</v>
      </c>
      <c r="EI34" s="38">
        <f t="shared" si="266"/>
        <v>0</v>
      </c>
      <c r="EJ34" s="38">
        <f t="shared" si="266"/>
        <v>0</v>
      </c>
      <c r="EK34" s="38">
        <f t="shared" si="266"/>
        <v>0</v>
      </c>
      <c r="EL34" s="38">
        <f t="shared" si="266"/>
        <v>0</v>
      </c>
      <c r="EM34" s="38">
        <f t="shared" si="266"/>
        <v>0</v>
      </c>
      <c r="EN34" s="38">
        <f t="shared" si="266"/>
        <v>0</v>
      </c>
      <c r="EO34" s="38">
        <f t="shared" si="266"/>
        <v>0</v>
      </c>
      <c r="EP34" s="39">
        <f t="shared" si="266"/>
        <v>0</v>
      </c>
      <c r="ER34" s="47">
        <f t="shared" si="266"/>
        <v>0</v>
      </c>
      <c r="ES34" s="38">
        <f t="shared" si="266"/>
        <v>0</v>
      </c>
      <c r="ET34" s="38">
        <f t="shared" si="266"/>
        <v>0</v>
      </c>
      <c r="EU34" s="38">
        <f t="shared" si="266"/>
        <v>0</v>
      </c>
      <c r="EV34" s="38">
        <f t="shared" si="266"/>
        <v>0</v>
      </c>
      <c r="EW34" s="38">
        <f t="shared" si="266"/>
        <v>0</v>
      </c>
      <c r="EX34" s="38">
        <f t="shared" si="266"/>
        <v>0</v>
      </c>
      <c r="EY34" s="38">
        <f t="shared" si="266"/>
        <v>0</v>
      </c>
      <c r="EZ34" s="38">
        <f t="shared" si="266"/>
        <v>0</v>
      </c>
      <c r="FA34" s="38">
        <f t="shared" si="266"/>
        <v>0</v>
      </c>
      <c r="FB34" s="38">
        <f t="shared" si="266"/>
        <v>0</v>
      </c>
      <c r="FC34" s="38">
        <f t="shared" si="266"/>
        <v>0</v>
      </c>
      <c r="FD34" s="38">
        <f t="shared" si="266"/>
        <v>0</v>
      </c>
      <c r="FE34" s="38">
        <f t="shared" si="266"/>
        <v>0</v>
      </c>
      <c r="FF34" s="38">
        <f t="shared" si="267"/>
        <v>0</v>
      </c>
      <c r="FG34" s="38">
        <f t="shared" si="267"/>
        <v>0</v>
      </c>
      <c r="FH34" s="39">
        <f t="shared" si="267"/>
        <v>0</v>
      </c>
      <c r="FJ34" s="47">
        <f t="shared" si="268"/>
        <v>0</v>
      </c>
      <c r="FK34" s="38">
        <f t="shared" si="268"/>
        <v>0</v>
      </c>
      <c r="FL34" s="38">
        <f t="shared" si="268"/>
        <v>0</v>
      </c>
      <c r="FM34" s="38">
        <f t="shared" si="268"/>
        <v>0</v>
      </c>
      <c r="FN34" s="38">
        <f t="shared" si="268"/>
        <v>0</v>
      </c>
      <c r="FO34" s="38">
        <f t="shared" si="268"/>
        <v>0</v>
      </c>
      <c r="FP34" s="38">
        <f t="shared" si="268"/>
        <v>0</v>
      </c>
      <c r="FQ34" s="38">
        <f t="shared" si="268"/>
        <v>0</v>
      </c>
      <c r="FR34" s="38">
        <f t="shared" si="268"/>
        <v>0</v>
      </c>
      <c r="FS34" s="38">
        <f t="shared" si="268"/>
        <v>0</v>
      </c>
      <c r="FT34" s="38">
        <f t="shared" si="268"/>
        <v>0</v>
      </c>
      <c r="FU34" s="38">
        <f t="shared" si="268"/>
        <v>0</v>
      </c>
      <c r="FV34" s="38">
        <f t="shared" si="268"/>
        <v>0</v>
      </c>
      <c r="FW34" s="38">
        <f t="shared" si="268"/>
        <v>0</v>
      </c>
      <c r="FX34" s="38">
        <f t="shared" si="268"/>
        <v>0</v>
      </c>
      <c r="FY34" s="38">
        <f t="shared" si="268"/>
        <v>0</v>
      </c>
      <c r="FZ34" s="39">
        <f t="shared" si="268"/>
        <v>0</v>
      </c>
      <c r="GB34" s="47">
        <f t="shared" si="268"/>
        <v>0</v>
      </c>
      <c r="GC34" s="38">
        <f t="shared" si="268"/>
        <v>0</v>
      </c>
      <c r="GD34" s="38">
        <f t="shared" si="268"/>
        <v>0</v>
      </c>
      <c r="GE34" s="38">
        <f t="shared" si="268"/>
        <v>0</v>
      </c>
      <c r="GF34" s="38">
        <f t="shared" si="268"/>
        <v>0</v>
      </c>
      <c r="GG34" s="38">
        <f t="shared" si="268"/>
        <v>0</v>
      </c>
      <c r="GH34" s="38">
        <f t="shared" si="268"/>
        <v>0</v>
      </c>
      <c r="GI34" s="38">
        <f t="shared" si="268"/>
        <v>0</v>
      </c>
      <c r="GJ34" s="38">
        <f t="shared" si="268"/>
        <v>0</v>
      </c>
      <c r="GK34" s="38">
        <f t="shared" si="268"/>
        <v>0</v>
      </c>
      <c r="GL34" s="38">
        <f t="shared" si="268"/>
        <v>0</v>
      </c>
      <c r="GM34" s="38">
        <f t="shared" si="268"/>
        <v>0</v>
      </c>
      <c r="GN34" s="38">
        <f t="shared" si="268"/>
        <v>0</v>
      </c>
      <c r="GO34" s="38">
        <f t="shared" si="268"/>
        <v>0</v>
      </c>
      <c r="GP34" s="38">
        <f t="shared" si="269"/>
        <v>0</v>
      </c>
      <c r="GQ34" s="38">
        <f t="shared" si="269"/>
        <v>0</v>
      </c>
      <c r="GR34" s="39">
        <f t="shared" si="269"/>
        <v>0</v>
      </c>
      <c r="GT34" s="47">
        <f t="shared" si="270"/>
        <v>0</v>
      </c>
      <c r="GU34" s="38">
        <f t="shared" si="270"/>
        <v>0</v>
      </c>
      <c r="GV34" s="38">
        <f t="shared" si="270"/>
        <v>0</v>
      </c>
      <c r="GW34" s="38">
        <f t="shared" si="270"/>
        <v>0</v>
      </c>
      <c r="GX34" s="38">
        <f t="shared" si="270"/>
        <v>0</v>
      </c>
      <c r="GY34" s="38">
        <f t="shared" si="270"/>
        <v>0</v>
      </c>
      <c r="GZ34" s="38">
        <f t="shared" si="270"/>
        <v>0</v>
      </c>
      <c r="HA34" s="38">
        <f t="shared" si="270"/>
        <v>0</v>
      </c>
      <c r="HB34" s="38">
        <f t="shared" si="270"/>
        <v>0</v>
      </c>
      <c r="HC34" s="38">
        <f t="shared" si="270"/>
        <v>0</v>
      </c>
      <c r="HD34" s="38">
        <f t="shared" si="270"/>
        <v>0</v>
      </c>
      <c r="HE34" s="38">
        <f t="shared" si="270"/>
        <v>0</v>
      </c>
      <c r="HF34" s="38">
        <f t="shared" si="270"/>
        <v>0</v>
      </c>
      <c r="HG34" s="38">
        <f t="shared" si="270"/>
        <v>0</v>
      </c>
      <c r="HH34" s="38">
        <f t="shared" si="270"/>
        <v>0</v>
      </c>
      <c r="HI34" s="38">
        <f t="shared" si="270"/>
        <v>0</v>
      </c>
      <c r="HJ34" s="39">
        <f t="shared" si="270"/>
        <v>0</v>
      </c>
      <c r="HL34" s="47">
        <f t="shared" si="270"/>
        <v>0</v>
      </c>
      <c r="HM34" s="38">
        <f t="shared" si="270"/>
        <v>0</v>
      </c>
      <c r="HN34" s="38">
        <f t="shared" si="270"/>
        <v>0</v>
      </c>
      <c r="HO34" s="38">
        <f t="shared" si="270"/>
        <v>0</v>
      </c>
      <c r="HP34" s="38">
        <f t="shared" si="270"/>
        <v>0</v>
      </c>
      <c r="HQ34" s="38">
        <f t="shared" si="270"/>
        <v>0</v>
      </c>
      <c r="HR34" s="38">
        <f t="shared" si="270"/>
        <v>0</v>
      </c>
      <c r="HS34" s="38">
        <f t="shared" si="270"/>
        <v>0</v>
      </c>
      <c r="HT34" s="38">
        <f t="shared" si="270"/>
        <v>0</v>
      </c>
      <c r="HU34" s="38">
        <f t="shared" si="270"/>
        <v>0</v>
      </c>
      <c r="HV34" s="38">
        <f t="shared" si="270"/>
        <v>0</v>
      </c>
      <c r="HW34" s="38">
        <f t="shared" si="270"/>
        <v>0</v>
      </c>
      <c r="HX34" s="38">
        <f t="shared" si="270"/>
        <v>0</v>
      </c>
      <c r="HY34" s="38">
        <f t="shared" si="270"/>
        <v>0</v>
      </c>
      <c r="HZ34" s="38">
        <f t="shared" si="270"/>
        <v>0</v>
      </c>
      <c r="IA34" s="38">
        <f t="shared" si="270"/>
        <v>0</v>
      </c>
      <c r="IB34" s="39">
        <f t="shared" si="270"/>
        <v>0</v>
      </c>
    </row>
    <row r="35" spans="1:236" x14ac:dyDescent="0.35">
      <c r="P35" s="2"/>
      <c r="Q35" s="2"/>
      <c r="R35" s="2"/>
    </row>
    <row r="36" spans="1:236" x14ac:dyDescent="0.35">
      <c r="P36" s="2"/>
      <c r="Q36" s="2"/>
      <c r="R36" s="2"/>
    </row>
    <row r="37" spans="1:236" x14ac:dyDescent="0.35">
      <c r="P37" s="2"/>
      <c r="Q37" s="2"/>
      <c r="R37" s="2"/>
    </row>
    <row r="38" spans="1:236" x14ac:dyDescent="0.35">
      <c r="P38" s="2"/>
      <c r="Q38" s="2"/>
      <c r="R38" s="2"/>
    </row>
    <row r="39" spans="1:236" x14ac:dyDescent="0.35">
      <c r="P39" s="2"/>
      <c r="Q39" s="2"/>
      <c r="R39" s="2"/>
    </row>
    <row r="40" spans="1:236" x14ac:dyDescent="0.35">
      <c r="P40" s="2"/>
      <c r="Q40" s="2"/>
      <c r="R40" s="2"/>
    </row>
    <row r="41" spans="1:236" x14ac:dyDescent="0.35">
      <c r="P41" s="2"/>
      <c r="Q41" s="2"/>
      <c r="R41" s="2"/>
    </row>
    <row r="42" spans="1:236" x14ac:dyDescent="0.35">
      <c r="P42" s="2"/>
      <c r="Q42" s="2"/>
      <c r="R42" s="2"/>
    </row>
    <row r="43" spans="1:236" x14ac:dyDescent="0.35">
      <c r="P43" s="2"/>
      <c r="Q43" s="2"/>
      <c r="R43" s="2"/>
    </row>
    <row r="44" spans="1:236" x14ac:dyDescent="0.35">
      <c r="P44" s="2"/>
      <c r="Q44" s="2"/>
      <c r="R44" s="2"/>
    </row>
  </sheetData>
  <mergeCells count="14">
    <mergeCell ref="BX4:CN4"/>
    <mergeCell ref="B4:B5"/>
    <mergeCell ref="D4:T4"/>
    <mergeCell ref="V4:AL4"/>
    <mergeCell ref="AN4:BD4"/>
    <mergeCell ref="BF4:BV4"/>
    <mergeCell ref="GT4:HJ4"/>
    <mergeCell ref="HL4:IB4"/>
    <mergeCell ref="CP4:DF4"/>
    <mergeCell ref="DH4:DX4"/>
    <mergeCell ref="DZ4:EP4"/>
    <mergeCell ref="ER4:FH4"/>
    <mergeCell ref="FJ4:FZ4"/>
    <mergeCell ref="GB4:GR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3B96-A559-4ED8-86DF-9BE77678C8B6}">
  <sheetPr>
    <tabColor rgb="FFFFC000"/>
  </sheetPr>
  <dimension ref="A1:IB44"/>
  <sheetViews>
    <sheetView showGridLines="0" zoomScaleNormal="100" workbookViewId="0">
      <pane xSplit="2" ySplit="5" topLeftCell="C20" activePane="bottomRight" state="frozen"/>
      <selection pane="topRight" activeCell="C1" sqref="C1"/>
      <selection pane="bottomLeft" activeCell="A4" sqref="A4"/>
      <selection pane="bottomRight" activeCell="BF35" sqref="BF35"/>
    </sheetView>
  </sheetViews>
  <sheetFormatPr defaultRowHeight="14.5" outlineLevelRow="1" outlineLevelCol="1" x14ac:dyDescent="0.35"/>
  <cols>
    <col min="1" max="1" width="3.08203125" style="5" hidden="1" customWidth="1" outlineLevel="1"/>
    <col min="2" max="2" width="14.9140625" customWidth="1" collapsed="1"/>
    <col min="3" max="3" width="0.75" customWidth="1"/>
    <col min="4" max="4" width="12.4140625" bestFit="1" customWidth="1"/>
    <col min="5" max="12" width="12.4140625" hidden="1" customWidth="1" outlineLevel="1"/>
    <col min="13" max="13" width="17.08203125" hidden="1" customWidth="1" outlineLevel="1"/>
    <col min="14" max="19" width="12.4140625" hidden="1" customWidth="1" outlineLevel="1"/>
    <col min="20" max="20" width="12.4140625" customWidth="1" collapsed="1"/>
    <col min="21" max="21" width="0.75" customWidth="1"/>
    <col min="22" max="22" width="11.33203125" bestFit="1" customWidth="1"/>
    <col min="23" max="32" width="11.25" hidden="1" customWidth="1" outlineLevel="1"/>
    <col min="33" max="37" width="13" hidden="1" customWidth="1" outlineLevel="1"/>
    <col min="38" max="38" width="12.25" bestFit="1" customWidth="1" collapsed="1"/>
    <col min="39" max="39" width="0.75" customWidth="1"/>
    <col min="40" max="40" width="11.33203125" bestFit="1" customWidth="1"/>
    <col min="41" max="50" width="11.25" hidden="1" customWidth="1" outlineLevel="1"/>
    <col min="51" max="55" width="13" hidden="1" customWidth="1" outlineLevel="1"/>
    <col min="56" max="56" width="12.25" bestFit="1" customWidth="1" collapsed="1"/>
    <col min="57" max="57" width="0.75" customWidth="1"/>
    <col min="58" max="58" width="11.33203125" bestFit="1" customWidth="1"/>
    <col min="59" max="68" width="11.25" hidden="1" customWidth="1" outlineLevel="1"/>
    <col min="69" max="73" width="13" hidden="1" customWidth="1" outlineLevel="1"/>
    <col min="74" max="74" width="12.25" bestFit="1" customWidth="1" collapsed="1"/>
    <col min="75" max="75" width="0.75" customWidth="1"/>
    <col min="76" max="76" width="11.33203125" bestFit="1" customWidth="1"/>
    <col min="77" max="86" width="11.25" hidden="1" customWidth="1" outlineLevel="1"/>
    <col min="87" max="91" width="13" hidden="1" customWidth="1" outlineLevel="1"/>
    <col min="92" max="92" width="12.25" bestFit="1" customWidth="1" collapsed="1"/>
    <col min="93" max="93" width="0.75" customWidth="1"/>
    <col min="94" max="94" width="11.33203125" bestFit="1" customWidth="1"/>
    <col min="95" max="104" width="11.25" hidden="1" customWidth="1" outlineLevel="1"/>
    <col min="105" max="109" width="13" hidden="1" customWidth="1" outlineLevel="1"/>
    <col min="110" max="110" width="12.25" bestFit="1" customWidth="1" collapsed="1"/>
    <col min="111" max="111" width="0.75" customWidth="1"/>
    <col min="112" max="112" width="11.33203125" bestFit="1" customWidth="1"/>
    <col min="113" max="122" width="11.25" hidden="1" customWidth="1" outlineLevel="1"/>
    <col min="123" max="127" width="13" hidden="1" customWidth="1" outlineLevel="1"/>
    <col min="128" max="128" width="12.25" bestFit="1" customWidth="1" collapsed="1"/>
    <col min="129" max="129" width="0.75" customWidth="1"/>
    <col min="130" max="130" width="11.33203125" bestFit="1" customWidth="1"/>
    <col min="131" max="140" width="11.25" hidden="1" customWidth="1" outlineLevel="1"/>
    <col min="141" max="145" width="13" hidden="1" customWidth="1" outlineLevel="1"/>
    <col min="146" max="146" width="12.25" bestFit="1" customWidth="1" collapsed="1"/>
    <col min="147" max="147" width="0.75" customWidth="1"/>
    <col min="148" max="148" width="11.33203125" bestFit="1" customWidth="1"/>
    <col min="149" max="158" width="11.25" hidden="1" customWidth="1" outlineLevel="1"/>
    <col min="159" max="163" width="13" hidden="1" customWidth="1" outlineLevel="1"/>
    <col min="164" max="164" width="12.25" bestFit="1" customWidth="1" collapsed="1"/>
    <col min="165" max="165" width="0.75" customWidth="1"/>
    <col min="166" max="166" width="11.33203125" bestFit="1" customWidth="1"/>
    <col min="167" max="176" width="11.25" hidden="1" customWidth="1" outlineLevel="1"/>
    <col min="177" max="181" width="13" hidden="1" customWidth="1" outlineLevel="1"/>
    <col min="182" max="182" width="12.25" bestFit="1" customWidth="1" collapsed="1"/>
    <col min="183" max="183" width="0.75" customWidth="1"/>
    <col min="184" max="184" width="11.33203125" bestFit="1" customWidth="1"/>
    <col min="185" max="194" width="11.25" hidden="1" customWidth="1" outlineLevel="1"/>
    <col min="195" max="199" width="13" hidden="1" customWidth="1" outlineLevel="1"/>
    <col min="200" max="200" width="12.25" bestFit="1" customWidth="1" collapsed="1"/>
    <col min="201" max="201" width="0.75" customWidth="1"/>
    <col min="202" max="202" width="11.33203125" bestFit="1" customWidth="1"/>
    <col min="203" max="212" width="11.25" hidden="1" customWidth="1" outlineLevel="1"/>
    <col min="213" max="217" width="13" hidden="1" customWidth="1" outlineLevel="1"/>
    <col min="218" max="218" width="12.25" bestFit="1" customWidth="1" collapsed="1"/>
    <col min="219" max="219" width="0.75" customWidth="1"/>
    <col min="220" max="220" width="11.33203125" bestFit="1" customWidth="1"/>
    <col min="221" max="230" width="11.25" hidden="1" customWidth="1" outlineLevel="1"/>
    <col min="231" max="235" width="13" hidden="1" customWidth="1" outlineLevel="1"/>
    <col min="236" max="236" width="12.25" bestFit="1" customWidth="1" collapsed="1"/>
  </cols>
  <sheetData>
    <row r="1" spans="1:236" s="5" customFormat="1" x14ac:dyDescent="0.35">
      <c r="D1" s="5">
        <v>2025</v>
      </c>
      <c r="E1" s="5">
        <v>2025</v>
      </c>
      <c r="F1" s="5">
        <v>2025</v>
      </c>
      <c r="G1" s="5">
        <v>2025</v>
      </c>
      <c r="H1" s="5">
        <v>2025</v>
      </c>
      <c r="I1" s="5">
        <v>2025</v>
      </c>
      <c r="J1" s="5">
        <v>2025</v>
      </c>
      <c r="K1" s="5">
        <v>2025</v>
      </c>
      <c r="L1" s="5">
        <v>2025</v>
      </c>
      <c r="M1" s="5">
        <v>2025</v>
      </c>
      <c r="N1" s="5">
        <v>2025</v>
      </c>
      <c r="O1" s="5">
        <v>2025</v>
      </c>
      <c r="P1" s="5">
        <v>2025</v>
      </c>
      <c r="Q1" s="5">
        <v>2025</v>
      </c>
      <c r="R1" s="5">
        <v>2025</v>
      </c>
      <c r="S1" s="5">
        <v>2025</v>
      </c>
      <c r="T1" s="5">
        <v>2025</v>
      </c>
      <c r="V1" s="5">
        <v>2025</v>
      </c>
      <c r="W1" s="5">
        <v>2025</v>
      </c>
      <c r="X1" s="5">
        <v>2025</v>
      </c>
      <c r="Y1" s="5">
        <v>2025</v>
      </c>
      <c r="Z1" s="5">
        <v>2025</v>
      </c>
      <c r="AA1" s="5">
        <v>2025</v>
      </c>
      <c r="AB1" s="5">
        <v>2025</v>
      </c>
      <c r="AC1" s="5">
        <v>2025</v>
      </c>
      <c r="AD1" s="5">
        <v>2025</v>
      </c>
      <c r="AE1" s="5">
        <v>2025</v>
      </c>
      <c r="AF1" s="5">
        <v>2025</v>
      </c>
      <c r="AG1" s="5">
        <v>2025</v>
      </c>
      <c r="AH1" s="5">
        <v>2025</v>
      </c>
      <c r="AI1" s="5">
        <v>2025</v>
      </c>
      <c r="AJ1" s="5">
        <v>2025</v>
      </c>
      <c r="AK1" s="5">
        <v>2025</v>
      </c>
      <c r="AN1" s="5">
        <v>2025</v>
      </c>
      <c r="AO1" s="5">
        <v>2025</v>
      </c>
      <c r="AP1" s="5">
        <v>2025</v>
      </c>
      <c r="AQ1" s="5">
        <v>2025</v>
      </c>
      <c r="AR1" s="5">
        <v>2025</v>
      </c>
      <c r="AS1" s="5">
        <v>2025</v>
      </c>
      <c r="AT1" s="5">
        <v>2025</v>
      </c>
      <c r="AU1" s="5">
        <v>2025</v>
      </c>
      <c r="AV1" s="5">
        <v>2025</v>
      </c>
      <c r="AW1" s="5">
        <v>2025</v>
      </c>
      <c r="AX1" s="5">
        <v>2025</v>
      </c>
      <c r="AY1" s="5">
        <v>2025</v>
      </c>
      <c r="AZ1" s="5">
        <v>2025</v>
      </c>
      <c r="BA1" s="5">
        <v>2025</v>
      </c>
      <c r="BB1" s="5">
        <v>2025</v>
      </c>
      <c r="BC1" s="5">
        <v>2025</v>
      </c>
      <c r="BF1" s="5">
        <v>2025</v>
      </c>
      <c r="BG1" s="5">
        <v>2025</v>
      </c>
      <c r="BH1" s="5">
        <v>2025</v>
      </c>
      <c r="BI1" s="5">
        <v>2025</v>
      </c>
      <c r="BJ1" s="5">
        <v>2025</v>
      </c>
      <c r="BK1" s="5">
        <v>2025</v>
      </c>
      <c r="BL1" s="5">
        <v>2025</v>
      </c>
      <c r="BM1" s="5">
        <v>2025</v>
      </c>
      <c r="BN1" s="5">
        <v>2025</v>
      </c>
      <c r="BO1" s="5">
        <v>2025</v>
      </c>
      <c r="BP1" s="5">
        <v>2025</v>
      </c>
      <c r="BQ1" s="5">
        <v>2025</v>
      </c>
      <c r="BR1" s="5">
        <v>2025</v>
      </c>
      <c r="BS1" s="5">
        <v>2025</v>
      </c>
      <c r="BT1" s="5">
        <v>2025</v>
      </c>
      <c r="BU1" s="5">
        <v>2025</v>
      </c>
      <c r="BX1" s="5">
        <v>2025</v>
      </c>
      <c r="BY1" s="5">
        <v>2025</v>
      </c>
      <c r="BZ1" s="5">
        <v>2025</v>
      </c>
      <c r="CA1" s="5">
        <v>2025</v>
      </c>
      <c r="CB1" s="5">
        <v>2025</v>
      </c>
      <c r="CC1" s="5">
        <v>2025</v>
      </c>
      <c r="CD1" s="5">
        <v>2025</v>
      </c>
      <c r="CE1" s="5">
        <v>2025</v>
      </c>
      <c r="CF1" s="5">
        <v>2025</v>
      </c>
      <c r="CG1" s="5">
        <v>2025</v>
      </c>
      <c r="CH1" s="5">
        <v>2025</v>
      </c>
      <c r="CI1" s="5">
        <v>2025</v>
      </c>
      <c r="CJ1" s="5">
        <v>2025</v>
      </c>
      <c r="CK1" s="5">
        <v>2025</v>
      </c>
      <c r="CL1" s="5">
        <v>2025</v>
      </c>
      <c r="CM1" s="5">
        <v>2025</v>
      </c>
      <c r="CP1" s="5">
        <v>2025</v>
      </c>
      <c r="CQ1" s="5">
        <v>2025</v>
      </c>
      <c r="CR1" s="5">
        <v>2025</v>
      </c>
      <c r="CS1" s="5">
        <v>2025</v>
      </c>
      <c r="CT1" s="5">
        <v>2025</v>
      </c>
      <c r="CU1" s="5">
        <v>2025</v>
      </c>
      <c r="CV1" s="5">
        <v>2025</v>
      </c>
      <c r="CW1" s="5">
        <v>2025</v>
      </c>
      <c r="CX1" s="5">
        <v>2025</v>
      </c>
      <c r="CY1" s="5">
        <v>2025</v>
      </c>
      <c r="CZ1" s="5">
        <v>2025</v>
      </c>
      <c r="DA1" s="5">
        <v>2025</v>
      </c>
      <c r="DB1" s="5">
        <v>2025</v>
      </c>
      <c r="DC1" s="5">
        <v>2025</v>
      </c>
      <c r="DD1" s="5">
        <v>2025</v>
      </c>
      <c r="DE1" s="5">
        <v>2025</v>
      </c>
      <c r="DH1" s="5">
        <v>2025</v>
      </c>
      <c r="DI1" s="5">
        <v>2025</v>
      </c>
      <c r="DJ1" s="5">
        <v>2025</v>
      </c>
      <c r="DK1" s="5">
        <v>2025</v>
      </c>
      <c r="DL1" s="5">
        <v>2025</v>
      </c>
      <c r="DM1" s="5">
        <v>2025</v>
      </c>
      <c r="DN1" s="5">
        <v>2025</v>
      </c>
      <c r="DO1" s="5">
        <v>2025</v>
      </c>
      <c r="DP1" s="5">
        <v>2025</v>
      </c>
      <c r="DQ1" s="5">
        <v>2025</v>
      </c>
      <c r="DR1" s="5">
        <v>2025</v>
      </c>
      <c r="DS1" s="5">
        <v>2025</v>
      </c>
      <c r="DT1" s="5">
        <v>2025</v>
      </c>
      <c r="DU1" s="5">
        <v>2025</v>
      </c>
      <c r="DV1" s="5">
        <v>2025</v>
      </c>
      <c r="DW1" s="5">
        <v>2025</v>
      </c>
      <c r="DZ1" s="5">
        <v>2025</v>
      </c>
      <c r="EA1" s="5">
        <v>2025</v>
      </c>
      <c r="EB1" s="5">
        <v>2025</v>
      </c>
      <c r="EC1" s="5">
        <v>2025</v>
      </c>
      <c r="ED1" s="5">
        <v>2025</v>
      </c>
      <c r="EE1" s="5">
        <v>2025</v>
      </c>
      <c r="EF1" s="5">
        <v>2025</v>
      </c>
      <c r="EG1" s="5">
        <v>2025</v>
      </c>
      <c r="EH1" s="5">
        <v>2025</v>
      </c>
      <c r="EI1" s="5">
        <v>2025</v>
      </c>
      <c r="EJ1" s="5">
        <v>2025</v>
      </c>
      <c r="EK1" s="5">
        <v>2025</v>
      </c>
      <c r="EL1" s="5">
        <v>2025</v>
      </c>
      <c r="EM1" s="5">
        <v>2025</v>
      </c>
      <c r="EN1" s="5">
        <v>2025</v>
      </c>
      <c r="EO1" s="5">
        <v>2025</v>
      </c>
      <c r="ER1" s="5">
        <v>2025</v>
      </c>
      <c r="ES1" s="5">
        <v>2025</v>
      </c>
      <c r="ET1" s="5">
        <v>2025</v>
      </c>
      <c r="EU1" s="5">
        <v>2025</v>
      </c>
      <c r="EV1" s="5">
        <v>2025</v>
      </c>
      <c r="EW1" s="5">
        <v>2025</v>
      </c>
      <c r="EX1" s="5">
        <v>2025</v>
      </c>
      <c r="EY1" s="5">
        <v>2025</v>
      </c>
      <c r="EZ1" s="5">
        <v>2025</v>
      </c>
      <c r="FA1" s="5">
        <v>2025</v>
      </c>
      <c r="FB1" s="5">
        <v>2025</v>
      </c>
      <c r="FC1" s="5">
        <v>2025</v>
      </c>
      <c r="FD1" s="5">
        <v>2025</v>
      </c>
      <c r="FE1" s="5">
        <v>2025</v>
      </c>
      <c r="FF1" s="5">
        <v>2025</v>
      </c>
      <c r="FG1" s="5">
        <v>2025</v>
      </c>
      <c r="FJ1" s="5">
        <v>2025</v>
      </c>
      <c r="FK1" s="5">
        <v>2025</v>
      </c>
      <c r="FL1" s="5">
        <v>2025</v>
      </c>
      <c r="FM1" s="5">
        <v>2025</v>
      </c>
      <c r="FN1" s="5">
        <v>2025</v>
      </c>
      <c r="FO1" s="5">
        <v>2025</v>
      </c>
      <c r="FP1" s="5">
        <v>2025</v>
      </c>
      <c r="FQ1" s="5">
        <v>2025</v>
      </c>
      <c r="FR1" s="5">
        <v>2025</v>
      </c>
      <c r="FS1" s="5">
        <v>2025</v>
      </c>
      <c r="FT1" s="5">
        <v>2025</v>
      </c>
      <c r="FU1" s="5">
        <v>2025</v>
      </c>
      <c r="FV1" s="5">
        <v>2025</v>
      </c>
      <c r="FW1" s="5">
        <v>2025</v>
      </c>
      <c r="FX1" s="5">
        <v>2025</v>
      </c>
      <c r="FY1" s="5">
        <v>2025</v>
      </c>
      <c r="GB1" s="5">
        <v>2025</v>
      </c>
      <c r="GC1" s="5">
        <v>2025</v>
      </c>
      <c r="GD1" s="5">
        <v>2025</v>
      </c>
      <c r="GE1" s="5">
        <v>2025</v>
      </c>
      <c r="GF1" s="5">
        <v>2025</v>
      </c>
      <c r="GG1" s="5">
        <v>2025</v>
      </c>
      <c r="GH1" s="5">
        <v>2025</v>
      </c>
      <c r="GI1" s="5">
        <v>2025</v>
      </c>
      <c r="GJ1" s="5">
        <v>2025</v>
      </c>
      <c r="GK1" s="5">
        <v>2025</v>
      </c>
      <c r="GL1" s="5">
        <v>2025</v>
      </c>
      <c r="GM1" s="5">
        <v>2025</v>
      </c>
      <c r="GN1" s="5">
        <v>2025</v>
      </c>
      <c r="GO1" s="5">
        <v>2025</v>
      </c>
      <c r="GP1" s="5">
        <v>2025</v>
      </c>
      <c r="GQ1" s="5">
        <v>2025</v>
      </c>
      <c r="GT1" s="5">
        <v>2025</v>
      </c>
      <c r="GU1" s="5">
        <v>2025</v>
      </c>
      <c r="GV1" s="5">
        <v>2025</v>
      </c>
      <c r="GW1" s="5">
        <v>2025</v>
      </c>
      <c r="GX1" s="5">
        <v>2025</v>
      </c>
      <c r="GY1" s="5">
        <v>2025</v>
      </c>
      <c r="GZ1" s="5">
        <v>2025</v>
      </c>
      <c r="HA1" s="5">
        <v>2025</v>
      </c>
      <c r="HB1" s="5">
        <v>2025</v>
      </c>
      <c r="HC1" s="5">
        <v>2025</v>
      </c>
      <c r="HD1" s="5">
        <v>2025</v>
      </c>
      <c r="HE1" s="5">
        <v>2025</v>
      </c>
      <c r="HF1" s="5">
        <v>2025</v>
      </c>
      <c r="HG1" s="5">
        <v>2025</v>
      </c>
      <c r="HH1" s="5">
        <v>2025</v>
      </c>
      <c r="HI1" s="5">
        <v>2025</v>
      </c>
      <c r="HL1" s="5">
        <v>2025</v>
      </c>
      <c r="HM1" s="5">
        <v>2025</v>
      </c>
      <c r="HN1" s="5">
        <v>2025</v>
      </c>
      <c r="HO1" s="5">
        <v>2025</v>
      </c>
      <c r="HP1" s="5">
        <v>2025</v>
      </c>
      <c r="HQ1" s="5">
        <v>2025</v>
      </c>
      <c r="HR1" s="5">
        <v>2025</v>
      </c>
      <c r="HS1" s="5">
        <v>2025</v>
      </c>
      <c r="HT1" s="5">
        <v>2025</v>
      </c>
      <c r="HU1" s="5">
        <v>2025</v>
      </c>
      <c r="HV1" s="5">
        <v>2025</v>
      </c>
      <c r="HW1" s="5">
        <v>2025</v>
      </c>
      <c r="HX1" s="5">
        <v>2025</v>
      </c>
      <c r="HY1" s="5">
        <v>2025</v>
      </c>
      <c r="HZ1" s="5">
        <v>2025</v>
      </c>
      <c r="IA1" s="5">
        <v>2025</v>
      </c>
    </row>
    <row r="2" spans="1:236" s="5" customFormat="1" outlineLevel="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 t="s">
        <v>80</v>
      </c>
      <c r="S2" s="5" t="s">
        <v>80</v>
      </c>
      <c r="T2" s="5" t="s">
        <v>80</v>
      </c>
      <c r="V2" s="5">
        <v>1</v>
      </c>
      <c r="W2" s="5">
        <v>1</v>
      </c>
      <c r="X2" s="5">
        <f>W2</f>
        <v>1</v>
      </c>
      <c r="Y2" s="5">
        <f t="shared" ref="Y2:AK2" si="0">X2</f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>
        <f t="shared" si="0"/>
        <v>1</v>
      </c>
      <c r="AH2" s="5">
        <f t="shared" si="0"/>
        <v>1</v>
      </c>
      <c r="AI2" s="5">
        <f t="shared" si="0"/>
        <v>1</v>
      </c>
      <c r="AJ2" s="5">
        <f t="shared" si="0"/>
        <v>1</v>
      </c>
      <c r="AK2" s="5">
        <f t="shared" si="0"/>
        <v>1</v>
      </c>
      <c r="AN2" s="5">
        <f>V2+1</f>
        <v>2</v>
      </c>
      <c r="AO2" s="5">
        <f>AN2</f>
        <v>2</v>
      </c>
      <c r="AP2" s="5">
        <f t="shared" ref="AP2:BC2" si="1">AO2</f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>
        <f t="shared" si="1"/>
        <v>2</v>
      </c>
      <c r="AW2" s="5">
        <f t="shared" si="1"/>
        <v>2</v>
      </c>
      <c r="AX2" s="5">
        <f t="shared" si="1"/>
        <v>2</v>
      </c>
      <c r="AY2" s="5">
        <f t="shared" si="1"/>
        <v>2</v>
      </c>
      <c r="AZ2" s="5">
        <f t="shared" si="1"/>
        <v>2</v>
      </c>
      <c r="BA2" s="5">
        <f t="shared" si="1"/>
        <v>2</v>
      </c>
      <c r="BB2" s="5">
        <f t="shared" si="1"/>
        <v>2</v>
      </c>
      <c r="BC2" s="5">
        <f t="shared" si="1"/>
        <v>2</v>
      </c>
      <c r="BF2" s="5">
        <f>AN2+1</f>
        <v>3</v>
      </c>
      <c r="BG2" s="5">
        <f>BF2</f>
        <v>3</v>
      </c>
      <c r="BH2" s="5">
        <f t="shared" ref="BH2:BU2" si="2">BG2</f>
        <v>3</v>
      </c>
      <c r="BI2" s="5">
        <f t="shared" si="2"/>
        <v>3</v>
      </c>
      <c r="BJ2" s="5">
        <f t="shared" si="2"/>
        <v>3</v>
      </c>
      <c r="BK2" s="5">
        <f t="shared" si="2"/>
        <v>3</v>
      </c>
      <c r="BL2" s="5">
        <f t="shared" si="2"/>
        <v>3</v>
      </c>
      <c r="BM2" s="5">
        <f t="shared" si="2"/>
        <v>3</v>
      </c>
      <c r="BN2" s="5">
        <f t="shared" si="2"/>
        <v>3</v>
      </c>
      <c r="BO2" s="5">
        <f t="shared" si="2"/>
        <v>3</v>
      </c>
      <c r="BP2" s="5">
        <f t="shared" si="2"/>
        <v>3</v>
      </c>
      <c r="BQ2" s="5">
        <f t="shared" si="2"/>
        <v>3</v>
      </c>
      <c r="BR2" s="5">
        <f t="shared" si="2"/>
        <v>3</v>
      </c>
      <c r="BS2" s="5">
        <f t="shared" si="2"/>
        <v>3</v>
      </c>
      <c r="BT2" s="5">
        <f t="shared" si="2"/>
        <v>3</v>
      </c>
      <c r="BU2" s="5">
        <f t="shared" si="2"/>
        <v>3</v>
      </c>
      <c r="BX2" s="5">
        <f>BF2+1</f>
        <v>4</v>
      </c>
      <c r="BY2" s="5">
        <f>BX2</f>
        <v>4</v>
      </c>
      <c r="BZ2" s="5">
        <f t="shared" ref="BZ2:CM2" si="3">BY2</f>
        <v>4</v>
      </c>
      <c r="CA2" s="5">
        <f t="shared" si="3"/>
        <v>4</v>
      </c>
      <c r="CB2" s="5">
        <f t="shared" si="3"/>
        <v>4</v>
      </c>
      <c r="CC2" s="5">
        <f t="shared" si="3"/>
        <v>4</v>
      </c>
      <c r="CD2" s="5">
        <f t="shared" si="3"/>
        <v>4</v>
      </c>
      <c r="CE2" s="5">
        <f t="shared" si="3"/>
        <v>4</v>
      </c>
      <c r="CF2" s="5">
        <f t="shared" si="3"/>
        <v>4</v>
      </c>
      <c r="CG2" s="5">
        <f t="shared" si="3"/>
        <v>4</v>
      </c>
      <c r="CH2" s="5">
        <f t="shared" si="3"/>
        <v>4</v>
      </c>
      <c r="CI2" s="5">
        <f t="shared" si="3"/>
        <v>4</v>
      </c>
      <c r="CJ2" s="5">
        <f t="shared" si="3"/>
        <v>4</v>
      </c>
      <c r="CK2" s="5">
        <f t="shared" si="3"/>
        <v>4</v>
      </c>
      <c r="CL2" s="5">
        <f t="shared" si="3"/>
        <v>4</v>
      </c>
      <c r="CM2" s="5">
        <f t="shared" si="3"/>
        <v>4</v>
      </c>
      <c r="CP2" s="5">
        <f>BX2+1</f>
        <v>5</v>
      </c>
      <c r="CQ2" s="5">
        <f>CP2</f>
        <v>5</v>
      </c>
      <c r="CR2" s="5">
        <f t="shared" ref="CR2:DE2" si="4">CQ2</f>
        <v>5</v>
      </c>
      <c r="CS2" s="5">
        <f t="shared" si="4"/>
        <v>5</v>
      </c>
      <c r="CT2" s="5">
        <f t="shared" si="4"/>
        <v>5</v>
      </c>
      <c r="CU2" s="5">
        <f t="shared" si="4"/>
        <v>5</v>
      </c>
      <c r="CV2" s="5">
        <f t="shared" si="4"/>
        <v>5</v>
      </c>
      <c r="CW2" s="5">
        <f t="shared" si="4"/>
        <v>5</v>
      </c>
      <c r="CX2" s="5">
        <f t="shared" si="4"/>
        <v>5</v>
      </c>
      <c r="CY2" s="5">
        <f t="shared" si="4"/>
        <v>5</v>
      </c>
      <c r="CZ2" s="5">
        <f t="shared" si="4"/>
        <v>5</v>
      </c>
      <c r="DA2" s="5">
        <f t="shared" si="4"/>
        <v>5</v>
      </c>
      <c r="DB2" s="5">
        <f t="shared" si="4"/>
        <v>5</v>
      </c>
      <c r="DC2" s="5">
        <f t="shared" si="4"/>
        <v>5</v>
      </c>
      <c r="DD2" s="5">
        <f t="shared" si="4"/>
        <v>5</v>
      </c>
      <c r="DE2" s="5">
        <f t="shared" si="4"/>
        <v>5</v>
      </c>
      <c r="DH2" s="5">
        <f>CP2+1</f>
        <v>6</v>
      </c>
      <c r="DI2" s="5">
        <f>DH2</f>
        <v>6</v>
      </c>
      <c r="DJ2" s="5">
        <f t="shared" ref="DJ2:DW2" si="5">DI2</f>
        <v>6</v>
      </c>
      <c r="DK2" s="5">
        <f t="shared" si="5"/>
        <v>6</v>
      </c>
      <c r="DL2" s="5">
        <f t="shared" si="5"/>
        <v>6</v>
      </c>
      <c r="DM2" s="5">
        <f t="shared" si="5"/>
        <v>6</v>
      </c>
      <c r="DN2" s="5">
        <f t="shared" si="5"/>
        <v>6</v>
      </c>
      <c r="DO2" s="5">
        <f t="shared" si="5"/>
        <v>6</v>
      </c>
      <c r="DP2" s="5">
        <f t="shared" si="5"/>
        <v>6</v>
      </c>
      <c r="DQ2" s="5">
        <f t="shared" si="5"/>
        <v>6</v>
      </c>
      <c r="DR2" s="5">
        <f t="shared" si="5"/>
        <v>6</v>
      </c>
      <c r="DS2" s="5">
        <f t="shared" si="5"/>
        <v>6</v>
      </c>
      <c r="DT2" s="5">
        <f t="shared" si="5"/>
        <v>6</v>
      </c>
      <c r="DU2" s="5">
        <f t="shared" si="5"/>
        <v>6</v>
      </c>
      <c r="DV2" s="5">
        <f t="shared" si="5"/>
        <v>6</v>
      </c>
      <c r="DW2" s="5">
        <f t="shared" si="5"/>
        <v>6</v>
      </c>
      <c r="DZ2" s="5">
        <f>DH2+1</f>
        <v>7</v>
      </c>
      <c r="EA2" s="5">
        <f>DZ2</f>
        <v>7</v>
      </c>
      <c r="EB2" s="5">
        <f t="shared" ref="EB2:EO2" si="6">EA2</f>
        <v>7</v>
      </c>
      <c r="EC2" s="5">
        <f t="shared" si="6"/>
        <v>7</v>
      </c>
      <c r="ED2" s="5">
        <f t="shared" si="6"/>
        <v>7</v>
      </c>
      <c r="EE2" s="5">
        <f t="shared" si="6"/>
        <v>7</v>
      </c>
      <c r="EF2" s="5">
        <f t="shared" si="6"/>
        <v>7</v>
      </c>
      <c r="EG2" s="5">
        <f t="shared" si="6"/>
        <v>7</v>
      </c>
      <c r="EH2" s="5">
        <f t="shared" si="6"/>
        <v>7</v>
      </c>
      <c r="EI2" s="5">
        <f t="shared" si="6"/>
        <v>7</v>
      </c>
      <c r="EJ2" s="5">
        <f t="shared" si="6"/>
        <v>7</v>
      </c>
      <c r="EK2" s="5">
        <f t="shared" si="6"/>
        <v>7</v>
      </c>
      <c r="EL2" s="5">
        <f t="shared" si="6"/>
        <v>7</v>
      </c>
      <c r="EM2" s="5">
        <f t="shared" si="6"/>
        <v>7</v>
      </c>
      <c r="EN2" s="5">
        <f t="shared" si="6"/>
        <v>7</v>
      </c>
      <c r="EO2" s="5">
        <f t="shared" si="6"/>
        <v>7</v>
      </c>
      <c r="ER2" s="5">
        <f>DZ2+1</f>
        <v>8</v>
      </c>
      <c r="ES2" s="5">
        <f>ER2</f>
        <v>8</v>
      </c>
      <c r="ET2" s="5">
        <f t="shared" ref="ET2:FG2" si="7">ES2</f>
        <v>8</v>
      </c>
      <c r="EU2" s="5">
        <f t="shared" si="7"/>
        <v>8</v>
      </c>
      <c r="EV2" s="5">
        <f t="shared" si="7"/>
        <v>8</v>
      </c>
      <c r="EW2" s="5">
        <f t="shared" si="7"/>
        <v>8</v>
      </c>
      <c r="EX2" s="5">
        <f t="shared" si="7"/>
        <v>8</v>
      </c>
      <c r="EY2" s="5">
        <f t="shared" si="7"/>
        <v>8</v>
      </c>
      <c r="EZ2" s="5">
        <f t="shared" si="7"/>
        <v>8</v>
      </c>
      <c r="FA2" s="5">
        <f t="shared" si="7"/>
        <v>8</v>
      </c>
      <c r="FB2" s="5">
        <f t="shared" si="7"/>
        <v>8</v>
      </c>
      <c r="FC2" s="5">
        <f t="shared" si="7"/>
        <v>8</v>
      </c>
      <c r="FD2" s="5">
        <f t="shared" si="7"/>
        <v>8</v>
      </c>
      <c r="FE2" s="5">
        <f t="shared" si="7"/>
        <v>8</v>
      </c>
      <c r="FF2" s="5">
        <f t="shared" si="7"/>
        <v>8</v>
      </c>
      <c r="FG2" s="5">
        <f t="shared" si="7"/>
        <v>8</v>
      </c>
      <c r="FJ2" s="5">
        <f>ER2+1</f>
        <v>9</v>
      </c>
      <c r="FK2" s="5">
        <f>FJ2</f>
        <v>9</v>
      </c>
      <c r="FL2" s="5">
        <f t="shared" ref="FL2:FY2" si="8">FK2</f>
        <v>9</v>
      </c>
      <c r="FM2" s="5">
        <f t="shared" si="8"/>
        <v>9</v>
      </c>
      <c r="FN2" s="5">
        <f t="shared" si="8"/>
        <v>9</v>
      </c>
      <c r="FO2" s="5">
        <f t="shared" si="8"/>
        <v>9</v>
      </c>
      <c r="FP2" s="5">
        <f t="shared" si="8"/>
        <v>9</v>
      </c>
      <c r="FQ2" s="5">
        <f t="shared" si="8"/>
        <v>9</v>
      </c>
      <c r="FR2" s="5">
        <f t="shared" si="8"/>
        <v>9</v>
      </c>
      <c r="FS2" s="5">
        <f t="shared" si="8"/>
        <v>9</v>
      </c>
      <c r="FT2" s="5">
        <f t="shared" si="8"/>
        <v>9</v>
      </c>
      <c r="FU2" s="5">
        <f t="shared" si="8"/>
        <v>9</v>
      </c>
      <c r="FV2" s="5">
        <f t="shared" si="8"/>
        <v>9</v>
      </c>
      <c r="FW2" s="5">
        <f t="shared" si="8"/>
        <v>9</v>
      </c>
      <c r="FX2" s="5">
        <f t="shared" si="8"/>
        <v>9</v>
      </c>
      <c r="FY2" s="5">
        <f t="shared" si="8"/>
        <v>9</v>
      </c>
      <c r="GB2" s="5">
        <f>FJ2+1</f>
        <v>10</v>
      </c>
      <c r="GC2" s="5">
        <f>GB2</f>
        <v>10</v>
      </c>
      <c r="GD2" s="5">
        <f t="shared" ref="GD2:GQ2" si="9">GC2</f>
        <v>10</v>
      </c>
      <c r="GE2" s="5">
        <f t="shared" si="9"/>
        <v>10</v>
      </c>
      <c r="GF2" s="5">
        <f t="shared" si="9"/>
        <v>10</v>
      </c>
      <c r="GG2" s="5">
        <f t="shared" si="9"/>
        <v>10</v>
      </c>
      <c r="GH2" s="5">
        <f t="shared" si="9"/>
        <v>10</v>
      </c>
      <c r="GI2" s="5">
        <f t="shared" si="9"/>
        <v>10</v>
      </c>
      <c r="GJ2" s="5">
        <f t="shared" si="9"/>
        <v>10</v>
      </c>
      <c r="GK2" s="5">
        <f t="shared" si="9"/>
        <v>10</v>
      </c>
      <c r="GL2" s="5">
        <f t="shared" si="9"/>
        <v>10</v>
      </c>
      <c r="GM2" s="5">
        <f t="shared" si="9"/>
        <v>10</v>
      </c>
      <c r="GN2" s="5">
        <f t="shared" si="9"/>
        <v>10</v>
      </c>
      <c r="GO2" s="5">
        <f t="shared" si="9"/>
        <v>10</v>
      </c>
      <c r="GP2" s="5">
        <f t="shared" si="9"/>
        <v>10</v>
      </c>
      <c r="GQ2" s="5">
        <f t="shared" si="9"/>
        <v>10</v>
      </c>
      <c r="GT2" s="5">
        <f>GB2+1</f>
        <v>11</v>
      </c>
      <c r="GU2" s="5">
        <f>GT2</f>
        <v>11</v>
      </c>
      <c r="GV2" s="5">
        <f t="shared" ref="GV2:HI2" si="10">GU2</f>
        <v>11</v>
      </c>
      <c r="GW2" s="5">
        <f t="shared" si="10"/>
        <v>11</v>
      </c>
      <c r="GX2" s="5">
        <f t="shared" si="10"/>
        <v>11</v>
      </c>
      <c r="GY2" s="5">
        <f t="shared" si="10"/>
        <v>11</v>
      </c>
      <c r="GZ2" s="5">
        <f t="shared" si="10"/>
        <v>11</v>
      </c>
      <c r="HA2" s="5">
        <f t="shared" si="10"/>
        <v>11</v>
      </c>
      <c r="HB2" s="5">
        <f t="shared" si="10"/>
        <v>11</v>
      </c>
      <c r="HC2" s="5">
        <f t="shared" si="10"/>
        <v>11</v>
      </c>
      <c r="HD2" s="5">
        <f t="shared" si="10"/>
        <v>11</v>
      </c>
      <c r="HE2" s="5">
        <f t="shared" si="10"/>
        <v>11</v>
      </c>
      <c r="HF2" s="5">
        <f t="shared" si="10"/>
        <v>11</v>
      </c>
      <c r="HG2" s="5">
        <f t="shared" si="10"/>
        <v>11</v>
      </c>
      <c r="HH2" s="5">
        <f t="shared" si="10"/>
        <v>11</v>
      </c>
      <c r="HI2" s="5">
        <f t="shared" si="10"/>
        <v>11</v>
      </c>
      <c r="HL2" s="5">
        <f>GT2+1</f>
        <v>12</v>
      </c>
      <c r="HM2" s="5">
        <f>HL2</f>
        <v>12</v>
      </c>
      <c r="HN2" s="5">
        <f t="shared" ref="HN2:IA2" si="11">HM2</f>
        <v>12</v>
      </c>
      <c r="HO2" s="5">
        <f t="shared" si="11"/>
        <v>12</v>
      </c>
      <c r="HP2" s="5">
        <f t="shared" si="11"/>
        <v>12</v>
      </c>
      <c r="HQ2" s="5">
        <f t="shared" si="11"/>
        <v>12</v>
      </c>
      <c r="HR2" s="5">
        <f t="shared" si="11"/>
        <v>12</v>
      </c>
      <c r="HS2" s="5">
        <f t="shared" si="11"/>
        <v>12</v>
      </c>
      <c r="HT2" s="5">
        <f t="shared" si="11"/>
        <v>12</v>
      </c>
      <c r="HU2" s="5">
        <f t="shared" si="11"/>
        <v>12</v>
      </c>
      <c r="HV2" s="5">
        <f t="shared" si="11"/>
        <v>12</v>
      </c>
      <c r="HW2" s="5">
        <f t="shared" si="11"/>
        <v>12</v>
      </c>
      <c r="HX2" s="5">
        <f t="shared" si="11"/>
        <v>12</v>
      </c>
      <c r="HY2" s="5">
        <f t="shared" si="11"/>
        <v>12</v>
      </c>
      <c r="HZ2" s="5">
        <f t="shared" si="11"/>
        <v>12</v>
      </c>
      <c r="IA2" s="5">
        <f t="shared" si="11"/>
        <v>12</v>
      </c>
    </row>
    <row r="3" spans="1:236" s="5" customFormat="1" outlineLevel="1" x14ac:dyDescent="0.35">
      <c r="E3" s="5" t="s">
        <v>68</v>
      </c>
      <c r="F3" s="5" t="s">
        <v>69</v>
      </c>
      <c r="G3" s="5" t="s">
        <v>70</v>
      </c>
      <c r="H3" s="5" t="s">
        <v>67</v>
      </c>
      <c r="I3" s="5" t="s">
        <v>71</v>
      </c>
      <c r="J3" s="5" t="s">
        <v>148</v>
      </c>
      <c r="K3" s="5" t="s">
        <v>147</v>
      </c>
      <c r="L3" s="5" t="s">
        <v>149</v>
      </c>
      <c r="M3" s="5" t="s">
        <v>72</v>
      </c>
      <c r="N3" s="5" t="s">
        <v>73</v>
      </c>
      <c r="O3" s="5" t="s">
        <v>74</v>
      </c>
      <c r="P3" s="5" t="s">
        <v>75</v>
      </c>
      <c r="Q3" s="5" t="s">
        <v>150</v>
      </c>
      <c r="R3" s="5" t="s">
        <v>146</v>
      </c>
      <c r="S3" s="5" t="s">
        <v>76</v>
      </c>
      <c r="W3" s="5" t="s">
        <v>68</v>
      </c>
      <c r="X3" s="5" t="s">
        <v>69</v>
      </c>
      <c r="Y3" s="5" t="s">
        <v>70</v>
      </c>
      <c r="Z3" s="5" t="s">
        <v>67</v>
      </c>
      <c r="AA3" s="5" t="s">
        <v>71</v>
      </c>
      <c r="AB3" s="5" t="s">
        <v>148</v>
      </c>
      <c r="AC3" s="5" t="s">
        <v>147</v>
      </c>
      <c r="AD3" s="5" t="s">
        <v>149</v>
      </c>
      <c r="AE3" s="5" t="s">
        <v>72</v>
      </c>
      <c r="AF3" s="5" t="s">
        <v>73</v>
      </c>
      <c r="AG3" s="5" t="s">
        <v>74</v>
      </c>
      <c r="AH3" s="5" t="s">
        <v>75</v>
      </c>
      <c r="AI3" s="5" t="s">
        <v>150</v>
      </c>
      <c r="AJ3" s="5" t="s">
        <v>146</v>
      </c>
      <c r="AK3" s="5" t="s">
        <v>76</v>
      </c>
      <c r="AO3" s="5" t="s">
        <v>68</v>
      </c>
      <c r="AP3" s="5" t="s">
        <v>69</v>
      </c>
      <c r="AQ3" s="5" t="s">
        <v>70</v>
      </c>
      <c r="AR3" s="5" t="s">
        <v>67</v>
      </c>
      <c r="AS3" s="5" t="s">
        <v>71</v>
      </c>
      <c r="AT3" s="5" t="s">
        <v>148</v>
      </c>
      <c r="AU3" s="5" t="s">
        <v>147</v>
      </c>
      <c r="AV3" s="5" t="s">
        <v>149</v>
      </c>
      <c r="AW3" s="5" t="s">
        <v>72</v>
      </c>
      <c r="AX3" s="5" t="s">
        <v>73</v>
      </c>
      <c r="AY3" s="5" t="s">
        <v>74</v>
      </c>
      <c r="AZ3" s="5" t="s">
        <v>75</v>
      </c>
      <c r="BA3" s="5" t="s">
        <v>150</v>
      </c>
      <c r="BB3" s="5" t="s">
        <v>146</v>
      </c>
      <c r="BC3" s="5" t="s">
        <v>76</v>
      </c>
      <c r="BG3" s="5" t="s">
        <v>68</v>
      </c>
      <c r="BH3" s="5" t="s">
        <v>69</v>
      </c>
      <c r="BI3" s="5" t="s">
        <v>70</v>
      </c>
      <c r="BJ3" s="5" t="s">
        <v>67</v>
      </c>
      <c r="BK3" s="5" t="s">
        <v>71</v>
      </c>
      <c r="BL3" s="5" t="s">
        <v>148</v>
      </c>
      <c r="BM3" s="5" t="s">
        <v>147</v>
      </c>
      <c r="BN3" s="5" t="s">
        <v>149</v>
      </c>
      <c r="BO3" s="5" t="s">
        <v>72</v>
      </c>
      <c r="BP3" s="5" t="s">
        <v>73</v>
      </c>
      <c r="BQ3" s="5" t="s">
        <v>74</v>
      </c>
      <c r="BR3" s="5" t="s">
        <v>75</v>
      </c>
      <c r="BS3" s="5" t="s">
        <v>150</v>
      </c>
      <c r="BT3" s="5" t="s">
        <v>146</v>
      </c>
      <c r="BU3" s="5" t="s">
        <v>76</v>
      </c>
      <c r="BY3" s="5" t="s">
        <v>68</v>
      </c>
      <c r="BZ3" s="5" t="s">
        <v>69</v>
      </c>
      <c r="CA3" s="5" t="s">
        <v>70</v>
      </c>
      <c r="CB3" s="5" t="s">
        <v>67</v>
      </c>
      <c r="CC3" s="5" t="s">
        <v>71</v>
      </c>
      <c r="CD3" s="5" t="s">
        <v>148</v>
      </c>
      <c r="CE3" s="5" t="s">
        <v>147</v>
      </c>
      <c r="CF3" s="5" t="s">
        <v>149</v>
      </c>
      <c r="CG3" s="5" t="s">
        <v>72</v>
      </c>
      <c r="CH3" s="5" t="s">
        <v>73</v>
      </c>
      <c r="CI3" s="5" t="s">
        <v>74</v>
      </c>
      <c r="CJ3" s="5" t="s">
        <v>75</v>
      </c>
      <c r="CK3" s="5" t="s">
        <v>150</v>
      </c>
      <c r="CL3" s="5" t="s">
        <v>146</v>
      </c>
      <c r="CM3" s="5" t="s">
        <v>76</v>
      </c>
      <c r="CQ3" s="5" t="s">
        <v>68</v>
      </c>
      <c r="CR3" s="5" t="s">
        <v>69</v>
      </c>
      <c r="CS3" s="5" t="s">
        <v>70</v>
      </c>
      <c r="CT3" s="5" t="s">
        <v>67</v>
      </c>
      <c r="CU3" s="5" t="s">
        <v>71</v>
      </c>
      <c r="CV3" s="5" t="s">
        <v>148</v>
      </c>
      <c r="CW3" s="5" t="s">
        <v>147</v>
      </c>
      <c r="CX3" s="5" t="s">
        <v>149</v>
      </c>
      <c r="CY3" s="5" t="s">
        <v>72</v>
      </c>
      <c r="CZ3" s="5" t="s">
        <v>73</v>
      </c>
      <c r="DA3" s="5" t="s">
        <v>74</v>
      </c>
      <c r="DB3" s="5" t="s">
        <v>75</v>
      </c>
      <c r="DC3" s="5" t="s">
        <v>150</v>
      </c>
      <c r="DD3" s="5" t="s">
        <v>146</v>
      </c>
      <c r="DE3" s="5" t="s">
        <v>76</v>
      </c>
      <c r="DI3" s="5" t="s">
        <v>68</v>
      </c>
      <c r="DJ3" s="5" t="s">
        <v>69</v>
      </c>
      <c r="DK3" s="5" t="s">
        <v>70</v>
      </c>
      <c r="DL3" s="5" t="s">
        <v>67</v>
      </c>
      <c r="DM3" s="5" t="s">
        <v>71</v>
      </c>
      <c r="DN3" s="5" t="s">
        <v>148</v>
      </c>
      <c r="DO3" s="5" t="s">
        <v>147</v>
      </c>
      <c r="DP3" s="5" t="s">
        <v>149</v>
      </c>
      <c r="DQ3" s="5" t="s">
        <v>72</v>
      </c>
      <c r="DR3" s="5" t="s">
        <v>73</v>
      </c>
      <c r="DS3" s="5" t="s">
        <v>74</v>
      </c>
      <c r="DT3" s="5" t="s">
        <v>75</v>
      </c>
      <c r="DU3" s="5" t="s">
        <v>150</v>
      </c>
      <c r="DV3" s="5" t="s">
        <v>146</v>
      </c>
      <c r="DW3" s="5" t="s">
        <v>76</v>
      </c>
      <c r="EA3" s="5" t="s">
        <v>68</v>
      </c>
      <c r="EB3" s="5" t="s">
        <v>69</v>
      </c>
      <c r="EC3" s="5" t="s">
        <v>70</v>
      </c>
      <c r="ED3" s="5" t="s">
        <v>67</v>
      </c>
      <c r="EE3" s="5" t="s">
        <v>71</v>
      </c>
      <c r="EF3" s="5" t="s">
        <v>148</v>
      </c>
      <c r="EG3" s="5" t="s">
        <v>147</v>
      </c>
      <c r="EH3" s="5" t="s">
        <v>149</v>
      </c>
      <c r="EI3" s="5" t="s">
        <v>72</v>
      </c>
      <c r="EJ3" s="5" t="s">
        <v>73</v>
      </c>
      <c r="EK3" s="5" t="s">
        <v>74</v>
      </c>
      <c r="EL3" s="5" t="s">
        <v>75</v>
      </c>
      <c r="EM3" s="5" t="s">
        <v>150</v>
      </c>
      <c r="EN3" s="5" t="s">
        <v>146</v>
      </c>
      <c r="EO3" s="5" t="s">
        <v>76</v>
      </c>
      <c r="ES3" s="5" t="s">
        <v>68</v>
      </c>
      <c r="ET3" s="5" t="s">
        <v>69</v>
      </c>
      <c r="EU3" s="5" t="s">
        <v>70</v>
      </c>
      <c r="EV3" s="5" t="s">
        <v>67</v>
      </c>
      <c r="EW3" s="5" t="s">
        <v>71</v>
      </c>
      <c r="EX3" s="5" t="s">
        <v>148</v>
      </c>
      <c r="EY3" s="5" t="s">
        <v>147</v>
      </c>
      <c r="EZ3" s="5" t="s">
        <v>149</v>
      </c>
      <c r="FA3" s="5" t="s">
        <v>72</v>
      </c>
      <c r="FB3" s="5" t="s">
        <v>73</v>
      </c>
      <c r="FC3" s="5" t="s">
        <v>74</v>
      </c>
      <c r="FD3" s="5" t="s">
        <v>75</v>
      </c>
      <c r="FE3" s="5" t="s">
        <v>150</v>
      </c>
      <c r="FF3" s="5" t="s">
        <v>146</v>
      </c>
      <c r="FG3" s="5" t="s">
        <v>76</v>
      </c>
      <c r="FK3" s="5" t="s">
        <v>68</v>
      </c>
      <c r="FL3" s="5" t="s">
        <v>69</v>
      </c>
      <c r="FM3" s="5" t="s">
        <v>70</v>
      </c>
      <c r="FN3" s="5" t="s">
        <v>67</v>
      </c>
      <c r="FO3" s="5" t="s">
        <v>71</v>
      </c>
      <c r="FP3" s="5" t="s">
        <v>148</v>
      </c>
      <c r="FQ3" s="5" t="s">
        <v>147</v>
      </c>
      <c r="FR3" s="5" t="s">
        <v>149</v>
      </c>
      <c r="FS3" s="5" t="s">
        <v>72</v>
      </c>
      <c r="FT3" s="5" t="s">
        <v>73</v>
      </c>
      <c r="FU3" s="5" t="s">
        <v>74</v>
      </c>
      <c r="FV3" s="5" t="s">
        <v>75</v>
      </c>
      <c r="FW3" s="5" t="s">
        <v>150</v>
      </c>
      <c r="FX3" s="5" t="s">
        <v>146</v>
      </c>
      <c r="FY3" s="5" t="s">
        <v>76</v>
      </c>
      <c r="GC3" s="5" t="s">
        <v>68</v>
      </c>
      <c r="GD3" s="5" t="s">
        <v>69</v>
      </c>
      <c r="GE3" s="5" t="s">
        <v>70</v>
      </c>
      <c r="GF3" s="5" t="s">
        <v>67</v>
      </c>
      <c r="GG3" s="5" t="s">
        <v>71</v>
      </c>
      <c r="GH3" s="5" t="s">
        <v>148</v>
      </c>
      <c r="GI3" s="5" t="s">
        <v>147</v>
      </c>
      <c r="GJ3" s="5" t="s">
        <v>149</v>
      </c>
      <c r="GK3" s="5" t="s">
        <v>72</v>
      </c>
      <c r="GL3" s="5" t="s">
        <v>73</v>
      </c>
      <c r="GM3" s="5" t="s">
        <v>74</v>
      </c>
      <c r="GN3" s="5" t="s">
        <v>75</v>
      </c>
      <c r="GO3" s="5" t="s">
        <v>150</v>
      </c>
      <c r="GP3" s="5" t="s">
        <v>146</v>
      </c>
      <c r="GQ3" s="5" t="s">
        <v>76</v>
      </c>
      <c r="GU3" s="5" t="s">
        <v>68</v>
      </c>
      <c r="GV3" s="5" t="s">
        <v>69</v>
      </c>
      <c r="GW3" s="5" t="s">
        <v>70</v>
      </c>
      <c r="GX3" s="5" t="s">
        <v>67</v>
      </c>
      <c r="GY3" s="5" t="s">
        <v>71</v>
      </c>
      <c r="GZ3" s="5" t="s">
        <v>148</v>
      </c>
      <c r="HA3" s="5" t="s">
        <v>147</v>
      </c>
      <c r="HB3" s="5" t="s">
        <v>149</v>
      </c>
      <c r="HC3" s="5" t="s">
        <v>72</v>
      </c>
      <c r="HD3" s="5" t="s">
        <v>73</v>
      </c>
      <c r="HE3" s="5" t="s">
        <v>74</v>
      </c>
      <c r="HF3" s="5" t="s">
        <v>75</v>
      </c>
      <c r="HG3" s="5" t="s">
        <v>150</v>
      </c>
      <c r="HH3" s="5" t="s">
        <v>146</v>
      </c>
      <c r="HI3" s="5" t="s">
        <v>76</v>
      </c>
      <c r="HM3" s="5" t="s">
        <v>68</v>
      </c>
      <c r="HN3" s="5" t="s">
        <v>69</v>
      </c>
      <c r="HO3" s="5" t="s">
        <v>70</v>
      </c>
      <c r="HP3" s="5" t="s">
        <v>67</v>
      </c>
      <c r="HQ3" s="5" t="s">
        <v>71</v>
      </c>
      <c r="HR3" s="5" t="s">
        <v>148</v>
      </c>
      <c r="HS3" s="5" t="s">
        <v>147</v>
      </c>
      <c r="HT3" s="5" t="s">
        <v>149</v>
      </c>
      <c r="HU3" s="5" t="s">
        <v>72</v>
      </c>
      <c r="HV3" s="5" t="s">
        <v>73</v>
      </c>
      <c r="HW3" s="5" t="s">
        <v>74</v>
      </c>
      <c r="HX3" s="5" t="s">
        <v>75</v>
      </c>
      <c r="HY3" s="5" t="s">
        <v>150</v>
      </c>
      <c r="HZ3" s="5" t="s">
        <v>146</v>
      </c>
      <c r="IA3" s="5" t="s">
        <v>76</v>
      </c>
    </row>
    <row r="4" spans="1:236" x14ac:dyDescent="0.35">
      <c r="B4" s="54" t="s">
        <v>79</v>
      </c>
      <c r="D4" s="56" t="s">
        <v>157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V4" s="53" t="str">
        <f>"THÁNG "&amp;W2&amp;"-THU HỒI"</f>
        <v>THÁNG 1-THU HỒI</v>
      </c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N4" s="53" t="str">
        <f>"THÁNG "&amp;AO2&amp;"-THU HỒI"</f>
        <v>THÁNG 2-THU HỒI</v>
      </c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F4" s="53" t="str">
        <f>"THÁNG "&amp;BG2&amp;"-THU HỒI"</f>
        <v>THÁNG 3-THU HỒI</v>
      </c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X4" s="53" t="str">
        <f>"THÁNG "&amp;BY2&amp;"-THU HỒI"</f>
        <v>THÁNG 4-THU HỒI</v>
      </c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P4" s="53" t="str">
        <f>"THÁNG "&amp;CQ2&amp;"-THU HỒI"</f>
        <v>THÁNG 5-THU HỒI</v>
      </c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H4" s="53" t="str">
        <f>"THÁNG "&amp;DI2&amp;"-THU HỒI"</f>
        <v>THÁNG 6-THU HỒI</v>
      </c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Z4" s="53" t="str">
        <f>"THÁNG "&amp;EA2&amp;"-THU HỒI"</f>
        <v>THÁNG 7-THU HỒI</v>
      </c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R4" s="53" t="str">
        <f>"THÁNG "&amp;ES2&amp;"-THU HỒI"</f>
        <v>THÁNG 8-THU HỒI</v>
      </c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J4" s="53" t="str">
        <f>"THÁNG "&amp;FK2&amp;"-THU HỒI"</f>
        <v>THÁNG 9-THU HỒI</v>
      </c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B4" s="53" t="str">
        <f>"THÁNG "&amp;GC2&amp;"-THU HỒI"</f>
        <v>THÁNG 10-THU HỒI</v>
      </c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T4" s="53" t="str">
        <f>"THÁNG "&amp;GU2&amp;"-THU HỒI"</f>
        <v>THÁNG 11-THU HỒI</v>
      </c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L4" s="53" t="str">
        <f>"THÁNG "&amp;HM2&amp;"-THU HỒI"</f>
        <v>THÁNG 12-THU HỒI</v>
      </c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</row>
    <row r="5" spans="1:236" x14ac:dyDescent="0.35">
      <c r="B5" s="55"/>
      <c r="D5" s="9" t="s">
        <v>155</v>
      </c>
      <c r="E5" s="31" t="s">
        <v>68</v>
      </c>
      <c r="F5" s="31" t="s">
        <v>69</v>
      </c>
      <c r="G5" s="31" t="s">
        <v>70</v>
      </c>
      <c r="H5" s="31" t="s">
        <v>67</v>
      </c>
      <c r="I5" s="31" t="s">
        <v>71</v>
      </c>
      <c r="J5" s="31" t="s">
        <v>148</v>
      </c>
      <c r="K5" s="31" t="s">
        <v>147</v>
      </c>
      <c r="L5" s="31" t="s">
        <v>149</v>
      </c>
      <c r="M5" s="31" t="s">
        <v>72</v>
      </c>
      <c r="N5" s="31" t="s">
        <v>73</v>
      </c>
      <c r="O5" s="31" t="s">
        <v>74</v>
      </c>
      <c r="P5" s="31" t="s">
        <v>75</v>
      </c>
      <c r="Q5" s="31" t="s">
        <v>150</v>
      </c>
      <c r="R5" s="31" t="s">
        <v>146</v>
      </c>
      <c r="S5" s="31" t="s">
        <v>76</v>
      </c>
      <c r="T5" s="9" t="s">
        <v>154</v>
      </c>
      <c r="V5" s="10" t="s">
        <v>155</v>
      </c>
      <c r="W5" s="32" t="s">
        <v>68</v>
      </c>
      <c r="X5" s="32" t="s">
        <v>69</v>
      </c>
      <c r="Y5" s="32" t="s">
        <v>70</v>
      </c>
      <c r="Z5" s="32" t="s">
        <v>67</v>
      </c>
      <c r="AA5" s="32" t="s">
        <v>71</v>
      </c>
      <c r="AB5" s="32" t="s">
        <v>148</v>
      </c>
      <c r="AC5" s="32" t="s">
        <v>147</v>
      </c>
      <c r="AD5" s="32" t="s">
        <v>149</v>
      </c>
      <c r="AE5" s="32" t="s">
        <v>72</v>
      </c>
      <c r="AF5" s="32" t="s">
        <v>73</v>
      </c>
      <c r="AG5" s="32" t="s">
        <v>74</v>
      </c>
      <c r="AH5" s="32" t="s">
        <v>75</v>
      </c>
      <c r="AI5" s="32" t="s">
        <v>150</v>
      </c>
      <c r="AJ5" s="32" t="s">
        <v>146</v>
      </c>
      <c r="AK5" s="32" t="s">
        <v>76</v>
      </c>
      <c r="AL5" s="10" t="s">
        <v>154</v>
      </c>
      <c r="AN5" s="10" t="s">
        <v>155</v>
      </c>
      <c r="AO5" s="32" t="s">
        <v>68</v>
      </c>
      <c r="AP5" s="32" t="s">
        <v>69</v>
      </c>
      <c r="AQ5" s="32" t="s">
        <v>70</v>
      </c>
      <c r="AR5" s="32" t="s">
        <v>67</v>
      </c>
      <c r="AS5" s="32" t="s">
        <v>71</v>
      </c>
      <c r="AT5" s="32" t="s">
        <v>148</v>
      </c>
      <c r="AU5" s="32" t="s">
        <v>147</v>
      </c>
      <c r="AV5" s="32" t="s">
        <v>149</v>
      </c>
      <c r="AW5" s="32" t="s">
        <v>72</v>
      </c>
      <c r="AX5" s="32" t="s">
        <v>73</v>
      </c>
      <c r="AY5" s="32" t="s">
        <v>74</v>
      </c>
      <c r="AZ5" s="32" t="s">
        <v>75</v>
      </c>
      <c r="BA5" s="32" t="s">
        <v>150</v>
      </c>
      <c r="BB5" s="32" t="s">
        <v>146</v>
      </c>
      <c r="BC5" s="32" t="s">
        <v>76</v>
      </c>
      <c r="BD5" s="10" t="s">
        <v>154</v>
      </c>
      <c r="BF5" s="10" t="s">
        <v>155</v>
      </c>
      <c r="BG5" s="32" t="s">
        <v>68</v>
      </c>
      <c r="BH5" s="32" t="s">
        <v>69</v>
      </c>
      <c r="BI5" s="32" t="s">
        <v>70</v>
      </c>
      <c r="BJ5" s="32" t="s">
        <v>67</v>
      </c>
      <c r="BK5" s="32" t="s">
        <v>71</v>
      </c>
      <c r="BL5" s="32" t="s">
        <v>148</v>
      </c>
      <c r="BM5" s="32" t="s">
        <v>147</v>
      </c>
      <c r="BN5" s="32" t="s">
        <v>149</v>
      </c>
      <c r="BO5" s="32" t="s">
        <v>72</v>
      </c>
      <c r="BP5" s="32" t="s">
        <v>73</v>
      </c>
      <c r="BQ5" s="32" t="s">
        <v>74</v>
      </c>
      <c r="BR5" s="32" t="s">
        <v>75</v>
      </c>
      <c r="BS5" s="32" t="s">
        <v>150</v>
      </c>
      <c r="BT5" s="32" t="s">
        <v>146</v>
      </c>
      <c r="BU5" s="32" t="s">
        <v>76</v>
      </c>
      <c r="BV5" s="10" t="s">
        <v>154</v>
      </c>
      <c r="BX5" s="10" t="s">
        <v>155</v>
      </c>
      <c r="BY5" s="32" t="s">
        <v>68</v>
      </c>
      <c r="BZ5" s="32" t="s">
        <v>69</v>
      </c>
      <c r="CA5" s="32" t="s">
        <v>70</v>
      </c>
      <c r="CB5" s="32" t="s">
        <v>67</v>
      </c>
      <c r="CC5" s="32" t="s">
        <v>71</v>
      </c>
      <c r="CD5" s="32" t="s">
        <v>148</v>
      </c>
      <c r="CE5" s="32" t="s">
        <v>147</v>
      </c>
      <c r="CF5" s="32" t="s">
        <v>149</v>
      </c>
      <c r="CG5" s="32" t="s">
        <v>72</v>
      </c>
      <c r="CH5" s="32" t="s">
        <v>73</v>
      </c>
      <c r="CI5" s="32" t="s">
        <v>74</v>
      </c>
      <c r="CJ5" s="32" t="s">
        <v>75</v>
      </c>
      <c r="CK5" s="32" t="s">
        <v>150</v>
      </c>
      <c r="CL5" s="32" t="s">
        <v>146</v>
      </c>
      <c r="CM5" s="32" t="s">
        <v>76</v>
      </c>
      <c r="CN5" s="10" t="s">
        <v>154</v>
      </c>
      <c r="CP5" s="10" t="s">
        <v>155</v>
      </c>
      <c r="CQ5" s="32" t="s">
        <v>68</v>
      </c>
      <c r="CR5" s="32" t="s">
        <v>69</v>
      </c>
      <c r="CS5" s="32" t="s">
        <v>70</v>
      </c>
      <c r="CT5" s="32" t="s">
        <v>67</v>
      </c>
      <c r="CU5" s="32" t="s">
        <v>71</v>
      </c>
      <c r="CV5" s="32" t="s">
        <v>148</v>
      </c>
      <c r="CW5" s="32" t="s">
        <v>147</v>
      </c>
      <c r="CX5" s="32" t="s">
        <v>149</v>
      </c>
      <c r="CY5" s="32" t="s">
        <v>72</v>
      </c>
      <c r="CZ5" s="32" t="s">
        <v>73</v>
      </c>
      <c r="DA5" s="32" t="s">
        <v>74</v>
      </c>
      <c r="DB5" s="32" t="s">
        <v>75</v>
      </c>
      <c r="DC5" s="32" t="s">
        <v>150</v>
      </c>
      <c r="DD5" s="32" t="s">
        <v>146</v>
      </c>
      <c r="DE5" s="32" t="s">
        <v>76</v>
      </c>
      <c r="DF5" s="10" t="s">
        <v>154</v>
      </c>
      <c r="DH5" s="10" t="s">
        <v>155</v>
      </c>
      <c r="DI5" s="32" t="s">
        <v>68</v>
      </c>
      <c r="DJ5" s="32" t="s">
        <v>69</v>
      </c>
      <c r="DK5" s="32" t="s">
        <v>70</v>
      </c>
      <c r="DL5" s="32" t="s">
        <v>67</v>
      </c>
      <c r="DM5" s="32" t="s">
        <v>71</v>
      </c>
      <c r="DN5" s="32" t="s">
        <v>148</v>
      </c>
      <c r="DO5" s="32" t="s">
        <v>147</v>
      </c>
      <c r="DP5" s="32" t="s">
        <v>149</v>
      </c>
      <c r="DQ5" s="32" t="s">
        <v>72</v>
      </c>
      <c r="DR5" s="32" t="s">
        <v>73</v>
      </c>
      <c r="DS5" s="32" t="s">
        <v>74</v>
      </c>
      <c r="DT5" s="32" t="s">
        <v>75</v>
      </c>
      <c r="DU5" s="32" t="s">
        <v>150</v>
      </c>
      <c r="DV5" s="32" t="s">
        <v>146</v>
      </c>
      <c r="DW5" s="32" t="s">
        <v>76</v>
      </c>
      <c r="DX5" s="10" t="s">
        <v>154</v>
      </c>
      <c r="DZ5" s="10" t="s">
        <v>155</v>
      </c>
      <c r="EA5" s="32" t="s">
        <v>68</v>
      </c>
      <c r="EB5" s="32" t="s">
        <v>69</v>
      </c>
      <c r="EC5" s="32" t="s">
        <v>70</v>
      </c>
      <c r="ED5" s="32" t="s">
        <v>67</v>
      </c>
      <c r="EE5" s="32" t="s">
        <v>71</v>
      </c>
      <c r="EF5" s="32" t="s">
        <v>148</v>
      </c>
      <c r="EG5" s="32" t="s">
        <v>147</v>
      </c>
      <c r="EH5" s="32" t="s">
        <v>149</v>
      </c>
      <c r="EI5" s="32" t="s">
        <v>72</v>
      </c>
      <c r="EJ5" s="32" t="s">
        <v>73</v>
      </c>
      <c r="EK5" s="32" t="s">
        <v>74</v>
      </c>
      <c r="EL5" s="32" t="s">
        <v>75</v>
      </c>
      <c r="EM5" s="32" t="s">
        <v>150</v>
      </c>
      <c r="EN5" s="32" t="s">
        <v>146</v>
      </c>
      <c r="EO5" s="32" t="s">
        <v>76</v>
      </c>
      <c r="EP5" s="10" t="s">
        <v>154</v>
      </c>
      <c r="ER5" s="10" t="s">
        <v>155</v>
      </c>
      <c r="ES5" s="32" t="s">
        <v>68</v>
      </c>
      <c r="ET5" s="32" t="s">
        <v>69</v>
      </c>
      <c r="EU5" s="32" t="s">
        <v>70</v>
      </c>
      <c r="EV5" s="32" t="s">
        <v>67</v>
      </c>
      <c r="EW5" s="32" t="s">
        <v>71</v>
      </c>
      <c r="EX5" s="32" t="s">
        <v>148</v>
      </c>
      <c r="EY5" s="32" t="s">
        <v>147</v>
      </c>
      <c r="EZ5" s="32" t="s">
        <v>149</v>
      </c>
      <c r="FA5" s="32" t="s">
        <v>72</v>
      </c>
      <c r="FB5" s="32" t="s">
        <v>73</v>
      </c>
      <c r="FC5" s="32" t="s">
        <v>74</v>
      </c>
      <c r="FD5" s="32" t="s">
        <v>75</v>
      </c>
      <c r="FE5" s="32" t="s">
        <v>150</v>
      </c>
      <c r="FF5" s="32" t="s">
        <v>146</v>
      </c>
      <c r="FG5" s="32" t="s">
        <v>76</v>
      </c>
      <c r="FH5" s="10" t="s">
        <v>154</v>
      </c>
      <c r="FJ5" s="10" t="s">
        <v>155</v>
      </c>
      <c r="FK5" s="32" t="s">
        <v>68</v>
      </c>
      <c r="FL5" s="32" t="s">
        <v>69</v>
      </c>
      <c r="FM5" s="32" t="s">
        <v>70</v>
      </c>
      <c r="FN5" s="32" t="s">
        <v>67</v>
      </c>
      <c r="FO5" s="32" t="s">
        <v>71</v>
      </c>
      <c r="FP5" s="32" t="s">
        <v>148</v>
      </c>
      <c r="FQ5" s="32" t="s">
        <v>147</v>
      </c>
      <c r="FR5" s="32" t="s">
        <v>149</v>
      </c>
      <c r="FS5" s="32" t="s">
        <v>72</v>
      </c>
      <c r="FT5" s="32" t="s">
        <v>73</v>
      </c>
      <c r="FU5" s="32" t="s">
        <v>74</v>
      </c>
      <c r="FV5" s="32" t="s">
        <v>75</v>
      </c>
      <c r="FW5" s="32" t="s">
        <v>150</v>
      </c>
      <c r="FX5" s="32" t="s">
        <v>146</v>
      </c>
      <c r="FY5" s="32" t="s">
        <v>76</v>
      </c>
      <c r="FZ5" s="10" t="s">
        <v>154</v>
      </c>
      <c r="GB5" s="10" t="s">
        <v>155</v>
      </c>
      <c r="GC5" s="32" t="s">
        <v>68</v>
      </c>
      <c r="GD5" s="32" t="s">
        <v>69</v>
      </c>
      <c r="GE5" s="32" t="s">
        <v>70</v>
      </c>
      <c r="GF5" s="32" t="s">
        <v>67</v>
      </c>
      <c r="GG5" s="32" t="s">
        <v>71</v>
      </c>
      <c r="GH5" s="32" t="s">
        <v>148</v>
      </c>
      <c r="GI5" s="32" t="s">
        <v>147</v>
      </c>
      <c r="GJ5" s="32" t="s">
        <v>149</v>
      </c>
      <c r="GK5" s="32" t="s">
        <v>72</v>
      </c>
      <c r="GL5" s="32" t="s">
        <v>73</v>
      </c>
      <c r="GM5" s="32" t="s">
        <v>74</v>
      </c>
      <c r="GN5" s="32" t="s">
        <v>75</v>
      </c>
      <c r="GO5" s="32" t="s">
        <v>150</v>
      </c>
      <c r="GP5" s="32" t="s">
        <v>146</v>
      </c>
      <c r="GQ5" s="32" t="s">
        <v>76</v>
      </c>
      <c r="GR5" s="10" t="s">
        <v>154</v>
      </c>
      <c r="GT5" s="10" t="s">
        <v>155</v>
      </c>
      <c r="GU5" s="32" t="s">
        <v>68</v>
      </c>
      <c r="GV5" s="32" t="s">
        <v>69</v>
      </c>
      <c r="GW5" s="32" t="s">
        <v>70</v>
      </c>
      <c r="GX5" s="32" t="s">
        <v>67</v>
      </c>
      <c r="GY5" s="32" t="s">
        <v>71</v>
      </c>
      <c r="GZ5" s="32" t="s">
        <v>148</v>
      </c>
      <c r="HA5" s="32" t="s">
        <v>147</v>
      </c>
      <c r="HB5" s="32" t="s">
        <v>149</v>
      </c>
      <c r="HC5" s="32" t="s">
        <v>72</v>
      </c>
      <c r="HD5" s="32" t="s">
        <v>73</v>
      </c>
      <c r="HE5" s="32" t="s">
        <v>74</v>
      </c>
      <c r="HF5" s="32" t="s">
        <v>75</v>
      </c>
      <c r="HG5" s="32" t="s">
        <v>150</v>
      </c>
      <c r="HH5" s="32" t="s">
        <v>146</v>
      </c>
      <c r="HI5" s="32" t="s">
        <v>76</v>
      </c>
      <c r="HJ5" s="10" t="s">
        <v>154</v>
      </c>
      <c r="HL5" s="10" t="s">
        <v>155</v>
      </c>
      <c r="HM5" s="32" t="s">
        <v>68</v>
      </c>
      <c r="HN5" s="32" t="s">
        <v>69</v>
      </c>
      <c r="HO5" s="32" t="s">
        <v>70</v>
      </c>
      <c r="HP5" s="32" t="s">
        <v>67</v>
      </c>
      <c r="HQ5" s="32" t="s">
        <v>71</v>
      </c>
      <c r="HR5" s="32" t="s">
        <v>148</v>
      </c>
      <c r="HS5" s="32" t="s">
        <v>147</v>
      </c>
      <c r="HT5" s="32" t="s">
        <v>149</v>
      </c>
      <c r="HU5" s="32" t="s">
        <v>72</v>
      </c>
      <c r="HV5" s="32" t="s">
        <v>73</v>
      </c>
      <c r="HW5" s="32" t="s">
        <v>74</v>
      </c>
      <c r="HX5" s="32" t="s">
        <v>75</v>
      </c>
      <c r="HY5" s="32" t="s">
        <v>150</v>
      </c>
      <c r="HZ5" s="32" t="s">
        <v>146</v>
      </c>
      <c r="IA5" s="32" t="s">
        <v>76</v>
      </c>
      <c r="IB5" s="10" t="s">
        <v>154</v>
      </c>
    </row>
    <row r="6" spans="1:236" x14ac:dyDescent="0.35">
      <c r="A6" s="5" t="s">
        <v>68</v>
      </c>
      <c r="B6" s="28" t="s">
        <v>68</v>
      </c>
      <c r="D6" s="30" cm="1">
        <f t="array" ref="D6">IF(D$2="FY",SUMPRODUCT(Data_Xuất[Xuất-NX]*(Data_Xuất[Year]=D$1)*(Data_Xuất[Main SKU name_GOM]=$A6)),SUMPRODUCT(Data_Xuất[Xuất-NX]*(Data_Xuất[Year]=D$1)*(Data_Xuất[Main SKU name_GOM]=$A6)*Data_Xuất[Month]=D$2))</f>
        <v>6854590</v>
      </c>
      <c r="E6" s="29" cm="1">
        <f t="array" ref="E6">IF(E$2="FY",SUMPRODUCT(Data_Nhập[Tổng Nhập-NX]*(Data_Nhập[Year]=E$1)*(Data_Nhập[Main SKU name_GOM]=$A6)*(Data_Nhập[SKU name_NHẬP_GOM]=E$3)),SUMPRODUCT(Data_Nhập[Tổng Nhập-NX]*(Data_Nhập[Year]=E$1)*(Data_Nhập[Month]=E$2)*(Data_Nhập[Main SKU name_GOM]=$A6)*(Data_Nhập[SKU name_NHẬP_GOM]=E$3)))</f>
        <v>5643800</v>
      </c>
      <c r="F6" s="29" cm="1">
        <f t="array" ref="F6">IF(F$2="FY",SUMPRODUCT(Data_Nhập[Tổng Nhập-NX]*(Data_Nhập[Year]=F$1)*(Data_Nhập[Main SKU name_GOM]=$A6)*(Data_Nhập[SKU name_NHẬP_GOM]=F$3)),SUMPRODUCT(Data_Nhập[Tổng Nhập-NX]*(Data_Nhập[Year]=F$1)*(Data_Nhập[Month]=F$2)*(Data_Nhập[Main SKU name_GOM]=$A6)*(Data_Nhập[SKU name_NHẬP_GOM]=F$3)))</f>
        <v>229900</v>
      </c>
      <c r="G6" s="29" cm="1">
        <f t="array" ref="G6">IF(G$2="FY",SUMPRODUCT(Data_Nhập[Tổng Nhập-NX]*(Data_Nhập[Year]=G$1)*(Data_Nhập[Main SKU name_GOM]=$A6)*(Data_Nhập[SKU name_NHẬP_GOM]=G$3)),SUMPRODUCT(Data_Nhập[Tổng Nhập-NX]*(Data_Nhập[Year]=G$1)*(Data_Nhập[Month]=G$2)*(Data_Nhập[Main SKU name_GOM]=$A6)*(Data_Nhập[SKU name_NHẬP_GOM]=G$3)))</f>
        <v>138600</v>
      </c>
      <c r="H6" s="29" cm="1">
        <f t="array" ref="H6">IF(H$2="FY",SUMPRODUCT(Data_Nhập[Tổng Nhập-NX]*(Data_Nhập[Year]=H$1)*(Data_Nhập[Main SKU name_GOM]=$A6)*(Data_Nhập[SKU name_NHẬP_GOM]=H$3)),SUMPRODUCT(Data_Nhập[Tổng Nhập-NX]*(Data_Nhập[Year]=H$1)*(Data_Nhập[Month]=H$2)*(Data_Nhập[Main SKU name_GOM]=$A6)*(Data_Nhập[SKU name_NHẬP_GOM]=H$3)))</f>
        <v>0</v>
      </c>
      <c r="I6" s="29" cm="1">
        <f t="array" ref="I6">IF(I$2="FY",SUMPRODUCT(Data_Nhập[Tổng Nhập-NX]*(Data_Nhập[Year]=I$1)*(Data_Nhập[Main SKU name_GOM]=$A6)*(Data_Nhập[SKU name_NHẬP_GOM]=I$3)),SUMPRODUCT(Data_Nhập[Tổng Nhập-NX]*(Data_Nhập[Year]=I$1)*(Data_Nhập[Month]=I$2)*(Data_Nhập[Main SKU name_GOM]=$A6)*(Data_Nhập[SKU name_NHẬP_GOM]=I$3)))</f>
        <v>316800</v>
      </c>
      <c r="J6" s="29" cm="1">
        <f t="array" ref="J6">IF(J$2="FY",SUMPRODUCT(Data_Nhập[Tổng Nhập-NX]*(Data_Nhập[Year]=J$1)*(Data_Nhập[Main SKU name_GOM]=$A6)*(Data_Nhập[SKU name_NHẬP_GOM]=J$3)),SUMPRODUCT(Data_Nhập[Tổng Nhập-NX]*(Data_Nhập[Year]=J$1)*(Data_Nhập[Month]=J$2)*(Data_Nhập[Main SKU name_GOM]=$A6)*(Data_Nhập[SKU name_NHẬP_GOM]=J$3)))</f>
        <v>0</v>
      </c>
      <c r="K6" s="29" cm="1">
        <f t="array" ref="K6">IF(K$2="FY",SUMPRODUCT(Data_Nhập[Tổng Nhập-NX]*(Data_Nhập[Year]=K$1)*(Data_Nhập[Main SKU name_GOM]=$A6)*(Data_Nhập[SKU name_NHẬP_GOM]=K$3)),SUMPRODUCT(Data_Nhập[Tổng Nhập-NX]*(Data_Nhập[Year]=K$1)*(Data_Nhập[Month]=K$2)*(Data_Nhập[Main SKU name_GOM]=$A6)*(Data_Nhập[SKU name_NHẬP_GOM]=K$3)))</f>
        <v>0</v>
      </c>
      <c r="L6" s="29" cm="1">
        <f t="array" ref="L6">IF(L$2="FY",SUMPRODUCT(Data_Nhập[Tổng Nhập-NX]*(Data_Nhập[Year]=L$1)*(Data_Nhập[Main SKU name_GOM]=$A6)*(Data_Nhập[SKU name_NHẬP_GOM]=L$3)),SUMPRODUCT(Data_Nhập[Tổng Nhập-NX]*(Data_Nhập[Year]=L$1)*(Data_Nhập[Month]=L$2)*(Data_Nhập[Main SKU name_GOM]=$A6)*(Data_Nhập[SKU name_NHẬP_GOM]=L$3)))</f>
        <v>0</v>
      </c>
      <c r="M6" s="29" cm="1">
        <f t="array" ref="M6">IF(M$2="FY",SUMPRODUCT(Data_Nhập[Tổng Nhập-NX]*(Data_Nhập[Year]=M$1)*(Data_Nhập[Main SKU name_GOM]=$A6)*(Data_Nhập[SKU name_NHẬP_GOM]=M$3)),SUMPRODUCT(Data_Nhập[Tổng Nhập-NX]*(Data_Nhập[Year]=M$1)*(Data_Nhập[Month]=M$2)*(Data_Nhập[Main SKU name_GOM]=$A6)*(Data_Nhập[SKU name_NHẬP_GOM]=M$3)))</f>
        <v>88000</v>
      </c>
      <c r="N6" s="29" cm="1">
        <f t="array" ref="N6">IF(N$2="FY",SUMPRODUCT(Data_Nhập[Tổng Nhập-NX]*(Data_Nhập[Year]=N$1)*(Data_Nhập[Main SKU name_GOM]=$A6)*(Data_Nhập[SKU name_NHẬP_GOM]=N$3)),SUMPRODUCT(Data_Nhập[Tổng Nhập-NX]*(Data_Nhập[Year]=N$1)*(Data_Nhập[Month]=N$2)*(Data_Nhập[Main SKU name_GOM]=$A6)*(Data_Nhập[SKU name_NHẬP_GOM]=N$3)))</f>
        <v>7700</v>
      </c>
      <c r="O6" s="29" cm="1">
        <f t="array" ref="O6">IF(O$2="FY",SUMPRODUCT(Data_Nhập[Tổng Nhập-NX]*(Data_Nhập[Year]=O$1)*(Data_Nhập[Main SKU name_GOM]=$A6)*(Data_Nhập[SKU name_NHẬP_GOM]=O$3)),SUMPRODUCT(Data_Nhập[Tổng Nhập-NX]*(Data_Nhập[Year]=O$1)*(Data_Nhập[Month]=O$2)*(Data_Nhập[Main SKU name_GOM]=$A6)*(Data_Nhập[SKU name_NHẬP_GOM]=O$3)))</f>
        <v>39600</v>
      </c>
      <c r="P6" s="29" cm="1">
        <f t="array" ref="P6">IF(P$2="FY",SUMPRODUCT(Data_Nhập[Tổng Nhập-NX]*(Data_Nhập[Year]=P$1)*(Data_Nhập[Main SKU name_GOM]=$A6)*(Data_Nhập[SKU name_NHẬP_GOM]=P$3)),SUMPRODUCT(Data_Nhập[Tổng Nhập-NX]*(Data_Nhập[Year]=P$1)*(Data_Nhập[Month]=P$2)*(Data_Nhập[Main SKU name_GOM]=$A6)*(Data_Nhập[SKU name_NHẬP_GOM]=P$3)))</f>
        <v>64300</v>
      </c>
      <c r="Q6" s="29" cm="1">
        <f t="array" ref="Q6">IF(Q$2="FY",SUMPRODUCT(Data_Nhập[Tổng Nhập-NX]*(Data_Nhập[Year]=Q$1)*(Data_Nhập[Main SKU name_GOM]=$A6)*(Data_Nhập[SKU name_NHẬP_GOM]=Q$3)),SUMPRODUCT(Data_Nhập[Tổng Nhập-NX]*(Data_Nhập[Year]=Q$1)*(Data_Nhập[Month]=Q$2)*(Data_Nhập[Main SKU name_GOM]=$A6)*(Data_Nhập[SKU name_NHẬP_GOM]=Q$3)))</f>
        <v>0</v>
      </c>
      <c r="R6" s="29" cm="1">
        <f t="array" ref="R6">IF(R$2="FY",SUMPRODUCT(Data_Nhập[Tổng Nhập-NX]*(Data_Nhập[Year]=R$1)*(Data_Nhập[Main SKU name_GOM]=$A6)*(Data_Nhập[SKU name_NHẬP_GOM]=R$3)),SUMPRODUCT(Data_Nhập[Tổng Nhập-NX]*(Data_Nhập[Year]=R$1)*(Data_Nhập[Month]=R$2)*(Data_Nhập[Main SKU name_GOM]=$A6)*(Data_Nhập[SKU name_NHẬP_GOM]=R$3)))</f>
        <v>242094.4</v>
      </c>
      <c r="S6" s="29" cm="1">
        <f t="array" ref="S6">IF(S$2="FY",SUMPRODUCT(Data_Nhập[Tổng Nhập-NX]*(Data_Nhập[Year]=S$1)*(Data_Nhập[Main SKU name_GOM]=$A6)*(Data_Nhập[SKU name_NHẬP_GOM]=S$3)),SUMPRODUCT(Data_Nhập[Tổng Nhập-NX]*(Data_Nhập[Year]=S$1)*(Data_Nhập[Month]=S$2)*(Data_Nhập[Main SKU name_GOM]=$A6)*(Data_Nhập[SKU name_NHẬP_GOM]=S$3)))</f>
        <v>0</v>
      </c>
      <c r="T6" s="30">
        <f>SUM(E6:S6)</f>
        <v>6770794.4000000004</v>
      </c>
      <c r="V6" s="30" cm="1">
        <f t="array" ref="V6">IF(V$2="FY",SUMPRODUCT(Data_Xuất[Xuất-NX]*(Data_Xuất[Year]=V$1)*(Data_Xuất[Main SKU name_GOM]=$A6)),SUMPRODUCT(Data_Xuất[Xuất-NX]*(Data_Xuất[Year]=V$1)*(Data_Xuất[Main SKU name_GOM]=$A6)*(Data_Xuất[Month]=V$2)))</f>
        <v>396200</v>
      </c>
      <c r="W6" s="29" cm="1">
        <f t="array" ref="W6">IF(W$2="FY",SUMPRODUCT(Data_Nhập[Tổng Nhập-NX]*(Data_Nhập[Year]=W$1)*(Data_Nhập[Main SKU name_GOM]=$A6)*(Data_Nhập[SKU name_NHẬP_GOM]=W$3)),SUMPRODUCT(Data_Nhập[Tổng Nhập-NX]*(Data_Nhập[Year]=W$1)*(Data_Nhập[Month]=W$2)*(Data_Nhập[Main SKU name_GOM]=$A6)*(Data_Nhập[SKU name_NHẬP_GOM]=W$3)))</f>
        <v>363000</v>
      </c>
      <c r="X6" s="29" cm="1">
        <f t="array" ref="X6">IF(X$2="FY",SUMPRODUCT(Data_Nhập[Tổng Nhập-NX]*(Data_Nhập[Year]=X$1)*(Data_Nhập[Main SKU name_GOM]=$A6)*(Data_Nhập[SKU name_NHẬP_GOM]=X$3)),SUMPRODUCT(Data_Nhập[Tổng Nhập-NX]*(Data_Nhập[Year]=X$1)*(Data_Nhập[Month]=X$2)*(Data_Nhập[Main SKU name_GOM]=$A6)*(Data_Nhập[SKU name_NHẬP_GOM]=X$3)))</f>
        <v>4400</v>
      </c>
      <c r="Y6" s="29" cm="1">
        <f t="array" ref="Y6">IF(Y$2="FY",SUMPRODUCT(Data_Nhập[Tổng Nhập-NX]*(Data_Nhập[Year]=Y$1)*(Data_Nhập[Main SKU name_GOM]=$A6)*(Data_Nhập[SKU name_NHẬP_GOM]=Y$3)),SUMPRODUCT(Data_Nhập[Tổng Nhập-NX]*(Data_Nhập[Year]=Y$1)*(Data_Nhập[Month]=Y$2)*(Data_Nhập[Main SKU name_GOM]=$A6)*(Data_Nhập[SKU name_NHẬP_GOM]=Y$3)))</f>
        <v>0</v>
      </c>
      <c r="Z6" s="29" cm="1">
        <f t="array" ref="Z6">IF(Z$2="FY",SUMPRODUCT(Data_Nhập[Tổng Nhập-NX]*(Data_Nhập[Year]=Z$1)*(Data_Nhập[Main SKU name_GOM]=$A6)*(Data_Nhập[SKU name_NHẬP_GOM]=Z$3)),SUMPRODUCT(Data_Nhập[Tổng Nhập-NX]*(Data_Nhập[Year]=Z$1)*(Data_Nhập[Month]=Z$2)*(Data_Nhập[Main SKU name_GOM]=$A6)*(Data_Nhập[SKU name_NHẬP_GOM]=Z$3)))</f>
        <v>0</v>
      </c>
      <c r="AA6" s="29" cm="1">
        <f t="array" ref="AA6">IF(AA$2="FY",SUMPRODUCT(Data_Nhập[Tổng Nhập-NX]*(Data_Nhập[Year]=AA$1)*(Data_Nhập[Main SKU name_GOM]=$A6)*(Data_Nhập[SKU name_NHẬP_GOM]=AA$3)),SUMPRODUCT(Data_Nhập[Tổng Nhập-NX]*(Data_Nhập[Year]=AA$1)*(Data_Nhập[Month]=AA$2)*(Data_Nhập[Main SKU name_GOM]=$A6)*(Data_Nhập[SKU name_NHẬP_GOM]=AA$3)))</f>
        <v>16500</v>
      </c>
      <c r="AB6" s="29" cm="1">
        <f t="array" ref="AB6">IF(AB$2="FY",SUMPRODUCT(Data_Nhập[Tổng Nhập-NX]*(Data_Nhập[Year]=AB$1)*(Data_Nhập[Main SKU name_GOM]=$A6)*(Data_Nhập[SKU name_NHẬP_GOM]=AB$3)),SUMPRODUCT(Data_Nhập[Tổng Nhập-NX]*(Data_Nhập[Year]=AB$1)*(Data_Nhập[Month]=AB$2)*(Data_Nhập[Main SKU name_GOM]=$A6)*(Data_Nhập[SKU name_NHẬP_GOM]=AB$3)))</f>
        <v>0</v>
      </c>
      <c r="AC6" s="29" cm="1">
        <f t="array" ref="AC6">IF(AC$2="FY",SUMPRODUCT(Data_Nhập[Tổng Nhập-NX]*(Data_Nhập[Year]=AC$1)*(Data_Nhập[Main SKU name_GOM]=$A6)*(Data_Nhập[SKU name_NHẬP_GOM]=AC$3)),SUMPRODUCT(Data_Nhập[Tổng Nhập-NX]*(Data_Nhập[Year]=AC$1)*(Data_Nhập[Month]=AC$2)*(Data_Nhập[Main SKU name_GOM]=$A6)*(Data_Nhập[SKU name_NHẬP_GOM]=AC$3)))</f>
        <v>0</v>
      </c>
      <c r="AD6" s="29" cm="1">
        <f t="array" ref="AD6">IF(AD$2="FY",SUMPRODUCT(Data_Nhập[Tổng Nhập-NX]*(Data_Nhập[Year]=AD$1)*(Data_Nhập[Main SKU name_GOM]=$A6)*(Data_Nhập[SKU name_NHẬP_GOM]=AD$3)),SUMPRODUCT(Data_Nhập[Tổng Nhập-NX]*(Data_Nhập[Year]=AD$1)*(Data_Nhập[Month]=AD$2)*(Data_Nhập[Main SKU name_GOM]=$A6)*(Data_Nhập[SKU name_NHẬP_GOM]=AD$3)))</f>
        <v>0</v>
      </c>
      <c r="AE6" s="29" cm="1">
        <f t="array" ref="AE6">IF(AE$2="FY",SUMPRODUCT(Data_Nhập[Tổng Nhập-NX]*(Data_Nhập[Year]=AE$1)*(Data_Nhập[Main SKU name_GOM]=$A6)*(Data_Nhập[SKU name_NHẬP_GOM]=AE$3)),SUMPRODUCT(Data_Nhập[Tổng Nhập-NX]*(Data_Nhập[Year]=AE$1)*(Data_Nhập[Month]=AE$2)*(Data_Nhập[Main SKU name_GOM]=$A6)*(Data_Nhập[SKU name_NHẬP_GOM]=AE$3)))</f>
        <v>1100</v>
      </c>
      <c r="AF6" s="29" cm="1">
        <f t="array" ref="AF6">IF(AF$2="FY",SUMPRODUCT(Data_Nhập[Tổng Nhập-NX]*(Data_Nhập[Year]=AF$1)*(Data_Nhập[Main SKU name_GOM]=$A6)*(Data_Nhập[SKU name_NHẬP_GOM]=AF$3)),SUMPRODUCT(Data_Nhập[Tổng Nhập-NX]*(Data_Nhập[Year]=AF$1)*(Data_Nhập[Month]=AF$2)*(Data_Nhập[Main SKU name_GOM]=$A6)*(Data_Nhập[SKU name_NHẬP_GOM]=AF$3)))</f>
        <v>0</v>
      </c>
      <c r="AG6" s="29" cm="1">
        <f t="array" ref="AG6">IF(AG$2="FY",SUMPRODUCT(Data_Nhập[Tổng Nhập-NX]*(Data_Nhập[Year]=AG$1)*(Data_Nhập[Main SKU name_GOM]=$A6)*(Data_Nhập[SKU name_NHẬP_GOM]=AG$3)),SUMPRODUCT(Data_Nhập[Tổng Nhập-NX]*(Data_Nhập[Year]=AG$1)*(Data_Nhập[Month]=AG$2)*(Data_Nhập[Main SKU name_GOM]=$A6)*(Data_Nhập[SKU name_NHẬP_GOM]=AG$3)))</f>
        <v>0</v>
      </c>
      <c r="AH6" s="29" cm="1">
        <f t="array" ref="AH6">IF(AH$2="FY",SUMPRODUCT(Data_Nhập[Tổng Nhập-NX]*(Data_Nhập[Year]=AH$1)*(Data_Nhập[Main SKU name_GOM]=$A6)*(Data_Nhập[SKU name_NHẬP_GOM]=AH$3)),SUMPRODUCT(Data_Nhập[Tổng Nhập-NX]*(Data_Nhập[Year]=AH$1)*(Data_Nhập[Month]=AH$2)*(Data_Nhập[Main SKU name_GOM]=$A6)*(Data_Nhập[SKU name_NHẬP_GOM]=AH$3)))</f>
        <v>0</v>
      </c>
      <c r="AI6" s="29" cm="1">
        <f t="array" ref="AI6">IF(AI$2="FY",SUMPRODUCT(Data_Nhập[Tổng Nhập-NX]*(Data_Nhập[Year]=AI$1)*(Data_Nhập[Main SKU name_GOM]=$A6)*(Data_Nhập[SKU name_NHẬP_GOM]=AI$3)),SUMPRODUCT(Data_Nhập[Tổng Nhập-NX]*(Data_Nhập[Year]=AI$1)*(Data_Nhập[Month]=AI$2)*(Data_Nhập[Main SKU name_GOM]=$A6)*(Data_Nhập[SKU name_NHẬP_GOM]=AI$3)))</f>
        <v>0</v>
      </c>
      <c r="AJ6" s="29" cm="1">
        <f t="array" ref="AJ6">IF(AJ$2="FY",SUMPRODUCT(Data_Nhập[Tổng Nhập-NX]*(Data_Nhập[Year]=AJ$1)*(Data_Nhập[Main SKU name_GOM]=$A6)*(Data_Nhập[SKU name_NHẬP_GOM]=AJ$3)),SUMPRODUCT(Data_Nhập[Tổng Nhập-NX]*(Data_Nhập[Year]=AJ$1)*(Data_Nhập[Month]=AJ$2)*(Data_Nhập[Main SKU name_GOM]=$A6)*(Data_Nhập[SKU name_NHẬP_GOM]=AJ$3)))</f>
        <v>10814</v>
      </c>
      <c r="AK6" s="29" cm="1">
        <f t="array" ref="AK6">IF(AK$2="FY",SUMPRODUCT(Data_Nhập[Tổng Nhập-NX]*(Data_Nhập[Year]=AK$1)*(Data_Nhập[Main SKU name_GOM]=$A6)*(Data_Nhập[SKU name_NHẬP_GOM]=AK$3)),SUMPRODUCT(Data_Nhập[Tổng Nhập-NX]*(Data_Nhập[Year]=AK$1)*(Data_Nhập[Month]=AK$2)*(Data_Nhập[Main SKU name_GOM]=$A6)*(Data_Nhập[SKU name_NHẬP_GOM]=AK$3)))</f>
        <v>0</v>
      </c>
      <c r="AL6" s="30">
        <f>SUM(W6:AK6)</f>
        <v>395814</v>
      </c>
      <c r="AN6" s="30" cm="1">
        <f t="array" ref="AN6">IF(AN$2="FY",SUMPRODUCT(Data_Xuất[Xuất-NX]*(Data_Xuất[Year]=AN$1)*(Data_Xuất[Main SKU name_GOM]=$A6)),SUMPRODUCT(Data_Xuất[Xuất-NX]*(Data_Xuất[Year]=AN$1)*(Data_Xuất[Main SKU name_GOM]=$A6)*(Data_Xuất[Month]=AN$2)))</f>
        <v>603200.00000000012</v>
      </c>
      <c r="AO6" s="29" cm="1">
        <f t="array" ref="AO6">IF(AO$2="FY",SUMPRODUCT(Data_Nhập[Tổng Nhập-NX]*(Data_Nhập[Year]=AO$1)*(Data_Nhập[Main SKU name_GOM]=$A6)*(Data_Nhập[SKU name_NHẬP_GOM]=AO$3)),SUMPRODUCT(Data_Nhập[Tổng Nhập-NX]*(Data_Nhập[Year]=AO$1)*(Data_Nhập[Month]=AO$2)*(Data_Nhập[Main SKU name_GOM]=$A6)*(Data_Nhập[SKU name_NHẬP_GOM]=AO$3)))</f>
        <v>534600</v>
      </c>
      <c r="AP6" s="29" cm="1">
        <f t="array" ref="AP6">IF(AP$2="FY",SUMPRODUCT(Data_Nhập[Tổng Nhập-NX]*(Data_Nhập[Year]=AP$1)*(Data_Nhập[Main SKU name_GOM]=$A6)*(Data_Nhập[SKU name_NHẬP_GOM]=AP$3)),SUMPRODUCT(Data_Nhập[Tổng Nhập-NX]*(Data_Nhập[Year]=AP$1)*(Data_Nhập[Month]=AP$2)*(Data_Nhập[Main SKU name_GOM]=$A6)*(Data_Nhập[SKU name_NHẬP_GOM]=AP$3)))</f>
        <v>1100</v>
      </c>
      <c r="AQ6" s="29" cm="1">
        <f t="array" ref="AQ6">IF(AQ$2="FY",SUMPRODUCT(Data_Nhập[Tổng Nhập-NX]*(Data_Nhập[Year]=AQ$1)*(Data_Nhập[Main SKU name_GOM]=$A6)*(Data_Nhập[SKU name_NHẬP_GOM]=AQ$3)),SUMPRODUCT(Data_Nhập[Tổng Nhập-NX]*(Data_Nhập[Year]=AQ$1)*(Data_Nhập[Month]=AQ$2)*(Data_Nhập[Main SKU name_GOM]=$A6)*(Data_Nhập[SKU name_NHẬP_GOM]=AQ$3)))</f>
        <v>0</v>
      </c>
      <c r="AR6" s="29" cm="1">
        <f t="array" ref="AR6">IF(AR$2="FY",SUMPRODUCT(Data_Nhập[Tổng Nhập-NX]*(Data_Nhập[Year]=AR$1)*(Data_Nhập[Main SKU name_GOM]=$A6)*(Data_Nhập[SKU name_NHẬP_GOM]=AR$3)),SUMPRODUCT(Data_Nhập[Tổng Nhập-NX]*(Data_Nhập[Year]=AR$1)*(Data_Nhập[Month]=AR$2)*(Data_Nhập[Main SKU name_GOM]=$A6)*(Data_Nhập[SKU name_NHẬP_GOM]=AR$3)))</f>
        <v>0</v>
      </c>
      <c r="AS6" s="29" cm="1">
        <f t="array" ref="AS6">IF(AS$2="FY",SUMPRODUCT(Data_Nhập[Tổng Nhập-NX]*(Data_Nhập[Year]=AS$1)*(Data_Nhập[Main SKU name_GOM]=$A6)*(Data_Nhập[SKU name_NHẬP_GOM]=AS$3)),SUMPRODUCT(Data_Nhập[Tổng Nhập-NX]*(Data_Nhập[Year]=AS$1)*(Data_Nhập[Month]=AS$2)*(Data_Nhập[Main SKU name_GOM]=$A6)*(Data_Nhập[SKU name_NHẬP_GOM]=AS$3)))</f>
        <v>31899.999999999996</v>
      </c>
      <c r="AT6" s="29" cm="1">
        <f t="array" ref="AT6">IF(AT$2="FY",SUMPRODUCT(Data_Nhập[Tổng Nhập-NX]*(Data_Nhập[Year]=AT$1)*(Data_Nhập[Main SKU name_GOM]=$A6)*(Data_Nhập[SKU name_NHẬP_GOM]=AT$3)),SUMPRODUCT(Data_Nhập[Tổng Nhập-NX]*(Data_Nhập[Year]=AT$1)*(Data_Nhập[Month]=AT$2)*(Data_Nhập[Main SKU name_GOM]=$A6)*(Data_Nhập[SKU name_NHẬP_GOM]=AT$3)))</f>
        <v>0</v>
      </c>
      <c r="AU6" s="29" cm="1">
        <f t="array" ref="AU6">IF(AU$2="FY",SUMPRODUCT(Data_Nhập[Tổng Nhập-NX]*(Data_Nhập[Year]=AU$1)*(Data_Nhập[Main SKU name_GOM]=$A6)*(Data_Nhập[SKU name_NHẬP_GOM]=AU$3)),SUMPRODUCT(Data_Nhập[Tổng Nhập-NX]*(Data_Nhập[Year]=AU$1)*(Data_Nhập[Month]=AU$2)*(Data_Nhập[Main SKU name_GOM]=$A6)*(Data_Nhập[SKU name_NHẬP_GOM]=AU$3)))</f>
        <v>0</v>
      </c>
      <c r="AV6" s="29" cm="1">
        <f t="array" ref="AV6">IF(AV$2="FY",SUMPRODUCT(Data_Nhập[Tổng Nhập-NX]*(Data_Nhập[Year]=AV$1)*(Data_Nhập[Main SKU name_GOM]=$A6)*(Data_Nhập[SKU name_NHẬP_GOM]=AV$3)),SUMPRODUCT(Data_Nhập[Tổng Nhập-NX]*(Data_Nhập[Year]=AV$1)*(Data_Nhập[Month]=AV$2)*(Data_Nhập[Main SKU name_GOM]=$A6)*(Data_Nhập[SKU name_NHẬP_GOM]=AV$3)))</f>
        <v>0</v>
      </c>
      <c r="AW6" s="29" cm="1">
        <f t="array" ref="AW6">IF(AW$2="FY",SUMPRODUCT(Data_Nhập[Tổng Nhập-NX]*(Data_Nhập[Year]=AW$1)*(Data_Nhập[Main SKU name_GOM]=$A6)*(Data_Nhập[SKU name_NHẬP_GOM]=AW$3)),SUMPRODUCT(Data_Nhập[Tổng Nhập-NX]*(Data_Nhập[Year]=AW$1)*(Data_Nhập[Month]=AW$2)*(Data_Nhập[Main SKU name_GOM]=$A6)*(Data_Nhập[SKU name_NHẬP_GOM]=AW$3)))</f>
        <v>4400</v>
      </c>
      <c r="AX6" s="29" cm="1">
        <f t="array" ref="AX6">IF(AX$2="FY",SUMPRODUCT(Data_Nhập[Tổng Nhập-NX]*(Data_Nhập[Year]=AX$1)*(Data_Nhập[Main SKU name_GOM]=$A6)*(Data_Nhập[SKU name_NHẬP_GOM]=AX$3)),SUMPRODUCT(Data_Nhập[Tổng Nhập-NX]*(Data_Nhập[Year]=AX$1)*(Data_Nhập[Month]=AX$2)*(Data_Nhập[Main SKU name_GOM]=$A6)*(Data_Nhập[SKU name_NHẬP_GOM]=AX$3)))</f>
        <v>0</v>
      </c>
      <c r="AY6" s="29" cm="1">
        <f t="array" ref="AY6">IF(AY$2="FY",SUMPRODUCT(Data_Nhập[Tổng Nhập-NX]*(Data_Nhập[Year]=AY$1)*(Data_Nhập[Main SKU name_GOM]=$A6)*(Data_Nhập[SKU name_NHẬP_GOM]=AY$3)),SUMPRODUCT(Data_Nhập[Tổng Nhập-NX]*(Data_Nhập[Year]=AY$1)*(Data_Nhập[Month]=AY$2)*(Data_Nhập[Main SKU name_GOM]=$A6)*(Data_Nhập[SKU name_NHẬP_GOM]=AY$3)))</f>
        <v>0</v>
      </c>
      <c r="AZ6" s="29" cm="1">
        <f t="array" ref="AZ6">IF(AZ$2="FY",SUMPRODUCT(Data_Nhập[Tổng Nhập-NX]*(Data_Nhập[Year]=AZ$1)*(Data_Nhập[Main SKU name_GOM]=$A6)*(Data_Nhập[SKU name_NHẬP_GOM]=AZ$3)),SUMPRODUCT(Data_Nhập[Tổng Nhập-NX]*(Data_Nhập[Year]=AZ$1)*(Data_Nhập[Month]=AZ$2)*(Data_Nhập[Main SKU name_GOM]=$A6)*(Data_Nhập[SKU name_NHẬP_GOM]=AZ$3)))</f>
        <v>2200</v>
      </c>
      <c r="BA6" s="29" cm="1">
        <f t="array" ref="BA6">IF(BA$2="FY",SUMPRODUCT(Data_Nhập[Tổng Nhập-NX]*(Data_Nhập[Year]=BA$1)*(Data_Nhập[Main SKU name_GOM]=$A6)*(Data_Nhập[SKU name_NHẬP_GOM]=BA$3)),SUMPRODUCT(Data_Nhập[Tổng Nhập-NX]*(Data_Nhập[Year]=BA$1)*(Data_Nhập[Month]=BA$2)*(Data_Nhập[Main SKU name_GOM]=$A6)*(Data_Nhập[SKU name_NHẬP_GOM]=BA$3)))</f>
        <v>0</v>
      </c>
      <c r="BB6" s="29" cm="1">
        <f t="array" ref="BB6">IF(BB$2="FY",SUMPRODUCT(Data_Nhập[Tổng Nhập-NX]*(Data_Nhập[Year]=BB$1)*(Data_Nhập[Main SKU name_GOM]=$A6)*(Data_Nhập[SKU name_NHẬP_GOM]=BB$3)),SUMPRODUCT(Data_Nhập[Tổng Nhập-NX]*(Data_Nhập[Year]=BB$1)*(Data_Nhập[Month]=BB$2)*(Data_Nhập[Main SKU name_GOM]=$A6)*(Data_Nhập[SKU name_NHẬP_GOM]=BB$3)))</f>
        <v>28659</v>
      </c>
      <c r="BC6" s="29" cm="1">
        <f t="array" ref="BC6">IF(BC$2="FY",SUMPRODUCT(Data_Nhập[Tổng Nhập-NX]*(Data_Nhập[Year]=BC$1)*(Data_Nhập[Main SKU name_GOM]=$A6)*(Data_Nhập[SKU name_NHẬP_GOM]=BC$3)),SUMPRODUCT(Data_Nhập[Tổng Nhập-NX]*(Data_Nhập[Year]=BC$1)*(Data_Nhập[Month]=BC$2)*(Data_Nhập[Main SKU name_GOM]=$A6)*(Data_Nhập[SKU name_NHẬP_GOM]=BC$3)))</f>
        <v>0</v>
      </c>
      <c r="BD6" s="30">
        <f>SUM(AO6:BC6)</f>
        <v>602859</v>
      </c>
      <c r="BF6" s="30" cm="1">
        <f t="array" ref="BF6">IF(BF$2="FY",SUMPRODUCT(Data_Xuất[Xuất-NX]*(Data_Xuất[Year]=BF$1)*(Data_Xuất[Main SKU name_GOM]=$A6)),SUMPRODUCT(Data_Xuất[Xuất-NX]*(Data_Xuất[Year]=BF$1)*(Data_Xuất[Main SKU name_GOM]=$A6)*(Data_Xuất[Month]=BF$2)))</f>
        <v>0</v>
      </c>
      <c r="BG6" s="29" cm="1">
        <f t="array" ref="BG6">IF(BG$2="FY",SUMPRODUCT(Data_Nhập[Tổng Nhập-NX]*(Data_Nhập[Year]=BG$1)*(Data_Nhập[Main SKU name_GOM]=$A6)*(Data_Nhập[SKU name_NHẬP_GOM]=BG$3)),SUMPRODUCT(Data_Nhập[Tổng Nhập-NX]*(Data_Nhập[Year]=BG$1)*(Data_Nhập[Month]=BG$2)*(Data_Nhập[Main SKU name_GOM]=$A6)*(Data_Nhập[SKU name_NHẬP_GOM]=BG$3)))</f>
        <v>0</v>
      </c>
      <c r="BH6" s="29" cm="1">
        <f t="array" ref="BH6">IF(BH$2="FY",SUMPRODUCT(Data_Nhập[Tổng Nhập-NX]*(Data_Nhập[Year]=BH$1)*(Data_Nhập[Main SKU name_GOM]=$A6)*(Data_Nhập[SKU name_NHẬP_GOM]=BH$3)),SUMPRODUCT(Data_Nhập[Tổng Nhập-NX]*(Data_Nhập[Year]=BH$1)*(Data_Nhập[Month]=BH$2)*(Data_Nhập[Main SKU name_GOM]=$A6)*(Data_Nhập[SKU name_NHẬP_GOM]=BH$3)))</f>
        <v>0</v>
      </c>
      <c r="BI6" s="29" cm="1">
        <f t="array" ref="BI6">IF(BI$2="FY",SUMPRODUCT(Data_Nhập[Tổng Nhập-NX]*(Data_Nhập[Year]=BI$1)*(Data_Nhập[Main SKU name_GOM]=$A6)*(Data_Nhập[SKU name_NHẬP_GOM]=BI$3)),SUMPRODUCT(Data_Nhập[Tổng Nhập-NX]*(Data_Nhập[Year]=BI$1)*(Data_Nhập[Month]=BI$2)*(Data_Nhập[Main SKU name_GOM]=$A6)*(Data_Nhập[SKU name_NHẬP_GOM]=BI$3)))</f>
        <v>0</v>
      </c>
      <c r="BJ6" s="29" cm="1">
        <f t="array" ref="BJ6">IF(BJ$2="FY",SUMPRODUCT(Data_Nhập[Tổng Nhập-NX]*(Data_Nhập[Year]=BJ$1)*(Data_Nhập[Main SKU name_GOM]=$A6)*(Data_Nhập[SKU name_NHẬP_GOM]=BJ$3)),SUMPRODUCT(Data_Nhập[Tổng Nhập-NX]*(Data_Nhập[Year]=BJ$1)*(Data_Nhập[Month]=BJ$2)*(Data_Nhập[Main SKU name_GOM]=$A6)*(Data_Nhập[SKU name_NHẬP_GOM]=BJ$3)))</f>
        <v>0</v>
      </c>
      <c r="BK6" s="29" cm="1">
        <f t="array" ref="BK6">IF(BK$2="FY",SUMPRODUCT(Data_Nhập[Tổng Nhập-NX]*(Data_Nhập[Year]=BK$1)*(Data_Nhập[Main SKU name_GOM]=$A6)*(Data_Nhập[SKU name_NHẬP_GOM]=BK$3)),SUMPRODUCT(Data_Nhập[Tổng Nhập-NX]*(Data_Nhập[Year]=BK$1)*(Data_Nhập[Month]=BK$2)*(Data_Nhập[Main SKU name_GOM]=$A6)*(Data_Nhập[SKU name_NHẬP_GOM]=BK$3)))</f>
        <v>0</v>
      </c>
      <c r="BL6" s="29" cm="1">
        <f t="array" ref="BL6">IF(BL$2="FY",SUMPRODUCT(Data_Nhập[Tổng Nhập-NX]*(Data_Nhập[Year]=BL$1)*(Data_Nhập[Main SKU name_GOM]=$A6)*(Data_Nhập[SKU name_NHẬP_GOM]=BL$3)),SUMPRODUCT(Data_Nhập[Tổng Nhập-NX]*(Data_Nhập[Year]=BL$1)*(Data_Nhập[Month]=BL$2)*(Data_Nhập[Main SKU name_GOM]=$A6)*(Data_Nhập[SKU name_NHẬP_GOM]=BL$3)))</f>
        <v>0</v>
      </c>
      <c r="BM6" s="29" cm="1">
        <f t="array" ref="BM6">IF(BM$2="FY",SUMPRODUCT(Data_Nhập[Tổng Nhập-NX]*(Data_Nhập[Year]=BM$1)*(Data_Nhập[Main SKU name_GOM]=$A6)*(Data_Nhập[SKU name_NHẬP_GOM]=BM$3)),SUMPRODUCT(Data_Nhập[Tổng Nhập-NX]*(Data_Nhập[Year]=BM$1)*(Data_Nhập[Month]=BM$2)*(Data_Nhập[Main SKU name_GOM]=$A6)*(Data_Nhập[SKU name_NHẬP_GOM]=BM$3)))</f>
        <v>0</v>
      </c>
      <c r="BN6" s="29" cm="1">
        <f t="array" ref="BN6">IF(BN$2="FY",SUMPRODUCT(Data_Nhập[Tổng Nhập-NX]*(Data_Nhập[Year]=BN$1)*(Data_Nhập[Main SKU name_GOM]=$A6)*(Data_Nhập[SKU name_NHẬP_GOM]=BN$3)),SUMPRODUCT(Data_Nhập[Tổng Nhập-NX]*(Data_Nhập[Year]=BN$1)*(Data_Nhập[Month]=BN$2)*(Data_Nhập[Main SKU name_GOM]=$A6)*(Data_Nhập[SKU name_NHẬP_GOM]=BN$3)))</f>
        <v>0</v>
      </c>
      <c r="BO6" s="29" cm="1">
        <f t="array" ref="BO6">IF(BO$2="FY",SUMPRODUCT(Data_Nhập[Tổng Nhập-NX]*(Data_Nhập[Year]=BO$1)*(Data_Nhập[Main SKU name_GOM]=$A6)*(Data_Nhập[SKU name_NHẬP_GOM]=BO$3)),SUMPRODUCT(Data_Nhập[Tổng Nhập-NX]*(Data_Nhập[Year]=BO$1)*(Data_Nhập[Month]=BO$2)*(Data_Nhập[Main SKU name_GOM]=$A6)*(Data_Nhập[SKU name_NHẬP_GOM]=BO$3)))</f>
        <v>0</v>
      </c>
      <c r="BP6" s="29" cm="1">
        <f t="array" ref="BP6">IF(BP$2="FY",SUMPRODUCT(Data_Nhập[Tổng Nhập-NX]*(Data_Nhập[Year]=BP$1)*(Data_Nhập[Main SKU name_GOM]=$A6)*(Data_Nhập[SKU name_NHẬP_GOM]=BP$3)),SUMPRODUCT(Data_Nhập[Tổng Nhập-NX]*(Data_Nhập[Year]=BP$1)*(Data_Nhập[Month]=BP$2)*(Data_Nhập[Main SKU name_GOM]=$A6)*(Data_Nhập[SKU name_NHẬP_GOM]=BP$3)))</f>
        <v>0</v>
      </c>
      <c r="BQ6" s="29" cm="1">
        <f t="array" ref="BQ6">IF(BQ$2="FY",SUMPRODUCT(Data_Nhập[Tổng Nhập-NX]*(Data_Nhập[Year]=BQ$1)*(Data_Nhập[Main SKU name_GOM]=$A6)*(Data_Nhập[SKU name_NHẬP_GOM]=BQ$3)),SUMPRODUCT(Data_Nhập[Tổng Nhập-NX]*(Data_Nhập[Year]=BQ$1)*(Data_Nhập[Month]=BQ$2)*(Data_Nhập[Main SKU name_GOM]=$A6)*(Data_Nhập[SKU name_NHẬP_GOM]=BQ$3)))</f>
        <v>0</v>
      </c>
      <c r="BR6" s="29" cm="1">
        <f t="array" ref="BR6">IF(BR$2="FY",SUMPRODUCT(Data_Nhập[Tổng Nhập-NX]*(Data_Nhập[Year]=BR$1)*(Data_Nhập[Main SKU name_GOM]=$A6)*(Data_Nhập[SKU name_NHẬP_GOM]=BR$3)),SUMPRODUCT(Data_Nhập[Tổng Nhập-NX]*(Data_Nhập[Year]=BR$1)*(Data_Nhập[Month]=BR$2)*(Data_Nhập[Main SKU name_GOM]=$A6)*(Data_Nhập[SKU name_NHẬP_GOM]=BR$3)))</f>
        <v>0</v>
      </c>
      <c r="BS6" s="29" cm="1">
        <f t="array" ref="BS6">IF(BS$2="FY",SUMPRODUCT(Data_Nhập[Tổng Nhập-NX]*(Data_Nhập[Year]=BS$1)*(Data_Nhập[Main SKU name_GOM]=$A6)*(Data_Nhập[SKU name_NHẬP_GOM]=BS$3)),SUMPRODUCT(Data_Nhập[Tổng Nhập-NX]*(Data_Nhập[Year]=BS$1)*(Data_Nhập[Month]=BS$2)*(Data_Nhập[Main SKU name_GOM]=$A6)*(Data_Nhập[SKU name_NHẬP_GOM]=BS$3)))</f>
        <v>0</v>
      </c>
      <c r="BT6" s="29" cm="1">
        <f t="array" ref="BT6">IF(BT$2="FY",SUMPRODUCT(Data_Nhập[Tổng Nhập-NX]*(Data_Nhập[Year]=BT$1)*(Data_Nhập[Main SKU name_GOM]=$A6)*(Data_Nhập[SKU name_NHẬP_GOM]=BT$3)),SUMPRODUCT(Data_Nhập[Tổng Nhập-NX]*(Data_Nhập[Year]=BT$1)*(Data_Nhập[Month]=BT$2)*(Data_Nhập[Main SKU name_GOM]=$A6)*(Data_Nhập[SKU name_NHẬP_GOM]=BT$3)))</f>
        <v>0</v>
      </c>
      <c r="BU6" s="29" cm="1">
        <f t="array" ref="BU6">IF(BU$2="FY",SUMPRODUCT(Data_Nhập[Tổng Nhập-NX]*(Data_Nhập[Year]=BU$1)*(Data_Nhập[Main SKU name_GOM]=$A6)*(Data_Nhập[SKU name_NHẬP_GOM]=BU$3)),SUMPRODUCT(Data_Nhập[Tổng Nhập-NX]*(Data_Nhập[Year]=BU$1)*(Data_Nhập[Month]=BU$2)*(Data_Nhập[Main SKU name_GOM]=$A6)*(Data_Nhập[SKU name_NHẬP_GOM]=BU$3)))</f>
        <v>0</v>
      </c>
      <c r="BV6" s="30">
        <f>SUM(BG6:BU6)</f>
        <v>0</v>
      </c>
      <c r="BX6" s="30" cm="1">
        <f t="array" ref="BX6">IF(BX$2="FY",SUMPRODUCT(Data_Xuất[Xuất-NX]*(Data_Xuất[Year]=BX$1)*(Data_Xuất[Main SKU name_GOM]=$A6)),SUMPRODUCT(Data_Xuất[Xuất-NX]*(Data_Xuất[Year]=BX$1)*(Data_Xuất[Main SKU name_GOM]=$A6)*(Data_Xuất[Month]=BX$2)))</f>
        <v>4905</v>
      </c>
      <c r="BY6" s="29" cm="1">
        <f t="array" ref="BY6">IF(BY$2="FY",SUMPRODUCT(Data_Nhập[Tổng Nhập-NX]*(Data_Nhập[Year]=BY$1)*(Data_Nhập[Main SKU name_GOM]=$A6)*(Data_Nhập[SKU name_NHẬP_GOM]=BY$3)),SUMPRODUCT(Data_Nhập[Tổng Nhập-NX]*(Data_Nhập[Year]=BY$1)*(Data_Nhập[Month]=BY$2)*(Data_Nhập[Main SKU name_GOM]=$A6)*(Data_Nhập[SKU name_NHẬP_GOM]=BY$3)))</f>
        <v>3300</v>
      </c>
      <c r="BZ6" s="29" cm="1">
        <f t="array" ref="BZ6">IF(BZ$2="FY",SUMPRODUCT(Data_Nhập[Tổng Nhập-NX]*(Data_Nhập[Year]=BZ$1)*(Data_Nhập[Main SKU name_GOM]=$A6)*(Data_Nhập[SKU name_NHẬP_GOM]=BZ$3)),SUMPRODUCT(Data_Nhập[Tổng Nhập-NX]*(Data_Nhập[Year]=BZ$1)*(Data_Nhập[Month]=BZ$2)*(Data_Nhập[Main SKU name_GOM]=$A6)*(Data_Nhập[SKU name_NHẬP_GOM]=BZ$3)))</f>
        <v>0</v>
      </c>
      <c r="CA6" s="29" cm="1">
        <f t="array" ref="CA6">IF(CA$2="FY",SUMPRODUCT(Data_Nhập[Tổng Nhập-NX]*(Data_Nhập[Year]=CA$1)*(Data_Nhập[Main SKU name_GOM]=$A6)*(Data_Nhập[SKU name_NHẬP_GOM]=CA$3)),SUMPRODUCT(Data_Nhập[Tổng Nhập-NX]*(Data_Nhập[Year]=CA$1)*(Data_Nhập[Month]=CA$2)*(Data_Nhập[Main SKU name_GOM]=$A6)*(Data_Nhập[SKU name_NHẬP_GOM]=CA$3)))</f>
        <v>0</v>
      </c>
      <c r="CB6" s="29" cm="1">
        <f t="array" ref="CB6">IF(CB$2="FY",SUMPRODUCT(Data_Nhập[Tổng Nhập-NX]*(Data_Nhập[Year]=CB$1)*(Data_Nhập[Main SKU name_GOM]=$A6)*(Data_Nhập[SKU name_NHẬP_GOM]=CB$3)),SUMPRODUCT(Data_Nhập[Tổng Nhập-NX]*(Data_Nhập[Year]=CB$1)*(Data_Nhập[Month]=CB$2)*(Data_Nhập[Main SKU name_GOM]=$A6)*(Data_Nhập[SKU name_NHẬP_GOM]=CB$3)))</f>
        <v>0</v>
      </c>
      <c r="CC6" s="29" cm="1">
        <f t="array" ref="CC6">IF(CC$2="FY",SUMPRODUCT(Data_Nhập[Tổng Nhập-NX]*(Data_Nhập[Year]=CC$1)*(Data_Nhập[Main SKU name_GOM]=$A6)*(Data_Nhập[SKU name_NHẬP_GOM]=CC$3)),SUMPRODUCT(Data_Nhập[Tổng Nhập-NX]*(Data_Nhập[Year]=CC$1)*(Data_Nhập[Month]=CC$2)*(Data_Nhập[Main SKU name_GOM]=$A6)*(Data_Nhập[SKU name_NHẬP_GOM]=CC$3)))</f>
        <v>1100</v>
      </c>
      <c r="CD6" s="29" cm="1">
        <f t="array" ref="CD6">IF(CD$2="FY",SUMPRODUCT(Data_Nhập[Tổng Nhập-NX]*(Data_Nhập[Year]=CD$1)*(Data_Nhập[Main SKU name_GOM]=$A6)*(Data_Nhập[SKU name_NHẬP_GOM]=CD$3)),SUMPRODUCT(Data_Nhập[Tổng Nhập-NX]*(Data_Nhập[Year]=CD$1)*(Data_Nhập[Month]=CD$2)*(Data_Nhập[Main SKU name_GOM]=$A6)*(Data_Nhập[SKU name_NHẬP_GOM]=CD$3)))</f>
        <v>0</v>
      </c>
      <c r="CE6" s="29" cm="1">
        <f t="array" ref="CE6">IF(CE$2="FY",SUMPRODUCT(Data_Nhập[Tổng Nhập-NX]*(Data_Nhập[Year]=CE$1)*(Data_Nhập[Main SKU name_GOM]=$A6)*(Data_Nhập[SKU name_NHẬP_GOM]=CE$3)),SUMPRODUCT(Data_Nhập[Tổng Nhập-NX]*(Data_Nhập[Year]=CE$1)*(Data_Nhập[Month]=CE$2)*(Data_Nhập[Main SKU name_GOM]=$A6)*(Data_Nhập[SKU name_NHẬP_GOM]=CE$3)))</f>
        <v>0</v>
      </c>
      <c r="CF6" s="29" cm="1">
        <f t="array" ref="CF6">IF(CF$2="FY",SUMPRODUCT(Data_Nhập[Tổng Nhập-NX]*(Data_Nhập[Year]=CF$1)*(Data_Nhập[Main SKU name_GOM]=$A6)*(Data_Nhập[SKU name_NHẬP_GOM]=CF$3)),SUMPRODUCT(Data_Nhập[Tổng Nhập-NX]*(Data_Nhập[Year]=CF$1)*(Data_Nhập[Month]=CF$2)*(Data_Nhập[Main SKU name_GOM]=$A6)*(Data_Nhập[SKU name_NHẬP_GOM]=CF$3)))</f>
        <v>0</v>
      </c>
      <c r="CG6" s="29" cm="1">
        <f t="array" ref="CG6">IF(CG$2="FY",SUMPRODUCT(Data_Nhập[Tổng Nhập-NX]*(Data_Nhập[Year]=CG$1)*(Data_Nhập[Main SKU name_GOM]=$A6)*(Data_Nhập[SKU name_NHẬP_GOM]=CG$3)),SUMPRODUCT(Data_Nhập[Tổng Nhập-NX]*(Data_Nhập[Year]=CG$1)*(Data_Nhập[Month]=CG$2)*(Data_Nhập[Main SKU name_GOM]=$A6)*(Data_Nhập[SKU name_NHẬP_GOM]=CG$3)))</f>
        <v>0</v>
      </c>
      <c r="CH6" s="29" cm="1">
        <f t="array" ref="CH6">IF(CH$2="FY",SUMPRODUCT(Data_Nhập[Tổng Nhập-NX]*(Data_Nhập[Year]=CH$1)*(Data_Nhập[Main SKU name_GOM]=$A6)*(Data_Nhập[SKU name_NHẬP_GOM]=CH$3)),SUMPRODUCT(Data_Nhập[Tổng Nhập-NX]*(Data_Nhập[Year]=CH$1)*(Data_Nhập[Month]=CH$2)*(Data_Nhập[Main SKU name_GOM]=$A6)*(Data_Nhập[SKU name_NHẬP_GOM]=CH$3)))</f>
        <v>0</v>
      </c>
      <c r="CI6" s="29" cm="1">
        <f t="array" ref="CI6">IF(CI$2="FY",SUMPRODUCT(Data_Nhập[Tổng Nhập-NX]*(Data_Nhập[Year]=CI$1)*(Data_Nhập[Main SKU name_GOM]=$A6)*(Data_Nhập[SKU name_NHẬP_GOM]=CI$3)),SUMPRODUCT(Data_Nhập[Tổng Nhập-NX]*(Data_Nhập[Year]=CI$1)*(Data_Nhập[Month]=CI$2)*(Data_Nhập[Main SKU name_GOM]=$A6)*(Data_Nhập[SKU name_NHẬP_GOM]=CI$3)))</f>
        <v>0</v>
      </c>
      <c r="CJ6" s="29" cm="1">
        <f t="array" ref="CJ6">IF(CJ$2="FY",SUMPRODUCT(Data_Nhập[Tổng Nhập-NX]*(Data_Nhập[Year]=CJ$1)*(Data_Nhập[Main SKU name_GOM]=$A6)*(Data_Nhập[SKU name_NHẬP_GOM]=CJ$3)),SUMPRODUCT(Data_Nhập[Tổng Nhập-NX]*(Data_Nhập[Year]=CJ$1)*(Data_Nhập[Month]=CJ$2)*(Data_Nhập[Main SKU name_GOM]=$A6)*(Data_Nhập[SKU name_NHẬP_GOM]=CJ$3)))</f>
        <v>0</v>
      </c>
      <c r="CK6" s="29" cm="1">
        <f t="array" ref="CK6">IF(CK$2="FY",SUMPRODUCT(Data_Nhập[Tổng Nhập-NX]*(Data_Nhập[Year]=CK$1)*(Data_Nhập[Main SKU name_GOM]=$A6)*(Data_Nhập[SKU name_NHẬP_GOM]=CK$3)),SUMPRODUCT(Data_Nhập[Tổng Nhập-NX]*(Data_Nhập[Year]=CK$1)*(Data_Nhập[Month]=CK$2)*(Data_Nhập[Main SKU name_GOM]=$A6)*(Data_Nhập[SKU name_NHẬP_GOM]=CK$3)))</f>
        <v>0</v>
      </c>
      <c r="CL6" s="29" cm="1">
        <f t="array" ref="CL6">IF(CL$2="FY",SUMPRODUCT(Data_Nhập[Tổng Nhập-NX]*(Data_Nhập[Year]=CL$1)*(Data_Nhập[Main SKU name_GOM]=$A6)*(Data_Nhập[SKU name_NHẬP_GOM]=CL$3)),SUMPRODUCT(Data_Nhập[Tổng Nhập-NX]*(Data_Nhập[Year]=CL$1)*(Data_Nhập[Month]=CL$2)*(Data_Nhập[Main SKU name_GOM]=$A6)*(Data_Nhập[SKU name_NHẬP_GOM]=CL$3)))</f>
        <v>500</v>
      </c>
      <c r="CM6" s="29" cm="1">
        <f t="array" ref="CM6">IF(CM$2="FY",SUMPRODUCT(Data_Nhập[Tổng Nhập-NX]*(Data_Nhập[Year]=CM$1)*(Data_Nhập[Main SKU name_GOM]=$A6)*(Data_Nhập[SKU name_NHẬP_GOM]=CM$3)),SUMPRODUCT(Data_Nhập[Tổng Nhập-NX]*(Data_Nhập[Year]=CM$1)*(Data_Nhập[Month]=CM$2)*(Data_Nhập[Main SKU name_GOM]=$A6)*(Data_Nhập[SKU name_NHẬP_GOM]=CM$3)))</f>
        <v>0</v>
      </c>
      <c r="CN6" s="30">
        <f>SUM(BY6:CM6)</f>
        <v>4900</v>
      </c>
      <c r="CP6" s="30" cm="1">
        <f t="array" ref="CP6">IF(CP$2="FY",SUMPRODUCT(Data_Xuất[Xuất-NX]*(Data_Xuất[Year]=CP$1)*(Data_Xuất[Main SKU name_GOM]=$A6)),SUMPRODUCT(Data_Xuất[Xuất-NX]*(Data_Xuất[Year]=CP$1)*(Data_Xuất[Main SKU name_GOM]=$A6)*(Data_Xuất[Month]=CP$2)))</f>
        <v>471296</v>
      </c>
      <c r="CQ6" s="29" cm="1">
        <f t="array" ref="CQ6">IF(CQ$2="FY",SUMPRODUCT(Data_Nhập[Tổng Nhập-NX]*(Data_Nhập[Year]=CQ$1)*(Data_Nhập[Main SKU name_GOM]=$A6)*(Data_Nhập[SKU name_NHẬP_GOM]=CQ$3)),SUMPRODUCT(Data_Nhập[Tổng Nhập-NX]*(Data_Nhập[Year]=CQ$1)*(Data_Nhập[Month]=CQ$2)*(Data_Nhập[Main SKU name_GOM]=$A6)*(Data_Nhập[SKU name_NHẬP_GOM]=CQ$3)))</f>
        <v>329999.99999999994</v>
      </c>
      <c r="CR6" s="29" cm="1">
        <f t="array" ref="CR6">IF(CR$2="FY",SUMPRODUCT(Data_Nhập[Tổng Nhập-NX]*(Data_Nhập[Year]=CR$1)*(Data_Nhập[Main SKU name_GOM]=$A6)*(Data_Nhập[SKU name_NHẬP_GOM]=CR$3)),SUMPRODUCT(Data_Nhập[Tổng Nhập-NX]*(Data_Nhập[Year]=CR$1)*(Data_Nhập[Month]=CR$2)*(Data_Nhập[Main SKU name_GOM]=$A6)*(Data_Nhập[SKU name_NHẬP_GOM]=CR$3)))</f>
        <v>86900</v>
      </c>
      <c r="CS6" s="29" cm="1">
        <f t="array" ref="CS6">IF(CS$2="FY",SUMPRODUCT(Data_Nhập[Tổng Nhập-NX]*(Data_Nhập[Year]=CS$1)*(Data_Nhập[Main SKU name_GOM]=$A6)*(Data_Nhập[SKU name_NHẬP_GOM]=CS$3)),SUMPRODUCT(Data_Nhập[Tổng Nhập-NX]*(Data_Nhập[Year]=CS$1)*(Data_Nhập[Month]=CS$2)*(Data_Nhập[Main SKU name_GOM]=$A6)*(Data_Nhập[SKU name_NHẬP_GOM]=CS$3)))</f>
        <v>0</v>
      </c>
      <c r="CT6" s="29" cm="1">
        <f t="array" ref="CT6">IF(CT$2="FY",SUMPRODUCT(Data_Nhập[Tổng Nhập-NX]*(Data_Nhập[Year]=CT$1)*(Data_Nhập[Main SKU name_GOM]=$A6)*(Data_Nhập[SKU name_NHẬP_GOM]=CT$3)),SUMPRODUCT(Data_Nhập[Tổng Nhập-NX]*(Data_Nhập[Year]=CT$1)*(Data_Nhập[Month]=CT$2)*(Data_Nhập[Main SKU name_GOM]=$A6)*(Data_Nhập[SKU name_NHẬP_GOM]=CT$3)))</f>
        <v>0</v>
      </c>
      <c r="CU6" s="29" cm="1">
        <f t="array" ref="CU6">IF(CU$2="FY",SUMPRODUCT(Data_Nhập[Tổng Nhập-NX]*(Data_Nhập[Year]=CU$1)*(Data_Nhập[Main SKU name_GOM]=$A6)*(Data_Nhập[SKU name_NHẬP_GOM]=CU$3)),SUMPRODUCT(Data_Nhập[Tổng Nhập-NX]*(Data_Nhập[Year]=CU$1)*(Data_Nhập[Month]=CU$2)*(Data_Nhập[Main SKU name_GOM]=$A6)*(Data_Nhập[SKU name_NHẬP_GOM]=CU$3)))</f>
        <v>12100</v>
      </c>
      <c r="CV6" s="29" cm="1">
        <f t="array" ref="CV6">IF(CV$2="FY",SUMPRODUCT(Data_Nhập[Tổng Nhập-NX]*(Data_Nhập[Year]=CV$1)*(Data_Nhập[Main SKU name_GOM]=$A6)*(Data_Nhập[SKU name_NHẬP_GOM]=CV$3)),SUMPRODUCT(Data_Nhập[Tổng Nhập-NX]*(Data_Nhập[Year]=CV$1)*(Data_Nhập[Month]=CV$2)*(Data_Nhập[Main SKU name_GOM]=$A6)*(Data_Nhập[SKU name_NHẬP_GOM]=CV$3)))</f>
        <v>0</v>
      </c>
      <c r="CW6" s="29" cm="1">
        <f t="array" ref="CW6">IF(CW$2="FY",SUMPRODUCT(Data_Nhập[Tổng Nhập-NX]*(Data_Nhập[Year]=CW$1)*(Data_Nhập[Main SKU name_GOM]=$A6)*(Data_Nhập[SKU name_NHẬP_GOM]=CW$3)),SUMPRODUCT(Data_Nhập[Tổng Nhập-NX]*(Data_Nhập[Year]=CW$1)*(Data_Nhập[Month]=CW$2)*(Data_Nhập[Main SKU name_GOM]=$A6)*(Data_Nhập[SKU name_NHẬP_GOM]=CW$3)))</f>
        <v>0</v>
      </c>
      <c r="CX6" s="29" cm="1">
        <f t="array" ref="CX6">IF(CX$2="FY",SUMPRODUCT(Data_Nhập[Tổng Nhập-NX]*(Data_Nhập[Year]=CX$1)*(Data_Nhập[Main SKU name_GOM]=$A6)*(Data_Nhập[SKU name_NHẬP_GOM]=CX$3)),SUMPRODUCT(Data_Nhập[Tổng Nhập-NX]*(Data_Nhập[Year]=CX$1)*(Data_Nhập[Month]=CX$2)*(Data_Nhập[Main SKU name_GOM]=$A6)*(Data_Nhập[SKU name_NHẬP_GOM]=CX$3)))</f>
        <v>0</v>
      </c>
      <c r="CY6" s="29" cm="1">
        <f t="array" ref="CY6">IF(CY$2="FY",SUMPRODUCT(Data_Nhập[Tổng Nhập-NX]*(Data_Nhập[Year]=CY$1)*(Data_Nhập[Main SKU name_GOM]=$A6)*(Data_Nhập[SKU name_NHẬP_GOM]=CY$3)),SUMPRODUCT(Data_Nhập[Tổng Nhập-NX]*(Data_Nhập[Year]=CY$1)*(Data_Nhập[Month]=CY$2)*(Data_Nhập[Main SKU name_GOM]=$A6)*(Data_Nhập[SKU name_NHẬP_GOM]=CY$3)))</f>
        <v>1100</v>
      </c>
      <c r="CZ6" s="29" cm="1">
        <f t="array" ref="CZ6">IF(CZ$2="FY",SUMPRODUCT(Data_Nhập[Tổng Nhập-NX]*(Data_Nhập[Year]=CZ$1)*(Data_Nhập[Main SKU name_GOM]=$A6)*(Data_Nhập[SKU name_NHẬP_GOM]=CZ$3)),SUMPRODUCT(Data_Nhập[Tổng Nhập-NX]*(Data_Nhập[Year]=CZ$1)*(Data_Nhập[Month]=CZ$2)*(Data_Nhập[Main SKU name_GOM]=$A6)*(Data_Nhập[SKU name_NHẬP_GOM]=CZ$3)))</f>
        <v>0</v>
      </c>
      <c r="DA6" s="29" cm="1">
        <f t="array" ref="DA6">IF(DA$2="FY",SUMPRODUCT(Data_Nhập[Tổng Nhập-NX]*(Data_Nhập[Year]=DA$1)*(Data_Nhập[Main SKU name_GOM]=$A6)*(Data_Nhập[SKU name_NHẬP_GOM]=DA$3)),SUMPRODUCT(Data_Nhập[Tổng Nhập-NX]*(Data_Nhập[Year]=DA$1)*(Data_Nhập[Month]=DA$2)*(Data_Nhập[Main SKU name_GOM]=$A6)*(Data_Nhập[SKU name_NHẬP_GOM]=DA$3)))</f>
        <v>14300</v>
      </c>
      <c r="DB6" s="29" cm="1">
        <f t="array" ref="DB6">IF(DB$2="FY",SUMPRODUCT(Data_Nhập[Tổng Nhập-NX]*(Data_Nhập[Year]=DB$1)*(Data_Nhập[Main SKU name_GOM]=$A6)*(Data_Nhập[SKU name_NHẬP_GOM]=DB$3)),SUMPRODUCT(Data_Nhập[Tổng Nhập-NX]*(Data_Nhập[Year]=DB$1)*(Data_Nhập[Month]=DB$2)*(Data_Nhập[Main SKU name_GOM]=$A6)*(Data_Nhập[SKU name_NHẬP_GOM]=DB$3)))</f>
        <v>0</v>
      </c>
      <c r="DC6" s="29" cm="1">
        <f t="array" ref="DC6">IF(DC$2="FY",SUMPRODUCT(Data_Nhập[Tổng Nhập-NX]*(Data_Nhập[Year]=DC$1)*(Data_Nhập[Main SKU name_GOM]=$A6)*(Data_Nhập[SKU name_NHẬP_GOM]=DC$3)),SUMPRODUCT(Data_Nhập[Tổng Nhập-NX]*(Data_Nhập[Year]=DC$1)*(Data_Nhập[Month]=DC$2)*(Data_Nhập[Main SKU name_GOM]=$A6)*(Data_Nhập[SKU name_NHẬP_GOM]=DC$3)))</f>
        <v>0</v>
      </c>
      <c r="DD6" s="29" cm="1">
        <f t="array" ref="DD6">IF(DD$2="FY",SUMPRODUCT(Data_Nhập[Tổng Nhập-NX]*(Data_Nhập[Year]=DD$1)*(Data_Nhập[Main SKU name_GOM]=$A6)*(Data_Nhập[SKU name_NHẬP_GOM]=DD$3)),SUMPRODUCT(Data_Nhập[Tổng Nhập-NX]*(Data_Nhập[Year]=DD$1)*(Data_Nhập[Month]=DD$2)*(Data_Nhập[Main SKU name_GOM]=$A6)*(Data_Nhập[SKU name_NHẬP_GOM]=DD$3)))</f>
        <v>23220</v>
      </c>
      <c r="DE6" s="29" cm="1">
        <f t="array" ref="DE6">IF(DE$2="FY",SUMPRODUCT(Data_Nhập[Tổng Nhập-NX]*(Data_Nhập[Year]=DE$1)*(Data_Nhập[Main SKU name_GOM]=$A6)*(Data_Nhập[SKU name_NHẬP_GOM]=DE$3)),SUMPRODUCT(Data_Nhập[Tổng Nhập-NX]*(Data_Nhập[Year]=DE$1)*(Data_Nhập[Month]=DE$2)*(Data_Nhập[Main SKU name_GOM]=$A6)*(Data_Nhập[SKU name_NHẬP_GOM]=DE$3)))</f>
        <v>0</v>
      </c>
      <c r="DF6" s="30">
        <f>SUM(CQ6:DE6)</f>
        <v>467619.99999999994</v>
      </c>
      <c r="DH6" s="30" cm="1">
        <f t="array" ref="DH6">IF(DH$2="FY",SUMPRODUCT(Data_Xuất[Xuất-NX]*(Data_Xuất[Year]=DH$1)*(Data_Xuất[Main SKU name_GOM]=$A6)),SUMPRODUCT(Data_Xuất[Xuất-NX]*(Data_Xuất[Year]=DH$1)*(Data_Xuất[Main SKU name_GOM]=$A6)*(Data_Xuất[Month]=DH$2)))</f>
        <v>522400</v>
      </c>
      <c r="DI6" s="29" cm="1">
        <f t="array" ref="DI6">IF(DI$2="FY",SUMPRODUCT(Data_Nhập[Tổng Nhập-NX]*(Data_Nhập[Year]=DI$1)*(Data_Nhập[Main SKU name_GOM]=$A6)*(Data_Nhập[SKU name_NHẬP_GOM]=DI$3)),SUMPRODUCT(Data_Nhập[Tổng Nhập-NX]*(Data_Nhập[Year]=DI$1)*(Data_Nhập[Month]=DI$2)*(Data_Nhập[Main SKU name_GOM]=$A6)*(Data_Nhập[SKU name_NHẬP_GOM]=DI$3)))</f>
        <v>461999.99999999994</v>
      </c>
      <c r="DJ6" s="29" cm="1">
        <f t="array" ref="DJ6">IF(DJ$2="FY",SUMPRODUCT(Data_Nhập[Tổng Nhập-NX]*(Data_Nhập[Year]=DJ$1)*(Data_Nhập[Main SKU name_GOM]=$A6)*(Data_Nhập[SKU name_NHẬP_GOM]=DJ$3)),SUMPRODUCT(Data_Nhập[Tổng Nhập-NX]*(Data_Nhập[Year]=DJ$1)*(Data_Nhập[Month]=DJ$2)*(Data_Nhập[Main SKU name_GOM]=$A6)*(Data_Nhập[SKU name_NHẬP_GOM]=DJ$3)))</f>
        <v>8800</v>
      </c>
      <c r="DK6" s="29" cm="1">
        <f t="array" ref="DK6">IF(DK$2="FY",SUMPRODUCT(Data_Nhập[Tổng Nhập-NX]*(Data_Nhập[Year]=DK$1)*(Data_Nhập[Main SKU name_GOM]=$A6)*(Data_Nhập[SKU name_NHẬP_GOM]=DK$3)),SUMPRODUCT(Data_Nhập[Tổng Nhập-NX]*(Data_Nhập[Year]=DK$1)*(Data_Nhập[Month]=DK$2)*(Data_Nhập[Main SKU name_GOM]=$A6)*(Data_Nhập[SKU name_NHẬP_GOM]=DK$3)))</f>
        <v>0</v>
      </c>
      <c r="DL6" s="29" cm="1">
        <f t="array" ref="DL6">IF(DL$2="FY",SUMPRODUCT(Data_Nhập[Tổng Nhập-NX]*(Data_Nhập[Year]=DL$1)*(Data_Nhập[Main SKU name_GOM]=$A6)*(Data_Nhập[SKU name_NHẬP_GOM]=DL$3)),SUMPRODUCT(Data_Nhập[Tổng Nhập-NX]*(Data_Nhập[Year]=DL$1)*(Data_Nhập[Month]=DL$2)*(Data_Nhập[Main SKU name_GOM]=$A6)*(Data_Nhập[SKU name_NHẬP_GOM]=DL$3)))</f>
        <v>0</v>
      </c>
      <c r="DM6" s="29" cm="1">
        <f t="array" ref="DM6">IF(DM$2="FY",SUMPRODUCT(Data_Nhập[Tổng Nhập-NX]*(Data_Nhập[Year]=DM$1)*(Data_Nhập[Main SKU name_GOM]=$A6)*(Data_Nhập[SKU name_NHẬP_GOM]=DM$3)),SUMPRODUCT(Data_Nhập[Tổng Nhập-NX]*(Data_Nhập[Year]=DM$1)*(Data_Nhập[Month]=DM$2)*(Data_Nhập[Main SKU name_GOM]=$A6)*(Data_Nhập[SKU name_NHẬP_GOM]=DM$3)))</f>
        <v>6600</v>
      </c>
      <c r="DN6" s="29" cm="1">
        <f t="array" ref="DN6">IF(DN$2="FY",SUMPRODUCT(Data_Nhập[Tổng Nhập-NX]*(Data_Nhập[Year]=DN$1)*(Data_Nhập[Main SKU name_GOM]=$A6)*(Data_Nhập[SKU name_NHẬP_GOM]=DN$3)),SUMPRODUCT(Data_Nhập[Tổng Nhập-NX]*(Data_Nhập[Year]=DN$1)*(Data_Nhập[Month]=DN$2)*(Data_Nhập[Main SKU name_GOM]=$A6)*(Data_Nhập[SKU name_NHẬP_GOM]=DN$3)))</f>
        <v>0</v>
      </c>
      <c r="DO6" s="29" cm="1">
        <f t="array" ref="DO6">IF(DO$2="FY",SUMPRODUCT(Data_Nhập[Tổng Nhập-NX]*(Data_Nhập[Year]=DO$1)*(Data_Nhập[Main SKU name_GOM]=$A6)*(Data_Nhập[SKU name_NHẬP_GOM]=DO$3)),SUMPRODUCT(Data_Nhập[Tổng Nhập-NX]*(Data_Nhập[Year]=DO$1)*(Data_Nhập[Month]=DO$2)*(Data_Nhập[Main SKU name_GOM]=$A6)*(Data_Nhập[SKU name_NHẬP_GOM]=DO$3)))</f>
        <v>0</v>
      </c>
      <c r="DP6" s="29" cm="1">
        <f t="array" ref="DP6">IF(DP$2="FY",SUMPRODUCT(Data_Nhập[Tổng Nhập-NX]*(Data_Nhập[Year]=DP$1)*(Data_Nhập[Main SKU name_GOM]=$A6)*(Data_Nhập[SKU name_NHẬP_GOM]=DP$3)),SUMPRODUCT(Data_Nhập[Tổng Nhập-NX]*(Data_Nhập[Year]=DP$1)*(Data_Nhập[Month]=DP$2)*(Data_Nhập[Main SKU name_GOM]=$A6)*(Data_Nhập[SKU name_NHẬP_GOM]=DP$3)))</f>
        <v>0</v>
      </c>
      <c r="DQ6" s="29" cm="1">
        <f t="array" ref="DQ6">IF(DQ$2="FY",SUMPRODUCT(Data_Nhập[Tổng Nhập-NX]*(Data_Nhập[Year]=DQ$1)*(Data_Nhập[Main SKU name_GOM]=$A6)*(Data_Nhập[SKU name_NHẬP_GOM]=DQ$3)),SUMPRODUCT(Data_Nhập[Tổng Nhập-NX]*(Data_Nhập[Year]=DQ$1)*(Data_Nhập[Month]=DQ$2)*(Data_Nhập[Main SKU name_GOM]=$A6)*(Data_Nhập[SKU name_NHẬP_GOM]=DQ$3)))</f>
        <v>6600</v>
      </c>
      <c r="DR6" s="29" cm="1">
        <f t="array" ref="DR6">IF(DR$2="FY",SUMPRODUCT(Data_Nhập[Tổng Nhập-NX]*(Data_Nhập[Year]=DR$1)*(Data_Nhập[Main SKU name_GOM]=$A6)*(Data_Nhập[SKU name_NHẬP_GOM]=DR$3)),SUMPRODUCT(Data_Nhập[Tổng Nhập-NX]*(Data_Nhập[Year]=DR$1)*(Data_Nhập[Month]=DR$2)*(Data_Nhập[Main SKU name_GOM]=$A6)*(Data_Nhập[SKU name_NHẬP_GOM]=DR$3)))</f>
        <v>4400</v>
      </c>
      <c r="DS6" s="29" cm="1">
        <f t="array" ref="DS6">IF(DS$2="FY",SUMPRODUCT(Data_Nhập[Tổng Nhập-NX]*(Data_Nhập[Year]=DS$1)*(Data_Nhập[Main SKU name_GOM]=$A6)*(Data_Nhập[SKU name_NHẬP_GOM]=DS$3)),SUMPRODUCT(Data_Nhập[Tổng Nhập-NX]*(Data_Nhập[Year]=DS$1)*(Data_Nhập[Month]=DS$2)*(Data_Nhập[Main SKU name_GOM]=$A6)*(Data_Nhập[SKU name_NHẬP_GOM]=DS$3)))</f>
        <v>2200</v>
      </c>
      <c r="DT6" s="29" cm="1">
        <f t="array" ref="DT6">IF(DT$2="FY",SUMPRODUCT(Data_Nhập[Tổng Nhập-NX]*(Data_Nhập[Year]=DT$1)*(Data_Nhập[Main SKU name_GOM]=$A6)*(Data_Nhập[SKU name_NHẬP_GOM]=DT$3)),SUMPRODUCT(Data_Nhập[Tổng Nhập-NX]*(Data_Nhập[Year]=DT$1)*(Data_Nhập[Month]=DT$2)*(Data_Nhập[Main SKU name_GOM]=$A6)*(Data_Nhập[SKU name_NHẬP_GOM]=DT$3)))</f>
        <v>6600</v>
      </c>
      <c r="DU6" s="29" cm="1">
        <f t="array" ref="DU6">IF(DU$2="FY",SUMPRODUCT(Data_Nhập[Tổng Nhập-NX]*(Data_Nhập[Year]=DU$1)*(Data_Nhập[Main SKU name_GOM]=$A6)*(Data_Nhập[SKU name_NHẬP_GOM]=DU$3)),SUMPRODUCT(Data_Nhập[Tổng Nhập-NX]*(Data_Nhập[Year]=DU$1)*(Data_Nhập[Month]=DU$2)*(Data_Nhập[Main SKU name_GOM]=$A6)*(Data_Nhập[SKU name_NHẬP_GOM]=DU$3)))</f>
        <v>0</v>
      </c>
      <c r="DV6" s="29" cm="1">
        <f t="array" ref="DV6">IF(DV$2="FY",SUMPRODUCT(Data_Nhập[Tổng Nhập-NX]*(Data_Nhập[Year]=DV$1)*(Data_Nhập[Main SKU name_GOM]=$A6)*(Data_Nhập[SKU name_NHẬP_GOM]=DV$3)),SUMPRODUCT(Data_Nhập[Tổng Nhập-NX]*(Data_Nhập[Year]=DV$1)*(Data_Nhập[Month]=DV$2)*(Data_Nhập[Main SKU name_GOM]=$A6)*(Data_Nhập[SKU name_NHẬP_GOM]=DV$3)))</f>
        <v>16335</v>
      </c>
      <c r="DW6" s="29" cm="1">
        <f t="array" ref="DW6">IF(DW$2="FY",SUMPRODUCT(Data_Nhập[Tổng Nhập-NX]*(Data_Nhập[Year]=DW$1)*(Data_Nhập[Main SKU name_GOM]=$A6)*(Data_Nhập[SKU name_NHẬP_GOM]=DW$3)),SUMPRODUCT(Data_Nhập[Tổng Nhập-NX]*(Data_Nhập[Year]=DW$1)*(Data_Nhập[Month]=DW$2)*(Data_Nhập[Main SKU name_GOM]=$A6)*(Data_Nhập[SKU name_NHẬP_GOM]=DW$3)))</f>
        <v>0</v>
      </c>
      <c r="DX6" s="30">
        <f>SUM(DI6:DW6)</f>
        <v>513534.99999999994</v>
      </c>
      <c r="DZ6" s="30" cm="1">
        <f t="array" ref="DZ6">IF(DZ$2="FY",SUMPRODUCT(Data_Xuất[Xuất-NX]*(Data_Xuất[Year]=DZ$1)*(Data_Xuất[Main SKU name_GOM]=$A6)),SUMPRODUCT(Data_Xuất[Xuất-NX]*(Data_Xuất[Year]=DZ$1)*(Data_Xuất[Main SKU name_GOM]=$A6)*(Data_Xuất[Month]=DZ$2)))</f>
        <v>386903</v>
      </c>
      <c r="EA6" s="29" cm="1">
        <f t="array" ref="EA6">IF(EA$2="FY",SUMPRODUCT(Data_Nhập[Tổng Nhập-NX]*(Data_Nhập[Year]=EA$1)*(Data_Nhập[Main SKU name_GOM]=$A6)*(Data_Nhập[SKU name_NHẬP_GOM]=EA$3)),SUMPRODUCT(Data_Nhập[Tổng Nhập-NX]*(Data_Nhập[Year]=EA$1)*(Data_Nhập[Month]=EA$2)*(Data_Nhập[Main SKU name_GOM]=$A6)*(Data_Nhập[SKU name_NHẬP_GOM]=EA$3)))</f>
        <v>323400</v>
      </c>
      <c r="EB6" s="29" cm="1">
        <f t="array" ref="EB6">IF(EB$2="FY",SUMPRODUCT(Data_Nhập[Tổng Nhập-NX]*(Data_Nhập[Year]=EB$1)*(Data_Nhập[Main SKU name_GOM]=$A6)*(Data_Nhập[SKU name_NHẬP_GOM]=EB$3)),SUMPRODUCT(Data_Nhập[Tổng Nhập-NX]*(Data_Nhập[Year]=EB$1)*(Data_Nhập[Month]=EB$2)*(Data_Nhập[Main SKU name_GOM]=$A6)*(Data_Nhập[SKU name_NHẬP_GOM]=EB$3)))</f>
        <v>0</v>
      </c>
      <c r="EC6" s="29" cm="1">
        <f t="array" ref="EC6">IF(EC$2="FY",SUMPRODUCT(Data_Nhập[Tổng Nhập-NX]*(Data_Nhập[Year]=EC$1)*(Data_Nhập[Main SKU name_GOM]=$A6)*(Data_Nhập[SKU name_NHẬP_GOM]=EC$3)),SUMPRODUCT(Data_Nhập[Tổng Nhập-NX]*(Data_Nhập[Year]=EC$1)*(Data_Nhập[Month]=EC$2)*(Data_Nhập[Main SKU name_GOM]=$A6)*(Data_Nhập[SKU name_NHẬP_GOM]=EC$3)))</f>
        <v>0</v>
      </c>
      <c r="ED6" s="29" cm="1">
        <f t="array" ref="ED6">IF(ED$2="FY",SUMPRODUCT(Data_Nhập[Tổng Nhập-NX]*(Data_Nhập[Year]=ED$1)*(Data_Nhập[Main SKU name_GOM]=$A6)*(Data_Nhập[SKU name_NHẬP_GOM]=ED$3)),SUMPRODUCT(Data_Nhập[Tổng Nhập-NX]*(Data_Nhập[Year]=ED$1)*(Data_Nhập[Month]=ED$2)*(Data_Nhập[Main SKU name_GOM]=$A6)*(Data_Nhập[SKU name_NHẬP_GOM]=ED$3)))</f>
        <v>0</v>
      </c>
      <c r="EE6" s="29" cm="1">
        <f t="array" ref="EE6">IF(EE$2="FY",SUMPRODUCT(Data_Nhập[Tổng Nhập-NX]*(Data_Nhập[Year]=EE$1)*(Data_Nhập[Main SKU name_GOM]=$A6)*(Data_Nhập[SKU name_NHẬP_GOM]=EE$3)),SUMPRODUCT(Data_Nhập[Tổng Nhập-NX]*(Data_Nhập[Year]=EE$1)*(Data_Nhập[Month]=EE$2)*(Data_Nhập[Main SKU name_GOM]=$A6)*(Data_Nhập[SKU name_NHẬP_GOM]=EE$3)))</f>
        <v>24200</v>
      </c>
      <c r="EF6" s="29" cm="1">
        <f t="array" ref="EF6">IF(EF$2="FY",SUMPRODUCT(Data_Nhập[Tổng Nhập-NX]*(Data_Nhập[Year]=EF$1)*(Data_Nhập[Main SKU name_GOM]=$A6)*(Data_Nhập[SKU name_NHẬP_GOM]=EF$3)),SUMPRODUCT(Data_Nhập[Tổng Nhập-NX]*(Data_Nhập[Year]=EF$1)*(Data_Nhập[Month]=EF$2)*(Data_Nhập[Main SKU name_GOM]=$A6)*(Data_Nhập[SKU name_NHẬP_GOM]=EF$3)))</f>
        <v>0</v>
      </c>
      <c r="EG6" s="29" cm="1">
        <f t="array" ref="EG6">IF(EG$2="FY",SUMPRODUCT(Data_Nhập[Tổng Nhập-NX]*(Data_Nhập[Year]=EG$1)*(Data_Nhập[Main SKU name_GOM]=$A6)*(Data_Nhập[SKU name_NHẬP_GOM]=EG$3)),SUMPRODUCT(Data_Nhập[Tổng Nhập-NX]*(Data_Nhập[Year]=EG$1)*(Data_Nhập[Month]=EG$2)*(Data_Nhập[Main SKU name_GOM]=$A6)*(Data_Nhập[SKU name_NHẬP_GOM]=EG$3)))</f>
        <v>0</v>
      </c>
      <c r="EH6" s="29" cm="1">
        <f t="array" ref="EH6">IF(EH$2="FY",SUMPRODUCT(Data_Nhập[Tổng Nhập-NX]*(Data_Nhập[Year]=EH$1)*(Data_Nhập[Main SKU name_GOM]=$A6)*(Data_Nhập[SKU name_NHẬP_GOM]=EH$3)),SUMPRODUCT(Data_Nhập[Tổng Nhập-NX]*(Data_Nhập[Year]=EH$1)*(Data_Nhập[Month]=EH$2)*(Data_Nhập[Main SKU name_GOM]=$A6)*(Data_Nhập[SKU name_NHẬP_GOM]=EH$3)))</f>
        <v>0</v>
      </c>
      <c r="EI6" s="29" cm="1">
        <f t="array" ref="EI6">IF(EI$2="FY",SUMPRODUCT(Data_Nhập[Tổng Nhập-NX]*(Data_Nhập[Year]=EI$1)*(Data_Nhập[Main SKU name_GOM]=$A6)*(Data_Nhập[SKU name_NHẬP_GOM]=EI$3)),SUMPRODUCT(Data_Nhập[Tổng Nhập-NX]*(Data_Nhập[Year]=EI$1)*(Data_Nhập[Month]=EI$2)*(Data_Nhập[Main SKU name_GOM]=$A6)*(Data_Nhập[SKU name_NHẬP_GOM]=EI$3)))</f>
        <v>11000</v>
      </c>
      <c r="EJ6" s="29" cm="1">
        <f t="array" ref="EJ6">IF(EJ$2="FY",SUMPRODUCT(Data_Nhập[Tổng Nhập-NX]*(Data_Nhập[Year]=EJ$1)*(Data_Nhập[Main SKU name_GOM]=$A6)*(Data_Nhập[SKU name_NHẬP_GOM]=EJ$3)),SUMPRODUCT(Data_Nhập[Tổng Nhập-NX]*(Data_Nhập[Year]=EJ$1)*(Data_Nhập[Month]=EJ$2)*(Data_Nhập[Main SKU name_GOM]=$A6)*(Data_Nhập[SKU name_NHẬP_GOM]=EJ$3)))</f>
        <v>0</v>
      </c>
      <c r="EK6" s="29" cm="1">
        <f t="array" ref="EK6">IF(EK$2="FY",SUMPRODUCT(Data_Nhập[Tổng Nhập-NX]*(Data_Nhập[Year]=EK$1)*(Data_Nhập[Main SKU name_GOM]=$A6)*(Data_Nhập[SKU name_NHẬP_GOM]=EK$3)),SUMPRODUCT(Data_Nhập[Tổng Nhập-NX]*(Data_Nhập[Year]=EK$1)*(Data_Nhập[Month]=EK$2)*(Data_Nhập[Main SKU name_GOM]=$A6)*(Data_Nhập[SKU name_NHẬP_GOM]=EK$3)))</f>
        <v>0</v>
      </c>
      <c r="EL6" s="29" cm="1">
        <f t="array" ref="EL6">IF(EL$2="FY",SUMPRODUCT(Data_Nhập[Tổng Nhập-NX]*(Data_Nhập[Year]=EL$1)*(Data_Nhập[Main SKU name_GOM]=$A6)*(Data_Nhập[SKU name_NHẬP_GOM]=EL$3)),SUMPRODUCT(Data_Nhập[Tổng Nhập-NX]*(Data_Nhập[Year]=EL$1)*(Data_Nhập[Month]=EL$2)*(Data_Nhập[Main SKU name_GOM]=$A6)*(Data_Nhập[SKU name_NHẬP_GOM]=EL$3)))</f>
        <v>6599.9999999999991</v>
      </c>
      <c r="EM6" s="29" cm="1">
        <f t="array" ref="EM6">IF(EM$2="FY",SUMPRODUCT(Data_Nhập[Tổng Nhập-NX]*(Data_Nhập[Year]=EM$1)*(Data_Nhập[Main SKU name_GOM]=$A6)*(Data_Nhập[SKU name_NHẬP_GOM]=EM$3)),SUMPRODUCT(Data_Nhập[Tổng Nhập-NX]*(Data_Nhập[Year]=EM$1)*(Data_Nhập[Month]=EM$2)*(Data_Nhập[Main SKU name_GOM]=$A6)*(Data_Nhập[SKU name_NHẬP_GOM]=EM$3)))</f>
        <v>0</v>
      </c>
      <c r="EN6" s="29" cm="1">
        <f t="array" ref="EN6">IF(EN$2="FY",SUMPRODUCT(Data_Nhập[Tổng Nhập-NX]*(Data_Nhập[Year]=EN$1)*(Data_Nhập[Main SKU name_GOM]=$A6)*(Data_Nhập[SKU name_NHẬP_GOM]=EN$3)),SUMPRODUCT(Data_Nhập[Tổng Nhập-NX]*(Data_Nhập[Year]=EN$1)*(Data_Nhập[Month]=EN$2)*(Data_Nhập[Main SKU name_GOM]=$A6)*(Data_Nhập[SKU name_NHẬP_GOM]=EN$3)))</f>
        <v>16207</v>
      </c>
      <c r="EO6" s="29" cm="1">
        <f t="array" ref="EO6">IF(EO$2="FY",SUMPRODUCT(Data_Nhập[Tổng Nhập-NX]*(Data_Nhập[Year]=EO$1)*(Data_Nhập[Main SKU name_GOM]=$A6)*(Data_Nhập[SKU name_NHẬP_GOM]=EO$3)),SUMPRODUCT(Data_Nhập[Tổng Nhập-NX]*(Data_Nhập[Year]=EO$1)*(Data_Nhập[Month]=EO$2)*(Data_Nhập[Main SKU name_GOM]=$A6)*(Data_Nhập[SKU name_NHẬP_GOM]=EO$3)))</f>
        <v>0</v>
      </c>
      <c r="EP6" s="30">
        <f>SUM(EA6:EO6)</f>
        <v>381407</v>
      </c>
      <c r="ER6" s="30" cm="1">
        <f t="array" ref="ER6">IF(ER$2="FY",SUMPRODUCT(Data_Xuất[Xuất-NX]*(Data_Xuất[Year]=ER$1)*(Data_Xuất[Main SKU name_GOM]=$A6)),SUMPRODUCT(Data_Xuất[Xuất-NX]*(Data_Xuất[Year]=ER$1)*(Data_Xuất[Main SKU name_GOM]=$A6)*(Data_Xuất[Month]=ER$2)))</f>
        <v>753070.99999999988</v>
      </c>
      <c r="ES6" s="29" cm="1">
        <f t="array" ref="ES6">IF(ES$2="FY",SUMPRODUCT(Data_Nhập[Tổng Nhập-NX]*(Data_Nhập[Year]=ES$1)*(Data_Nhập[Main SKU name_GOM]=$A6)*(Data_Nhập[SKU name_NHẬP_GOM]=ES$3)),SUMPRODUCT(Data_Nhập[Tổng Nhập-NX]*(Data_Nhập[Year]=ES$1)*(Data_Nhập[Month]=ES$2)*(Data_Nhập[Main SKU name_GOM]=$A6)*(Data_Nhập[SKU name_NHẬP_GOM]=ES$3)))</f>
        <v>624800</v>
      </c>
      <c r="ET6" s="29" cm="1">
        <f t="array" ref="ET6">IF(ET$2="FY",SUMPRODUCT(Data_Nhập[Tổng Nhập-NX]*(Data_Nhập[Year]=ET$1)*(Data_Nhập[Main SKU name_GOM]=$A6)*(Data_Nhập[SKU name_NHẬP_GOM]=ET$3)),SUMPRODUCT(Data_Nhập[Tổng Nhập-NX]*(Data_Nhập[Year]=ET$1)*(Data_Nhập[Month]=ET$2)*(Data_Nhập[Main SKU name_GOM]=$A6)*(Data_Nhập[SKU name_NHẬP_GOM]=ET$3)))</f>
        <v>29700</v>
      </c>
      <c r="EU6" s="29" cm="1">
        <f t="array" ref="EU6">IF(EU$2="FY",SUMPRODUCT(Data_Nhập[Tổng Nhập-NX]*(Data_Nhập[Year]=EU$1)*(Data_Nhập[Main SKU name_GOM]=$A6)*(Data_Nhập[SKU name_NHẬP_GOM]=EU$3)),SUMPRODUCT(Data_Nhập[Tổng Nhập-NX]*(Data_Nhập[Year]=EU$1)*(Data_Nhập[Month]=EU$2)*(Data_Nhập[Main SKU name_GOM]=$A6)*(Data_Nhập[SKU name_NHẬP_GOM]=EU$3)))</f>
        <v>1100</v>
      </c>
      <c r="EV6" s="29" cm="1">
        <f t="array" ref="EV6">IF(EV$2="FY",SUMPRODUCT(Data_Nhập[Tổng Nhập-NX]*(Data_Nhập[Year]=EV$1)*(Data_Nhập[Main SKU name_GOM]=$A6)*(Data_Nhập[SKU name_NHẬP_GOM]=EV$3)),SUMPRODUCT(Data_Nhập[Tổng Nhập-NX]*(Data_Nhập[Year]=EV$1)*(Data_Nhập[Month]=EV$2)*(Data_Nhập[Main SKU name_GOM]=$A6)*(Data_Nhập[SKU name_NHẬP_GOM]=EV$3)))</f>
        <v>0</v>
      </c>
      <c r="EW6" s="29" cm="1">
        <f t="array" ref="EW6">IF(EW$2="FY",SUMPRODUCT(Data_Nhập[Tổng Nhập-NX]*(Data_Nhập[Year]=EW$1)*(Data_Nhập[Main SKU name_GOM]=$A6)*(Data_Nhập[SKU name_NHẬP_GOM]=EW$3)),SUMPRODUCT(Data_Nhập[Tổng Nhập-NX]*(Data_Nhập[Year]=EW$1)*(Data_Nhập[Month]=EW$2)*(Data_Nhập[Main SKU name_GOM]=$A6)*(Data_Nhập[SKU name_NHẬP_GOM]=EW$3)))</f>
        <v>40699.999999999993</v>
      </c>
      <c r="EX6" s="29" cm="1">
        <f t="array" ref="EX6">IF(EX$2="FY",SUMPRODUCT(Data_Nhập[Tổng Nhập-NX]*(Data_Nhập[Year]=EX$1)*(Data_Nhập[Main SKU name_GOM]=$A6)*(Data_Nhập[SKU name_NHẬP_GOM]=EX$3)),SUMPRODUCT(Data_Nhập[Tổng Nhập-NX]*(Data_Nhập[Year]=EX$1)*(Data_Nhập[Month]=EX$2)*(Data_Nhập[Main SKU name_GOM]=$A6)*(Data_Nhập[SKU name_NHẬP_GOM]=EX$3)))</f>
        <v>0</v>
      </c>
      <c r="EY6" s="29" cm="1">
        <f t="array" ref="EY6">IF(EY$2="FY",SUMPRODUCT(Data_Nhập[Tổng Nhập-NX]*(Data_Nhập[Year]=EY$1)*(Data_Nhập[Main SKU name_GOM]=$A6)*(Data_Nhập[SKU name_NHẬP_GOM]=EY$3)),SUMPRODUCT(Data_Nhập[Tổng Nhập-NX]*(Data_Nhập[Year]=EY$1)*(Data_Nhập[Month]=EY$2)*(Data_Nhập[Main SKU name_GOM]=$A6)*(Data_Nhập[SKU name_NHẬP_GOM]=EY$3)))</f>
        <v>0</v>
      </c>
      <c r="EZ6" s="29" cm="1">
        <f t="array" ref="EZ6">IF(EZ$2="FY",SUMPRODUCT(Data_Nhập[Tổng Nhập-NX]*(Data_Nhập[Year]=EZ$1)*(Data_Nhập[Main SKU name_GOM]=$A6)*(Data_Nhập[SKU name_NHẬP_GOM]=EZ$3)),SUMPRODUCT(Data_Nhập[Tổng Nhập-NX]*(Data_Nhập[Year]=EZ$1)*(Data_Nhập[Month]=EZ$2)*(Data_Nhập[Main SKU name_GOM]=$A6)*(Data_Nhập[SKU name_NHẬP_GOM]=EZ$3)))</f>
        <v>0</v>
      </c>
      <c r="FA6" s="29" cm="1">
        <f t="array" ref="FA6">IF(FA$2="FY",SUMPRODUCT(Data_Nhập[Tổng Nhập-NX]*(Data_Nhập[Year]=FA$1)*(Data_Nhập[Main SKU name_GOM]=$A6)*(Data_Nhập[SKU name_NHẬP_GOM]=FA$3)),SUMPRODUCT(Data_Nhập[Tổng Nhập-NX]*(Data_Nhập[Year]=FA$1)*(Data_Nhập[Month]=FA$2)*(Data_Nhập[Main SKU name_GOM]=$A6)*(Data_Nhập[SKU name_NHẬP_GOM]=FA$3)))</f>
        <v>0</v>
      </c>
      <c r="FB6" s="29" cm="1">
        <f t="array" ref="FB6">IF(FB$2="FY",SUMPRODUCT(Data_Nhập[Tổng Nhập-NX]*(Data_Nhập[Year]=FB$1)*(Data_Nhập[Main SKU name_GOM]=$A6)*(Data_Nhập[SKU name_NHẬP_GOM]=FB$3)),SUMPRODUCT(Data_Nhập[Tổng Nhập-NX]*(Data_Nhập[Year]=FB$1)*(Data_Nhập[Month]=FB$2)*(Data_Nhập[Main SKU name_GOM]=$A6)*(Data_Nhập[SKU name_NHẬP_GOM]=FB$3)))</f>
        <v>1100</v>
      </c>
      <c r="FC6" s="29" cm="1">
        <f t="array" ref="FC6">IF(FC$2="FY",SUMPRODUCT(Data_Nhập[Tổng Nhập-NX]*(Data_Nhập[Year]=FC$1)*(Data_Nhập[Main SKU name_GOM]=$A6)*(Data_Nhập[SKU name_NHẬP_GOM]=FC$3)),SUMPRODUCT(Data_Nhập[Tổng Nhập-NX]*(Data_Nhập[Year]=FC$1)*(Data_Nhập[Month]=FC$2)*(Data_Nhập[Main SKU name_GOM]=$A6)*(Data_Nhập[SKU name_NHẬP_GOM]=FC$3)))</f>
        <v>6599.9999999999991</v>
      </c>
      <c r="FD6" s="29" cm="1">
        <f t="array" ref="FD6">IF(FD$2="FY",SUMPRODUCT(Data_Nhập[Tổng Nhập-NX]*(Data_Nhập[Year]=FD$1)*(Data_Nhập[Main SKU name_GOM]=$A6)*(Data_Nhập[SKU name_NHẬP_GOM]=FD$3)),SUMPRODUCT(Data_Nhập[Tổng Nhập-NX]*(Data_Nhập[Year]=FD$1)*(Data_Nhập[Month]=FD$2)*(Data_Nhập[Main SKU name_GOM]=$A6)*(Data_Nhập[SKU name_NHẬP_GOM]=FD$3)))</f>
        <v>10400</v>
      </c>
      <c r="FE6" s="29" cm="1">
        <f t="array" ref="FE6">IF(FE$2="FY",SUMPRODUCT(Data_Nhập[Tổng Nhập-NX]*(Data_Nhập[Year]=FE$1)*(Data_Nhập[Main SKU name_GOM]=$A6)*(Data_Nhập[SKU name_NHẬP_GOM]=FE$3)),SUMPRODUCT(Data_Nhập[Tổng Nhập-NX]*(Data_Nhập[Year]=FE$1)*(Data_Nhập[Month]=FE$2)*(Data_Nhập[Main SKU name_GOM]=$A6)*(Data_Nhập[SKU name_NHẬP_GOM]=FE$3)))</f>
        <v>0</v>
      </c>
      <c r="FF6" s="29" cm="1">
        <f t="array" ref="FF6">IF(FF$2="FY",SUMPRODUCT(Data_Nhập[Tổng Nhập-NX]*(Data_Nhập[Year]=FF$1)*(Data_Nhập[Main SKU name_GOM]=$A6)*(Data_Nhập[SKU name_NHẬP_GOM]=FF$3)),SUMPRODUCT(Data_Nhập[Tổng Nhập-NX]*(Data_Nhập[Year]=FF$1)*(Data_Nhập[Month]=FF$2)*(Data_Nhập[Main SKU name_GOM]=$A6)*(Data_Nhập[SKU name_NHẬP_GOM]=FF$3)))</f>
        <v>27566</v>
      </c>
      <c r="FG6" s="29" cm="1">
        <f t="array" ref="FG6">IF(FG$2="FY",SUMPRODUCT(Data_Nhập[Tổng Nhập-NX]*(Data_Nhập[Year]=FG$1)*(Data_Nhập[Main SKU name_GOM]=$A6)*(Data_Nhập[SKU name_NHẬP_GOM]=FG$3)),SUMPRODUCT(Data_Nhập[Tổng Nhập-NX]*(Data_Nhập[Year]=FG$1)*(Data_Nhập[Month]=FG$2)*(Data_Nhập[Main SKU name_GOM]=$A6)*(Data_Nhập[SKU name_NHẬP_GOM]=FG$3)))</f>
        <v>0</v>
      </c>
      <c r="FH6" s="30">
        <f>SUM(ES6:FG6)</f>
        <v>741966</v>
      </c>
      <c r="FJ6" s="30" cm="1">
        <f t="array" ref="FJ6">IF(FJ$2="FY",SUMPRODUCT(Data_Xuất[Xuất-NX]*(Data_Xuất[Year]=FJ$1)*(Data_Xuất[Main SKU name_GOM]=$A6)),SUMPRODUCT(Data_Xuất[Xuất-NX]*(Data_Xuất[Year]=FJ$1)*(Data_Xuất[Main SKU name_GOM]=$A6)*(Data_Xuất[Month]=FJ$2)))</f>
        <v>402980</v>
      </c>
      <c r="FK6" s="29" cm="1">
        <f t="array" ref="FK6">IF(FK$2="FY",SUMPRODUCT(Data_Nhập[Tổng Nhập-NX]*(Data_Nhập[Year]=FK$1)*(Data_Nhập[Main SKU name_GOM]=$A6)*(Data_Nhập[SKU name_NHẬP_GOM]=FK$3)),SUMPRODUCT(Data_Nhập[Tổng Nhập-NX]*(Data_Nhập[Year]=FK$1)*(Data_Nhập[Month]=FK$2)*(Data_Nhập[Main SKU name_GOM]=$A6)*(Data_Nhập[SKU name_NHẬP_GOM]=FK$3)))</f>
        <v>358600</v>
      </c>
      <c r="FL6" s="29" cm="1">
        <f t="array" ref="FL6">IF(FL$2="FY",SUMPRODUCT(Data_Nhập[Tổng Nhập-NX]*(Data_Nhập[Year]=FL$1)*(Data_Nhập[Main SKU name_GOM]=$A6)*(Data_Nhập[SKU name_NHẬP_GOM]=FL$3)),SUMPRODUCT(Data_Nhập[Tổng Nhập-NX]*(Data_Nhập[Year]=FL$1)*(Data_Nhập[Month]=FL$2)*(Data_Nhập[Main SKU name_GOM]=$A6)*(Data_Nhập[SKU name_NHẬP_GOM]=FL$3)))</f>
        <v>3300</v>
      </c>
      <c r="FM6" s="29" cm="1">
        <f t="array" ref="FM6">IF(FM$2="FY",SUMPRODUCT(Data_Nhập[Tổng Nhập-NX]*(Data_Nhập[Year]=FM$1)*(Data_Nhập[Main SKU name_GOM]=$A6)*(Data_Nhập[SKU name_NHẬP_GOM]=FM$3)),SUMPRODUCT(Data_Nhập[Tổng Nhập-NX]*(Data_Nhập[Year]=FM$1)*(Data_Nhập[Month]=FM$2)*(Data_Nhập[Main SKU name_GOM]=$A6)*(Data_Nhập[SKU name_NHẬP_GOM]=FM$3)))</f>
        <v>3300</v>
      </c>
      <c r="FN6" s="29" cm="1">
        <f t="array" ref="FN6">IF(FN$2="FY",SUMPRODUCT(Data_Nhập[Tổng Nhập-NX]*(Data_Nhập[Year]=FN$1)*(Data_Nhập[Main SKU name_GOM]=$A6)*(Data_Nhập[SKU name_NHẬP_GOM]=FN$3)),SUMPRODUCT(Data_Nhập[Tổng Nhập-NX]*(Data_Nhập[Year]=FN$1)*(Data_Nhập[Month]=FN$2)*(Data_Nhập[Main SKU name_GOM]=$A6)*(Data_Nhập[SKU name_NHẬP_GOM]=FN$3)))</f>
        <v>0</v>
      </c>
      <c r="FO6" s="29" cm="1">
        <f t="array" ref="FO6">IF(FO$2="FY",SUMPRODUCT(Data_Nhập[Tổng Nhập-NX]*(Data_Nhập[Year]=FO$1)*(Data_Nhập[Main SKU name_GOM]=$A6)*(Data_Nhập[SKU name_NHẬP_GOM]=FO$3)),SUMPRODUCT(Data_Nhập[Tổng Nhập-NX]*(Data_Nhập[Year]=FO$1)*(Data_Nhập[Month]=FO$2)*(Data_Nhập[Main SKU name_GOM]=$A6)*(Data_Nhập[SKU name_NHẬP_GOM]=FO$3)))</f>
        <v>19800</v>
      </c>
      <c r="FP6" s="29" cm="1">
        <f t="array" ref="FP6">IF(FP$2="FY",SUMPRODUCT(Data_Nhập[Tổng Nhập-NX]*(Data_Nhập[Year]=FP$1)*(Data_Nhập[Main SKU name_GOM]=$A6)*(Data_Nhập[SKU name_NHẬP_GOM]=FP$3)),SUMPRODUCT(Data_Nhập[Tổng Nhập-NX]*(Data_Nhập[Year]=FP$1)*(Data_Nhập[Month]=FP$2)*(Data_Nhập[Main SKU name_GOM]=$A6)*(Data_Nhập[SKU name_NHẬP_GOM]=FP$3)))</f>
        <v>0</v>
      </c>
      <c r="FQ6" s="29" cm="1">
        <f t="array" ref="FQ6">IF(FQ$2="FY",SUMPRODUCT(Data_Nhập[Tổng Nhập-NX]*(Data_Nhập[Year]=FQ$1)*(Data_Nhập[Main SKU name_GOM]=$A6)*(Data_Nhập[SKU name_NHẬP_GOM]=FQ$3)),SUMPRODUCT(Data_Nhập[Tổng Nhập-NX]*(Data_Nhập[Year]=FQ$1)*(Data_Nhập[Month]=FQ$2)*(Data_Nhập[Main SKU name_GOM]=$A6)*(Data_Nhập[SKU name_NHẬP_GOM]=FQ$3)))</f>
        <v>0</v>
      </c>
      <c r="FR6" s="29" cm="1">
        <f t="array" ref="FR6">IF(FR$2="FY",SUMPRODUCT(Data_Nhập[Tổng Nhập-NX]*(Data_Nhập[Year]=FR$1)*(Data_Nhập[Main SKU name_GOM]=$A6)*(Data_Nhập[SKU name_NHẬP_GOM]=FR$3)),SUMPRODUCT(Data_Nhập[Tổng Nhập-NX]*(Data_Nhập[Year]=FR$1)*(Data_Nhập[Month]=FR$2)*(Data_Nhập[Main SKU name_GOM]=$A6)*(Data_Nhập[SKU name_NHẬP_GOM]=FR$3)))</f>
        <v>0</v>
      </c>
      <c r="FS6" s="29" cm="1">
        <f t="array" ref="FS6">IF(FS$2="FY",SUMPRODUCT(Data_Nhập[Tổng Nhập-NX]*(Data_Nhập[Year]=FS$1)*(Data_Nhập[Main SKU name_GOM]=$A6)*(Data_Nhập[SKU name_NHẬP_GOM]=FS$3)),SUMPRODUCT(Data_Nhập[Tổng Nhập-NX]*(Data_Nhập[Year]=FS$1)*(Data_Nhập[Month]=FS$2)*(Data_Nhập[Main SKU name_GOM]=$A6)*(Data_Nhập[SKU name_NHẬP_GOM]=FS$3)))</f>
        <v>0</v>
      </c>
      <c r="FT6" s="29" cm="1">
        <f t="array" ref="FT6">IF(FT$2="FY",SUMPRODUCT(Data_Nhập[Tổng Nhập-NX]*(Data_Nhập[Year]=FT$1)*(Data_Nhập[Main SKU name_GOM]=$A6)*(Data_Nhập[SKU name_NHẬP_GOM]=FT$3)),SUMPRODUCT(Data_Nhập[Tổng Nhập-NX]*(Data_Nhập[Year]=FT$1)*(Data_Nhập[Month]=FT$2)*(Data_Nhập[Main SKU name_GOM]=$A6)*(Data_Nhập[SKU name_NHẬP_GOM]=FT$3)))</f>
        <v>0</v>
      </c>
      <c r="FU6" s="29" cm="1">
        <f t="array" ref="FU6">IF(FU$2="FY",SUMPRODUCT(Data_Nhập[Tổng Nhập-NX]*(Data_Nhập[Year]=FU$1)*(Data_Nhập[Main SKU name_GOM]=$A6)*(Data_Nhập[SKU name_NHẬP_GOM]=FU$3)),SUMPRODUCT(Data_Nhập[Tổng Nhập-NX]*(Data_Nhập[Year]=FU$1)*(Data_Nhập[Month]=FU$2)*(Data_Nhập[Main SKU name_GOM]=$A6)*(Data_Nhập[SKU name_NHẬP_GOM]=FU$3)))</f>
        <v>0</v>
      </c>
      <c r="FV6" s="29" cm="1">
        <f t="array" ref="FV6">IF(FV$2="FY",SUMPRODUCT(Data_Nhập[Tổng Nhập-NX]*(Data_Nhập[Year]=FV$1)*(Data_Nhập[Main SKU name_GOM]=$A6)*(Data_Nhập[SKU name_NHẬP_GOM]=FV$3)),SUMPRODUCT(Data_Nhập[Tổng Nhập-NX]*(Data_Nhập[Year]=FV$1)*(Data_Nhập[Month]=FV$2)*(Data_Nhập[Main SKU name_GOM]=$A6)*(Data_Nhập[SKU name_NHẬP_GOM]=FV$3)))</f>
        <v>1100</v>
      </c>
      <c r="FW6" s="29" cm="1">
        <f t="array" ref="FW6">IF(FW$2="FY",SUMPRODUCT(Data_Nhập[Tổng Nhập-NX]*(Data_Nhập[Year]=FW$1)*(Data_Nhập[Main SKU name_GOM]=$A6)*(Data_Nhập[SKU name_NHẬP_GOM]=FW$3)),SUMPRODUCT(Data_Nhập[Tổng Nhập-NX]*(Data_Nhập[Year]=FW$1)*(Data_Nhập[Month]=FW$2)*(Data_Nhập[Main SKU name_GOM]=$A6)*(Data_Nhập[SKU name_NHẬP_GOM]=FW$3)))</f>
        <v>0</v>
      </c>
      <c r="FX6" s="29" cm="1">
        <f t="array" ref="FX6">IF(FX$2="FY",SUMPRODUCT(Data_Nhập[Tổng Nhập-NX]*(Data_Nhập[Year]=FX$1)*(Data_Nhập[Main SKU name_GOM]=$A6)*(Data_Nhập[SKU name_NHẬP_GOM]=FX$3)),SUMPRODUCT(Data_Nhập[Tổng Nhập-NX]*(Data_Nhập[Year]=FX$1)*(Data_Nhập[Month]=FX$2)*(Data_Nhập[Main SKU name_GOM]=$A6)*(Data_Nhập[SKU name_NHẬP_GOM]=FX$3)))</f>
        <v>11113</v>
      </c>
      <c r="FY6" s="29" cm="1">
        <f t="array" ref="FY6">IF(FY$2="FY",SUMPRODUCT(Data_Nhập[Tổng Nhập-NX]*(Data_Nhập[Year]=FY$1)*(Data_Nhập[Main SKU name_GOM]=$A6)*(Data_Nhập[SKU name_NHẬP_GOM]=FY$3)),SUMPRODUCT(Data_Nhập[Tổng Nhập-NX]*(Data_Nhập[Year]=FY$1)*(Data_Nhập[Month]=FY$2)*(Data_Nhập[Main SKU name_GOM]=$A6)*(Data_Nhập[SKU name_NHẬP_GOM]=FY$3)))</f>
        <v>0</v>
      </c>
      <c r="FZ6" s="30">
        <f>SUM(FK6:FY6)</f>
        <v>397213</v>
      </c>
      <c r="GB6" s="30" cm="1">
        <f t="array" ref="GB6">IF(GB$2="FY",SUMPRODUCT(Data_Xuất[Xuất-NX]*(Data_Xuất[Year]=GB$1)*(Data_Xuất[Main SKU name_GOM]=$A6)),SUMPRODUCT(Data_Xuất[Xuất-NX]*(Data_Xuất[Year]=GB$1)*(Data_Xuất[Main SKU name_GOM]=$A6)*(Data_Xuất[Month]=GB$2)))</f>
        <v>1114015.0000000005</v>
      </c>
      <c r="GC6" s="29" cm="1">
        <f t="array" ref="GC6">IF(GC$2="FY",SUMPRODUCT(Data_Nhập[Tổng Nhập-NX]*(Data_Nhập[Year]=GC$1)*(Data_Nhập[Main SKU name_GOM]=$A6)*(Data_Nhập[SKU name_NHẬP_GOM]=GC$3)),SUMPRODUCT(Data_Nhập[Tổng Nhập-NX]*(Data_Nhập[Year]=GC$1)*(Data_Nhập[Month]=GC$2)*(Data_Nhập[Main SKU name_GOM]=$A6)*(Data_Nhập[SKU name_NHẬP_GOM]=GC$3)))</f>
        <v>731500</v>
      </c>
      <c r="GD6" s="29" cm="1">
        <f t="array" ref="GD6">IF(GD$2="FY",SUMPRODUCT(Data_Nhập[Tổng Nhập-NX]*(Data_Nhập[Year]=GD$1)*(Data_Nhập[Main SKU name_GOM]=$A6)*(Data_Nhập[SKU name_NHẬP_GOM]=GD$3)),SUMPRODUCT(Data_Nhập[Tổng Nhập-NX]*(Data_Nhập[Year]=GD$1)*(Data_Nhập[Month]=GD$2)*(Data_Nhập[Main SKU name_GOM]=$A6)*(Data_Nhập[SKU name_NHẬP_GOM]=GD$3)))</f>
        <v>69300</v>
      </c>
      <c r="GE6" s="29" cm="1">
        <f t="array" ref="GE6">IF(GE$2="FY",SUMPRODUCT(Data_Nhập[Tổng Nhập-NX]*(Data_Nhập[Year]=GE$1)*(Data_Nhập[Main SKU name_GOM]=$A6)*(Data_Nhập[SKU name_NHẬP_GOM]=GE$3)),SUMPRODUCT(Data_Nhập[Tổng Nhập-NX]*(Data_Nhập[Year]=GE$1)*(Data_Nhập[Month]=GE$2)*(Data_Nhập[Main SKU name_GOM]=$A6)*(Data_Nhập[SKU name_NHẬP_GOM]=GE$3)))</f>
        <v>105600</v>
      </c>
      <c r="GF6" s="29" cm="1">
        <f t="array" ref="GF6">IF(GF$2="FY",SUMPRODUCT(Data_Nhập[Tổng Nhập-NX]*(Data_Nhập[Year]=GF$1)*(Data_Nhập[Main SKU name_GOM]=$A6)*(Data_Nhập[SKU name_NHẬP_GOM]=GF$3)),SUMPRODUCT(Data_Nhập[Tổng Nhập-NX]*(Data_Nhập[Year]=GF$1)*(Data_Nhập[Month]=GF$2)*(Data_Nhập[Main SKU name_GOM]=$A6)*(Data_Nhập[SKU name_NHẬP_GOM]=GF$3)))</f>
        <v>0</v>
      </c>
      <c r="GG6" s="29" cm="1">
        <f t="array" ref="GG6">IF(GG$2="FY",SUMPRODUCT(Data_Nhập[Tổng Nhập-NX]*(Data_Nhập[Year]=GG$1)*(Data_Nhập[Main SKU name_GOM]=$A6)*(Data_Nhập[SKU name_NHẬP_GOM]=GG$3)),SUMPRODUCT(Data_Nhập[Tổng Nhập-NX]*(Data_Nhập[Year]=GG$1)*(Data_Nhập[Month]=GG$2)*(Data_Nhập[Main SKU name_GOM]=$A6)*(Data_Nhập[SKU name_NHẬP_GOM]=GG$3)))</f>
        <v>57200</v>
      </c>
      <c r="GH6" s="29" cm="1">
        <f t="array" ref="GH6">IF(GH$2="FY",SUMPRODUCT(Data_Nhập[Tổng Nhập-NX]*(Data_Nhập[Year]=GH$1)*(Data_Nhập[Main SKU name_GOM]=$A6)*(Data_Nhập[SKU name_NHẬP_GOM]=GH$3)),SUMPRODUCT(Data_Nhập[Tổng Nhập-NX]*(Data_Nhập[Year]=GH$1)*(Data_Nhập[Month]=GH$2)*(Data_Nhập[Main SKU name_GOM]=$A6)*(Data_Nhập[SKU name_NHẬP_GOM]=GH$3)))</f>
        <v>0</v>
      </c>
      <c r="GI6" s="29" cm="1">
        <f t="array" ref="GI6">IF(GI$2="FY",SUMPRODUCT(Data_Nhập[Tổng Nhập-NX]*(Data_Nhập[Year]=GI$1)*(Data_Nhập[Main SKU name_GOM]=$A6)*(Data_Nhập[SKU name_NHẬP_GOM]=GI$3)),SUMPRODUCT(Data_Nhập[Tổng Nhập-NX]*(Data_Nhập[Year]=GI$1)*(Data_Nhập[Month]=GI$2)*(Data_Nhập[Main SKU name_GOM]=$A6)*(Data_Nhập[SKU name_NHẬP_GOM]=GI$3)))</f>
        <v>0</v>
      </c>
      <c r="GJ6" s="29" cm="1">
        <f t="array" ref="GJ6">IF(GJ$2="FY",SUMPRODUCT(Data_Nhập[Tổng Nhập-NX]*(Data_Nhập[Year]=GJ$1)*(Data_Nhập[Main SKU name_GOM]=$A6)*(Data_Nhập[SKU name_NHẬP_GOM]=GJ$3)),SUMPRODUCT(Data_Nhập[Tổng Nhập-NX]*(Data_Nhập[Year]=GJ$1)*(Data_Nhập[Month]=GJ$2)*(Data_Nhập[Main SKU name_GOM]=$A6)*(Data_Nhập[SKU name_NHẬP_GOM]=GJ$3)))</f>
        <v>0</v>
      </c>
      <c r="GK6" s="29" cm="1">
        <f t="array" ref="GK6">IF(GK$2="FY",SUMPRODUCT(Data_Nhập[Tổng Nhập-NX]*(Data_Nhập[Year]=GK$1)*(Data_Nhập[Main SKU name_GOM]=$A6)*(Data_Nhập[SKU name_NHẬP_GOM]=GK$3)),SUMPRODUCT(Data_Nhập[Tổng Nhập-NX]*(Data_Nhập[Year]=GK$1)*(Data_Nhập[Month]=GK$2)*(Data_Nhập[Main SKU name_GOM]=$A6)*(Data_Nhập[SKU name_NHẬP_GOM]=GK$3)))</f>
        <v>59400</v>
      </c>
      <c r="GL6" s="29" cm="1">
        <f t="array" ref="GL6">IF(GL$2="FY",SUMPRODUCT(Data_Nhập[Tổng Nhập-NX]*(Data_Nhập[Year]=GL$1)*(Data_Nhập[Main SKU name_GOM]=$A6)*(Data_Nhập[SKU name_NHẬP_GOM]=GL$3)),SUMPRODUCT(Data_Nhập[Tổng Nhập-NX]*(Data_Nhập[Year]=GL$1)*(Data_Nhập[Month]=GL$2)*(Data_Nhập[Main SKU name_GOM]=$A6)*(Data_Nhập[SKU name_NHẬP_GOM]=GL$3)))</f>
        <v>0</v>
      </c>
      <c r="GM6" s="29" cm="1">
        <f t="array" ref="GM6">IF(GM$2="FY",SUMPRODUCT(Data_Nhập[Tổng Nhập-NX]*(Data_Nhập[Year]=GM$1)*(Data_Nhập[Main SKU name_GOM]=$A6)*(Data_Nhập[SKU name_NHẬP_GOM]=GM$3)),SUMPRODUCT(Data_Nhập[Tổng Nhập-NX]*(Data_Nhập[Year]=GM$1)*(Data_Nhập[Month]=GM$2)*(Data_Nhập[Main SKU name_GOM]=$A6)*(Data_Nhập[SKU name_NHẬP_GOM]=GM$3)))</f>
        <v>16500</v>
      </c>
      <c r="GN6" s="29" cm="1">
        <f t="array" ref="GN6">IF(GN$2="FY",SUMPRODUCT(Data_Nhập[Tổng Nhập-NX]*(Data_Nhập[Year]=GN$1)*(Data_Nhập[Main SKU name_GOM]=$A6)*(Data_Nhập[SKU name_NHẬP_GOM]=GN$3)),SUMPRODUCT(Data_Nhập[Tổng Nhập-NX]*(Data_Nhập[Year]=GN$1)*(Data_Nhập[Month]=GN$2)*(Data_Nhập[Main SKU name_GOM]=$A6)*(Data_Nhập[SKU name_NHẬP_GOM]=GN$3)))</f>
        <v>20900.000000000004</v>
      </c>
      <c r="GO6" s="29" cm="1">
        <f t="array" ref="GO6">IF(GO$2="FY",SUMPRODUCT(Data_Nhập[Tổng Nhập-NX]*(Data_Nhập[Year]=GO$1)*(Data_Nhập[Main SKU name_GOM]=$A6)*(Data_Nhập[SKU name_NHẬP_GOM]=GO$3)),SUMPRODUCT(Data_Nhập[Tổng Nhập-NX]*(Data_Nhập[Year]=GO$1)*(Data_Nhập[Month]=GO$2)*(Data_Nhập[Main SKU name_GOM]=$A6)*(Data_Nhập[SKU name_NHẬP_GOM]=GO$3)))</f>
        <v>0</v>
      </c>
      <c r="GP6" s="29" cm="1">
        <f t="array" ref="GP6">IF(GP$2="FY",SUMPRODUCT(Data_Nhập[Tổng Nhập-NX]*(Data_Nhập[Year]=GP$1)*(Data_Nhập[Main SKU name_GOM]=$A6)*(Data_Nhập[SKU name_NHẬP_GOM]=GP$3)),SUMPRODUCT(Data_Nhập[Tổng Nhập-NX]*(Data_Nhập[Year]=GP$1)*(Data_Nhập[Month]=GP$2)*(Data_Nhập[Main SKU name_GOM]=$A6)*(Data_Nhập[SKU name_NHẬP_GOM]=GP$3)))</f>
        <v>38543.399999999994</v>
      </c>
      <c r="GQ6" s="29" cm="1">
        <f t="array" ref="GQ6">IF(GQ$2="FY",SUMPRODUCT(Data_Nhập[Tổng Nhập-NX]*(Data_Nhập[Year]=GQ$1)*(Data_Nhập[Main SKU name_GOM]=$A6)*(Data_Nhập[SKU name_NHẬP_GOM]=GQ$3)),SUMPRODUCT(Data_Nhập[Tổng Nhập-NX]*(Data_Nhập[Year]=GQ$1)*(Data_Nhập[Month]=GQ$2)*(Data_Nhập[Main SKU name_GOM]=$A6)*(Data_Nhập[SKU name_NHẬP_GOM]=GQ$3)))</f>
        <v>0</v>
      </c>
      <c r="GR6" s="30">
        <f>SUM(GC6:GQ6)</f>
        <v>1098943.3999999999</v>
      </c>
      <c r="GT6" s="30" cm="1">
        <f t="array" ref="GT6">IF(GT$2="FY",SUMPRODUCT(Data_Xuất[Xuất-NX]*(Data_Xuất[Year]=GT$1)*(Data_Xuất[Main SKU name_GOM]=$A6)),SUMPRODUCT(Data_Xuất[Xuất-NX]*(Data_Xuất[Year]=GT$1)*(Data_Xuất[Main SKU name_GOM]=$A6)*(Data_Xuất[Month]=GT$2)))</f>
        <v>1179120</v>
      </c>
      <c r="GU6" s="29" cm="1">
        <f t="array" ref="GU6">IF(GU$2="FY",SUMPRODUCT(Data_Nhập[Tổng Nhập-NX]*(Data_Nhập[Year]=GU$1)*(Data_Nhập[Main SKU name_GOM]=$A6)*(Data_Nhập[SKU name_NHẬP_GOM]=GU$3)),SUMPRODUCT(Data_Nhập[Tổng Nhập-NX]*(Data_Nhập[Year]=GU$1)*(Data_Nhập[Month]=GU$2)*(Data_Nhập[Main SKU name_GOM]=$A6)*(Data_Nhập[SKU name_NHẬP_GOM]=GU$3)))</f>
        <v>1013900</v>
      </c>
      <c r="GV6" s="29" cm="1">
        <f t="array" ref="GV6">IF(GV$2="FY",SUMPRODUCT(Data_Nhập[Tổng Nhập-NX]*(Data_Nhập[Year]=GV$1)*(Data_Nhập[Main SKU name_GOM]=$A6)*(Data_Nhập[SKU name_NHẬP_GOM]=GV$3)),SUMPRODUCT(Data_Nhập[Tổng Nhập-NX]*(Data_Nhập[Year]=GV$1)*(Data_Nhập[Month]=GV$2)*(Data_Nhập[Main SKU name_GOM]=$A6)*(Data_Nhập[SKU name_NHẬP_GOM]=GV$3)))</f>
        <v>19800</v>
      </c>
      <c r="GW6" s="29" cm="1">
        <f t="array" ref="GW6">IF(GW$2="FY",SUMPRODUCT(Data_Nhập[Tổng Nhập-NX]*(Data_Nhập[Year]=GW$1)*(Data_Nhập[Main SKU name_GOM]=$A6)*(Data_Nhập[SKU name_NHẬP_GOM]=GW$3)),SUMPRODUCT(Data_Nhập[Tổng Nhập-NX]*(Data_Nhập[Year]=GW$1)*(Data_Nhập[Month]=GW$2)*(Data_Nhập[Main SKU name_GOM]=$A6)*(Data_Nhập[SKU name_NHẬP_GOM]=GW$3)))</f>
        <v>12100</v>
      </c>
      <c r="GX6" s="29" cm="1">
        <f t="array" ref="GX6">IF(GX$2="FY",SUMPRODUCT(Data_Nhập[Tổng Nhập-NX]*(Data_Nhập[Year]=GX$1)*(Data_Nhập[Main SKU name_GOM]=$A6)*(Data_Nhập[SKU name_NHẬP_GOM]=GX$3)),SUMPRODUCT(Data_Nhập[Tổng Nhập-NX]*(Data_Nhập[Year]=GX$1)*(Data_Nhập[Month]=GX$2)*(Data_Nhập[Main SKU name_GOM]=$A6)*(Data_Nhập[SKU name_NHẬP_GOM]=GX$3)))</f>
        <v>0</v>
      </c>
      <c r="GY6" s="29" cm="1">
        <f t="array" ref="GY6">IF(GY$2="FY",SUMPRODUCT(Data_Nhập[Tổng Nhập-NX]*(Data_Nhập[Year]=GY$1)*(Data_Nhập[Main SKU name_GOM]=$A6)*(Data_Nhập[SKU name_NHẬP_GOM]=GY$3)),SUMPRODUCT(Data_Nhập[Tổng Nhập-NX]*(Data_Nhập[Year]=GY$1)*(Data_Nhập[Month]=GY$2)*(Data_Nhập[Main SKU name_GOM]=$A6)*(Data_Nhập[SKU name_NHẬP_GOM]=GY$3)))</f>
        <v>79200</v>
      </c>
      <c r="GZ6" s="29" cm="1">
        <f t="array" ref="GZ6">IF(GZ$2="FY",SUMPRODUCT(Data_Nhập[Tổng Nhập-NX]*(Data_Nhập[Year]=GZ$1)*(Data_Nhập[Main SKU name_GOM]=$A6)*(Data_Nhập[SKU name_NHẬP_GOM]=GZ$3)),SUMPRODUCT(Data_Nhập[Tổng Nhập-NX]*(Data_Nhập[Year]=GZ$1)*(Data_Nhập[Month]=GZ$2)*(Data_Nhập[Main SKU name_GOM]=$A6)*(Data_Nhập[SKU name_NHẬP_GOM]=GZ$3)))</f>
        <v>0</v>
      </c>
      <c r="HA6" s="29" cm="1">
        <f t="array" ref="HA6">IF(HA$2="FY",SUMPRODUCT(Data_Nhập[Tổng Nhập-NX]*(Data_Nhập[Year]=HA$1)*(Data_Nhập[Main SKU name_GOM]=$A6)*(Data_Nhập[SKU name_NHẬP_GOM]=HA$3)),SUMPRODUCT(Data_Nhập[Tổng Nhập-NX]*(Data_Nhập[Year]=HA$1)*(Data_Nhập[Month]=HA$2)*(Data_Nhập[Main SKU name_GOM]=$A6)*(Data_Nhập[SKU name_NHẬP_GOM]=HA$3)))</f>
        <v>0</v>
      </c>
      <c r="HB6" s="29" cm="1">
        <f t="array" ref="HB6">IF(HB$2="FY",SUMPRODUCT(Data_Nhập[Tổng Nhập-NX]*(Data_Nhập[Year]=HB$1)*(Data_Nhập[Main SKU name_GOM]=$A6)*(Data_Nhập[SKU name_NHẬP_GOM]=HB$3)),SUMPRODUCT(Data_Nhập[Tổng Nhập-NX]*(Data_Nhập[Year]=HB$1)*(Data_Nhập[Month]=HB$2)*(Data_Nhập[Main SKU name_GOM]=$A6)*(Data_Nhập[SKU name_NHẬP_GOM]=HB$3)))</f>
        <v>0</v>
      </c>
      <c r="HC6" s="29" cm="1">
        <f t="array" ref="HC6">IF(HC$2="FY",SUMPRODUCT(Data_Nhập[Tổng Nhập-NX]*(Data_Nhập[Year]=HC$1)*(Data_Nhập[Main SKU name_GOM]=$A6)*(Data_Nhập[SKU name_NHẬP_GOM]=HC$3)),SUMPRODUCT(Data_Nhập[Tổng Nhập-NX]*(Data_Nhập[Year]=HC$1)*(Data_Nhập[Month]=HC$2)*(Data_Nhập[Main SKU name_GOM]=$A6)*(Data_Nhập[SKU name_NHẬP_GOM]=HC$3)))</f>
        <v>2200</v>
      </c>
      <c r="HD6" s="29" cm="1">
        <f t="array" ref="HD6">IF(HD$2="FY",SUMPRODUCT(Data_Nhập[Tổng Nhập-NX]*(Data_Nhập[Year]=HD$1)*(Data_Nhập[Main SKU name_GOM]=$A6)*(Data_Nhập[SKU name_NHẬP_GOM]=HD$3)),SUMPRODUCT(Data_Nhập[Tổng Nhập-NX]*(Data_Nhập[Year]=HD$1)*(Data_Nhập[Month]=HD$2)*(Data_Nhập[Main SKU name_GOM]=$A6)*(Data_Nhập[SKU name_NHẬP_GOM]=HD$3)))</f>
        <v>0</v>
      </c>
      <c r="HE6" s="29" cm="1">
        <f t="array" ref="HE6">IF(HE$2="FY",SUMPRODUCT(Data_Nhập[Tổng Nhập-NX]*(Data_Nhập[Year]=HE$1)*(Data_Nhập[Main SKU name_GOM]=$A6)*(Data_Nhập[SKU name_NHẬP_GOM]=HE$3)),SUMPRODUCT(Data_Nhập[Tổng Nhập-NX]*(Data_Nhập[Year]=HE$1)*(Data_Nhập[Month]=HE$2)*(Data_Nhập[Main SKU name_GOM]=$A6)*(Data_Nhập[SKU name_NHẬP_GOM]=HE$3)))</f>
        <v>0</v>
      </c>
      <c r="HF6" s="29" cm="1">
        <f t="array" ref="HF6">IF(HF$2="FY",SUMPRODUCT(Data_Nhập[Tổng Nhập-NX]*(Data_Nhập[Year]=HF$1)*(Data_Nhập[Main SKU name_GOM]=$A6)*(Data_Nhập[SKU name_NHẬP_GOM]=HF$3)),SUMPRODUCT(Data_Nhập[Tổng Nhập-NX]*(Data_Nhập[Year]=HF$1)*(Data_Nhập[Month]=HF$2)*(Data_Nhập[Main SKU name_GOM]=$A6)*(Data_Nhập[SKU name_NHẬP_GOM]=HF$3)))</f>
        <v>7700</v>
      </c>
      <c r="HG6" s="29" cm="1">
        <f t="array" ref="HG6">IF(HG$2="FY",SUMPRODUCT(Data_Nhập[Tổng Nhập-NX]*(Data_Nhập[Year]=HG$1)*(Data_Nhập[Main SKU name_GOM]=$A6)*(Data_Nhập[SKU name_NHẬP_GOM]=HG$3)),SUMPRODUCT(Data_Nhập[Tổng Nhập-NX]*(Data_Nhập[Year]=HG$1)*(Data_Nhập[Month]=HG$2)*(Data_Nhập[Main SKU name_GOM]=$A6)*(Data_Nhập[SKU name_NHẬP_GOM]=HG$3)))</f>
        <v>0</v>
      </c>
      <c r="HH6" s="29" cm="1">
        <f t="array" ref="HH6">IF(HH$2="FY",SUMPRODUCT(Data_Nhập[Tổng Nhập-NX]*(Data_Nhập[Year]=HH$1)*(Data_Nhập[Main SKU name_GOM]=$A6)*(Data_Nhập[SKU name_NHẬP_GOM]=HH$3)),SUMPRODUCT(Data_Nhập[Tổng Nhập-NX]*(Data_Nhập[Year]=HH$1)*(Data_Nhập[Month]=HH$2)*(Data_Nhập[Main SKU name_GOM]=$A6)*(Data_Nhập[SKU name_NHẬP_GOM]=HH$3)))</f>
        <v>26861.000000000004</v>
      </c>
      <c r="HI6" s="29" cm="1">
        <f t="array" ref="HI6">IF(HI$2="FY",SUMPRODUCT(Data_Nhập[Tổng Nhập-NX]*(Data_Nhập[Year]=HI$1)*(Data_Nhập[Main SKU name_GOM]=$A6)*(Data_Nhập[SKU name_NHẬP_GOM]=HI$3)),SUMPRODUCT(Data_Nhập[Tổng Nhập-NX]*(Data_Nhập[Year]=HI$1)*(Data_Nhập[Month]=HI$2)*(Data_Nhập[Main SKU name_GOM]=$A6)*(Data_Nhập[SKU name_NHẬP_GOM]=HI$3)))</f>
        <v>0</v>
      </c>
      <c r="HJ6" s="30">
        <f>SUM(GU6:HI6)</f>
        <v>1161761</v>
      </c>
      <c r="HL6" s="30" cm="1">
        <f t="array" ref="HL6">IF(HL$2="FY",SUMPRODUCT(Data_Xuất[Xuất-NX]*(Data_Xuất[Year]=HL$1)*(Data_Xuất[Main SKU name_GOM]=$A6)),SUMPRODUCT(Data_Xuất[Xuất-NX]*(Data_Xuất[Year]=HL$1)*(Data_Xuất[Main SKU name_GOM]=$A6)*(Data_Xuất[Month]=HL$2)))</f>
        <v>1020500.0000000002</v>
      </c>
      <c r="HM6" s="29" cm="1">
        <f t="array" ref="HM6">IF(HM$2="FY",SUMPRODUCT(Data_Nhập[Tổng Nhập-NX]*(Data_Nhập[Year]=HM$1)*(Data_Nhập[Main SKU name_GOM]=$A6)*(Data_Nhập[SKU name_NHẬP_GOM]=HM$3)),SUMPRODUCT(Data_Nhập[Tổng Nhập-NX]*(Data_Nhập[Year]=HM$1)*(Data_Nhập[Month]=HM$2)*(Data_Nhập[Main SKU name_GOM]=$A6)*(Data_Nhập[SKU name_NHẬP_GOM]=HM$3)))</f>
        <v>898700</v>
      </c>
      <c r="HN6" s="29" cm="1">
        <f t="array" ref="HN6">IF(HN$2="FY",SUMPRODUCT(Data_Nhập[Tổng Nhập-NX]*(Data_Nhập[Year]=HN$1)*(Data_Nhập[Main SKU name_GOM]=$A6)*(Data_Nhập[SKU name_NHẬP_GOM]=HN$3)),SUMPRODUCT(Data_Nhập[Tổng Nhập-NX]*(Data_Nhập[Year]=HN$1)*(Data_Nhập[Month]=HN$2)*(Data_Nhập[Main SKU name_GOM]=$A6)*(Data_Nhập[SKU name_NHẬP_GOM]=HN$3)))</f>
        <v>6600</v>
      </c>
      <c r="HO6" s="29" cm="1">
        <f t="array" ref="HO6">IF(HO$2="FY",SUMPRODUCT(Data_Nhập[Tổng Nhập-NX]*(Data_Nhập[Year]=HO$1)*(Data_Nhập[Main SKU name_GOM]=$A6)*(Data_Nhập[SKU name_NHẬP_GOM]=HO$3)),SUMPRODUCT(Data_Nhập[Tổng Nhập-NX]*(Data_Nhập[Year]=HO$1)*(Data_Nhập[Month]=HO$2)*(Data_Nhập[Main SKU name_GOM]=$A6)*(Data_Nhập[SKU name_NHẬP_GOM]=HO$3)))</f>
        <v>16500</v>
      </c>
      <c r="HP6" s="29" cm="1">
        <f t="array" ref="HP6">IF(HP$2="FY",SUMPRODUCT(Data_Nhập[Tổng Nhập-NX]*(Data_Nhập[Year]=HP$1)*(Data_Nhập[Main SKU name_GOM]=$A6)*(Data_Nhập[SKU name_NHẬP_GOM]=HP$3)),SUMPRODUCT(Data_Nhập[Tổng Nhập-NX]*(Data_Nhập[Year]=HP$1)*(Data_Nhập[Month]=HP$2)*(Data_Nhập[Main SKU name_GOM]=$A6)*(Data_Nhập[SKU name_NHẬP_GOM]=HP$3)))</f>
        <v>0</v>
      </c>
      <c r="HQ6" s="29" cm="1">
        <f t="array" ref="HQ6">IF(HQ$2="FY",SUMPRODUCT(Data_Nhập[Tổng Nhập-NX]*(Data_Nhập[Year]=HQ$1)*(Data_Nhập[Main SKU name_GOM]=$A6)*(Data_Nhập[SKU name_NHẬP_GOM]=HQ$3)),SUMPRODUCT(Data_Nhập[Tổng Nhập-NX]*(Data_Nhập[Year]=HQ$1)*(Data_Nhập[Month]=HQ$2)*(Data_Nhập[Main SKU name_GOM]=$A6)*(Data_Nhập[SKU name_NHẬP_GOM]=HQ$3)))</f>
        <v>27499.999999999996</v>
      </c>
      <c r="HR6" s="29" cm="1">
        <f t="array" ref="HR6">IF(HR$2="FY",SUMPRODUCT(Data_Nhập[Tổng Nhập-NX]*(Data_Nhập[Year]=HR$1)*(Data_Nhập[Main SKU name_GOM]=$A6)*(Data_Nhập[SKU name_NHẬP_GOM]=HR$3)),SUMPRODUCT(Data_Nhập[Tổng Nhập-NX]*(Data_Nhập[Year]=HR$1)*(Data_Nhập[Month]=HR$2)*(Data_Nhập[Main SKU name_GOM]=$A6)*(Data_Nhập[SKU name_NHẬP_GOM]=HR$3)))</f>
        <v>0</v>
      </c>
      <c r="HS6" s="29" cm="1">
        <f t="array" ref="HS6">IF(HS$2="FY",SUMPRODUCT(Data_Nhập[Tổng Nhập-NX]*(Data_Nhập[Year]=HS$1)*(Data_Nhập[Main SKU name_GOM]=$A6)*(Data_Nhập[SKU name_NHẬP_GOM]=HS$3)),SUMPRODUCT(Data_Nhập[Tổng Nhập-NX]*(Data_Nhập[Year]=HS$1)*(Data_Nhập[Month]=HS$2)*(Data_Nhập[Main SKU name_GOM]=$A6)*(Data_Nhập[SKU name_NHẬP_GOM]=HS$3)))</f>
        <v>0</v>
      </c>
      <c r="HT6" s="29" cm="1">
        <f t="array" ref="HT6">IF(HT$2="FY",SUMPRODUCT(Data_Nhập[Tổng Nhập-NX]*(Data_Nhập[Year]=HT$1)*(Data_Nhập[Main SKU name_GOM]=$A6)*(Data_Nhập[SKU name_NHẬP_GOM]=HT$3)),SUMPRODUCT(Data_Nhập[Tổng Nhập-NX]*(Data_Nhập[Year]=HT$1)*(Data_Nhập[Month]=HT$2)*(Data_Nhập[Main SKU name_GOM]=$A6)*(Data_Nhập[SKU name_NHẬP_GOM]=HT$3)))</f>
        <v>0</v>
      </c>
      <c r="HU6" s="29" cm="1">
        <f t="array" ref="HU6">IF(HU$2="FY",SUMPRODUCT(Data_Nhập[Tổng Nhập-NX]*(Data_Nhập[Year]=HU$1)*(Data_Nhập[Main SKU name_GOM]=$A6)*(Data_Nhập[SKU name_NHẬP_GOM]=HU$3)),SUMPRODUCT(Data_Nhập[Tổng Nhập-NX]*(Data_Nhập[Year]=HU$1)*(Data_Nhập[Month]=HU$2)*(Data_Nhập[Main SKU name_GOM]=$A6)*(Data_Nhập[SKU name_NHẬP_GOM]=HU$3)))</f>
        <v>2200</v>
      </c>
      <c r="HV6" s="29" cm="1">
        <f t="array" ref="HV6">IF(HV$2="FY",SUMPRODUCT(Data_Nhập[Tổng Nhập-NX]*(Data_Nhập[Year]=HV$1)*(Data_Nhập[Main SKU name_GOM]=$A6)*(Data_Nhập[SKU name_NHẬP_GOM]=HV$3)),SUMPRODUCT(Data_Nhập[Tổng Nhập-NX]*(Data_Nhập[Year]=HV$1)*(Data_Nhập[Month]=HV$2)*(Data_Nhập[Main SKU name_GOM]=$A6)*(Data_Nhập[SKU name_NHẬP_GOM]=HV$3)))</f>
        <v>2199.9999999999995</v>
      </c>
      <c r="HW6" s="29" cm="1">
        <f t="array" ref="HW6">IF(HW$2="FY",SUMPRODUCT(Data_Nhập[Tổng Nhập-NX]*(Data_Nhập[Year]=HW$1)*(Data_Nhập[Main SKU name_GOM]=$A6)*(Data_Nhập[SKU name_NHẬP_GOM]=HW$3)),SUMPRODUCT(Data_Nhập[Tổng Nhập-NX]*(Data_Nhập[Year]=HW$1)*(Data_Nhập[Month]=HW$2)*(Data_Nhập[Main SKU name_GOM]=$A6)*(Data_Nhập[SKU name_NHẬP_GOM]=HW$3)))</f>
        <v>0</v>
      </c>
      <c r="HX6" s="29" cm="1">
        <f t="array" ref="HX6">IF(HX$2="FY",SUMPRODUCT(Data_Nhập[Tổng Nhập-NX]*(Data_Nhập[Year]=HX$1)*(Data_Nhập[Main SKU name_GOM]=$A6)*(Data_Nhập[SKU name_NHẬP_GOM]=HX$3)),SUMPRODUCT(Data_Nhập[Tổng Nhập-NX]*(Data_Nhập[Year]=HX$1)*(Data_Nhập[Month]=HX$2)*(Data_Nhập[Main SKU name_GOM]=$A6)*(Data_Nhập[SKU name_NHẬP_GOM]=HX$3)))</f>
        <v>8800</v>
      </c>
      <c r="HY6" s="29" cm="1">
        <f t="array" ref="HY6">IF(HY$2="FY",SUMPRODUCT(Data_Nhập[Tổng Nhập-NX]*(Data_Nhập[Year]=HY$1)*(Data_Nhập[Main SKU name_GOM]=$A6)*(Data_Nhập[SKU name_NHẬP_GOM]=HY$3)),SUMPRODUCT(Data_Nhập[Tổng Nhập-NX]*(Data_Nhập[Year]=HY$1)*(Data_Nhập[Month]=HY$2)*(Data_Nhập[Main SKU name_GOM]=$A6)*(Data_Nhập[SKU name_NHẬP_GOM]=HY$3)))</f>
        <v>0</v>
      </c>
      <c r="HZ6" s="29" cm="1">
        <f t="array" ref="HZ6">IF(HZ$2="FY",SUMPRODUCT(Data_Nhập[Tổng Nhập-NX]*(Data_Nhập[Year]=HZ$1)*(Data_Nhập[Main SKU name_GOM]=$A6)*(Data_Nhập[SKU name_NHẬP_GOM]=HZ$3)),SUMPRODUCT(Data_Nhập[Tổng Nhập-NX]*(Data_Nhập[Year]=HZ$1)*(Data_Nhập[Month]=HZ$2)*(Data_Nhập[Main SKU name_GOM]=$A6)*(Data_Nhập[SKU name_NHẬP_GOM]=HZ$3)))</f>
        <v>42276</v>
      </c>
      <c r="IA6" s="29" cm="1">
        <f t="array" ref="IA6">IF(IA$2="FY",SUMPRODUCT(Data_Nhập[Tổng Nhập-NX]*(Data_Nhập[Year]=IA$1)*(Data_Nhập[Main SKU name_GOM]=$A6)*(Data_Nhập[SKU name_NHẬP_GOM]=IA$3)),SUMPRODUCT(Data_Nhập[Tổng Nhập-NX]*(Data_Nhập[Year]=IA$1)*(Data_Nhập[Month]=IA$2)*(Data_Nhập[Main SKU name_GOM]=$A6)*(Data_Nhập[SKU name_NHẬP_GOM]=IA$3)))</f>
        <v>0</v>
      </c>
      <c r="IB6" s="30">
        <f>SUM(HM6:IA6)</f>
        <v>1004776</v>
      </c>
    </row>
    <row r="7" spans="1:236" x14ac:dyDescent="0.35">
      <c r="A7" s="5" t="s">
        <v>69</v>
      </c>
      <c r="B7" s="22" t="s">
        <v>69</v>
      </c>
      <c r="D7" s="25" cm="1">
        <f t="array" ref="D7">IF(D$2="FY",SUMPRODUCT(Data_Xuất[Xuất-NX]*(Data_Xuất[Year]=D$1)*(Data_Xuất[Main SKU name_GOM]=$A7)),SUMPRODUCT(Data_Xuất[Xuất-NX]*(Data_Xuất[Year]=D$1)*(Data_Xuất[Main SKU name_GOM]=$A7)*Data_Xuất[Month]=D$2))</f>
        <v>11258882.000000004</v>
      </c>
      <c r="E7" s="24" cm="1">
        <f t="array" ref="E7">IF(E$2="FY",SUMPRODUCT(Data_Nhập[Tổng Nhập-NX]*(Data_Nhập[Year]=E$1)*(Data_Nhập[Main SKU name_GOM]=$A7)*(Data_Nhập[SKU name_NHẬP_GOM]=E$3)),SUMPRODUCT(Data_Nhập[Tổng Nhập-NX]*(Data_Nhập[Year]=E$1)*(Data_Nhập[Month]=E$2)*(Data_Nhập[Main SKU name_GOM]=$A7)*(Data_Nhập[SKU name_NHẬP_GOM]=E$3)))</f>
        <v>60500</v>
      </c>
      <c r="F7" s="24" cm="1">
        <f t="array" ref="F7">IF(F$2="FY",SUMPRODUCT(Data_Nhập[Tổng Nhập-NX]*(Data_Nhập[Year]=F$1)*(Data_Nhập[Main SKU name_GOM]=$A7)*(Data_Nhập[SKU name_NHẬP_GOM]=F$3)),SUMPRODUCT(Data_Nhập[Tổng Nhập-NX]*(Data_Nhập[Year]=F$1)*(Data_Nhập[Month]=F$2)*(Data_Nhập[Main SKU name_GOM]=$A7)*(Data_Nhập[SKU name_NHẬP_GOM]=F$3)))</f>
        <v>9956876</v>
      </c>
      <c r="G7" s="24" cm="1">
        <f t="array" ref="G7">IF(G$2="FY",SUMPRODUCT(Data_Nhập[Tổng Nhập-NX]*(Data_Nhập[Year]=G$1)*(Data_Nhập[Main SKU name_GOM]=$A7)*(Data_Nhập[SKU name_NHẬP_GOM]=G$3)),SUMPRODUCT(Data_Nhập[Tổng Nhập-NX]*(Data_Nhập[Year]=G$1)*(Data_Nhập[Month]=G$2)*(Data_Nhập[Main SKU name_GOM]=$A7)*(Data_Nhập[SKU name_NHẬP_GOM]=G$3)))</f>
        <v>277200</v>
      </c>
      <c r="H7" s="24" cm="1">
        <f t="array" ref="H7">IF(H$2="FY",SUMPRODUCT(Data_Nhập[Tổng Nhập-NX]*(Data_Nhập[Year]=H$1)*(Data_Nhập[Main SKU name_GOM]=$A7)*(Data_Nhập[SKU name_NHẬP_GOM]=H$3)),SUMPRODUCT(Data_Nhập[Tổng Nhập-NX]*(Data_Nhập[Year]=H$1)*(Data_Nhập[Month]=H$2)*(Data_Nhập[Main SKU name_GOM]=$A7)*(Data_Nhập[SKU name_NHẬP_GOM]=H$3)))</f>
        <v>0</v>
      </c>
      <c r="I7" s="24" cm="1">
        <f t="array" ref="I7">IF(I$2="FY",SUMPRODUCT(Data_Nhập[Tổng Nhập-NX]*(Data_Nhập[Year]=I$1)*(Data_Nhập[Main SKU name_GOM]=$A7)*(Data_Nhập[SKU name_NHẬP_GOM]=I$3)),SUMPRODUCT(Data_Nhập[Tổng Nhập-NX]*(Data_Nhập[Year]=I$1)*(Data_Nhập[Month]=I$2)*(Data_Nhập[Main SKU name_GOM]=$A7)*(Data_Nhập[SKU name_NHẬP_GOM]=I$3)))</f>
        <v>106160</v>
      </c>
      <c r="J7" s="24" cm="1">
        <f t="array" ref="J7">IF(J$2="FY",SUMPRODUCT(Data_Nhập[Tổng Nhập-NX]*(Data_Nhập[Year]=J$1)*(Data_Nhập[Main SKU name_GOM]=$A7)*(Data_Nhập[SKU name_NHẬP_GOM]=J$3)),SUMPRODUCT(Data_Nhập[Tổng Nhập-NX]*(Data_Nhập[Year]=J$1)*(Data_Nhập[Month]=J$2)*(Data_Nhập[Main SKU name_GOM]=$A7)*(Data_Nhập[SKU name_NHẬP_GOM]=J$3)))</f>
        <v>0</v>
      </c>
      <c r="K7" s="24" cm="1">
        <f t="array" ref="K7">IF(K$2="FY",SUMPRODUCT(Data_Nhập[Tổng Nhập-NX]*(Data_Nhập[Year]=K$1)*(Data_Nhập[Main SKU name_GOM]=$A7)*(Data_Nhập[SKU name_NHẬP_GOM]=K$3)),SUMPRODUCT(Data_Nhập[Tổng Nhập-NX]*(Data_Nhập[Year]=K$1)*(Data_Nhập[Month]=K$2)*(Data_Nhập[Main SKU name_GOM]=$A7)*(Data_Nhập[SKU name_NHẬP_GOM]=K$3)))</f>
        <v>0</v>
      </c>
      <c r="L7" s="24" cm="1">
        <f t="array" ref="L7">IF(L$2="FY",SUMPRODUCT(Data_Nhập[Tổng Nhập-NX]*(Data_Nhập[Year]=L$1)*(Data_Nhập[Main SKU name_GOM]=$A7)*(Data_Nhập[SKU name_NHẬP_GOM]=L$3)),SUMPRODUCT(Data_Nhập[Tổng Nhập-NX]*(Data_Nhập[Year]=L$1)*(Data_Nhập[Month]=L$2)*(Data_Nhập[Main SKU name_GOM]=$A7)*(Data_Nhập[SKU name_NHẬP_GOM]=L$3)))</f>
        <v>0</v>
      </c>
      <c r="M7" s="24" cm="1">
        <f t="array" ref="M7">IF(M$2="FY",SUMPRODUCT(Data_Nhập[Tổng Nhập-NX]*(Data_Nhập[Year]=M$1)*(Data_Nhập[Main SKU name_GOM]=$A7)*(Data_Nhập[SKU name_NHẬP_GOM]=M$3)),SUMPRODUCT(Data_Nhập[Tổng Nhập-NX]*(Data_Nhập[Year]=M$1)*(Data_Nhập[Month]=M$2)*(Data_Nhập[Main SKU name_GOM]=$A7)*(Data_Nhập[SKU name_NHẬP_GOM]=M$3)))</f>
        <v>0</v>
      </c>
      <c r="N7" s="24" cm="1">
        <f t="array" ref="N7">IF(N$2="FY",SUMPRODUCT(Data_Nhập[Tổng Nhập-NX]*(Data_Nhập[Year]=N$1)*(Data_Nhập[Main SKU name_GOM]=$A7)*(Data_Nhập[SKU name_NHẬP_GOM]=N$3)),SUMPRODUCT(Data_Nhập[Tổng Nhập-NX]*(Data_Nhập[Year]=N$1)*(Data_Nhập[Month]=N$2)*(Data_Nhập[Main SKU name_GOM]=$A7)*(Data_Nhập[SKU name_NHẬP_GOM]=N$3)))</f>
        <v>128700.00000000001</v>
      </c>
      <c r="O7" s="24" cm="1">
        <f t="array" ref="O7">IF(O$2="FY",SUMPRODUCT(Data_Nhập[Tổng Nhập-NX]*(Data_Nhập[Year]=O$1)*(Data_Nhập[Main SKU name_GOM]=$A7)*(Data_Nhập[SKU name_NHẬP_GOM]=O$3)),SUMPRODUCT(Data_Nhập[Tổng Nhập-NX]*(Data_Nhập[Year]=O$1)*(Data_Nhập[Month]=O$2)*(Data_Nhập[Main SKU name_GOM]=$A7)*(Data_Nhập[SKU name_NHẬP_GOM]=O$3)))</f>
        <v>16500</v>
      </c>
      <c r="P7" s="24" cm="1">
        <f t="array" ref="P7">IF(P$2="FY",SUMPRODUCT(Data_Nhập[Tổng Nhập-NX]*(Data_Nhập[Year]=P$1)*(Data_Nhập[Main SKU name_GOM]=$A7)*(Data_Nhập[SKU name_NHẬP_GOM]=P$3)),SUMPRODUCT(Data_Nhập[Tổng Nhập-NX]*(Data_Nhập[Year]=P$1)*(Data_Nhập[Month]=P$2)*(Data_Nhập[Main SKU name_GOM]=$A7)*(Data_Nhập[SKU name_NHẬP_GOM]=P$3)))</f>
        <v>28650</v>
      </c>
      <c r="Q7" s="24" cm="1">
        <f t="array" ref="Q7">IF(Q$2="FY",SUMPRODUCT(Data_Nhập[Tổng Nhập-NX]*(Data_Nhập[Year]=Q$1)*(Data_Nhập[Main SKU name_GOM]=$A7)*(Data_Nhập[SKU name_NHẬP_GOM]=Q$3)),SUMPRODUCT(Data_Nhập[Tổng Nhập-NX]*(Data_Nhập[Year]=Q$1)*(Data_Nhập[Month]=Q$2)*(Data_Nhập[Main SKU name_GOM]=$A7)*(Data_Nhập[SKU name_NHẬP_GOM]=Q$3)))</f>
        <v>0</v>
      </c>
      <c r="R7" s="24" cm="1">
        <f t="array" ref="R7">IF(R$2="FY",SUMPRODUCT(Data_Nhập[Tổng Nhập-NX]*(Data_Nhập[Year]=R$1)*(Data_Nhập[Main SKU name_GOM]=$A7)*(Data_Nhập[SKU name_NHẬP_GOM]=R$3)),SUMPRODUCT(Data_Nhập[Tổng Nhập-NX]*(Data_Nhập[Year]=R$1)*(Data_Nhập[Month]=R$2)*(Data_Nhập[Main SKU name_GOM]=$A7)*(Data_Nhập[SKU name_NHẬP_GOM]=R$3)))</f>
        <v>569652</v>
      </c>
      <c r="S7" s="24" cm="1">
        <f t="array" ref="S7">IF(S$2="FY",SUMPRODUCT(Data_Nhập[Tổng Nhập-NX]*(Data_Nhập[Year]=S$1)*(Data_Nhập[Main SKU name_GOM]=$A7)*(Data_Nhập[SKU name_NHẬP_GOM]=S$3)),SUMPRODUCT(Data_Nhập[Tổng Nhập-NX]*(Data_Nhập[Year]=S$1)*(Data_Nhập[Month]=S$2)*(Data_Nhập[Main SKU name_GOM]=$A7)*(Data_Nhập[SKU name_NHẬP_GOM]=S$3)))</f>
        <v>0</v>
      </c>
      <c r="T7" s="25">
        <f t="shared" ref="T7:T12" si="12">SUM(E7:S7)</f>
        <v>11144238</v>
      </c>
      <c r="V7" s="25" cm="1">
        <f t="array" ref="V7">IF(V$2="FY",SUMPRODUCT(Data_Xuất[Xuất-NX]*(Data_Xuất[Year]=V$1)*(Data_Xuất[Main SKU name_GOM]=$A7)),SUMPRODUCT(Data_Xuất[Xuất-NX]*(Data_Xuất[Year]=V$1)*(Data_Xuất[Main SKU name_GOM]=$A7)*(Data_Xuất[Month]=V$2)))</f>
        <v>236000</v>
      </c>
      <c r="W7" s="24" cm="1">
        <f t="array" ref="W7">IF(W$2="FY",SUMPRODUCT(Data_Nhập[Tổng Nhập-NX]*(Data_Nhập[Year]=W$1)*(Data_Nhập[Main SKU name_GOM]=$A7)*(Data_Nhập[SKU name_NHẬP_GOM]=W$3)),SUMPRODUCT(Data_Nhập[Tổng Nhập-NX]*(Data_Nhập[Year]=W$1)*(Data_Nhập[Month]=W$2)*(Data_Nhập[Main SKU name_GOM]=$A7)*(Data_Nhập[SKU name_NHẬP_GOM]=W$3)))</f>
        <v>8800</v>
      </c>
      <c r="X7" s="24" cm="1">
        <f t="array" ref="X7">IF(X$2="FY",SUMPRODUCT(Data_Nhập[Tổng Nhập-NX]*(Data_Nhập[Year]=X$1)*(Data_Nhập[Main SKU name_GOM]=$A7)*(Data_Nhập[SKU name_NHẬP_GOM]=X$3)),SUMPRODUCT(Data_Nhập[Tổng Nhập-NX]*(Data_Nhập[Year]=X$1)*(Data_Nhập[Month]=X$2)*(Data_Nhập[Main SKU name_GOM]=$A7)*(Data_Nhập[SKU name_NHẬP_GOM]=X$3)))</f>
        <v>212300</v>
      </c>
      <c r="Y7" s="24" cm="1">
        <f t="array" ref="Y7">IF(Y$2="FY",SUMPRODUCT(Data_Nhập[Tổng Nhập-NX]*(Data_Nhập[Year]=Y$1)*(Data_Nhập[Main SKU name_GOM]=$A7)*(Data_Nhập[SKU name_NHẬP_GOM]=Y$3)),SUMPRODUCT(Data_Nhập[Tổng Nhập-NX]*(Data_Nhập[Year]=Y$1)*(Data_Nhập[Month]=Y$2)*(Data_Nhập[Main SKU name_GOM]=$A7)*(Data_Nhập[SKU name_NHẬP_GOM]=Y$3)))</f>
        <v>0</v>
      </c>
      <c r="Z7" s="24" cm="1">
        <f t="array" ref="Z7">IF(Z$2="FY",SUMPRODUCT(Data_Nhập[Tổng Nhập-NX]*(Data_Nhập[Year]=Z$1)*(Data_Nhập[Main SKU name_GOM]=$A7)*(Data_Nhập[SKU name_NHẬP_GOM]=Z$3)),SUMPRODUCT(Data_Nhập[Tổng Nhập-NX]*(Data_Nhập[Year]=Z$1)*(Data_Nhập[Month]=Z$2)*(Data_Nhập[Main SKU name_GOM]=$A7)*(Data_Nhập[SKU name_NHẬP_GOM]=Z$3)))</f>
        <v>0</v>
      </c>
      <c r="AA7" s="24" cm="1">
        <f t="array" ref="AA7">IF(AA$2="FY",SUMPRODUCT(Data_Nhập[Tổng Nhập-NX]*(Data_Nhập[Year]=AA$1)*(Data_Nhập[Main SKU name_GOM]=$A7)*(Data_Nhập[SKU name_NHẬP_GOM]=AA$3)),SUMPRODUCT(Data_Nhập[Tổng Nhập-NX]*(Data_Nhập[Year]=AA$1)*(Data_Nhập[Month]=AA$2)*(Data_Nhập[Main SKU name_GOM]=$A7)*(Data_Nhập[SKU name_NHẬP_GOM]=AA$3)))</f>
        <v>3300</v>
      </c>
      <c r="AB7" s="24" cm="1">
        <f t="array" ref="AB7">IF(AB$2="FY",SUMPRODUCT(Data_Nhập[Tổng Nhập-NX]*(Data_Nhập[Year]=AB$1)*(Data_Nhập[Main SKU name_GOM]=$A7)*(Data_Nhập[SKU name_NHẬP_GOM]=AB$3)),SUMPRODUCT(Data_Nhập[Tổng Nhập-NX]*(Data_Nhập[Year]=AB$1)*(Data_Nhập[Month]=AB$2)*(Data_Nhập[Main SKU name_GOM]=$A7)*(Data_Nhập[SKU name_NHẬP_GOM]=AB$3)))</f>
        <v>0</v>
      </c>
      <c r="AC7" s="24" cm="1">
        <f t="array" ref="AC7">IF(AC$2="FY",SUMPRODUCT(Data_Nhập[Tổng Nhập-NX]*(Data_Nhập[Year]=AC$1)*(Data_Nhập[Main SKU name_GOM]=$A7)*(Data_Nhập[SKU name_NHẬP_GOM]=AC$3)),SUMPRODUCT(Data_Nhập[Tổng Nhập-NX]*(Data_Nhập[Year]=AC$1)*(Data_Nhập[Month]=AC$2)*(Data_Nhập[Main SKU name_GOM]=$A7)*(Data_Nhập[SKU name_NHẬP_GOM]=AC$3)))</f>
        <v>0</v>
      </c>
      <c r="AD7" s="24" cm="1">
        <f t="array" ref="AD7">IF(AD$2="FY",SUMPRODUCT(Data_Nhập[Tổng Nhập-NX]*(Data_Nhập[Year]=AD$1)*(Data_Nhập[Main SKU name_GOM]=$A7)*(Data_Nhập[SKU name_NHẬP_GOM]=AD$3)),SUMPRODUCT(Data_Nhập[Tổng Nhập-NX]*(Data_Nhập[Year]=AD$1)*(Data_Nhập[Month]=AD$2)*(Data_Nhập[Main SKU name_GOM]=$A7)*(Data_Nhập[SKU name_NHẬP_GOM]=AD$3)))</f>
        <v>0</v>
      </c>
      <c r="AE7" s="24" cm="1">
        <f t="array" ref="AE7">IF(AE$2="FY",SUMPRODUCT(Data_Nhập[Tổng Nhập-NX]*(Data_Nhập[Year]=AE$1)*(Data_Nhập[Main SKU name_GOM]=$A7)*(Data_Nhập[SKU name_NHẬP_GOM]=AE$3)),SUMPRODUCT(Data_Nhập[Tổng Nhập-NX]*(Data_Nhập[Year]=AE$1)*(Data_Nhập[Month]=AE$2)*(Data_Nhập[Main SKU name_GOM]=$A7)*(Data_Nhập[SKU name_NHẬP_GOM]=AE$3)))</f>
        <v>0</v>
      </c>
      <c r="AF7" s="24" cm="1">
        <f t="array" ref="AF7">IF(AF$2="FY",SUMPRODUCT(Data_Nhập[Tổng Nhập-NX]*(Data_Nhập[Year]=AF$1)*(Data_Nhập[Main SKU name_GOM]=$A7)*(Data_Nhập[SKU name_NHẬP_GOM]=AF$3)),SUMPRODUCT(Data_Nhập[Tổng Nhập-NX]*(Data_Nhập[Year]=AF$1)*(Data_Nhập[Month]=AF$2)*(Data_Nhập[Main SKU name_GOM]=$A7)*(Data_Nhập[SKU name_NHẬP_GOM]=AF$3)))</f>
        <v>1100</v>
      </c>
      <c r="AG7" s="24" cm="1">
        <f t="array" ref="AG7">IF(AG$2="FY",SUMPRODUCT(Data_Nhập[Tổng Nhập-NX]*(Data_Nhập[Year]=AG$1)*(Data_Nhập[Main SKU name_GOM]=$A7)*(Data_Nhập[SKU name_NHẬP_GOM]=AG$3)),SUMPRODUCT(Data_Nhập[Tổng Nhập-NX]*(Data_Nhập[Year]=AG$1)*(Data_Nhập[Month]=AG$2)*(Data_Nhập[Main SKU name_GOM]=$A7)*(Data_Nhập[SKU name_NHẬP_GOM]=AG$3)))</f>
        <v>0</v>
      </c>
      <c r="AH7" s="24" cm="1">
        <f t="array" ref="AH7">IF(AH$2="FY",SUMPRODUCT(Data_Nhập[Tổng Nhập-NX]*(Data_Nhập[Year]=AH$1)*(Data_Nhập[Main SKU name_GOM]=$A7)*(Data_Nhập[SKU name_NHẬP_GOM]=AH$3)),SUMPRODUCT(Data_Nhập[Tổng Nhập-NX]*(Data_Nhập[Year]=AH$1)*(Data_Nhập[Month]=AH$2)*(Data_Nhập[Main SKU name_GOM]=$A7)*(Data_Nhập[SKU name_NHẬP_GOM]=AH$3)))</f>
        <v>2200</v>
      </c>
      <c r="AI7" s="24" cm="1">
        <f t="array" ref="AI7">IF(AI$2="FY",SUMPRODUCT(Data_Nhập[Tổng Nhập-NX]*(Data_Nhập[Year]=AI$1)*(Data_Nhập[Main SKU name_GOM]=$A7)*(Data_Nhập[SKU name_NHẬP_GOM]=AI$3)),SUMPRODUCT(Data_Nhập[Tổng Nhập-NX]*(Data_Nhập[Year]=AI$1)*(Data_Nhập[Month]=AI$2)*(Data_Nhập[Main SKU name_GOM]=$A7)*(Data_Nhập[SKU name_NHẬP_GOM]=AI$3)))</f>
        <v>0</v>
      </c>
      <c r="AJ7" s="24" cm="1">
        <f t="array" ref="AJ7">IF(AJ$2="FY",SUMPRODUCT(Data_Nhập[Tổng Nhập-NX]*(Data_Nhập[Year]=AJ$1)*(Data_Nhập[Main SKU name_GOM]=$A7)*(Data_Nhập[SKU name_NHẬP_GOM]=AJ$3)),SUMPRODUCT(Data_Nhập[Tổng Nhập-NX]*(Data_Nhập[Year]=AJ$1)*(Data_Nhập[Month]=AJ$2)*(Data_Nhập[Main SKU name_GOM]=$A7)*(Data_Nhập[SKU name_NHẬP_GOM]=AJ$3)))</f>
        <v>7690</v>
      </c>
      <c r="AK7" s="24" cm="1">
        <f t="array" ref="AK7">IF(AK$2="FY",SUMPRODUCT(Data_Nhập[Tổng Nhập-NX]*(Data_Nhập[Year]=AK$1)*(Data_Nhập[Main SKU name_GOM]=$A7)*(Data_Nhập[SKU name_NHẬP_GOM]=AK$3)),SUMPRODUCT(Data_Nhập[Tổng Nhập-NX]*(Data_Nhập[Year]=AK$1)*(Data_Nhập[Month]=AK$2)*(Data_Nhập[Main SKU name_GOM]=$A7)*(Data_Nhập[SKU name_NHẬP_GOM]=AK$3)))</f>
        <v>0</v>
      </c>
      <c r="AL7" s="25">
        <f t="shared" ref="AL7:AL12" si="13">SUM(W7:AK7)</f>
        <v>235390</v>
      </c>
      <c r="AN7" s="25" cm="1">
        <f t="array" ref="AN7">IF(AN$2="FY",SUMPRODUCT(Data_Xuất[Xuất-NX]*(Data_Xuất[Year]=AN$1)*(Data_Xuất[Main SKU name_GOM]=$A7)),SUMPRODUCT(Data_Xuất[Xuất-NX]*(Data_Xuất[Year]=AN$1)*(Data_Xuất[Main SKU name_GOM]=$A7)*(Data_Xuất[Month]=AN$2)))</f>
        <v>857700.00000000035</v>
      </c>
      <c r="AO7" s="24" cm="1">
        <f t="array" ref="AO7">IF(AO$2="FY",SUMPRODUCT(Data_Nhập[Tổng Nhập-NX]*(Data_Nhập[Year]=AO$1)*(Data_Nhập[Main SKU name_GOM]=$A7)*(Data_Nhập[SKU name_NHẬP_GOM]=AO$3)),SUMPRODUCT(Data_Nhập[Tổng Nhập-NX]*(Data_Nhập[Year]=AO$1)*(Data_Nhập[Month]=AO$2)*(Data_Nhập[Main SKU name_GOM]=$A7)*(Data_Nhập[SKU name_NHẬP_GOM]=AO$3)))</f>
        <v>1100</v>
      </c>
      <c r="AP7" s="24" cm="1">
        <f t="array" ref="AP7">IF(AP$2="FY",SUMPRODUCT(Data_Nhập[Tổng Nhập-NX]*(Data_Nhập[Year]=AP$1)*(Data_Nhập[Main SKU name_GOM]=$A7)*(Data_Nhập[SKU name_NHẬP_GOM]=AP$3)),SUMPRODUCT(Data_Nhập[Tổng Nhập-NX]*(Data_Nhập[Year]=AP$1)*(Data_Nhập[Month]=AP$2)*(Data_Nhập[Main SKU name_GOM]=$A7)*(Data_Nhập[SKU name_NHẬP_GOM]=AP$3)))</f>
        <v>737440</v>
      </c>
      <c r="AQ7" s="24" cm="1">
        <f t="array" ref="AQ7">IF(AQ$2="FY",SUMPRODUCT(Data_Nhập[Tổng Nhập-NX]*(Data_Nhập[Year]=AQ$1)*(Data_Nhập[Main SKU name_GOM]=$A7)*(Data_Nhập[SKU name_NHẬP_GOM]=AQ$3)),SUMPRODUCT(Data_Nhập[Tổng Nhập-NX]*(Data_Nhập[Year]=AQ$1)*(Data_Nhập[Month]=AQ$2)*(Data_Nhập[Main SKU name_GOM]=$A7)*(Data_Nhập[SKU name_NHẬP_GOM]=AQ$3)))</f>
        <v>6600</v>
      </c>
      <c r="AR7" s="24" cm="1">
        <f t="array" ref="AR7">IF(AR$2="FY",SUMPRODUCT(Data_Nhập[Tổng Nhập-NX]*(Data_Nhập[Year]=AR$1)*(Data_Nhập[Main SKU name_GOM]=$A7)*(Data_Nhập[SKU name_NHẬP_GOM]=AR$3)),SUMPRODUCT(Data_Nhập[Tổng Nhập-NX]*(Data_Nhập[Year]=AR$1)*(Data_Nhập[Month]=AR$2)*(Data_Nhập[Main SKU name_GOM]=$A7)*(Data_Nhập[SKU name_NHẬP_GOM]=AR$3)))</f>
        <v>0</v>
      </c>
      <c r="AS7" s="24" cm="1">
        <f t="array" ref="AS7">IF(AS$2="FY",SUMPRODUCT(Data_Nhập[Tổng Nhập-NX]*(Data_Nhập[Year]=AS$1)*(Data_Nhập[Main SKU name_GOM]=$A7)*(Data_Nhập[SKU name_NHẬP_GOM]=AS$3)),SUMPRODUCT(Data_Nhập[Tổng Nhập-NX]*(Data_Nhập[Year]=AS$1)*(Data_Nhập[Month]=AS$2)*(Data_Nhập[Main SKU name_GOM]=$A7)*(Data_Nhập[SKU name_NHẬP_GOM]=AS$3)))</f>
        <v>19800</v>
      </c>
      <c r="AT7" s="24" cm="1">
        <f t="array" ref="AT7">IF(AT$2="FY",SUMPRODUCT(Data_Nhập[Tổng Nhập-NX]*(Data_Nhập[Year]=AT$1)*(Data_Nhập[Main SKU name_GOM]=$A7)*(Data_Nhập[SKU name_NHẬP_GOM]=AT$3)),SUMPRODUCT(Data_Nhập[Tổng Nhập-NX]*(Data_Nhập[Year]=AT$1)*(Data_Nhập[Month]=AT$2)*(Data_Nhập[Main SKU name_GOM]=$A7)*(Data_Nhập[SKU name_NHẬP_GOM]=AT$3)))</f>
        <v>0</v>
      </c>
      <c r="AU7" s="24" cm="1">
        <f t="array" ref="AU7">IF(AU$2="FY",SUMPRODUCT(Data_Nhập[Tổng Nhập-NX]*(Data_Nhập[Year]=AU$1)*(Data_Nhập[Main SKU name_GOM]=$A7)*(Data_Nhập[SKU name_NHẬP_GOM]=AU$3)),SUMPRODUCT(Data_Nhập[Tổng Nhập-NX]*(Data_Nhập[Year]=AU$1)*(Data_Nhập[Month]=AU$2)*(Data_Nhập[Main SKU name_GOM]=$A7)*(Data_Nhập[SKU name_NHẬP_GOM]=AU$3)))</f>
        <v>0</v>
      </c>
      <c r="AV7" s="24" cm="1">
        <f t="array" ref="AV7">IF(AV$2="FY",SUMPRODUCT(Data_Nhập[Tổng Nhập-NX]*(Data_Nhập[Year]=AV$1)*(Data_Nhập[Main SKU name_GOM]=$A7)*(Data_Nhập[SKU name_NHẬP_GOM]=AV$3)),SUMPRODUCT(Data_Nhập[Tổng Nhập-NX]*(Data_Nhập[Year]=AV$1)*(Data_Nhập[Month]=AV$2)*(Data_Nhập[Main SKU name_GOM]=$A7)*(Data_Nhập[SKU name_NHẬP_GOM]=AV$3)))</f>
        <v>0</v>
      </c>
      <c r="AW7" s="24" cm="1">
        <f t="array" ref="AW7">IF(AW$2="FY",SUMPRODUCT(Data_Nhập[Tổng Nhập-NX]*(Data_Nhập[Year]=AW$1)*(Data_Nhập[Main SKU name_GOM]=$A7)*(Data_Nhập[SKU name_NHẬP_GOM]=AW$3)),SUMPRODUCT(Data_Nhập[Tổng Nhập-NX]*(Data_Nhập[Year]=AW$1)*(Data_Nhập[Month]=AW$2)*(Data_Nhập[Main SKU name_GOM]=$A7)*(Data_Nhập[SKU name_NHẬP_GOM]=AW$3)))</f>
        <v>0</v>
      </c>
      <c r="AX7" s="24" cm="1">
        <f t="array" ref="AX7">IF(AX$2="FY",SUMPRODUCT(Data_Nhập[Tổng Nhập-NX]*(Data_Nhập[Year]=AX$1)*(Data_Nhập[Main SKU name_GOM]=$A7)*(Data_Nhập[SKU name_NHẬP_GOM]=AX$3)),SUMPRODUCT(Data_Nhập[Tổng Nhập-NX]*(Data_Nhập[Year]=AX$1)*(Data_Nhập[Month]=AX$2)*(Data_Nhập[Main SKU name_GOM]=$A7)*(Data_Nhập[SKU name_NHẬP_GOM]=AX$3)))</f>
        <v>24200</v>
      </c>
      <c r="AY7" s="24" cm="1">
        <f t="array" ref="AY7">IF(AY$2="FY",SUMPRODUCT(Data_Nhập[Tổng Nhập-NX]*(Data_Nhập[Year]=AY$1)*(Data_Nhập[Main SKU name_GOM]=$A7)*(Data_Nhập[SKU name_NHẬP_GOM]=AY$3)),SUMPRODUCT(Data_Nhập[Tổng Nhập-NX]*(Data_Nhập[Year]=AY$1)*(Data_Nhập[Month]=AY$2)*(Data_Nhập[Main SKU name_GOM]=$A7)*(Data_Nhập[SKU name_NHẬP_GOM]=AY$3)))</f>
        <v>0</v>
      </c>
      <c r="AZ7" s="24" cm="1">
        <f t="array" ref="AZ7">IF(AZ$2="FY",SUMPRODUCT(Data_Nhập[Tổng Nhập-NX]*(Data_Nhập[Year]=AZ$1)*(Data_Nhập[Main SKU name_GOM]=$A7)*(Data_Nhập[SKU name_NHẬP_GOM]=AZ$3)),SUMPRODUCT(Data_Nhập[Tổng Nhập-NX]*(Data_Nhập[Year]=AZ$1)*(Data_Nhập[Month]=AZ$2)*(Data_Nhập[Main SKU name_GOM]=$A7)*(Data_Nhập[SKU name_NHẬP_GOM]=AZ$3)))</f>
        <v>5500</v>
      </c>
      <c r="BA7" s="24" cm="1">
        <f t="array" ref="BA7">IF(BA$2="FY",SUMPRODUCT(Data_Nhập[Tổng Nhập-NX]*(Data_Nhập[Year]=BA$1)*(Data_Nhập[Main SKU name_GOM]=$A7)*(Data_Nhập[SKU name_NHẬP_GOM]=BA$3)),SUMPRODUCT(Data_Nhập[Tổng Nhập-NX]*(Data_Nhập[Year]=BA$1)*(Data_Nhập[Month]=BA$2)*(Data_Nhập[Main SKU name_GOM]=$A7)*(Data_Nhập[SKU name_NHẬP_GOM]=BA$3)))</f>
        <v>0</v>
      </c>
      <c r="BB7" s="24" cm="1">
        <f t="array" ref="BB7">IF(BB$2="FY",SUMPRODUCT(Data_Nhập[Tổng Nhập-NX]*(Data_Nhập[Year]=BB$1)*(Data_Nhập[Main SKU name_GOM]=$A7)*(Data_Nhập[SKU name_NHẬP_GOM]=BB$3)),SUMPRODUCT(Data_Nhập[Tổng Nhập-NX]*(Data_Nhập[Year]=BB$1)*(Data_Nhập[Month]=BB$2)*(Data_Nhập[Main SKU name_GOM]=$A7)*(Data_Nhập[SKU name_NHẬP_GOM]=BB$3)))</f>
        <v>61044</v>
      </c>
      <c r="BC7" s="24" cm="1">
        <f t="array" ref="BC7">IF(BC$2="FY",SUMPRODUCT(Data_Nhập[Tổng Nhập-NX]*(Data_Nhập[Year]=BC$1)*(Data_Nhập[Main SKU name_GOM]=$A7)*(Data_Nhập[SKU name_NHẬP_GOM]=BC$3)),SUMPRODUCT(Data_Nhập[Tổng Nhập-NX]*(Data_Nhập[Year]=BC$1)*(Data_Nhập[Month]=BC$2)*(Data_Nhập[Main SKU name_GOM]=$A7)*(Data_Nhập[SKU name_NHẬP_GOM]=BC$3)))</f>
        <v>0</v>
      </c>
      <c r="BD7" s="25">
        <f t="shared" ref="BD7:BD12" si="14">SUM(AO7:BC7)</f>
        <v>855684</v>
      </c>
      <c r="BF7" s="25" cm="1">
        <f t="array" ref="BF7">IF(BF$2="FY",SUMPRODUCT(Data_Xuất[Xuất-NX]*(Data_Xuất[Year]=BF$1)*(Data_Xuất[Main SKU name_GOM]=$A7)),SUMPRODUCT(Data_Xuất[Xuất-NX]*(Data_Xuất[Year]=BF$1)*(Data_Xuất[Main SKU name_GOM]=$A7)*(Data_Xuất[Month]=BF$2)))</f>
        <v>1309506.9999999995</v>
      </c>
      <c r="BG7" s="24" cm="1">
        <f t="array" ref="BG7">IF(BG$2="FY",SUMPRODUCT(Data_Nhập[Tổng Nhập-NX]*(Data_Nhập[Year]=BG$1)*(Data_Nhập[Main SKU name_GOM]=$A7)*(Data_Nhập[SKU name_NHẬP_GOM]=BG$3)),SUMPRODUCT(Data_Nhập[Tổng Nhập-NX]*(Data_Nhập[Year]=BG$1)*(Data_Nhập[Month]=BG$2)*(Data_Nhập[Main SKU name_GOM]=$A7)*(Data_Nhập[SKU name_NHẬP_GOM]=BG$3)))</f>
        <v>11000</v>
      </c>
      <c r="BH7" s="24" cm="1">
        <f t="array" ref="BH7">IF(BH$2="FY",SUMPRODUCT(Data_Nhập[Tổng Nhập-NX]*(Data_Nhập[Year]=BH$1)*(Data_Nhập[Main SKU name_GOM]=$A7)*(Data_Nhập[SKU name_NHẬP_GOM]=BH$3)),SUMPRODUCT(Data_Nhập[Tổng Nhập-NX]*(Data_Nhập[Year]=BH$1)*(Data_Nhập[Month]=BH$2)*(Data_Nhập[Main SKU name_GOM]=$A7)*(Data_Nhập[SKU name_NHẬP_GOM]=BH$3)))</f>
        <v>1203400</v>
      </c>
      <c r="BI7" s="24" cm="1">
        <f t="array" ref="BI7">IF(BI$2="FY",SUMPRODUCT(Data_Nhập[Tổng Nhập-NX]*(Data_Nhập[Year]=BI$1)*(Data_Nhập[Main SKU name_GOM]=$A7)*(Data_Nhập[SKU name_NHẬP_GOM]=BI$3)),SUMPRODUCT(Data_Nhập[Tổng Nhập-NX]*(Data_Nhập[Year]=BI$1)*(Data_Nhập[Month]=BI$2)*(Data_Nhập[Main SKU name_GOM]=$A7)*(Data_Nhập[SKU name_NHẬP_GOM]=BI$3)))</f>
        <v>2200</v>
      </c>
      <c r="BJ7" s="24" cm="1">
        <f t="array" ref="BJ7">IF(BJ$2="FY",SUMPRODUCT(Data_Nhập[Tổng Nhập-NX]*(Data_Nhập[Year]=BJ$1)*(Data_Nhập[Main SKU name_GOM]=$A7)*(Data_Nhập[SKU name_NHẬP_GOM]=BJ$3)),SUMPRODUCT(Data_Nhập[Tổng Nhập-NX]*(Data_Nhập[Year]=BJ$1)*(Data_Nhập[Month]=BJ$2)*(Data_Nhập[Main SKU name_GOM]=$A7)*(Data_Nhập[SKU name_NHẬP_GOM]=BJ$3)))</f>
        <v>0</v>
      </c>
      <c r="BK7" s="24" cm="1">
        <f t="array" ref="BK7">IF(BK$2="FY",SUMPRODUCT(Data_Nhập[Tổng Nhập-NX]*(Data_Nhập[Year]=BK$1)*(Data_Nhập[Main SKU name_GOM]=$A7)*(Data_Nhập[SKU name_NHẬP_GOM]=BK$3)),SUMPRODUCT(Data_Nhập[Tổng Nhập-NX]*(Data_Nhập[Year]=BK$1)*(Data_Nhập[Month]=BK$2)*(Data_Nhập[Main SKU name_GOM]=$A7)*(Data_Nhập[SKU name_NHẬP_GOM]=BK$3)))</f>
        <v>17515.000000000004</v>
      </c>
      <c r="BL7" s="24" cm="1">
        <f t="array" ref="BL7">IF(BL$2="FY",SUMPRODUCT(Data_Nhập[Tổng Nhập-NX]*(Data_Nhập[Year]=BL$1)*(Data_Nhập[Main SKU name_GOM]=$A7)*(Data_Nhập[SKU name_NHẬP_GOM]=BL$3)),SUMPRODUCT(Data_Nhập[Tổng Nhập-NX]*(Data_Nhập[Year]=BL$1)*(Data_Nhập[Month]=BL$2)*(Data_Nhập[Main SKU name_GOM]=$A7)*(Data_Nhập[SKU name_NHẬP_GOM]=BL$3)))</f>
        <v>0</v>
      </c>
      <c r="BM7" s="24" cm="1">
        <f t="array" ref="BM7">IF(BM$2="FY",SUMPRODUCT(Data_Nhập[Tổng Nhập-NX]*(Data_Nhập[Year]=BM$1)*(Data_Nhập[Main SKU name_GOM]=$A7)*(Data_Nhập[SKU name_NHẬP_GOM]=BM$3)),SUMPRODUCT(Data_Nhập[Tổng Nhập-NX]*(Data_Nhập[Year]=BM$1)*(Data_Nhập[Month]=BM$2)*(Data_Nhập[Main SKU name_GOM]=$A7)*(Data_Nhập[SKU name_NHẬP_GOM]=BM$3)))</f>
        <v>0</v>
      </c>
      <c r="BN7" s="24" cm="1">
        <f t="array" ref="BN7">IF(BN$2="FY",SUMPRODUCT(Data_Nhập[Tổng Nhập-NX]*(Data_Nhập[Year]=BN$1)*(Data_Nhập[Main SKU name_GOM]=$A7)*(Data_Nhập[SKU name_NHẬP_GOM]=BN$3)),SUMPRODUCT(Data_Nhập[Tổng Nhập-NX]*(Data_Nhập[Year]=BN$1)*(Data_Nhập[Month]=BN$2)*(Data_Nhập[Main SKU name_GOM]=$A7)*(Data_Nhập[SKU name_NHẬP_GOM]=BN$3)))</f>
        <v>0</v>
      </c>
      <c r="BO7" s="24" cm="1">
        <f t="array" ref="BO7">IF(BO$2="FY",SUMPRODUCT(Data_Nhập[Tổng Nhập-NX]*(Data_Nhập[Year]=BO$1)*(Data_Nhập[Main SKU name_GOM]=$A7)*(Data_Nhập[SKU name_NHẬP_GOM]=BO$3)),SUMPRODUCT(Data_Nhập[Tổng Nhập-NX]*(Data_Nhập[Year]=BO$1)*(Data_Nhập[Month]=BO$2)*(Data_Nhập[Main SKU name_GOM]=$A7)*(Data_Nhập[SKU name_NHẬP_GOM]=BO$3)))</f>
        <v>0</v>
      </c>
      <c r="BP7" s="24" cm="1">
        <f t="array" ref="BP7">IF(BP$2="FY",SUMPRODUCT(Data_Nhập[Tổng Nhập-NX]*(Data_Nhập[Year]=BP$1)*(Data_Nhập[Main SKU name_GOM]=$A7)*(Data_Nhập[SKU name_NHẬP_GOM]=BP$3)),SUMPRODUCT(Data_Nhập[Tổng Nhập-NX]*(Data_Nhập[Year]=BP$1)*(Data_Nhập[Month]=BP$2)*(Data_Nhập[Main SKU name_GOM]=$A7)*(Data_Nhập[SKU name_NHẬP_GOM]=BP$3)))</f>
        <v>0</v>
      </c>
      <c r="BQ7" s="24" cm="1">
        <f t="array" ref="BQ7">IF(BQ$2="FY",SUMPRODUCT(Data_Nhập[Tổng Nhập-NX]*(Data_Nhập[Year]=BQ$1)*(Data_Nhập[Main SKU name_GOM]=$A7)*(Data_Nhập[SKU name_NHẬP_GOM]=BQ$3)),SUMPRODUCT(Data_Nhập[Tổng Nhập-NX]*(Data_Nhập[Year]=BQ$1)*(Data_Nhập[Month]=BQ$2)*(Data_Nhập[Main SKU name_GOM]=$A7)*(Data_Nhập[SKU name_NHẬP_GOM]=BQ$3)))</f>
        <v>1100</v>
      </c>
      <c r="BR7" s="24" cm="1">
        <f t="array" ref="BR7">IF(BR$2="FY",SUMPRODUCT(Data_Nhập[Tổng Nhập-NX]*(Data_Nhập[Year]=BR$1)*(Data_Nhập[Main SKU name_GOM]=$A7)*(Data_Nhập[SKU name_NHẬP_GOM]=BR$3)),SUMPRODUCT(Data_Nhập[Tổng Nhập-NX]*(Data_Nhập[Year]=BR$1)*(Data_Nhập[Month]=BR$2)*(Data_Nhập[Main SKU name_GOM]=$A7)*(Data_Nhập[SKU name_NHẬP_GOM]=BR$3)))</f>
        <v>1100</v>
      </c>
      <c r="BS7" s="24" cm="1">
        <f t="array" ref="BS7">IF(BS$2="FY",SUMPRODUCT(Data_Nhập[Tổng Nhập-NX]*(Data_Nhập[Year]=BS$1)*(Data_Nhập[Main SKU name_GOM]=$A7)*(Data_Nhập[SKU name_NHẬP_GOM]=BS$3)),SUMPRODUCT(Data_Nhập[Tổng Nhập-NX]*(Data_Nhập[Year]=BS$1)*(Data_Nhập[Month]=BS$2)*(Data_Nhập[Main SKU name_GOM]=$A7)*(Data_Nhập[SKU name_NHẬP_GOM]=BS$3)))</f>
        <v>0</v>
      </c>
      <c r="BT7" s="24" cm="1">
        <f t="array" ref="BT7">IF(BT$2="FY",SUMPRODUCT(Data_Nhập[Tổng Nhập-NX]*(Data_Nhập[Year]=BT$1)*(Data_Nhập[Main SKU name_GOM]=$A7)*(Data_Nhập[SKU name_NHẬP_GOM]=BT$3)),SUMPRODUCT(Data_Nhập[Tổng Nhập-NX]*(Data_Nhập[Year]=BT$1)*(Data_Nhập[Month]=BT$2)*(Data_Nhập[Main SKU name_GOM]=$A7)*(Data_Nhập[SKU name_NHẬP_GOM]=BT$3)))</f>
        <v>70319</v>
      </c>
      <c r="BU7" s="24" cm="1">
        <f t="array" ref="BU7">IF(BU$2="FY",SUMPRODUCT(Data_Nhập[Tổng Nhập-NX]*(Data_Nhập[Year]=BU$1)*(Data_Nhập[Main SKU name_GOM]=$A7)*(Data_Nhập[SKU name_NHẬP_GOM]=BU$3)),SUMPRODUCT(Data_Nhập[Tổng Nhập-NX]*(Data_Nhập[Year]=BU$1)*(Data_Nhập[Month]=BU$2)*(Data_Nhập[Main SKU name_GOM]=$A7)*(Data_Nhập[SKU name_NHẬP_GOM]=BU$3)))</f>
        <v>0</v>
      </c>
      <c r="BV7" s="25">
        <f t="shared" ref="BV7:BV12" si="15">SUM(BG7:BU7)</f>
        <v>1306634</v>
      </c>
      <c r="BX7" s="25" cm="1">
        <f t="array" ref="BX7">IF(BX$2="FY",SUMPRODUCT(Data_Xuất[Xuất-NX]*(Data_Xuất[Year]=BX$1)*(Data_Xuất[Main SKU name_GOM]=$A7)),SUMPRODUCT(Data_Xuất[Xuất-NX]*(Data_Xuất[Year]=BX$1)*(Data_Xuất[Main SKU name_GOM]=$A7)*(Data_Xuất[Month]=BX$2)))</f>
        <v>1737443</v>
      </c>
      <c r="BY7" s="24" cm="1">
        <f t="array" ref="BY7">IF(BY$2="FY",SUMPRODUCT(Data_Nhập[Tổng Nhập-NX]*(Data_Nhập[Year]=BY$1)*(Data_Nhập[Main SKU name_GOM]=$A7)*(Data_Nhập[SKU name_NHẬP_GOM]=BY$3)),SUMPRODUCT(Data_Nhập[Tổng Nhập-NX]*(Data_Nhập[Year]=BY$1)*(Data_Nhập[Month]=BY$2)*(Data_Nhập[Main SKU name_GOM]=$A7)*(Data_Nhập[SKU name_NHẬP_GOM]=BY$3)))</f>
        <v>0</v>
      </c>
      <c r="BZ7" s="24" cm="1">
        <f t="array" ref="BZ7">IF(BZ$2="FY",SUMPRODUCT(Data_Nhập[Tổng Nhập-NX]*(Data_Nhập[Year]=BZ$1)*(Data_Nhập[Main SKU name_GOM]=$A7)*(Data_Nhập[SKU name_NHẬP_GOM]=BZ$3)),SUMPRODUCT(Data_Nhập[Tổng Nhập-NX]*(Data_Nhập[Year]=BZ$1)*(Data_Nhập[Month]=BZ$2)*(Data_Nhập[Main SKU name_GOM]=$A7)*(Data_Nhập[SKU name_NHẬP_GOM]=BZ$3)))</f>
        <v>1502936</v>
      </c>
      <c r="CA7" s="24" cm="1">
        <f t="array" ref="CA7">IF(CA$2="FY",SUMPRODUCT(Data_Nhập[Tổng Nhập-NX]*(Data_Nhập[Year]=CA$1)*(Data_Nhập[Main SKU name_GOM]=$A7)*(Data_Nhập[SKU name_NHẬP_GOM]=CA$3)),SUMPRODUCT(Data_Nhập[Tổng Nhập-NX]*(Data_Nhập[Year]=CA$1)*(Data_Nhập[Month]=CA$2)*(Data_Nhập[Main SKU name_GOM]=$A7)*(Data_Nhập[SKU name_NHẬP_GOM]=CA$3)))</f>
        <v>39600</v>
      </c>
      <c r="CB7" s="24" cm="1">
        <f t="array" ref="CB7">IF(CB$2="FY",SUMPRODUCT(Data_Nhập[Tổng Nhập-NX]*(Data_Nhập[Year]=CB$1)*(Data_Nhập[Main SKU name_GOM]=$A7)*(Data_Nhập[SKU name_NHẬP_GOM]=CB$3)),SUMPRODUCT(Data_Nhập[Tổng Nhập-NX]*(Data_Nhập[Year]=CB$1)*(Data_Nhập[Month]=CB$2)*(Data_Nhập[Main SKU name_GOM]=$A7)*(Data_Nhập[SKU name_NHẬP_GOM]=CB$3)))</f>
        <v>0</v>
      </c>
      <c r="CC7" s="24" cm="1">
        <f t="array" ref="CC7">IF(CC$2="FY",SUMPRODUCT(Data_Nhập[Tổng Nhập-NX]*(Data_Nhập[Year]=CC$1)*(Data_Nhập[Main SKU name_GOM]=$A7)*(Data_Nhập[SKU name_NHẬP_GOM]=CC$3)),SUMPRODUCT(Data_Nhập[Tổng Nhập-NX]*(Data_Nhập[Year]=CC$1)*(Data_Nhập[Month]=CC$2)*(Data_Nhập[Main SKU name_GOM]=$A7)*(Data_Nhập[SKU name_NHẬP_GOM]=CC$3)))</f>
        <v>12744.999999999996</v>
      </c>
      <c r="CD7" s="24" cm="1">
        <f t="array" ref="CD7">IF(CD$2="FY",SUMPRODUCT(Data_Nhập[Tổng Nhập-NX]*(Data_Nhập[Year]=CD$1)*(Data_Nhập[Main SKU name_GOM]=$A7)*(Data_Nhập[SKU name_NHẬP_GOM]=CD$3)),SUMPRODUCT(Data_Nhập[Tổng Nhập-NX]*(Data_Nhập[Year]=CD$1)*(Data_Nhập[Month]=CD$2)*(Data_Nhập[Main SKU name_GOM]=$A7)*(Data_Nhập[SKU name_NHẬP_GOM]=CD$3)))</f>
        <v>0</v>
      </c>
      <c r="CE7" s="24" cm="1">
        <f t="array" ref="CE7">IF(CE$2="FY",SUMPRODUCT(Data_Nhập[Tổng Nhập-NX]*(Data_Nhập[Year]=CE$1)*(Data_Nhập[Main SKU name_GOM]=$A7)*(Data_Nhập[SKU name_NHẬP_GOM]=CE$3)),SUMPRODUCT(Data_Nhập[Tổng Nhập-NX]*(Data_Nhập[Year]=CE$1)*(Data_Nhập[Month]=CE$2)*(Data_Nhập[Main SKU name_GOM]=$A7)*(Data_Nhập[SKU name_NHẬP_GOM]=CE$3)))</f>
        <v>0</v>
      </c>
      <c r="CF7" s="24" cm="1">
        <f t="array" ref="CF7">IF(CF$2="FY",SUMPRODUCT(Data_Nhập[Tổng Nhập-NX]*(Data_Nhập[Year]=CF$1)*(Data_Nhập[Main SKU name_GOM]=$A7)*(Data_Nhập[SKU name_NHẬP_GOM]=CF$3)),SUMPRODUCT(Data_Nhập[Tổng Nhập-NX]*(Data_Nhập[Year]=CF$1)*(Data_Nhập[Month]=CF$2)*(Data_Nhập[Main SKU name_GOM]=$A7)*(Data_Nhập[SKU name_NHẬP_GOM]=CF$3)))</f>
        <v>0</v>
      </c>
      <c r="CG7" s="24" cm="1">
        <f t="array" ref="CG7">IF(CG$2="FY",SUMPRODUCT(Data_Nhập[Tổng Nhập-NX]*(Data_Nhập[Year]=CG$1)*(Data_Nhập[Main SKU name_GOM]=$A7)*(Data_Nhập[SKU name_NHẬP_GOM]=CG$3)),SUMPRODUCT(Data_Nhập[Tổng Nhập-NX]*(Data_Nhập[Year]=CG$1)*(Data_Nhập[Month]=CG$2)*(Data_Nhập[Main SKU name_GOM]=$A7)*(Data_Nhập[SKU name_NHẬP_GOM]=CG$3)))</f>
        <v>0</v>
      </c>
      <c r="CH7" s="24" cm="1">
        <f t="array" ref="CH7">IF(CH$2="FY",SUMPRODUCT(Data_Nhập[Tổng Nhập-NX]*(Data_Nhập[Year]=CH$1)*(Data_Nhập[Main SKU name_GOM]=$A7)*(Data_Nhập[SKU name_NHẬP_GOM]=CH$3)),SUMPRODUCT(Data_Nhập[Tổng Nhập-NX]*(Data_Nhập[Year]=CH$1)*(Data_Nhập[Month]=CH$2)*(Data_Nhập[Main SKU name_GOM]=$A7)*(Data_Nhập[SKU name_NHẬP_GOM]=CH$3)))</f>
        <v>33000.000000000015</v>
      </c>
      <c r="CI7" s="24" cm="1">
        <f t="array" ref="CI7">IF(CI$2="FY",SUMPRODUCT(Data_Nhập[Tổng Nhập-NX]*(Data_Nhập[Year]=CI$1)*(Data_Nhập[Main SKU name_GOM]=$A7)*(Data_Nhập[SKU name_NHẬP_GOM]=CI$3)),SUMPRODUCT(Data_Nhập[Tổng Nhập-NX]*(Data_Nhập[Year]=CI$1)*(Data_Nhập[Month]=CI$2)*(Data_Nhập[Main SKU name_GOM]=$A7)*(Data_Nhập[SKU name_NHẬP_GOM]=CI$3)))</f>
        <v>7700</v>
      </c>
      <c r="CJ7" s="24" cm="1">
        <f t="array" ref="CJ7">IF(CJ$2="FY",SUMPRODUCT(Data_Nhập[Tổng Nhập-NX]*(Data_Nhập[Year]=CJ$1)*(Data_Nhập[Main SKU name_GOM]=$A7)*(Data_Nhập[SKU name_NHẬP_GOM]=CJ$3)),SUMPRODUCT(Data_Nhập[Tổng Nhập-NX]*(Data_Nhập[Year]=CJ$1)*(Data_Nhập[Month]=CJ$2)*(Data_Nhập[Main SKU name_GOM]=$A7)*(Data_Nhập[SKU name_NHẬP_GOM]=CJ$3)))</f>
        <v>12150.000000000002</v>
      </c>
      <c r="CK7" s="24" cm="1">
        <f t="array" ref="CK7">IF(CK$2="FY",SUMPRODUCT(Data_Nhập[Tổng Nhập-NX]*(Data_Nhập[Year]=CK$1)*(Data_Nhập[Main SKU name_GOM]=$A7)*(Data_Nhập[SKU name_NHẬP_GOM]=CK$3)),SUMPRODUCT(Data_Nhập[Tổng Nhập-NX]*(Data_Nhập[Year]=CK$1)*(Data_Nhập[Month]=CK$2)*(Data_Nhập[Main SKU name_GOM]=$A7)*(Data_Nhập[SKU name_NHẬP_GOM]=CK$3)))</f>
        <v>0</v>
      </c>
      <c r="CL7" s="24" cm="1">
        <f t="array" ref="CL7">IF(CL$2="FY",SUMPRODUCT(Data_Nhập[Tổng Nhập-NX]*(Data_Nhập[Year]=CL$1)*(Data_Nhập[Main SKU name_GOM]=$A7)*(Data_Nhập[SKU name_NHẬP_GOM]=CL$3)),SUMPRODUCT(Data_Nhập[Tổng Nhập-NX]*(Data_Nhập[Year]=CL$1)*(Data_Nhập[Month]=CL$2)*(Data_Nhập[Main SKU name_GOM]=$A7)*(Data_Nhập[SKU name_NHẬP_GOM]=CL$3)))</f>
        <v>118923.00000000001</v>
      </c>
      <c r="CM7" s="24" cm="1">
        <f t="array" ref="CM7">IF(CM$2="FY",SUMPRODUCT(Data_Nhập[Tổng Nhập-NX]*(Data_Nhập[Year]=CM$1)*(Data_Nhập[Main SKU name_GOM]=$A7)*(Data_Nhập[SKU name_NHẬP_GOM]=CM$3)),SUMPRODUCT(Data_Nhập[Tổng Nhập-NX]*(Data_Nhập[Year]=CM$1)*(Data_Nhập[Month]=CM$2)*(Data_Nhập[Main SKU name_GOM]=$A7)*(Data_Nhập[SKU name_NHẬP_GOM]=CM$3)))</f>
        <v>0</v>
      </c>
      <c r="CN7" s="25">
        <f t="shared" ref="CN7:CN12" si="16">SUM(BY7:CM7)</f>
        <v>1727054</v>
      </c>
      <c r="CP7" s="25" cm="1">
        <f t="array" ref="CP7">IF(CP$2="FY",SUMPRODUCT(Data_Xuất[Xuất-NX]*(Data_Xuất[Year]=CP$1)*(Data_Xuất[Main SKU name_GOM]=$A7)),SUMPRODUCT(Data_Xuất[Xuất-NX]*(Data_Xuất[Year]=CP$1)*(Data_Xuất[Main SKU name_GOM]=$A7)*(Data_Xuất[Month]=CP$2)))</f>
        <v>1457049</v>
      </c>
      <c r="CQ7" s="24" cm="1">
        <f t="array" ref="CQ7">IF(CQ$2="FY",SUMPRODUCT(Data_Nhập[Tổng Nhập-NX]*(Data_Nhập[Year]=CQ$1)*(Data_Nhập[Main SKU name_GOM]=$A7)*(Data_Nhập[SKU name_NHẬP_GOM]=CQ$3)),SUMPRODUCT(Data_Nhập[Tổng Nhập-NX]*(Data_Nhập[Year]=CQ$1)*(Data_Nhập[Month]=CQ$2)*(Data_Nhập[Main SKU name_GOM]=$A7)*(Data_Nhập[SKU name_NHẬP_GOM]=CQ$3)))</f>
        <v>2200</v>
      </c>
      <c r="CR7" s="24" cm="1">
        <f t="array" ref="CR7">IF(CR$2="FY",SUMPRODUCT(Data_Nhập[Tổng Nhập-NX]*(Data_Nhập[Year]=CR$1)*(Data_Nhập[Main SKU name_GOM]=$A7)*(Data_Nhập[SKU name_NHẬP_GOM]=CR$3)),SUMPRODUCT(Data_Nhập[Tổng Nhập-NX]*(Data_Nhập[Year]=CR$1)*(Data_Nhập[Month]=CR$2)*(Data_Nhập[Main SKU name_GOM]=$A7)*(Data_Nhập[SKU name_NHẬP_GOM]=CR$3)))</f>
        <v>1322200</v>
      </c>
      <c r="CS7" s="24" cm="1">
        <f t="array" ref="CS7">IF(CS$2="FY",SUMPRODUCT(Data_Nhập[Tổng Nhập-NX]*(Data_Nhập[Year]=CS$1)*(Data_Nhập[Main SKU name_GOM]=$A7)*(Data_Nhập[SKU name_NHẬP_GOM]=CS$3)),SUMPRODUCT(Data_Nhập[Tổng Nhập-NX]*(Data_Nhập[Year]=CS$1)*(Data_Nhập[Month]=CS$2)*(Data_Nhập[Main SKU name_GOM]=$A7)*(Data_Nhập[SKU name_NHẬP_GOM]=CS$3)))</f>
        <v>23100</v>
      </c>
      <c r="CT7" s="24" cm="1">
        <f t="array" ref="CT7">IF(CT$2="FY",SUMPRODUCT(Data_Nhập[Tổng Nhập-NX]*(Data_Nhập[Year]=CT$1)*(Data_Nhập[Main SKU name_GOM]=$A7)*(Data_Nhập[SKU name_NHẬP_GOM]=CT$3)),SUMPRODUCT(Data_Nhập[Tổng Nhập-NX]*(Data_Nhập[Year]=CT$1)*(Data_Nhập[Month]=CT$2)*(Data_Nhập[Main SKU name_GOM]=$A7)*(Data_Nhập[SKU name_NHẬP_GOM]=CT$3)))</f>
        <v>0</v>
      </c>
      <c r="CU7" s="24" cm="1">
        <f t="array" ref="CU7">IF(CU$2="FY",SUMPRODUCT(Data_Nhập[Tổng Nhập-NX]*(Data_Nhập[Year]=CU$1)*(Data_Nhập[Main SKU name_GOM]=$A7)*(Data_Nhập[SKU name_NHẬP_GOM]=CU$3)),SUMPRODUCT(Data_Nhập[Tổng Nhập-NX]*(Data_Nhập[Year]=CU$1)*(Data_Nhập[Month]=CU$2)*(Data_Nhập[Main SKU name_GOM]=$A7)*(Data_Nhập[SKU name_NHẬP_GOM]=CU$3)))</f>
        <v>18700</v>
      </c>
      <c r="CV7" s="24" cm="1">
        <f t="array" ref="CV7">IF(CV$2="FY",SUMPRODUCT(Data_Nhập[Tổng Nhập-NX]*(Data_Nhập[Year]=CV$1)*(Data_Nhập[Main SKU name_GOM]=$A7)*(Data_Nhập[SKU name_NHẬP_GOM]=CV$3)),SUMPRODUCT(Data_Nhập[Tổng Nhập-NX]*(Data_Nhập[Year]=CV$1)*(Data_Nhập[Month]=CV$2)*(Data_Nhập[Main SKU name_GOM]=$A7)*(Data_Nhập[SKU name_NHẬP_GOM]=CV$3)))</f>
        <v>0</v>
      </c>
      <c r="CW7" s="24" cm="1">
        <f t="array" ref="CW7">IF(CW$2="FY",SUMPRODUCT(Data_Nhập[Tổng Nhập-NX]*(Data_Nhập[Year]=CW$1)*(Data_Nhập[Main SKU name_GOM]=$A7)*(Data_Nhập[SKU name_NHẬP_GOM]=CW$3)),SUMPRODUCT(Data_Nhập[Tổng Nhập-NX]*(Data_Nhập[Year]=CW$1)*(Data_Nhập[Month]=CW$2)*(Data_Nhập[Main SKU name_GOM]=$A7)*(Data_Nhập[SKU name_NHẬP_GOM]=CW$3)))</f>
        <v>0</v>
      </c>
      <c r="CX7" s="24" cm="1">
        <f t="array" ref="CX7">IF(CX$2="FY",SUMPRODUCT(Data_Nhập[Tổng Nhập-NX]*(Data_Nhập[Year]=CX$1)*(Data_Nhập[Main SKU name_GOM]=$A7)*(Data_Nhập[SKU name_NHẬP_GOM]=CX$3)),SUMPRODUCT(Data_Nhập[Tổng Nhập-NX]*(Data_Nhập[Year]=CX$1)*(Data_Nhập[Month]=CX$2)*(Data_Nhập[Main SKU name_GOM]=$A7)*(Data_Nhập[SKU name_NHẬP_GOM]=CX$3)))</f>
        <v>0</v>
      </c>
      <c r="CY7" s="24" cm="1">
        <f t="array" ref="CY7">IF(CY$2="FY",SUMPRODUCT(Data_Nhập[Tổng Nhập-NX]*(Data_Nhập[Year]=CY$1)*(Data_Nhập[Main SKU name_GOM]=$A7)*(Data_Nhập[SKU name_NHẬP_GOM]=CY$3)),SUMPRODUCT(Data_Nhập[Tổng Nhập-NX]*(Data_Nhập[Year]=CY$1)*(Data_Nhập[Month]=CY$2)*(Data_Nhập[Main SKU name_GOM]=$A7)*(Data_Nhập[SKU name_NHẬP_GOM]=CY$3)))</f>
        <v>0</v>
      </c>
      <c r="CZ7" s="24" cm="1">
        <f t="array" ref="CZ7">IF(CZ$2="FY",SUMPRODUCT(Data_Nhập[Tổng Nhập-NX]*(Data_Nhập[Year]=CZ$1)*(Data_Nhập[Main SKU name_GOM]=$A7)*(Data_Nhập[SKU name_NHẬP_GOM]=CZ$3)),SUMPRODUCT(Data_Nhập[Tổng Nhập-NX]*(Data_Nhập[Year]=CZ$1)*(Data_Nhập[Month]=CZ$2)*(Data_Nhập[Main SKU name_GOM]=$A7)*(Data_Nhập[SKU name_NHẬP_GOM]=CZ$3)))</f>
        <v>11000</v>
      </c>
      <c r="DA7" s="24" cm="1">
        <f t="array" ref="DA7">IF(DA$2="FY",SUMPRODUCT(Data_Nhập[Tổng Nhập-NX]*(Data_Nhập[Year]=DA$1)*(Data_Nhập[Main SKU name_GOM]=$A7)*(Data_Nhập[SKU name_NHẬP_GOM]=DA$3)),SUMPRODUCT(Data_Nhập[Tổng Nhập-NX]*(Data_Nhập[Year]=DA$1)*(Data_Nhập[Month]=DA$2)*(Data_Nhập[Main SKU name_GOM]=$A7)*(Data_Nhập[SKU name_NHẬP_GOM]=DA$3)))</f>
        <v>2200</v>
      </c>
      <c r="DB7" s="24" cm="1">
        <f t="array" ref="DB7">IF(DB$2="FY",SUMPRODUCT(Data_Nhập[Tổng Nhập-NX]*(Data_Nhập[Year]=DB$1)*(Data_Nhập[Main SKU name_GOM]=$A7)*(Data_Nhập[SKU name_NHẬP_GOM]=DB$3)),SUMPRODUCT(Data_Nhập[Tổng Nhập-NX]*(Data_Nhập[Year]=DB$1)*(Data_Nhập[Month]=DB$2)*(Data_Nhập[Main SKU name_GOM]=$A7)*(Data_Nhập[SKU name_NHẬP_GOM]=DB$3)))</f>
        <v>1100</v>
      </c>
      <c r="DC7" s="24" cm="1">
        <f t="array" ref="DC7">IF(DC$2="FY",SUMPRODUCT(Data_Nhập[Tổng Nhập-NX]*(Data_Nhập[Year]=DC$1)*(Data_Nhập[Main SKU name_GOM]=$A7)*(Data_Nhập[SKU name_NHẬP_GOM]=DC$3)),SUMPRODUCT(Data_Nhập[Tổng Nhập-NX]*(Data_Nhập[Year]=DC$1)*(Data_Nhập[Month]=DC$2)*(Data_Nhập[Main SKU name_GOM]=$A7)*(Data_Nhập[SKU name_NHẬP_GOM]=DC$3)))</f>
        <v>0</v>
      </c>
      <c r="DD7" s="24" cm="1">
        <f t="array" ref="DD7">IF(DD$2="FY",SUMPRODUCT(Data_Nhập[Tổng Nhập-NX]*(Data_Nhập[Year]=DD$1)*(Data_Nhập[Main SKU name_GOM]=$A7)*(Data_Nhập[SKU name_NHẬP_GOM]=DD$3)),SUMPRODUCT(Data_Nhập[Tổng Nhập-NX]*(Data_Nhập[Year]=DD$1)*(Data_Nhập[Month]=DD$2)*(Data_Nhập[Main SKU name_GOM]=$A7)*(Data_Nhập[SKU name_NHẬP_GOM]=DD$3)))</f>
        <v>58401</v>
      </c>
      <c r="DE7" s="24" cm="1">
        <f t="array" ref="DE7">IF(DE$2="FY",SUMPRODUCT(Data_Nhập[Tổng Nhập-NX]*(Data_Nhập[Year]=DE$1)*(Data_Nhập[Main SKU name_GOM]=$A7)*(Data_Nhập[SKU name_NHẬP_GOM]=DE$3)),SUMPRODUCT(Data_Nhập[Tổng Nhập-NX]*(Data_Nhập[Year]=DE$1)*(Data_Nhập[Month]=DE$2)*(Data_Nhập[Main SKU name_GOM]=$A7)*(Data_Nhập[SKU name_NHẬP_GOM]=DE$3)))</f>
        <v>0</v>
      </c>
      <c r="DF7" s="25">
        <f t="shared" ref="DF7:DF12" si="17">SUM(CQ7:DE7)</f>
        <v>1438901</v>
      </c>
      <c r="DH7" s="25" cm="1">
        <f t="array" ref="DH7">IF(DH$2="FY",SUMPRODUCT(Data_Xuất[Xuất-NX]*(Data_Xuất[Year]=DH$1)*(Data_Xuất[Main SKU name_GOM]=$A7)),SUMPRODUCT(Data_Xuất[Xuất-NX]*(Data_Xuất[Year]=DH$1)*(Data_Xuất[Main SKU name_GOM]=$A7)*(Data_Xuất[Month]=DH$2)))</f>
        <v>2115446.75</v>
      </c>
      <c r="DI7" s="24" cm="1">
        <f t="array" ref="DI7">IF(DI$2="FY",SUMPRODUCT(Data_Nhập[Tổng Nhập-NX]*(Data_Nhập[Year]=DI$1)*(Data_Nhập[Main SKU name_GOM]=$A7)*(Data_Nhập[SKU name_NHẬP_GOM]=DI$3)),SUMPRODUCT(Data_Nhập[Tổng Nhập-NX]*(Data_Nhập[Year]=DI$1)*(Data_Nhập[Month]=DI$2)*(Data_Nhập[Main SKU name_GOM]=$A7)*(Data_Nhập[SKU name_NHẬP_GOM]=DI$3)))</f>
        <v>37400</v>
      </c>
      <c r="DJ7" s="24" cm="1">
        <f t="array" ref="DJ7">IF(DJ$2="FY",SUMPRODUCT(Data_Nhập[Tổng Nhập-NX]*(Data_Nhập[Year]=DJ$1)*(Data_Nhập[Main SKU name_GOM]=$A7)*(Data_Nhập[SKU name_NHẬP_GOM]=DJ$3)),SUMPRODUCT(Data_Nhập[Tổng Nhập-NX]*(Data_Nhập[Year]=DJ$1)*(Data_Nhập[Month]=DJ$2)*(Data_Nhập[Main SKU name_GOM]=$A7)*(Data_Nhập[SKU name_NHẬP_GOM]=DJ$3)))</f>
        <v>1905200</v>
      </c>
      <c r="DK7" s="24" cm="1">
        <f t="array" ref="DK7">IF(DK$2="FY",SUMPRODUCT(Data_Nhập[Tổng Nhập-NX]*(Data_Nhập[Year]=DK$1)*(Data_Nhập[Main SKU name_GOM]=$A7)*(Data_Nhập[SKU name_NHẬP_GOM]=DK$3)),SUMPRODUCT(Data_Nhập[Tổng Nhập-NX]*(Data_Nhập[Year]=DK$1)*(Data_Nhập[Month]=DK$2)*(Data_Nhập[Main SKU name_GOM]=$A7)*(Data_Nhập[SKU name_NHẬP_GOM]=DK$3)))</f>
        <v>27500</v>
      </c>
      <c r="DL7" s="24" cm="1">
        <f t="array" ref="DL7">IF(DL$2="FY",SUMPRODUCT(Data_Nhập[Tổng Nhập-NX]*(Data_Nhập[Year]=DL$1)*(Data_Nhập[Main SKU name_GOM]=$A7)*(Data_Nhập[SKU name_NHẬP_GOM]=DL$3)),SUMPRODUCT(Data_Nhập[Tổng Nhập-NX]*(Data_Nhập[Year]=DL$1)*(Data_Nhập[Month]=DL$2)*(Data_Nhập[Main SKU name_GOM]=$A7)*(Data_Nhập[SKU name_NHẬP_GOM]=DL$3)))</f>
        <v>0</v>
      </c>
      <c r="DM7" s="24" cm="1">
        <f t="array" ref="DM7">IF(DM$2="FY",SUMPRODUCT(Data_Nhập[Tổng Nhập-NX]*(Data_Nhập[Year]=DM$1)*(Data_Nhập[Main SKU name_GOM]=$A7)*(Data_Nhập[SKU name_NHẬP_GOM]=DM$3)),SUMPRODUCT(Data_Nhập[Tổng Nhập-NX]*(Data_Nhập[Year]=DM$1)*(Data_Nhập[Month]=DM$2)*(Data_Nhập[Main SKU name_GOM]=$A7)*(Data_Nhập[SKU name_NHẬP_GOM]=DM$3)))</f>
        <v>4400</v>
      </c>
      <c r="DN7" s="24" cm="1">
        <f t="array" ref="DN7">IF(DN$2="FY",SUMPRODUCT(Data_Nhập[Tổng Nhập-NX]*(Data_Nhập[Year]=DN$1)*(Data_Nhập[Main SKU name_GOM]=$A7)*(Data_Nhập[SKU name_NHẬP_GOM]=DN$3)),SUMPRODUCT(Data_Nhập[Tổng Nhập-NX]*(Data_Nhập[Year]=DN$1)*(Data_Nhập[Month]=DN$2)*(Data_Nhập[Main SKU name_GOM]=$A7)*(Data_Nhập[SKU name_NHẬP_GOM]=DN$3)))</f>
        <v>0</v>
      </c>
      <c r="DO7" s="24" cm="1">
        <f t="array" ref="DO7">IF(DO$2="FY",SUMPRODUCT(Data_Nhập[Tổng Nhập-NX]*(Data_Nhập[Year]=DO$1)*(Data_Nhập[Main SKU name_GOM]=$A7)*(Data_Nhập[SKU name_NHẬP_GOM]=DO$3)),SUMPRODUCT(Data_Nhập[Tổng Nhập-NX]*(Data_Nhập[Year]=DO$1)*(Data_Nhập[Month]=DO$2)*(Data_Nhập[Main SKU name_GOM]=$A7)*(Data_Nhập[SKU name_NHẬP_GOM]=DO$3)))</f>
        <v>0</v>
      </c>
      <c r="DP7" s="24" cm="1">
        <f t="array" ref="DP7">IF(DP$2="FY",SUMPRODUCT(Data_Nhập[Tổng Nhập-NX]*(Data_Nhập[Year]=DP$1)*(Data_Nhập[Main SKU name_GOM]=$A7)*(Data_Nhập[SKU name_NHẬP_GOM]=DP$3)),SUMPRODUCT(Data_Nhập[Tổng Nhập-NX]*(Data_Nhập[Year]=DP$1)*(Data_Nhập[Month]=DP$2)*(Data_Nhập[Main SKU name_GOM]=$A7)*(Data_Nhập[SKU name_NHẬP_GOM]=DP$3)))</f>
        <v>0</v>
      </c>
      <c r="DQ7" s="24" cm="1">
        <f t="array" ref="DQ7">IF(DQ$2="FY",SUMPRODUCT(Data_Nhập[Tổng Nhập-NX]*(Data_Nhập[Year]=DQ$1)*(Data_Nhập[Main SKU name_GOM]=$A7)*(Data_Nhập[SKU name_NHẬP_GOM]=DQ$3)),SUMPRODUCT(Data_Nhập[Tổng Nhập-NX]*(Data_Nhập[Year]=DQ$1)*(Data_Nhập[Month]=DQ$2)*(Data_Nhập[Main SKU name_GOM]=$A7)*(Data_Nhập[SKU name_NHẬP_GOM]=DQ$3)))</f>
        <v>0</v>
      </c>
      <c r="DR7" s="24" cm="1">
        <f t="array" ref="DR7">IF(DR$2="FY",SUMPRODUCT(Data_Nhập[Tổng Nhập-NX]*(Data_Nhập[Year]=DR$1)*(Data_Nhập[Main SKU name_GOM]=$A7)*(Data_Nhập[SKU name_NHẬP_GOM]=DR$3)),SUMPRODUCT(Data_Nhập[Tổng Nhập-NX]*(Data_Nhập[Year]=DR$1)*(Data_Nhập[Month]=DR$2)*(Data_Nhập[Main SKU name_GOM]=$A7)*(Data_Nhập[SKU name_NHẬP_GOM]=DR$3)))</f>
        <v>12100</v>
      </c>
      <c r="DS7" s="24" cm="1">
        <f t="array" ref="DS7">IF(DS$2="FY",SUMPRODUCT(Data_Nhập[Tổng Nhập-NX]*(Data_Nhập[Year]=DS$1)*(Data_Nhập[Main SKU name_GOM]=$A7)*(Data_Nhập[SKU name_NHẬP_GOM]=DS$3)),SUMPRODUCT(Data_Nhập[Tổng Nhập-NX]*(Data_Nhập[Year]=DS$1)*(Data_Nhập[Month]=DS$2)*(Data_Nhập[Main SKU name_GOM]=$A7)*(Data_Nhập[SKU name_NHẬP_GOM]=DS$3)))</f>
        <v>2200</v>
      </c>
      <c r="DT7" s="24" cm="1">
        <f t="array" ref="DT7">IF(DT$2="FY",SUMPRODUCT(Data_Nhập[Tổng Nhập-NX]*(Data_Nhập[Year]=DT$1)*(Data_Nhập[Main SKU name_GOM]=$A7)*(Data_Nhập[SKU name_NHẬP_GOM]=DT$3)),SUMPRODUCT(Data_Nhập[Tổng Nhập-NX]*(Data_Nhập[Year]=DT$1)*(Data_Nhập[Month]=DT$2)*(Data_Nhập[Main SKU name_GOM]=$A7)*(Data_Nhập[SKU name_NHẬP_GOM]=DT$3)))</f>
        <v>4400</v>
      </c>
      <c r="DU7" s="24" cm="1">
        <f t="array" ref="DU7">IF(DU$2="FY",SUMPRODUCT(Data_Nhập[Tổng Nhập-NX]*(Data_Nhập[Year]=DU$1)*(Data_Nhập[Main SKU name_GOM]=$A7)*(Data_Nhập[SKU name_NHẬP_GOM]=DU$3)),SUMPRODUCT(Data_Nhập[Tổng Nhập-NX]*(Data_Nhập[Year]=DU$1)*(Data_Nhập[Month]=DU$2)*(Data_Nhập[Main SKU name_GOM]=$A7)*(Data_Nhập[SKU name_NHẬP_GOM]=DU$3)))</f>
        <v>0</v>
      </c>
      <c r="DV7" s="24" cm="1">
        <f t="array" ref="DV7">IF(DV$2="FY",SUMPRODUCT(Data_Nhập[Tổng Nhập-NX]*(Data_Nhập[Year]=DV$1)*(Data_Nhập[Main SKU name_GOM]=$A7)*(Data_Nhập[SKU name_NHẬP_GOM]=DV$3)),SUMPRODUCT(Data_Nhập[Tổng Nhập-NX]*(Data_Nhập[Year]=DV$1)*(Data_Nhập[Month]=DV$2)*(Data_Nhập[Main SKU name_GOM]=$A7)*(Data_Nhập[SKU name_NHẬP_GOM]=DV$3)))</f>
        <v>91173</v>
      </c>
      <c r="DW7" s="24" cm="1">
        <f t="array" ref="DW7">IF(DW$2="FY",SUMPRODUCT(Data_Nhập[Tổng Nhập-NX]*(Data_Nhập[Year]=DW$1)*(Data_Nhập[Main SKU name_GOM]=$A7)*(Data_Nhập[SKU name_NHẬP_GOM]=DW$3)),SUMPRODUCT(Data_Nhập[Tổng Nhập-NX]*(Data_Nhập[Year]=DW$1)*(Data_Nhập[Month]=DW$2)*(Data_Nhập[Main SKU name_GOM]=$A7)*(Data_Nhập[SKU name_NHẬP_GOM]=DW$3)))</f>
        <v>0</v>
      </c>
      <c r="DX7" s="25">
        <f t="shared" ref="DX7:DX12" si="18">SUM(DI7:DW7)</f>
        <v>2084373</v>
      </c>
      <c r="DZ7" s="25" cm="1">
        <f t="array" ref="DZ7">IF(DZ$2="FY",SUMPRODUCT(Data_Xuất[Xuất-NX]*(Data_Xuất[Year]=DZ$1)*(Data_Xuất[Main SKU name_GOM]=$A7)),SUMPRODUCT(Data_Xuất[Xuất-NX]*(Data_Xuất[Year]=DZ$1)*(Data_Xuất[Main SKU name_GOM]=$A7)*(Data_Xuất[Month]=DZ$2)))</f>
        <v>1263658.0000000002</v>
      </c>
      <c r="EA7" s="24" cm="1">
        <f t="array" ref="EA7">IF(EA$2="FY",SUMPRODUCT(Data_Nhập[Tổng Nhập-NX]*(Data_Nhập[Year]=EA$1)*(Data_Nhập[Main SKU name_GOM]=$A7)*(Data_Nhập[SKU name_NHẬP_GOM]=EA$3)),SUMPRODUCT(Data_Nhập[Tổng Nhập-NX]*(Data_Nhập[Year]=EA$1)*(Data_Nhập[Month]=EA$2)*(Data_Nhập[Main SKU name_GOM]=$A7)*(Data_Nhập[SKU name_NHẬP_GOM]=EA$3)))</f>
        <v>0</v>
      </c>
      <c r="EB7" s="24" cm="1">
        <f t="array" ref="EB7">IF(EB$2="FY",SUMPRODUCT(Data_Nhập[Tổng Nhập-NX]*(Data_Nhập[Year]=EB$1)*(Data_Nhập[Main SKU name_GOM]=$A7)*(Data_Nhập[SKU name_NHẬP_GOM]=EB$3)),SUMPRODUCT(Data_Nhập[Tổng Nhập-NX]*(Data_Nhập[Year]=EB$1)*(Data_Nhập[Month]=EB$2)*(Data_Nhập[Main SKU name_GOM]=$A7)*(Data_Nhập[SKU name_NHẬP_GOM]=EB$3)))</f>
        <v>1091200</v>
      </c>
      <c r="EC7" s="24" cm="1">
        <f t="array" ref="EC7">IF(EC$2="FY",SUMPRODUCT(Data_Nhập[Tổng Nhập-NX]*(Data_Nhập[Year]=EC$1)*(Data_Nhập[Main SKU name_GOM]=$A7)*(Data_Nhập[SKU name_NHẬP_GOM]=EC$3)),SUMPRODUCT(Data_Nhập[Tổng Nhập-NX]*(Data_Nhập[Year]=EC$1)*(Data_Nhập[Month]=EC$2)*(Data_Nhập[Main SKU name_GOM]=$A7)*(Data_Nhập[SKU name_NHẬP_GOM]=EC$3)))</f>
        <v>68200</v>
      </c>
      <c r="ED7" s="24" cm="1">
        <f t="array" ref="ED7">IF(ED$2="FY",SUMPRODUCT(Data_Nhập[Tổng Nhập-NX]*(Data_Nhập[Year]=ED$1)*(Data_Nhập[Main SKU name_GOM]=$A7)*(Data_Nhập[SKU name_NHẬP_GOM]=ED$3)),SUMPRODUCT(Data_Nhập[Tổng Nhập-NX]*(Data_Nhập[Year]=ED$1)*(Data_Nhập[Month]=ED$2)*(Data_Nhập[Main SKU name_GOM]=$A7)*(Data_Nhập[SKU name_NHẬP_GOM]=ED$3)))</f>
        <v>0</v>
      </c>
      <c r="EE7" s="24" cm="1">
        <f t="array" ref="EE7">IF(EE$2="FY",SUMPRODUCT(Data_Nhập[Tổng Nhập-NX]*(Data_Nhập[Year]=EE$1)*(Data_Nhập[Main SKU name_GOM]=$A7)*(Data_Nhập[SKU name_NHẬP_GOM]=EE$3)),SUMPRODUCT(Data_Nhập[Tổng Nhập-NX]*(Data_Nhập[Year]=EE$1)*(Data_Nhập[Month]=EE$2)*(Data_Nhập[Main SKU name_GOM]=$A7)*(Data_Nhập[SKU name_NHẬP_GOM]=EE$3)))</f>
        <v>19800.000000000007</v>
      </c>
      <c r="EF7" s="24" cm="1">
        <f t="array" ref="EF7">IF(EF$2="FY",SUMPRODUCT(Data_Nhập[Tổng Nhập-NX]*(Data_Nhập[Year]=EF$1)*(Data_Nhập[Main SKU name_GOM]=$A7)*(Data_Nhập[SKU name_NHẬP_GOM]=EF$3)),SUMPRODUCT(Data_Nhập[Tổng Nhập-NX]*(Data_Nhập[Year]=EF$1)*(Data_Nhập[Month]=EF$2)*(Data_Nhập[Main SKU name_GOM]=$A7)*(Data_Nhập[SKU name_NHẬP_GOM]=EF$3)))</f>
        <v>0</v>
      </c>
      <c r="EG7" s="24" cm="1">
        <f t="array" ref="EG7">IF(EG$2="FY",SUMPRODUCT(Data_Nhập[Tổng Nhập-NX]*(Data_Nhập[Year]=EG$1)*(Data_Nhập[Main SKU name_GOM]=$A7)*(Data_Nhập[SKU name_NHẬP_GOM]=EG$3)),SUMPRODUCT(Data_Nhập[Tổng Nhập-NX]*(Data_Nhập[Year]=EG$1)*(Data_Nhập[Month]=EG$2)*(Data_Nhập[Main SKU name_GOM]=$A7)*(Data_Nhập[SKU name_NHẬP_GOM]=EG$3)))</f>
        <v>0</v>
      </c>
      <c r="EH7" s="24" cm="1">
        <f t="array" ref="EH7">IF(EH$2="FY",SUMPRODUCT(Data_Nhập[Tổng Nhập-NX]*(Data_Nhập[Year]=EH$1)*(Data_Nhập[Main SKU name_GOM]=$A7)*(Data_Nhập[SKU name_NHẬP_GOM]=EH$3)),SUMPRODUCT(Data_Nhập[Tổng Nhập-NX]*(Data_Nhập[Year]=EH$1)*(Data_Nhập[Month]=EH$2)*(Data_Nhập[Main SKU name_GOM]=$A7)*(Data_Nhập[SKU name_NHẬP_GOM]=EH$3)))</f>
        <v>0</v>
      </c>
      <c r="EI7" s="24" cm="1">
        <f t="array" ref="EI7">IF(EI$2="FY",SUMPRODUCT(Data_Nhập[Tổng Nhập-NX]*(Data_Nhập[Year]=EI$1)*(Data_Nhập[Main SKU name_GOM]=$A7)*(Data_Nhập[SKU name_NHẬP_GOM]=EI$3)),SUMPRODUCT(Data_Nhập[Tổng Nhập-NX]*(Data_Nhập[Year]=EI$1)*(Data_Nhập[Month]=EI$2)*(Data_Nhập[Main SKU name_GOM]=$A7)*(Data_Nhập[SKU name_NHẬP_GOM]=EI$3)))</f>
        <v>0</v>
      </c>
      <c r="EJ7" s="24" cm="1">
        <f t="array" ref="EJ7">IF(EJ$2="FY",SUMPRODUCT(Data_Nhập[Tổng Nhập-NX]*(Data_Nhập[Year]=EJ$1)*(Data_Nhập[Main SKU name_GOM]=$A7)*(Data_Nhập[SKU name_NHẬP_GOM]=EJ$3)),SUMPRODUCT(Data_Nhập[Tổng Nhập-NX]*(Data_Nhập[Year]=EJ$1)*(Data_Nhập[Month]=EJ$2)*(Data_Nhập[Main SKU name_GOM]=$A7)*(Data_Nhập[SKU name_NHẬP_GOM]=EJ$3)))</f>
        <v>12100</v>
      </c>
      <c r="EK7" s="24" cm="1">
        <f t="array" ref="EK7">IF(EK$2="FY",SUMPRODUCT(Data_Nhập[Tổng Nhập-NX]*(Data_Nhập[Year]=EK$1)*(Data_Nhập[Main SKU name_GOM]=$A7)*(Data_Nhập[SKU name_NHẬP_GOM]=EK$3)),SUMPRODUCT(Data_Nhập[Tổng Nhập-NX]*(Data_Nhập[Year]=EK$1)*(Data_Nhập[Month]=EK$2)*(Data_Nhập[Main SKU name_GOM]=$A7)*(Data_Nhập[SKU name_NHẬP_GOM]=EK$3)))</f>
        <v>0</v>
      </c>
      <c r="EL7" s="24" cm="1">
        <f t="array" ref="EL7">IF(EL$2="FY",SUMPRODUCT(Data_Nhập[Tổng Nhập-NX]*(Data_Nhập[Year]=EL$1)*(Data_Nhập[Main SKU name_GOM]=$A7)*(Data_Nhập[SKU name_NHẬP_GOM]=EL$3)),SUMPRODUCT(Data_Nhập[Tổng Nhập-NX]*(Data_Nhập[Year]=EL$1)*(Data_Nhập[Month]=EL$2)*(Data_Nhập[Main SKU name_GOM]=$A7)*(Data_Nhập[SKU name_NHẬP_GOM]=EL$3)))</f>
        <v>0</v>
      </c>
      <c r="EM7" s="24" cm="1">
        <f t="array" ref="EM7">IF(EM$2="FY",SUMPRODUCT(Data_Nhập[Tổng Nhập-NX]*(Data_Nhập[Year]=EM$1)*(Data_Nhập[Main SKU name_GOM]=$A7)*(Data_Nhập[SKU name_NHẬP_GOM]=EM$3)),SUMPRODUCT(Data_Nhập[Tổng Nhập-NX]*(Data_Nhập[Year]=EM$1)*(Data_Nhập[Month]=EM$2)*(Data_Nhập[Main SKU name_GOM]=$A7)*(Data_Nhập[SKU name_NHẬP_GOM]=EM$3)))</f>
        <v>0</v>
      </c>
      <c r="EN7" s="24" cm="1">
        <f t="array" ref="EN7">IF(EN$2="FY",SUMPRODUCT(Data_Nhập[Tổng Nhập-NX]*(Data_Nhập[Year]=EN$1)*(Data_Nhập[Main SKU name_GOM]=$A7)*(Data_Nhập[SKU name_NHẬP_GOM]=EN$3)),SUMPRODUCT(Data_Nhập[Tổng Nhập-NX]*(Data_Nhập[Year]=EN$1)*(Data_Nhập[Month]=EN$2)*(Data_Nhập[Main SKU name_GOM]=$A7)*(Data_Nhập[SKU name_NHẬP_GOM]=EN$3)))</f>
        <v>55827</v>
      </c>
      <c r="EO7" s="24" cm="1">
        <f t="array" ref="EO7">IF(EO$2="FY",SUMPRODUCT(Data_Nhập[Tổng Nhập-NX]*(Data_Nhập[Year]=EO$1)*(Data_Nhập[Main SKU name_GOM]=$A7)*(Data_Nhập[SKU name_NHẬP_GOM]=EO$3)),SUMPRODUCT(Data_Nhập[Tổng Nhập-NX]*(Data_Nhập[Year]=EO$1)*(Data_Nhập[Month]=EO$2)*(Data_Nhập[Main SKU name_GOM]=$A7)*(Data_Nhập[SKU name_NHẬP_GOM]=EO$3)))</f>
        <v>0</v>
      </c>
      <c r="EP7" s="25">
        <f t="shared" ref="EP7:EP12" si="19">SUM(EA7:EO7)</f>
        <v>1247127</v>
      </c>
      <c r="ER7" s="25" cm="1">
        <f t="array" ref="ER7">IF(ER$2="FY",SUMPRODUCT(Data_Xuất[Xuất-NX]*(Data_Xuất[Year]=ER$1)*(Data_Xuất[Main SKU name_GOM]=$A7)),SUMPRODUCT(Data_Xuất[Xuất-NX]*(Data_Xuất[Year]=ER$1)*(Data_Xuất[Main SKU name_GOM]=$A7)*(Data_Xuất[Month]=ER$2)))</f>
        <v>1184336.25</v>
      </c>
      <c r="ES7" s="24" cm="1">
        <f t="array" ref="ES7">IF(ES$2="FY",SUMPRODUCT(Data_Nhập[Tổng Nhập-NX]*(Data_Nhập[Year]=ES$1)*(Data_Nhập[Main SKU name_GOM]=$A7)*(Data_Nhập[SKU name_NHẬP_GOM]=ES$3)),SUMPRODUCT(Data_Nhập[Tổng Nhập-NX]*(Data_Nhập[Year]=ES$1)*(Data_Nhập[Month]=ES$2)*(Data_Nhập[Main SKU name_GOM]=$A7)*(Data_Nhập[SKU name_NHẬP_GOM]=ES$3)))</f>
        <v>0</v>
      </c>
      <c r="ET7" s="24" cm="1">
        <f t="array" ref="ET7">IF(ET$2="FY",SUMPRODUCT(Data_Nhập[Tổng Nhập-NX]*(Data_Nhập[Year]=ET$1)*(Data_Nhập[Main SKU name_GOM]=$A7)*(Data_Nhập[SKU name_NHẬP_GOM]=ET$3)),SUMPRODUCT(Data_Nhập[Tổng Nhập-NX]*(Data_Nhập[Year]=ET$1)*(Data_Nhập[Month]=ET$2)*(Data_Nhập[Main SKU name_GOM]=$A7)*(Data_Nhập[SKU name_NHẬP_GOM]=ET$3)))</f>
        <v>1014200</v>
      </c>
      <c r="EU7" s="24" cm="1">
        <f t="array" ref="EU7">IF(EU$2="FY",SUMPRODUCT(Data_Nhập[Tổng Nhập-NX]*(Data_Nhập[Year]=EU$1)*(Data_Nhập[Main SKU name_GOM]=$A7)*(Data_Nhập[SKU name_NHẬP_GOM]=EU$3)),SUMPRODUCT(Data_Nhập[Tổng Nhập-NX]*(Data_Nhập[Year]=EU$1)*(Data_Nhập[Month]=EU$2)*(Data_Nhập[Main SKU name_GOM]=$A7)*(Data_Nhập[SKU name_NHẬP_GOM]=EU$3)))</f>
        <v>69300</v>
      </c>
      <c r="EV7" s="24" cm="1">
        <f t="array" ref="EV7">IF(EV$2="FY",SUMPRODUCT(Data_Nhập[Tổng Nhập-NX]*(Data_Nhập[Year]=EV$1)*(Data_Nhập[Main SKU name_GOM]=$A7)*(Data_Nhập[SKU name_NHẬP_GOM]=EV$3)),SUMPRODUCT(Data_Nhập[Tổng Nhập-NX]*(Data_Nhập[Year]=EV$1)*(Data_Nhập[Month]=EV$2)*(Data_Nhập[Main SKU name_GOM]=$A7)*(Data_Nhập[SKU name_NHẬP_GOM]=EV$3)))</f>
        <v>0</v>
      </c>
      <c r="EW7" s="24" cm="1">
        <f t="array" ref="EW7">IF(EW$2="FY",SUMPRODUCT(Data_Nhập[Tổng Nhập-NX]*(Data_Nhập[Year]=EW$1)*(Data_Nhập[Main SKU name_GOM]=$A7)*(Data_Nhập[SKU name_NHẬP_GOM]=EW$3)),SUMPRODUCT(Data_Nhập[Tổng Nhập-NX]*(Data_Nhập[Year]=EW$1)*(Data_Nhập[Month]=EW$2)*(Data_Nhập[Main SKU name_GOM]=$A7)*(Data_Nhập[SKU name_NHẬP_GOM]=EW$3)))</f>
        <v>7699.9999999999991</v>
      </c>
      <c r="EX7" s="24" cm="1">
        <f t="array" ref="EX7">IF(EX$2="FY",SUMPRODUCT(Data_Nhập[Tổng Nhập-NX]*(Data_Nhập[Year]=EX$1)*(Data_Nhập[Main SKU name_GOM]=$A7)*(Data_Nhập[SKU name_NHẬP_GOM]=EX$3)),SUMPRODUCT(Data_Nhập[Tổng Nhập-NX]*(Data_Nhập[Year]=EX$1)*(Data_Nhập[Month]=EX$2)*(Data_Nhập[Main SKU name_GOM]=$A7)*(Data_Nhập[SKU name_NHẬP_GOM]=EX$3)))</f>
        <v>0</v>
      </c>
      <c r="EY7" s="24" cm="1">
        <f t="array" ref="EY7">IF(EY$2="FY",SUMPRODUCT(Data_Nhập[Tổng Nhập-NX]*(Data_Nhập[Year]=EY$1)*(Data_Nhập[Main SKU name_GOM]=$A7)*(Data_Nhập[SKU name_NHẬP_GOM]=EY$3)),SUMPRODUCT(Data_Nhập[Tổng Nhập-NX]*(Data_Nhập[Year]=EY$1)*(Data_Nhập[Month]=EY$2)*(Data_Nhập[Main SKU name_GOM]=$A7)*(Data_Nhập[SKU name_NHẬP_GOM]=EY$3)))</f>
        <v>0</v>
      </c>
      <c r="EZ7" s="24" cm="1">
        <f t="array" ref="EZ7">IF(EZ$2="FY",SUMPRODUCT(Data_Nhập[Tổng Nhập-NX]*(Data_Nhập[Year]=EZ$1)*(Data_Nhập[Main SKU name_GOM]=$A7)*(Data_Nhập[SKU name_NHẬP_GOM]=EZ$3)),SUMPRODUCT(Data_Nhập[Tổng Nhập-NX]*(Data_Nhập[Year]=EZ$1)*(Data_Nhập[Month]=EZ$2)*(Data_Nhập[Main SKU name_GOM]=$A7)*(Data_Nhập[SKU name_NHẬP_GOM]=EZ$3)))</f>
        <v>0</v>
      </c>
      <c r="FA7" s="24" cm="1">
        <f t="array" ref="FA7">IF(FA$2="FY",SUMPRODUCT(Data_Nhập[Tổng Nhập-NX]*(Data_Nhập[Year]=FA$1)*(Data_Nhập[Main SKU name_GOM]=$A7)*(Data_Nhập[SKU name_NHẬP_GOM]=FA$3)),SUMPRODUCT(Data_Nhập[Tổng Nhập-NX]*(Data_Nhập[Year]=FA$1)*(Data_Nhập[Month]=FA$2)*(Data_Nhập[Main SKU name_GOM]=$A7)*(Data_Nhập[SKU name_NHẬP_GOM]=FA$3)))</f>
        <v>0</v>
      </c>
      <c r="FB7" s="24" cm="1">
        <f t="array" ref="FB7">IF(FB$2="FY",SUMPRODUCT(Data_Nhập[Tổng Nhập-NX]*(Data_Nhập[Year]=FB$1)*(Data_Nhập[Main SKU name_GOM]=$A7)*(Data_Nhập[SKU name_NHẬP_GOM]=FB$3)),SUMPRODUCT(Data_Nhập[Tổng Nhập-NX]*(Data_Nhập[Year]=FB$1)*(Data_Nhập[Month]=FB$2)*(Data_Nhập[Main SKU name_GOM]=$A7)*(Data_Nhập[SKU name_NHẬP_GOM]=FB$3)))</f>
        <v>14299.999999999998</v>
      </c>
      <c r="FC7" s="24" cm="1">
        <f t="array" ref="FC7">IF(FC$2="FY",SUMPRODUCT(Data_Nhập[Tổng Nhập-NX]*(Data_Nhập[Year]=FC$1)*(Data_Nhập[Main SKU name_GOM]=$A7)*(Data_Nhập[SKU name_NHẬP_GOM]=FC$3)),SUMPRODUCT(Data_Nhập[Tổng Nhập-NX]*(Data_Nhập[Year]=FC$1)*(Data_Nhập[Month]=FC$2)*(Data_Nhập[Main SKU name_GOM]=$A7)*(Data_Nhập[SKU name_NHẬP_GOM]=FC$3)))</f>
        <v>3300</v>
      </c>
      <c r="FD7" s="24" cm="1">
        <f t="array" ref="FD7">IF(FD$2="FY",SUMPRODUCT(Data_Nhập[Tổng Nhập-NX]*(Data_Nhập[Year]=FD$1)*(Data_Nhập[Main SKU name_GOM]=$A7)*(Data_Nhập[SKU name_NHẬP_GOM]=FD$3)),SUMPRODUCT(Data_Nhập[Tổng Nhập-NX]*(Data_Nhập[Year]=FD$1)*(Data_Nhập[Month]=FD$2)*(Data_Nhập[Main SKU name_GOM]=$A7)*(Data_Nhập[SKU name_NHẬP_GOM]=FD$3)))</f>
        <v>2200</v>
      </c>
      <c r="FE7" s="24" cm="1">
        <f t="array" ref="FE7">IF(FE$2="FY",SUMPRODUCT(Data_Nhập[Tổng Nhập-NX]*(Data_Nhập[Year]=FE$1)*(Data_Nhập[Main SKU name_GOM]=$A7)*(Data_Nhập[SKU name_NHẬP_GOM]=FE$3)),SUMPRODUCT(Data_Nhập[Tổng Nhập-NX]*(Data_Nhập[Year]=FE$1)*(Data_Nhập[Month]=FE$2)*(Data_Nhập[Main SKU name_GOM]=$A7)*(Data_Nhập[SKU name_NHẬP_GOM]=FE$3)))</f>
        <v>0</v>
      </c>
      <c r="FF7" s="24" cm="1">
        <f t="array" ref="FF7">IF(FF$2="FY",SUMPRODUCT(Data_Nhập[Tổng Nhập-NX]*(Data_Nhập[Year]=FF$1)*(Data_Nhập[Main SKU name_GOM]=$A7)*(Data_Nhập[SKU name_NHẬP_GOM]=FF$3)),SUMPRODUCT(Data_Nhập[Tổng Nhập-NX]*(Data_Nhập[Year]=FF$1)*(Data_Nhập[Month]=FF$2)*(Data_Nhập[Main SKU name_GOM]=$A7)*(Data_Nhập[SKU name_NHẬP_GOM]=FF$3)))</f>
        <v>56491</v>
      </c>
      <c r="FG7" s="24" cm="1">
        <f t="array" ref="FG7">IF(FG$2="FY",SUMPRODUCT(Data_Nhập[Tổng Nhập-NX]*(Data_Nhập[Year]=FG$1)*(Data_Nhập[Main SKU name_GOM]=$A7)*(Data_Nhập[SKU name_NHẬP_GOM]=FG$3)),SUMPRODUCT(Data_Nhập[Tổng Nhập-NX]*(Data_Nhập[Year]=FG$1)*(Data_Nhập[Month]=FG$2)*(Data_Nhập[Main SKU name_GOM]=$A7)*(Data_Nhập[SKU name_NHẬP_GOM]=FG$3)))</f>
        <v>0</v>
      </c>
      <c r="FH7" s="25">
        <f t="shared" ref="FH7:FH12" si="20">SUM(ES7:FG7)</f>
        <v>1167491</v>
      </c>
      <c r="FJ7" s="25" cm="1">
        <f t="array" ref="FJ7">IF(FJ$2="FY",SUMPRODUCT(Data_Xuất[Xuất-NX]*(Data_Xuất[Year]=FJ$1)*(Data_Xuất[Main SKU name_GOM]=$A7)),SUMPRODUCT(Data_Xuất[Xuất-NX]*(Data_Xuất[Year]=FJ$1)*(Data_Xuất[Main SKU name_GOM]=$A7)*(Data_Xuất[Month]=FJ$2)))</f>
        <v>898064.99999999988</v>
      </c>
      <c r="FK7" s="24" cm="1">
        <f t="array" ref="FK7">IF(FK$2="FY",SUMPRODUCT(Data_Nhập[Tổng Nhập-NX]*(Data_Nhập[Year]=FK$1)*(Data_Nhập[Main SKU name_GOM]=$A7)*(Data_Nhập[SKU name_NHẬP_GOM]=FK$3)),SUMPRODUCT(Data_Nhập[Tổng Nhập-NX]*(Data_Nhập[Year]=FK$1)*(Data_Nhập[Month]=FK$2)*(Data_Nhập[Main SKU name_GOM]=$A7)*(Data_Nhập[SKU name_NHẬP_GOM]=FK$3)))</f>
        <v>0</v>
      </c>
      <c r="FL7" s="24" cm="1">
        <f t="array" ref="FL7">IF(FL$2="FY",SUMPRODUCT(Data_Nhập[Tổng Nhập-NX]*(Data_Nhập[Year]=FL$1)*(Data_Nhập[Main SKU name_GOM]=$A7)*(Data_Nhập[SKU name_NHẬP_GOM]=FL$3)),SUMPRODUCT(Data_Nhập[Tổng Nhập-NX]*(Data_Nhập[Year]=FL$1)*(Data_Nhập[Month]=FL$2)*(Data_Nhập[Main SKU name_GOM]=$A7)*(Data_Nhập[SKU name_NHẬP_GOM]=FL$3)))</f>
        <v>806300</v>
      </c>
      <c r="FM7" s="24" cm="1">
        <f t="array" ref="FM7">IF(FM$2="FY",SUMPRODUCT(Data_Nhập[Tổng Nhập-NX]*(Data_Nhập[Year]=FM$1)*(Data_Nhập[Main SKU name_GOM]=$A7)*(Data_Nhập[SKU name_NHẬP_GOM]=FM$3)),SUMPRODUCT(Data_Nhập[Tổng Nhập-NX]*(Data_Nhập[Year]=FM$1)*(Data_Nhập[Month]=FM$2)*(Data_Nhập[Main SKU name_GOM]=$A7)*(Data_Nhập[SKU name_NHẬP_GOM]=FM$3)))</f>
        <v>35200.000000000007</v>
      </c>
      <c r="FN7" s="24" cm="1">
        <f t="array" ref="FN7">IF(FN$2="FY",SUMPRODUCT(Data_Nhập[Tổng Nhập-NX]*(Data_Nhập[Year]=FN$1)*(Data_Nhập[Main SKU name_GOM]=$A7)*(Data_Nhập[SKU name_NHẬP_GOM]=FN$3)),SUMPRODUCT(Data_Nhập[Tổng Nhập-NX]*(Data_Nhập[Year]=FN$1)*(Data_Nhập[Month]=FN$2)*(Data_Nhập[Main SKU name_GOM]=$A7)*(Data_Nhập[SKU name_NHẬP_GOM]=FN$3)))</f>
        <v>0</v>
      </c>
      <c r="FO7" s="24" cm="1">
        <f t="array" ref="FO7">IF(FO$2="FY",SUMPRODUCT(Data_Nhập[Tổng Nhập-NX]*(Data_Nhập[Year]=FO$1)*(Data_Nhập[Main SKU name_GOM]=$A7)*(Data_Nhập[SKU name_NHẬP_GOM]=FO$3)),SUMPRODUCT(Data_Nhập[Tổng Nhập-NX]*(Data_Nhập[Year]=FO$1)*(Data_Nhập[Month]=FO$2)*(Data_Nhập[Main SKU name_GOM]=$A7)*(Data_Nhập[SKU name_NHẬP_GOM]=FO$3)))</f>
        <v>1100</v>
      </c>
      <c r="FP7" s="24" cm="1">
        <f t="array" ref="FP7">IF(FP$2="FY",SUMPRODUCT(Data_Nhập[Tổng Nhập-NX]*(Data_Nhập[Year]=FP$1)*(Data_Nhập[Main SKU name_GOM]=$A7)*(Data_Nhập[SKU name_NHẬP_GOM]=FP$3)),SUMPRODUCT(Data_Nhập[Tổng Nhập-NX]*(Data_Nhập[Year]=FP$1)*(Data_Nhập[Month]=FP$2)*(Data_Nhập[Main SKU name_GOM]=$A7)*(Data_Nhập[SKU name_NHẬP_GOM]=FP$3)))</f>
        <v>0</v>
      </c>
      <c r="FQ7" s="24" cm="1">
        <f t="array" ref="FQ7">IF(FQ$2="FY",SUMPRODUCT(Data_Nhập[Tổng Nhập-NX]*(Data_Nhập[Year]=FQ$1)*(Data_Nhập[Main SKU name_GOM]=$A7)*(Data_Nhập[SKU name_NHẬP_GOM]=FQ$3)),SUMPRODUCT(Data_Nhập[Tổng Nhập-NX]*(Data_Nhập[Year]=FQ$1)*(Data_Nhập[Month]=FQ$2)*(Data_Nhập[Main SKU name_GOM]=$A7)*(Data_Nhập[SKU name_NHẬP_GOM]=FQ$3)))</f>
        <v>0</v>
      </c>
      <c r="FR7" s="24" cm="1">
        <f t="array" ref="FR7">IF(FR$2="FY",SUMPRODUCT(Data_Nhập[Tổng Nhập-NX]*(Data_Nhập[Year]=FR$1)*(Data_Nhập[Main SKU name_GOM]=$A7)*(Data_Nhập[SKU name_NHẬP_GOM]=FR$3)),SUMPRODUCT(Data_Nhập[Tổng Nhập-NX]*(Data_Nhập[Year]=FR$1)*(Data_Nhập[Month]=FR$2)*(Data_Nhập[Main SKU name_GOM]=$A7)*(Data_Nhập[SKU name_NHẬP_GOM]=FR$3)))</f>
        <v>0</v>
      </c>
      <c r="FS7" s="24" cm="1">
        <f t="array" ref="FS7">IF(FS$2="FY",SUMPRODUCT(Data_Nhập[Tổng Nhập-NX]*(Data_Nhập[Year]=FS$1)*(Data_Nhập[Main SKU name_GOM]=$A7)*(Data_Nhập[SKU name_NHẬP_GOM]=FS$3)),SUMPRODUCT(Data_Nhập[Tổng Nhập-NX]*(Data_Nhập[Year]=FS$1)*(Data_Nhập[Month]=FS$2)*(Data_Nhập[Main SKU name_GOM]=$A7)*(Data_Nhập[SKU name_NHẬP_GOM]=FS$3)))</f>
        <v>0</v>
      </c>
      <c r="FT7" s="24" cm="1">
        <f t="array" ref="FT7">IF(FT$2="FY",SUMPRODUCT(Data_Nhập[Tổng Nhập-NX]*(Data_Nhập[Year]=FT$1)*(Data_Nhập[Main SKU name_GOM]=$A7)*(Data_Nhập[SKU name_NHẬP_GOM]=FT$3)),SUMPRODUCT(Data_Nhập[Tổng Nhập-NX]*(Data_Nhập[Year]=FT$1)*(Data_Nhập[Month]=FT$2)*(Data_Nhập[Main SKU name_GOM]=$A7)*(Data_Nhập[SKU name_NHẬP_GOM]=FT$3)))</f>
        <v>8800</v>
      </c>
      <c r="FU7" s="24" cm="1">
        <f t="array" ref="FU7">IF(FU$2="FY",SUMPRODUCT(Data_Nhập[Tổng Nhập-NX]*(Data_Nhập[Year]=FU$1)*(Data_Nhập[Main SKU name_GOM]=$A7)*(Data_Nhập[SKU name_NHẬP_GOM]=FU$3)),SUMPRODUCT(Data_Nhập[Tổng Nhập-NX]*(Data_Nhập[Year]=FU$1)*(Data_Nhập[Month]=FU$2)*(Data_Nhập[Main SKU name_GOM]=$A7)*(Data_Nhập[SKU name_NHẬP_GOM]=FU$3)))</f>
        <v>0</v>
      </c>
      <c r="FV7" s="24" cm="1">
        <f t="array" ref="FV7">IF(FV$2="FY",SUMPRODUCT(Data_Nhập[Tổng Nhập-NX]*(Data_Nhập[Year]=FV$1)*(Data_Nhập[Main SKU name_GOM]=$A7)*(Data_Nhập[SKU name_NHẬP_GOM]=FV$3)),SUMPRODUCT(Data_Nhập[Tổng Nhập-NX]*(Data_Nhập[Year]=FV$1)*(Data_Nhập[Month]=FV$2)*(Data_Nhập[Main SKU name_GOM]=$A7)*(Data_Nhập[SKU name_NHẬP_GOM]=FV$3)))</f>
        <v>0</v>
      </c>
      <c r="FW7" s="24" cm="1">
        <f t="array" ref="FW7">IF(FW$2="FY",SUMPRODUCT(Data_Nhập[Tổng Nhập-NX]*(Data_Nhập[Year]=FW$1)*(Data_Nhập[Main SKU name_GOM]=$A7)*(Data_Nhập[SKU name_NHẬP_GOM]=FW$3)),SUMPRODUCT(Data_Nhập[Tổng Nhập-NX]*(Data_Nhập[Year]=FW$1)*(Data_Nhập[Month]=FW$2)*(Data_Nhập[Main SKU name_GOM]=$A7)*(Data_Nhập[SKU name_NHẬP_GOM]=FW$3)))</f>
        <v>0</v>
      </c>
      <c r="FX7" s="24" cm="1">
        <f t="array" ref="FX7">IF(FX$2="FY",SUMPRODUCT(Data_Nhập[Tổng Nhập-NX]*(Data_Nhập[Year]=FX$1)*(Data_Nhập[Main SKU name_GOM]=$A7)*(Data_Nhập[SKU name_NHẬP_GOM]=FX$3)),SUMPRODUCT(Data_Nhập[Tổng Nhập-NX]*(Data_Nhập[Year]=FX$1)*(Data_Nhập[Month]=FX$2)*(Data_Nhập[Main SKU name_GOM]=$A7)*(Data_Nhập[SKU name_NHẬP_GOM]=FX$3)))</f>
        <v>33240</v>
      </c>
      <c r="FY7" s="24" cm="1">
        <f t="array" ref="FY7">IF(FY$2="FY",SUMPRODUCT(Data_Nhập[Tổng Nhập-NX]*(Data_Nhập[Year]=FY$1)*(Data_Nhập[Main SKU name_GOM]=$A7)*(Data_Nhập[SKU name_NHẬP_GOM]=FY$3)),SUMPRODUCT(Data_Nhập[Tổng Nhập-NX]*(Data_Nhập[Year]=FY$1)*(Data_Nhập[Month]=FY$2)*(Data_Nhập[Main SKU name_GOM]=$A7)*(Data_Nhập[SKU name_NHẬP_GOM]=FY$3)))</f>
        <v>0</v>
      </c>
      <c r="FZ7" s="25">
        <f t="shared" ref="FZ7:FZ12" si="21">SUM(FK7:FY7)</f>
        <v>884640</v>
      </c>
      <c r="GB7" s="25" cm="1">
        <f t="array" ref="GB7">IF(GB$2="FY",SUMPRODUCT(Data_Xuất[Xuất-NX]*(Data_Xuất[Year]=GB$1)*(Data_Xuất[Main SKU name_GOM]=$A7)),SUMPRODUCT(Data_Xuất[Xuất-NX]*(Data_Xuất[Year]=GB$1)*(Data_Xuất[Main SKU name_GOM]=$A7)*(Data_Xuất[Month]=GB$2)))</f>
        <v>137547</v>
      </c>
      <c r="GC7" s="24" cm="1">
        <f t="array" ref="GC7">IF(GC$2="FY",SUMPRODUCT(Data_Nhập[Tổng Nhập-NX]*(Data_Nhập[Year]=GC$1)*(Data_Nhập[Main SKU name_GOM]=$A7)*(Data_Nhập[SKU name_NHẬP_GOM]=GC$3)),SUMPRODUCT(Data_Nhập[Tổng Nhập-NX]*(Data_Nhập[Year]=GC$1)*(Data_Nhập[Month]=GC$2)*(Data_Nhập[Main SKU name_GOM]=$A7)*(Data_Nhập[SKU name_NHẬP_GOM]=GC$3)))</f>
        <v>0</v>
      </c>
      <c r="GD7" s="24" cm="1">
        <f t="array" ref="GD7">IF(GD$2="FY",SUMPRODUCT(Data_Nhập[Tổng Nhập-NX]*(Data_Nhập[Year]=GD$1)*(Data_Nhập[Main SKU name_GOM]=$A7)*(Data_Nhập[SKU name_NHẬP_GOM]=GD$3)),SUMPRODUCT(Data_Nhập[Tổng Nhập-NX]*(Data_Nhập[Year]=GD$1)*(Data_Nhập[Month]=GD$2)*(Data_Nhập[Main SKU name_GOM]=$A7)*(Data_Nhập[SKU name_NHẬP_GOM]=GD$3)))</f>
        <v>112200</v>
      </c>
      <c r="GE7" s="24" cm="1">
        <f t="array" ref="GE7">IF(GE$2="FY",SUMPRODUCT(Data_Nhập[Tổng Nhập-NX]*(Data_Nhập[Year]=GE$1)*(Data_Nhập[Main SKU name_GOM]=$A7)*(Data_Nhập[SKU name_NHẬP_GOM]=GE$3)),SUMPRODUCT(Data_Nhập[Tổng Nhập-NX]*(Data_Nhập[Year]=GE$1)*(Data_Nhập[Month]=GE$2)*(Data_Nhập[Main SKU name_GOM]=$A7)*(Data_Nhập[SKU name_NHẬP_GOM]=GE$3)))</f>
        <v>0</v>
      </c>
      <c r="GF7" s="24" cm="1">
        <f t="array" ref="GF7">IF(GF$2="FY",SUMPRODUCT(Data_Nhập[Tổng Nhập-NX]*(Data_Nhập[Year]=GF$1)*(Data_Nhập[Main SKU name_GOM]=$A7)*(Data_Nhập[SKU name_NHẬP_GOM]=GF$3)),SUMPRODUCT(Data_Nhập[Tổng Nhập-NX]*(Data_Nhập[Year]=GF$1)*(Data_Nhập[Month]=GF$2)*(Data_Nhập[Main SKU name_GOM]=$A7)*(Data_Nhập[SKU name_NHẬP_GOM]=GF$3)))</f>
        <v>0</v>
      </c>
      <c r="GG7" s="24" cm="1">
        <f t="array" ref="GG7">IF(GG$2="FY",SUMPRODUCT(Data_Nhập[Tổng Nhập-NX]*(Data_Nhập[Year]=GG$1)*(Data_Nhập[Main SKU name_GOM]=$A7)*(Data_Nhập[SKU name_NHẬP_GOM]=GG$3)),SUMPRODUCT(Data_Nhập[Tổng Nhập-NX]*(Data_Nhập[Year]=GG$1)*(Data_Nhập[Month]=GG$2)*(Data_Nhập[Main SKU name_GOM]=$A7)*(Data_Nhập[SKU name_NHẬP_GOM]=GG$3)))</f>
        <v>0</v>
      </c>
      <c r="GH7" s="24" cm="1">
        <f t="array" ref="GH7">IF(GH$2="FY",SUMPRODUCT(Data_Nhập[Tổng Nhập-NX]*(Data_Nhập[Year]=GH$1)*(Data_Nhập[Main SKU name_GOM]=$A7)*(Data_Nhập[SKU name_NHẬP_GOM]=GH$3)),SUMPRODUCT(Data_Nhập[Tổng Nhập-NX]*(Data_Nhập[Year]=GH$1)*(Data_Nhập[Month]=GH$2)*(Data_Nhập[Main SKU name_GOM]=$A7)*(Data_Nhập[SKU name_NHẬP_GOM]=GH$3)))</f>
        <v>0</v>
      </c>
      <c r="GI7" s="24" cm="1">
        <f t="array" ref="GI7">IF(GI$2="FY",SUMPRODUCT(Data_Nhập[Tổng Nhập-NX]*(Data_Nhập[Year]=GI$1)*(Data_Nhập[Main SKU name_GOM]=$A7)*(Data_Nhập[SKU name_NHẬP_GOM]=GI$3)),SUMPRODUCT(Data_Nhập[Tổng Nhập-NX]*(Data_Nhập[Year]=GI$1)*(Data_Nhập[Month]=GI$2)*(Data_Nhập[Main SKU name_GOM]=$A7)*(Data_Nhập[SKU name_NHẬP_GOM]=GI$3)))</f>
        <v>0</v>
      </c>
      <c r="GJ7" s="24" cm="1">
        <f t="array" ref="GJ7">IF(GJ$2="FY",SUMPRODUCT(Data_Nhập[Tổng Nhập-NX]*(Data_Nhập[Year]=GJ$1)*(Data_Nhập[Main SKU name_GOM]=$A7)*(Data_Nhập[SKU name_NHẬP_GOM]=GJ$3)),SUMPRODUCT(Data_Nhập[Tổng Nhập-NX]*(Data_Nhập[Year]=GJ$1)*(Data_Nhập[Month]=GJ$2)*(Data_Nhập[Main SKU name_GOM]=$A7)*(Data_Nhập[SKU name_NHẬP_GOM]=GJ$3)))</f>
        <v>0</v>
      </c>
      <c r="GK7" s="24" cm="1">
        <f t="array" ref="GK7">IF(GK$2="FY",SUMPRODUCT(Data_Nhập[Tổng Nhập-NX]*(Data_Nhập[Year]=GK$1)*(Data_Nhập[Main SKU name_GOM]=$A7)*(Data_Nhập[SKU name_NHẬP_GOM]=GK$3)),SUMPRODUCT(Data_Nhập[Tổng Nhập-NX]*(Data_Nhập[Year]=GK$1)*(Data_Nhập[Month]=GK$2)*(Data_Nhập[Main SKU name_GOM]=$A7)*(Data_Nhập[SKU name_NHẬP_GOM]=GK$3)))</f>
        <v>0</v>
      </c>
      <c r="GL7" s="24" cm="1">
        <f t="array" ref="GL7">IF(GL$2="FY",SUMPRODUCT(Data_Nhập[Tổng Nhập-NX]*(Data_Nhập[Year]=GL$1)*(Data_Nhập[Main SKU name_GOM]=$A7)*(Data_Nhập[SKU name_NHẬP_GOM]=GL$3)),SUMPRODUCT(Data_Nhập[Tổng Nhập-NX]*(Data_Nhập[Year]=GL$1)*(Data_Nhập[Month]=GL$2)*(Data_Nhập[Main SKU name_GOM]=$A7)*(Data_Nhập[SKU name_NHẬP_GOM]=GL$3)))</f>
        <v>12100</v>
      </c>
      <c r="GM7" s="24" cm="1">
        <f t="array" ref="GM7">IF(GM$2="FY",SUMPRODUCT(Data_Nhập[Tổng Nhập-NX]*(Data_Nhập[Year]=GM$1)*(Data_Nhập[Main SKU name_GOM]=$A7)*(Data_Nhập[SKU name_NHẬP_GOM]=GM$3)),SUMPRODUCT(Data_Nhập[Tổng Nhập-NX]*(Data_Nhập[Year]=GM$1)*(Data_Nhập[Month]=GM$2)*(Data_Nhập[Main SKU name_GOM]=$A7)*(Data_Nhập[SKU name_NHẬP_GOM]=GM$3)))</f>
        <v>0</v>
      </c>
      <c r="GN7" s="24" cm="1">
        <f t="array" ref="GN7">IF(GN$2="FY",SUMPRODUCT(Data_Nhập[Tổng Nhập-NX]*(Data_Nhập[Year]=GN$1)*(Data_Nhập[Main SKU name_GOM]=$A7)*(Data_Nhập[SKU name_NHẬP_GOM]=GN$3)),SUMPRODUCT(Data_Nhập[Tổng Nhập-NX]*(Data_Nhập[Year]=GN$1)*(Data_Nhập[Month]=GN$2)*(Data_Nhập[Main SKU name_GOM]=$A7)*(Data_Nhập[SKU name_NHẬP_GOM]=GN$3)))</f>
        <v>0</v>
      </c>
      <c r="GO7" s="24" cm="1">
        <f t="array" ref="GO7">IF(GO$2="FY",SUMPRODUCT(Data_Nhập[Tổng Nhập-NX]*(Data_Nhập[Year]=GO$1)*(Data_Nhập[Main SKU name_GOM]=$A7)*(Data_Nhập[SKU name_NHẬP_GOM]=GO$3)),SUMPRODUCT(Data_Nhập[Tổng Nhập-NX]*(Data_Nhập[Year]=GO$1)*(Data_Nhập[Month]=GO$2)*(Data_Nhập[Main SKU name_GOM]=$A7)*(Data_Nhập[SKU name_NHẬP_GOM]=GO$3)))</f>
        <v>0</v>
      </c>
      <c r="GP7" s="24" cm="1">
        <f t="array" ref="GP7">IF(GP$2="FY",SUMPRODUCT(Data_Nhập[Tổng Nhập-NX]*(Data_Nhập[Year]=GP$1)*(Data_Nhập[Main SKU name_GOM]=$A7)*(Data_Nhập[SKU name_NHẬP_GOM]=GP$3)),SUMPRODUCT(Data_Nhập[Tổng Nhập-NX]*(Data_Nhập[Year]=GP$1)*(Data_Nhập[Month]=GP$2)*(Data_Nhập[Main SKU name_GOM]=$A7)*(Data_Nhập[SKU name_NHẬP_GOM]=GP$3)))</f>
        <v>11420</v>
      </c>
      <c r="GQ7" s="24" cm="1">
        <f t="array" ref="GQ7">IF(GQ$2="FY",SUMPRODUCT(Data_Nhập[Tổng Nhập-NX]*(Data_Nhập[Year]=GQ$1)*(Data_Nhập[Main SKU name_GOM]=$A7)*(Data_Nhập[SKU name_NHẬP_GOM]=GQ$3)),SUMPRODUCT(Data_Nhập[Tổng Nhập-NX]*(Data_Nhập[Year]=GQ$1)*(Data_Nhập[Month]=GQ$2)*(Data_Nhập[Main SKU name_GOM]=$A7)*(Data_Nhập[SKU name_NHẬP_GOM]=GQ$3)))</f>
        <v>0</v>
      </c>
      <c r="GR7" s="25">
        <f t="shared" ref="GR7:GR12" si="22">SUM(GC7:GQ7)</f>
        <v>135720</v>
      </c>
      <c r="GT7" s="25" cm="1">
        <f t="array" ref="GT7">IF(GT$2="FY",SUMPRODUCT(Data_Xuất[Xuất-NX]*(Data_Xuất[Year]=GT$1)*(Data_Xuất[Main SKU name_GOM]=$A7)),SUMPRODUCT(Data_Xuất[Xuất-NX]*(Data_Xuất[Year]=GT$1)*(Data_Xuất[Main SKU name_GOM]=$A7)*(Data_Xuất[Month]=GT$2)))</f>
        <v>30130.000000000004</v>
      </c>
      <c r="GU7" s="24" cm="1">
        <f t="array" ref="GU7">IF(GU$2="FY",SUMPRODUCT(Data_Nhập[Tổng Nhập-NX]*(Data_Nhập[Year]=GU$1)*(Data_Nhập[Main SKU name_GOM]=$A7)*(Data_Nhập[SKU name_NHẬP_GOM]=GU$3)),SUMPRODUCT(Data_Nhập[Tổng Nhập-NX]*(Data_Nhập[Year]=GU$1)*(Data_Nhập[Month]=GU$2)*(Data_Nhập[Main SKU name_GOM]=$A7)*(Data_Nhập[SKU name_NHẬP_GOM]=GU$3)))</f>
        <v>0</v>
      </c>
      <c r="GV7" s="24" cm="1">
        <f t="array" ref="GV7">IF(GV$2="FY",SUMPRODUCT(Data_Nhập[Tổng Nhập-NX]*(Data_Nhập[Year]=GV$1)*(Data_Nhập[Main SKU name_GOM]=$A7)*(Data_Nhập[SKU name_NHẬP_GOM]=GV$3)),SUMPRODUCT(Data_Nhập[Tổng Nhập-NX]*(Data_Nhập[Year]=GV$1)*(Data_Nhập[Month]=GV$2)*(Data_Nhập[Main SKU name_GOM]=$A7)*(Data_Nhập[SKU name_NHẬP_GOM]=GV$3)))</f>
        <v>23100</v>
      </c>
      <c r="GW7" s="24" cm="1">
        <f t="array" ref="GW7">IF(GW$2="FY",SUMPRODUCT(Data_Nhập[Tổng Nhập-NX]*(Data_Nhập[Year]=GW$1)*(Data_Nhập[Main SKU name_GOM]=$A7)*(Data_Nhập[SKU name_NHẬP_GOM]=GW$3)),SUMPRODUCT(Data_Nhập[Tổng Nhập-NX]*(Data_Nhập[Year]=GW$1)*(Data_Nhập[Month]=GW$2)*(Data_Nhập[Main SKU name_GOM]=$A7)*(Data_Nhập[SKU name_NHẬP_GOM]=GW$3)))</f>
        <v>2200</v>
      </c>
      <c r="GX7" s="24" cm="1">
        <f t="array" ref="GX7">IF(GX$2="FY",SUMPRODUCT(Data_Nhập[Tổng Nhập-NX]*(Data_Nhập[Year]=GX$1)*(Data_Nhập[Main SKU name_GOM]=$A7)*(Data_Nhập[SKU name_NHẬP_GOM]=GX$3)),SUMPRODUCT(Data_Nhập[Tổng Nhập-NX]*(Data_Nhập[Year]=GX$1)*(Data_Nhập[Month]=GX$2)*(Data_Nhập[Main SKU name_GOM]=$A7)*(Data_Nhập[SKU name_NHẬP_GOM]=GX$3)))</f>
        <v>0</v>
      </c>
      <c r="GY7" s="24" cm="1">
        <f t="array" ref="GY7">IF(GY$2="FY",SUMPRODUCT(Data_Nhập[Tổng Nhập-NX]*(Data_Nhập[Year]=GY$1)*(Data_Nhập[Main SKU name_GOM]=$A7)*(Data_Nhập[SKU name_NHẬP_GOM]=GY$3)),SUMPRODUCT(Data_Nhập[Tổng Nhập-NX]*(Data_Nhập[Year]=GY$1)*(Data_Nhập[Month]=GY$2)*(Data_Nhập[Main SKU name_GOM]=$A7)*(Data_Nhập[SKU name_NHẬP_GOM]=GY$3)))</f>
        <v>1100</v>
      </c>
      <c r="GZ7" s="24" cm="1">
        <f t="array" ref="GZ7">IF(GZ$2="FY",SUMPRODUCT(Data_Nhập[Tổng Nhập-NX]*(Data_Nhập[Year]=GZ$1)*(Data_Nhập[Main SKU name_GOM]=$A7)*(Data_Nhập[SKU name_NHẬP_GOM]=GZ$3)),SUMPRODUCT(Data_Nhập[Tổng Nhập-NX]*(Data_Nhập[Year]=GZ$1)*(Data_Nhập[Month]=GZ$2)*(Data_Nhập[Main SKU name_GOM]=$A7)*(Data_Nhập[SKU name_NHẬP_GOM]=GZ$3)))</f>
        <v>0</v>
      </c>
      <c r="HA7" s="24" cm="1">
        <f t="array" ref="HA7">IF(HA$2="FY",SUMPRODUCT(Data_Nhập[Tổng Nhập-NX]*(Data_Nhập[Year]=HA$1)*(Data_Nhập[Main SKU name_GOM]=$A7)*(Data_Nhập[SKU name_NHẬP_GOM]=HA$3)),SUMPRODUCT(Data_Nhập[Tổng Nhập-NX]*(Data_Nhập[Year]=HA$1)*(Data_Nhập[Month]=HA$2)*(Data_Nhập[Main SKU name_GOM]=$A7)*(Data_Nhập[SKU name_NHẬP_GOM]=HA$3)))</f>
        <v>0</v>
      </c>
      <c r="HB7" s="24" cm="1">
        <f t="array" ref="HB7">IF(HB$2="FY",SUMPRODUCT(Data_Nhập[Tổng Nhập-NX]*(Data_Nhập[Year]=HB$1)*(Data_Nhập[Main SKU name_GOM]=$A7)*(Data_Nhập[SKU name_NHẬP_GOM]=HB$3)),SUMPRODUCT(Data_Nhập[Tổng Nhập-NX]*(Data_Nhập[Year]=HB$1)*(Data_Nhập[Month]=HB$2)*(Data_Nhập[Main SKU name_GOM]=$A7)*(Data_Nhập[SKU name_NHẬP_GOM]=HB$3)))</f>
        <v>0</v>
      </c>
      <c r="HC7" s="24" cm="1">
        <f t="array" ref="HC7">IF(HC$2="FY",SUMPRODUCT(Data_Nhập[Tổng Nhập-NX]*(Data_Nhập[Year]=HC$1)*(Data_Nhập[Main SKU name_GOM]=$A7)*(Data_Nhập[SKU name_NHẬP_GOM]=HC$3)),SUMPRODUCT(Data_Nhập[Tổng Nhập-NX]*(Data_Nhập[Year]=HC$1)*(Data_Nhập[Month]=HC$2)*(Data_Nhập[Main SKU name_GOM]=$A7)*(Data_Nhập[SKU name_NHẬP_GOM]=HC$3)))</f>
        <v>0</v>
      </c>
      <c r="HD7" s="24" cm="1">
        <f t="array" ref="HD7">IF(HD$2="FY",SUMPRODUCT(Data_Nhập[Tổng Nhập-NX]*(Data_Nhập[Year]=HD$1)*(Data_Nhập[Main SKU name_GOM]=$A7)*(Data_Nhập[SKU name_NHẬP_GOM]=HD$3)),SUMPRODUCT(Data_Nhập[Tổng Nhập-NX]*(Data_Nhập[Year]=HD$1)*(Data_Nhập[Month]=HD$2)*(Data_Nhập[Main SKU name_GOM]=$A7)*(Data_Nhập[SKU name_NHẬP_GOM]=HD$3)))</f>
        <v>0</v>
      </c>
      <c r="HE7" s="24" cm="1">
        <f t="array" ref="HE7">IF(HE$2="FY",SUMPRODUCT(Data_Nhập[Tổng Nhập-NX]*(Data_Nhập[Year]=HE$1)*(Data_Nhập[Main SKU name_GOM]=$A7)*(Data_Nhập[SKU name_NHẬP_GOM]=HE$3)),SUMPRODUCT(Data_Nhập[Tổng Nhập-NX]*(Data_Nhập[Year]=HE$1)*(Data_Nhập[Month]=HE$2)*(Data_Nhập[Main SKU name_GOM]=$A7)*(Data_Nhập[SKU name_NHẬP_GOM]=HE$3)))</f>
        <v>0</v>
      </c>
      <c r="HF7" s="24" cm="1">
        <f t="array" ref="HF7">IF(HF$2="FY",SUMPRODUCT(Data_Nhập[Tổng Nhập-NX]*(Data_Nhập[Year]=HF$1)*(Data_Nhập[Main SKU name_GOM]=$A7)*(Data_Nhập[SKU name_NHẬP_GOM]=HF$3)),SUMPRODUCT(Data_Nhập[Tổng Nhập-NX]*(Data_Nhập[Year]=HF$1)*(Data_Nhập[Month]=HF$2)*(Data_Nhập[Main SKU name_GOM]=$A7)*(Data_Nhập[SKU name_NHẬP_GOM]=HF$3)))</f>
        <v>0</v>
      </c>
      <c r="HG7" s="24" cm="1">
        <f t="array" ref="HG7">IF(HG$2="FY",SUMPRODUCT(Data_Nhập[Tổng Nhập-NX]*(Data_Nhập[Year]=HG$1)*(Data_Nhập[Main SKU name_GOM]=$A7)*(Data_Nhập[SKU name_NHẬP_GOM]=HG$3)),SUMPRODUCT(Data_Nhập[Tổng Nhập-NX]*(Data_Nhập[Year]=HG$1)*(Data_Nhập[Month]=HG$2)*(Data_Nhập[Main SKU name_GOM]=$A7)*(Data_Nhập[SKU name_NHẬP_GOM]=HG$3)))</f>
        <v>0</v>
      </c>
      <c r="HH7" s="24" cm="1">
        <f t="array" ref="HH7">IF(HH$2="FY",SUMPRODUCT(Data_Nhập[Tổng Nhập-NX]*(Data_Nhập[Year]=HH$1)*(Data_Nhập[Main SKU name_GOM]=$A7)*(Data_Nhập[SKU name_NHẬP_GOM]=HH$3)),SUMPRODUCT(Data_Nhập[Tổng Nhập-NX]*(Data_Nhập[Year]=HH$1)*(Data_Nhập[Month]=HH$2)*(Data_Nhập[Main SKU name_GOM]=$A7)*(Data_Nhập[SKU name_NHẬP_GOM]=HH$3)))</f>
        <v>3290</v>
      </c>
      <c r="HI7" s="24" cm="1">
        <f t="array" ref="HI7">IF(HI$2="FY",SUMPRODUCT(Data_Nhập[Tổng Nhập-NX]*(Data_Nhập[Year]=HI$1)*(Data_Nhập[Main SKU name_GOM]=$A7)*(Data_Nhập[SKU name_NHẬP_GOM]=HI$3)),SUMPRODUCT(Data_Nhập[Tổng Nhập-NX]*(Data_Nhập[Year]=HI$1)*(Data_Nhập[Month]=HI$2)*(Data_Nhập[Main SKU name_GOM]=$A7)*(Data_Nhập[SKU name_NHẬP_GOM]=HI$3)))</f>
        <v>0</v>
      </c>
      <c r="HJ7" s="25">
        <f t="shared" ref="HJ7:HJ12" si="23">SUM(GU7:HI7)</f>
        <v>29690</v>
      </c>
      <c r="HL7" s="25" cm="1">
        <f t="array" ref="HL7">IF(HL$2="FY",SUMPRODUCT(Data_Xuất[Xuất-NX]*(Data_Xuất[Year]=HL$1)*(Data_Xuất[Main SKU name_GOM]=$A7)),SUMPRODUCT(Data_Xuất[Xuất-NX]*(Data_Xuất[Year]=HL$1)*(Data_Xuất[Main SKU name_GOM]=$A7)*(Data_Xuất[Month]=HL$2)))</f>
        <v>32000</v>
      </c>
      <c r="HM7" s="24" cm="1">
        <f t="array" ref="HM7">IF(HM$2="FY",SUMPRODUCT(Data_Nhập[Tổng Nhập-NX]*(Data_Nhập[Year]=HM$1)*(Data_Nhập[Main SKU name_GOM]=$A7)*(Data_Nhập[SKU name_NHẬP_GOM]=HM$3)),SUMPRODUCT(Data_Nhập[Tổng Nhập-NX]*(Data_Nhập[Year]=HM$1)*(Data_Nhập[Month]=HM$2)*(Data_Nhập[Main SKU name_GOM]=$A7)*(Data_Nhập[SKU name_NHẬP_GOM]=HM$3)))</f>
        <v>0</v>
      </c>
      <c r="HN7" s="24" cm="1">
        <f t="array" ref="HN7">IF(HN$2="FY",SUMPRODUCT(Data_Nhập[Tổng Nhập-NX]*(Data_Nhập[Year]=HN$1)*(Data_Nhập[Main SKU name_GOM]=$A7)*(Data_Nhập[SKU name_NHẬP_GOM]=HN$3)),SUMPRODUCT(Data_Nhập[Tổng Nhập-NX]*(Data_Nhập[Year]=HN$1)*(Data_Nhập[Month]=HN$2)*(Data_Nhập[Main SKU name_GOM]=$A7)*(Data_Nhập[SKU name_NHẬP_GOM]=HN$3)))</f>
        <v>26400</v>
      </c>
      <c r="HO7" s="24" cm="1">
        <f t="array" ref="HO7">IF(HO$2="FY",SUMPRODUCT(Data_Nhập[Tổng Nhập-NX]*(Data_Nhập[Year]=HO$1)*(Data_Nhập[Main SKU name_GOM]=$A7)*(Data_Nhập[SKU name_NHẬP_GOM]=HO$3)),SUMPRODUCT(Data_Nhập[Tổng Nhập-NX]*(Data_Nhập[Year]=HO$1)*(Data_Nhập[Month]=HO$2)*(Data_Nhập[Main SKU name_GOM]=$A7)*(Data_Nhập[SKU name_NHẬP_GOM]=HO$3)))</f>
        <v>3300</v>
      </c>
      <c r="HP7" s="24" cm="1">
        <f t="array" ref="HP7">IF(HP$2="FY",SUMPRODUCT(Data_Nhập[Tổng Nhập-NX]*(Data_Nhập[Year]=HP$1)*(Data_Nhập[Main SKU name_GOM]=$A7)*(Data_Nhập[SKU name_NHẬP_GOM]=HP$3)),SUMPRODUCT(Data_Nhập[Tổng Nhập-NX]*(Data_Nhập[Year]=HP$1)*(Data_Nhập[Month]=HP$2)*(Data_Nhập[Main SKU name_GOM]=$A7)*(Data_Nhập[SKU name_NHẬP_GOM]=HP$3)))</f>
        <v>0</v>
      </c>
      <c r="HQ7" s="24" cm="1">
        <f t="array" ref="HQ7">IF(HQ$2="FY",SUMPRODUCT(Data_Nhập[Tổng Nhập-NX]*(Data_Nhập[Year]=HQ$1)*(Data_Nhập[Main SKU name_GOM]=$A7)*(Data_Nhập[SKU name_NHẬP_GOM]=HQ$3)),SUMPRODUCT(Data_Nhập[Tổng Nhập-NX]*(Data_Nhập[Year]=HQ$1)*(Data_Nhập[Month]=HQ$2)*(Data_Nhập[Main SKU name_GOM]=$A7)*(Data_Nhập[SKU name_NHẬP_GOM]=HQ$3)))</f>
        <v>0</v>
      </c>
      <c r="HR7" s="24" cm="1">
        <f t="array" ref="HR7">IF(HR$2="FY",SUMPRODUCT(Data_Nhập[Tổng Nhập-NX]*(Data_Nhập[Year]=HR$1)*(Data_Nhập[Main SKU name_GOM]=$A7)*(Data_Nhập[SKU name_NHẬP_GOM]=HR$3)),SUMPRODUCT(Data_Nhập[Tổng Nhập-NX]*(Data_Nhập[Year]=HR$1)*(Data_Nhập[Month]=HR$2)*(Data_Nhập[Main SKU name_GOM]=$A7)*(Data_Nhập[SKU name_NHẬP_GOM]=HR$3)))</f>
        <v>0</v>
      </c>
      <c r="HS7" s="24" cm="1">
        <f t="array" ref="HS7">IF(HS$2="FY",SUMPRODUCT(Data_Nhập[Tổng Nhập-NX]*(Data_Nhập[Year]=HS$1)*(Data_Nhập[Main SKU name_GOM]=$A7)*(Data_Nhập[SKU name_NHẬP_GOM]=HS$3)),SUMPRODUCT(Data_Nhập[Tổng Nhập-NX]*(Data_Nhập[Year]=HS$1)*(Data_Nhập[Month]=HS$2)*(Data_Nhập[Main SKU name_GOM]=$A7)*(Data_Nhập[SKU name_NHẬP_GOM]=HS$3)))</f>
        <v>0</v>
      </c>
      <c r="HT7" s="24" cm="1">
        <f t="array" ref="HT7">IF(HT$2="FY",SUMPRODUCT(Data_Nhập[Tổng Nhập-NX]*(Data_Nhập[Year]=HT$1)*(Data_Nhập[Main SKU name_GOM]=$A7)*(Data_Nhập[SKU name_NHẬP_GOM]=HT$3)),SUMPRODUCT(Data_Nhập[Tổng Nhập-NX]*(Data_Nhập[Year]=HT$1)*(Data_Nhập[Month]=HT$2)*(Data_Nhập[Main SKU name_GOM]=$A7)*(Data_Nhập[SKU name_NHẬP_GOM]=HT$3)))</f>
        <v>0</v>
      </c>
      <c r="HU7" s="24" cm="1">
        <f t="array" ref="HU7">IF(HU$2="FY",SUMPRODUCT(Data_Nhập[Tổng Nhập-NX]*(Data_Nhập[Year]=HU$1)*(Data_Nhập[Main SKU name_GOM]=$A7)*(Data_Nhập[SKU name_NHẬP_GOM]=HU$3)),SUMPRODUCT(Data_Nhập[Tổng Nhập-NX]*(Data_Nhập[Year]=HU$1)*(Data_Nhập[Month]=HU$2)*(Data_Nhập[Main SKU name_GOM]=$A7)*(Data_Nhập[SKU name_NHẬP_GOM]=HU$3)))</f>
        <v>0</v>
      </c>
      <c r="HV7" s="24" cm="1">
        <f t="array" ref="HV7">IF(HV$2="FY",SUMPRODUCT(Data_Nhập[Tổng Nhập-NX]*(Data_Nhập[Year]=HV$1)*(Data_Nhập[Main SKU name_GOM]=$A7)*(Data_Nhập[SKU name_NHẬP_GOM]=HV$3)),SUMPRODUCT(Data_Nhập[Tổng Nhập-NX]*(Data_Nhập[Year]=HV$1)*(Data_Nhập[Month]=HV$2)*(Data_Nhập[Main SKU name_GOM]=$A7)*(Data_Nhập[SKU name_NHẬP_GOM]=HV$3)))</f>
        <v>0</v>
      </c>
      <c r="HW7" s="24" cm="1">
        <f t="array" ref="HW7">IF(HW$2="FY",SUMPRODUCT(Data_Nhập[Tổng Nhập-NX]*(Data_Nhập[Year]=HW$1)*(Data_Nhập[Main SKU name_GOM]=$A7)*(Data_Nhập[SKU name_NHẬP_GOM]=HW$3)),SUMPRODUCT(Data_Nhập[Tổng Nhập-NX]*(Data_Nhập[Year]=HW$1)*(Data_Nhập[Month]=HW$2)*(Data_Nhập[Main SKU name_GOM]=$A7)*(Data_Nhập[SKU name_NHẬP_GOM]=HW$3)))</f>
        <v>0</v>
      </c>
      <c r="HX7" s="24" cm="1">
        <f t="array" ref="HX7">IF(HX$2="FY",SUMPRODUCT(Data_Nhập[Tổng Nhập-NX]*(Data_Nhập[Year]=HX$1)*(Data_Nhập[Main SKU name_GOM]=$A7)*(Data_Nhập[SKU name_NHẬP_GOM]=HX$3)),SUMPRODUCT(Data_Nhập[Tổng Nhập-NX]*(Data_Nhập[Year]=HX$1)*(Data_Nhập[Month]=HX$2)*(Data_Nhập[Main SKU name_GOM]=$A7)*(Data_Nhập[SKU name_NHẬP_GOM]=HX$3)))</f>
        <v>0</v>
      </c>
      <c r="HY7" s="24" cm="1">
        <f t="array" ref="HY7">IF(HY$2="FY",SUMPRODUCT(Data_Nhập[Tổng Nhập-NX]*(Data_Nhập[Year]=HY$1)*(Data_Nhập[Main SKU name_GOM]=$A7)*(Data_Nhập[SKU name_NHẬP_GOM]=HY$3)),SUMPRODUCT(Data_Nhập[Tổng Nhập-NX]*(Data_Nhập[Year]=HY$1)*(Data_Nhập[Month]=HY$2)*(Data_Nhập[Main SKU name_GOM]=$A7)*(Data_Nhập[SKU name_NHẬP_GOM]=HY$3)))</f>
        <v>0</v>
      </c>
      <c r="HZ7" s="24" cm="1">
        <f t="array" ref="HZ7">IF(HZ$2="FY",SUMPRODUCT(Data_Nhập[Tổng Nhập-NX]*(Data_Nhập[Year]=HZ$1)*(Data_Nhập[Main SKU name_GOM]=$A7)*(Data_Nhập[SKU name_NHẬP_GOM]=HZ$3)),SUMPRODUCT(Data_Nhập[Tổng Nhập-NX]*(Data_Nhập[Year]=HZ$1)*(Data_Nhập[Month]=HZ$2)*(Data_Nhập[Main SKU name_GOM]=$A7)*(Data_Nhập[SKU name_NHẬP_GOM]=HZ$3)))</f>
        <v>1834</v>
      </c>
      <c r="IA7" s="24" cm="1">
        <f t="array" ref="IA7">IF(IA$2="FY",SUMPRODUCT(Data_Nhập[Tổng Nhập-NX]*(Data_Nhập[Year]=IA$1)*(Data_Nhập[Main SKU name_GOM]=$A7)*(Data_Nhập[SKU name_NHẬP_GOM]=IA$3)),SUMPRODUCT(Data_Nhập[Tổng Nhập-NX]*(Data_Nhập[Year]=IA$1)*(Data_Nhập[Month]=IA$2)*(Data_Nhập[Main SKU name_GOM]=$A7)*(Data_Nhập[SKU name_NHẬP_GOM]=IA$3)))</f>
        <v>0</v>
      </c>
      <c r="IB7" s="25">
        <f t="shared" ref="IB7:IB12" si="24">SUM(HM7:IA7)</f>
        <v>31534</v>
      </c>
    </row>
    <row r="8" spans="1:236" x14ac:dyDescent="0.35">
      <c r="A8" s="5" t="s">
        <v>70</v>
      </c>
      <c r="B8" s="22" t="s">
        <v>70</v>
      </c>
      <c r="D8" s="25" cm="1">
        <f t="array" ref="D8">IF(D$2="FY",SUMPRODUCT(Data_Xuất[Xuất-NX]*(Data_Xuất[Year]=D$1)*(Data_Xuất[Main SKU name_GOM]=$A8)),SUMPRODUCT(Data_Xuất[Xuất-NX]*(Data_Xuất[Year]=D$1)*(Data_Xuất[Main SKU name_GOM]=$A8)*Data_Xuất[Month]=D$2))</f>
        <v>21305172.999999996</v>
      </c>
      <c r="E8" s="24" cm="1">
        <f t="array" ref="E8">IF(E$2="FY",SUMPRODUCT(Data_Nhập[Tổng Nhập-NX]*(Data_Nhập[Year]=E$1)*(Data_Nhập[Main SKU name_GOM]=$A8)*(Data_Nhập[SKU name_NHẬP_GOM]=E$3)),SUMPRODUCT(Data_Nhập[Tổng Nhập-NX]*(Data_Nhập[Year]=E$1)*(Data_Nhập[Month]=E$2)*(Data_Nhập[Main SKU name_GOM]=$A8)*(Data_Nhập[SKU name_NHẬP_GOM]=E$3)))</f>
        <v>55000</v>
      </c>
      <c r="F8" s="24" cm="1">
        <f t="array" ref="F8">IF(F$2="FY",SUMPRODUCT(Data_Nhập[Tổng Nhập-NX]*(Data_Nhập[Year]=F$1)*(Data_Nhập[Main SKU name_GOM]=$A8)*(Data_Nhập[SKU name_NHẬP_GOM]=F$3)),SUMPRODUCT(Data_Nhập[Tổng Nhập-NX]*(Data_Nhập[Year]=F$1)*(Data_Nhập[Month]=F$2)*(Data_Nhập[Main SKU name_GOM]=$A8)*(Data_Nhập[SKU name_NHẬP_GOM]=F$3)))</f>
        <v>877800</v>
      </c>
      <c r="G8" s="24" cm="1">
        <f t="array" ref="G8">IF(G$2="FY",SUMPRODUCT(Data_Nhập[Tổng Nhập-NX]*(Data_Nhập[Year]=G$1)*(Data_Nhập[Main SKU name_GOM]=$A8)*(Data_Nhập[SKU name_NHẬP_GOM]=G$3)),SUMPRODUCT(Data_Nhập[Tổng Nhập-NX]*(Data_Nhập[Year]=G$1)*(Data_Nhập[Month]=G$2)*(Data_Nhập[Main SKU name_GOM]=$A8)*(Data_Nhập[SKU name_NHẬP_GOM]=G$3)))</f>
        <v>18354622</v>
      </c>
      <c r="H8" s="24" cm="1">
        <f t="array" ref="H8">IF(H$2="FY",SUMPRODUCT(Data_Nhập[Tổng Nhập-NX]*(Data_Nhập[Year]=H$1)*(Data_Nhập[Main SKU name_GOM]=$A8)*(Data_Nhập[SKU name_NHẬP_GOM]=H$3)),SUMPRODUCT(Data_Nhập[Tổng Nhập-NX]*(Data_Nhập[Year]=H$1)*(Data_Nhập[Month]=H$2)*(Data_Nhập[Main SKU name_GOM]=$A8)*(Data_Nhập[SKU name_NHẬP_GOM]=H$3)))</f>
        <v>0</v>
      </c>
      <c r="I8" s="24" cm="1">
        <f t="array" ref="I8">IF(I$2="FY",SUMPRODUCT(Data_Nhập[Tổng Nhập-NX]*(Data_Nhập[Year]=I$1)*(Data_Nhập[Main SKU name_GOM]=$A8)*(Data_Nhập[SKU name_NHẬP_GOM]=I$3)),SUMPRODUCT(Data_Nhập[Tổng Nhập-NX]*(Data_Nhập[Year]=I$1)*(Data_Nhập[Month]=I$2)*(Data_Nhập[Main SKU name_GOM]=$A8)*(Data_Nhập[SKU name_NHẬP_GOM]=I$3)))</f>
        <v>141692</v>
      </c>
      <c r="J8" s="24" cm="1">
        <f t="array" ref="J8">IF(J$2="FY",SUMPRODUCT(Data_Nhập[Tổng Nhập-NX]*(Data_Nhập[Year]=J$1)*(Data_Nhập[Main SKU name_GOM]=$A8)*(Data_Nhập[SKU name_NHẬP_GOM]=J$3)),SUMPRODUCT(Data_Nhập[Tổng Nhập-NX]*(Data_Nhập[Year]=J$1)*(Data_Nhập[Month]=J$2)*(Data_Nhập[Main SKU name_GOM]=$A8)*(Data_Nhập[SKU name_NHẬP_GOM]=J$3)))</f>
        <v>0</v>
      </c>
      <c r="K8" s="24" cm="1">
        <f t="array" ref="K8">IF(K$2="FY",SUMPRODUCT(Data_Nhập[Tổng Nhập-NX]*(Data_Nhập[Year]=K$1)*(Data_Nhập[Main SKU name_GOM]=$A8)*(Data_Nhập[SKU name_NHẬP_GOM]=K$3)),SUMPRODUCT(Data_Nhập[Tổng Nhập-NX]*(Data_Nhập[Year]=K$1)*(Data_Nhập[Month]=K$2)*(Data_Nhập[Main SKU name_GOM]=$A8)*(Data_Nhập[SKU name_NHẬP_GOM]=K$3)))</f>
        <v>0</v>
      </c>
      <c r="L8" s="24" cm="1">
        <f t="array" ref="L8">IF(L$2="FY",SUMPRODUCT(Data_Nhập[Tổng Nhập-NX]*(Data_Nhập[Year]=L$1)*(Data_Nhập[Main SKU name_GOM]=$A8)*(Data_Nhập[SKU name_NHẬP_GOM]=L$3)),SUMPRODUCT(Data_Nhập[Tổng Nhập-NX]*(Data_Nhập[Year]=L$1)*(Data_Nhập[Month]=L$2)*(Data_Nhập[Main SKU name_GOM]=$A8)*(Data_Nhập[SKU name_NHẬP_GOM]=L$3)))</f>
        <v>0</v>
      </c>
      <c r="M8" s="24" cm="1">
        <f t="array" ref="M8">IF(M$2="FY",SUMPRODUCT(Data_Nhập[Tổng Nhập-NX]*(Data_Nhập[Year]=M$1)*(Data_Nhập[Main SKU name_GOM]=$A8)*(Data_Nhập[SKU name_NHẬP_GOM]=M$3)),SUMPRODUCT(Data_Nhập[Tổng Nhập-NX]*(Data_Nhập[Year]=M$1)*(Data_Nhập[Month]=M$2)*(Data_Nhập[Main SKU name_GOM]=$A8)*(Data_Nhập[SKU name_NHẬP_GOM]=M$3)))</f>
        <v>2199.9999999999995</v>
      </c>
      <c r="N8" s="24" cm="1">
        <f t="array" ref="N8">IF(N$2="FY",SUMPRODUCT(Data_Nhập[Tổng Nhập-NX]*(Data_Nhập[Year]=N$1)*(Data_Nhập[Main SKU name_GOM]=$A8)*(Data_Nhập[SKU name_NHẬP_GOM]=N$3)),SUMPRODUCT(Data_Nhập[Tổng Nhập-NX]*(Data_Nhập[Year]=N$1)*(Data_Nhập[Month]=N$2)*(Data_Nhập[Main SKU name_GOM]=$A8)*(Data_Nhập[SKU name_NHẬP_GOM]=N$3)))</f>
        <v>4400</v>
      </c>
      <c r="O8" s="24" cm="1">
        <f t="array" ref="O8">IF(O$2="FY",SUMPRODUCT(Data_Nhập[Tổng Nhập-NX]*(Data_Nhập[Year]=O$1)*(Data_Nhập[Main SKU name_GOM]=$A8)*(Data_Nhập[SKU name_NHẬP_GOM]=O$3)),SUMPRODUCT(Data_Nhập[Tổng Nhập-NX]*(Data_Nhập[Year]=O$1)*(Data_Nhập[Month]=O$2)*(Data_Nhập[Main SKU name_GOM]=$A8)*(Data_Nhập[SKU name_NHẬP_GOM]=O$3)))</f>
        <v>473000</v>
      </c>
      <c r="P8" s="24" cm="1">
        <f t="array" ref="P8">IF(P$2="FY",SUMPRODUCT(Data_Nhập[Tổng Nhập-NX]*(Data_Nhập[Year]=P$1)*(Data_Nhập[Main SKU name_GOM]=$A8)*(Data_Nhập[SKU name_NHẬP_GOM]=P$3)),SUMPRODUCT(Data_Nhập[Tổng Nhập-NX]*(Data_Nhập[Year]=P$1)*(Data_Nhập[Month]=P$2)*(Data_Nhập[Main SKU name_GOM]=$A8)*(Data_Nhập[SKU name_NHẬP_GOM]=P$3)))</f>
        <v>134200</v>
      </c>
      <c r="Q8" s="24" cm="1">
        <f t="array" ref="Q8">IF(Q$2="FY",SUMPRODUCT(Data_Nhập[Tổng Nhập-NX]*(Data_Nhập[Year]=Q$1)*(Data_Nhập[Main SKU name_GOM]=$A8)*(Data_Nhập[SKU name_NHẬP_GOM]=Q$3)),SUMPRODUCT(Data_Nhập[Tổng Nhập-NX]*(Data_Nhập[Year]=Q$1)*(Data_Nhập[Month]=Q$2)*(Data_Nhập[Main SKU name_GOM]=$A8)*(Data_Nhập[SKU name_NHẬP_GOM]=Q$3)))</f>
        <v>0</v>
      </c>
      <c r="R8" s="24" cm="1">
        <f t="array" ref="R8">IF(R$2="FY",SUMPRODUCT(Data_Nhập[Tổng Nhập-NX]*(Data_Nhập[Year]=R$1)*(Data_Nhập[Main SKU name_GOM]=$A8)*(Data_Nhập[SKU name_NHẬP_GOM]=R$3)),SUMPRODUCT(Data_Nhập[Tổng Nhập-NX]*(Data_Nhập[Year]=R$1)*(Data_Nhập[Month]=R$2)*(Data_Nhập[Main SKU name_GOM]=$A8)*(Data_Nhập[SKU name_NHẬP_GOM]=R$3)))</f>
        <v>1011685</v>
      </c>
      <c r="S8" s="24" cm="1">
        <f t="array" ref="S8">IF(S$2="FY",SUMPRODUCT(Data_Nhập[Tổng Nhập-NX]*(Data_Nhập[Year]=S$1)*(Data_Nhập[Main SKU name_GOM]=$A8)*(Data_Nhập[SKU name_NHẬP_GOM]=S$3)),SUMPRODUCT(Data_Nhập[Tổng Nhập-NX]*(Data_Nhập[Year]=S$1)*(Data_Nhập[Month]=S$2)*(Data_Nhập[Main SKU name_GOM]=$A8)*(Data_Nhập[SKU name_NHẬP_GOM]=S$3)))</f>
        <v>0</v>
      </c>
      <c r="T8" s="25">
        <f t="shared" si="12"/>
        <v>21054599</v>
      </c>
      <c r="V8" s="25" cm="1">
        <f t="array" ref="V8">IF(V$2="FY",SUMPRODUCT(Data_Xuất[Xuất-NX]*(Data_Xuất[Year]=V$1)*(Data_Xuất[Main SKU name_GOM]=$A8)),SUMPRODUCT(Data_Xuất[Xuất-NX]*(Data_Xuất[Year]=V$1)*(Data_Xuất[Main SKU name_GOM]=$A8)*(Data_Xuất[Month]=V$2)))</f>
        <v>1351712.9999999995</v>
      </c>
      <c r="W8" s="24" cm="1">
        <f t="array" ref="W8">IF(W$2="FY",SUMPRODUCT(Data_Nhập[Tổng Nhập-NX]*(Data_Nhập[Year]=W$1)*(Data_Nhập[Main SKU name_GOM]=$A8)*(Data_Nhập[SKU name_NHẬP_GOM]=W$3)),SUMPRODUCT(Data_Nhập[Tổng Nhập-NX]*(Data_Nhập[Year]=W$1)*(Data_Nhập[Month]=W$2)*(Data_Nhập[Main SKU name_GOM]=$A8)*(Data_Nhập[SKU name_NHẬP_GOM]=W$3)))</f>
        <v>0</v>
      </c>
      <c r="X8" s="24" cm="1">
        <f t="array" ref="X8">IF(X$2="FY",SUMPRODUCT(Data_Nhập[Tổng Nhập-NX]*(Data_Nhập[Year]=X$1)*(Data_Nhập[Main SKU name_GOM]=$A8)*(Data_Nhập[SKU name_NHẬP_GOM]=X$3)),SUMPRODUCT(Data_Nhập[Tổng Nhập-NX]*(Data_Nhập[Year]=X$1)*(Data_Nhập[Month]=X$2)*(Data_Nhập[Main SKU name_GOM]=$A8)*(Data_Nhập[SKU name_NHẬP_GOM]=X$3)))</f>
        <v>37400</v>
      </c>
      <c r="Y8" s="24" cm="1">
        <f t="array" ref="Y8">IF(Y$2="FY",SUMPRODUCT(Data_Nhập[Tổng Nhập-NX]*(Data_Nhập[Year]=Y$1)*(Data_Nhập[Main SKU name_GOM]=$A8)*(Data_Nhập[SKU name_NHẬP_GOM]=Y$3)),SUMPRODUCT(Data_Nhập[Tổng Nhập-NX]*(Data_Nhập[Year]=Y$1)*(Data_Nhập[Month]=Y$2)*(Data_Nhập[Main SKU name_GOM]=$A8)*(Data_Nhập[SKU name_NHẬP_GOM]=Y$3)))</f>
        <v>1247742</v>
      </c>
      <c r="Z8" s="24" cm="1">
        <f t="array" ref="Z8">IF(Z$2="FY",SUMPRODUCT(Data_Nhập[Tổng Nhập-NX]*(Data_Nhập[Year]=Z$1)*(Data_Nhập[Main SKU name_GOM]=$A8)*(Data_Nhập[SKU name_NHẬP_GOM]=Z$3)),SUMPRODUCT(Data_Nhập[Tổng Nhập-NX]*(Data_Nhập[Year]=Z$1)*(Data_Nhập[Month]=Z$2)*(Data_Nhập[Main SKU name_GOM]=$A8)*(Data_Nhập[SKU name_NHẬP_GOM]=Z$3)))</f>
        <v>0</v>
      </c>
      <c r="AA8" s="24" cm="1">
        <f t="array" ref="AA8">IF(AA$2="FY",SUMPRODUCT(Data_Nhập[Tổng Nhập-NX]*(Data_Nhập[Year]=AA$1)*(Data_Nhập[Main SKU name_GOM]=$A8)*(Data_Nhập[SKU name_NHẬP_GOM]=AA$3)),SUMPRODUCT(Data_Nhập[Tổng Nhập-NX]*(Data_Nhập[Year]=AA$1)*(Data_Nhập[Month]=AA$2)*(Data_Nhập[Main SKU name_GOM]=$A8)*(Data_Nhập[SKU name_NHẬP_GOM]=AA$3)))</f>
        <v>8592</v>
      </c>
      <c r="AB8" s="24" cm="1">
        <f t="array" ref="AB8">IF(AB$2="FY",SUMPRODUCT(Data_Nhập[Tổng Nhập-NX]*(Data_Nhập[Year]=AB$1)*(Data_Nhập[Main SKU name_GOM]=$A8)*(Data_Nhập[SKU name_NHẬP_GOM]=AB$3)),SUMPRODUCT(Data_Nhập[Tổng Nhập-NX]*(Data_Nhập[Year]=AB$1)*(Data_Nhập[Month]=AB$2)*(Data_Nhập[Main SKU name_GOM]=$A8)*(Data_Nhập[SKU name_NHẬP_GOM]=AB$3)))</f>
        <v>0</v>
      </c>
      <c r="AC8" s="24" cm="1">
        <f t="array" ref="AC8">IF(AC$2="FY",SUMPRODUCT(Data_Nhập[Tổng Nhập-NX]*(Data_Nhập[Year]=AC$1)*(Data_Nhập[Main SKU name_GOM]=$A8)*(Data_Nhập[SKU name_NHẬP_GOM]=AC$3)),SUMPRODUCT(Data_Nhập[Tổng Nhập-NX]*(Data_Nhập[Year]=AC$1)*(Data_Nhập[Month]=AC$2)*(Data_Nhập[Main SKU name_GOM]=$A8)*(Data_Nhập[SKU name_NHẬP_GOM]=AC$3)))</f>
        <v>0</v>
      </c>
      <c r="AD8" s="24" cm="1">
        <f t="array" ref="AD8">IF(AD$2="FY",SUMPRODUCT(Data_Nhập[Tổng Nhập-NX]*(Data_Nhập[Year]=AD$1)*(Data_Nhập[Main SKU name_GOM]=$A8)*(Data_Nhập[SKU name_NHẬP_GOM]=AD$3)),SUMPRODUCT(Data_Nhập[Tổng Nhập-NX]*(Data_Nhập[Year]=AD$1)*(Data_Nhập[Month]=AD$2)*(Data_Nhập[Main SKU name_GOM]=$A8)*(Data_Nhập[SKU name_NHẬP_GOM]=AD$3)))</f>
        <v>0</v>
      </c>
      <c r="AE8" s="24" cm="1">
        <f t="array" ref="AE8">IF(AE$2="FY",SUMPRODUCT(Data_Nhập[Tổng Nhập-NX]*(Data_Nhập[Year]=AE$1)*(Data_Nhập[Main SKU name_GOM]=$A8)*(Data_Nhập[SKU name_NHẬP_GOM]=AE$3)),SUMPRODUCT(Data_Nhập[Tổng Nhập-NX]*(Data_Nhập[Year]=AE$1)*(Data_Nhập[Month]=AE$2)*(Data_Nhập[Main SKU name_GOM]=$A8)*(Data_Nhập[SKU name_NHẬP_GOM]=AE$3)))</f>
        <v>0</v>
      </c>
      <c r="AF8" s="24" cm="1">
        <f t="array" ref="AF8">IF(AF$2="FY",SUMPRODUCT(Data_Nhập[Tổng Nhập-NX]*(Data_Nhập[Year]=AF$1)*(Data_Nhập[Main SKU name_GOM]=$A8)*(Data_Nhập[SKU name_NHẬP_GOM]=AF$3)),SUMPRODUCT(Data_Nhập[Tổng Nhập-NX]*(Data_Nhập[Year]=AF$1)*(Data_Nhập[Month]=AF$2)*(Data_Nhập[Main SKU name_GOM]=$A8)*(Data_Nhập[SKU name_NHẬP_GOM]=AF$3)))</f>
        <v>3300</v>
      </c>
      <c r="AG8" s="24" cm="1">
        <f t="array" ref="AG8">IF(AG$2="FY",SUMPRODUCT(Data_Nhập[Tổng Nhập-NX]*(Data_Nhập[Year]=AG$1)*(Data_Nhập[Main SKU name_GOM]=$A8)*(Data_Nhập[SKU name_NHẬP_GOM]=AG$3)),SUMPRODUCT(Data_Nhập[Tổng Nhập-NX]*(Data_Nhập[Year]=AG$1)*(Data_Nhập[Month]=AG$2)*(Data_Nhập[Main SKU name_GOM]=$A8)*(Data_Nhập[SKU name_NHẬP_GOM]=AG$3)))</f>
        <v>5500</v>
      </c>
      <c r="AH8" s="24" cm="1">
        <f t="array" ref="AH8">IF(AH$2="FY",SUMPRODUCT(Data_Nhập[Tổng Nhập-NX]*(Data_Nhập[Year]=AH$1)*(Data_Nhập[Main SKU name_GOM]=$A8)*(Data_Nhập[SKU name_NHẬP_GOM]=AH$3)),SUMPRODUCT(Data_Nhập[Tổng Nhập-NX]*(Data_Nhập[Year]=AH$1)*(Data_Nhập[Month]=AH$2)*(Data_Nhập[Main SKU name_GOM]=$A8)*(Data_Nhập[SKU name_NHẬP_GOM]=AH$3)))</f>
        <v>9900</v>
      </c>
      <c r="AI8" s="24" cm="1">
        <f t="array" ref="AI8">IF(AI$2="FY",SUMPRODUCT(Data_Nhập[Tổng Nhập-NX]*(Data_Nhập[Year]=AI$1)*(Data_Nhập[Main SKU name_GOM]=$A8)*(Data_Nhập[SKU name_NHẬP_GOM]=AI$3)),SUMPRODUCT(Data_Nhập[Tổng Nhập-NX]*(Data_Nhập[Year]=AI$1)*(Data_Nhập[Month]=AI$2)*(Data_Nhập[Main SKU name_GOM]=$A8)*(Data_Nhập[SKU name_NHẬP_GOM]=AI$3)))</f>
        <v>0</v>
      </c>
      <c r="AJ8" s="24" cm="1">
        <f t="array" ref="AJ8">IF(AJ$2="FY",SUMPRODUCT(Data_Nhập[Tổng Nhập-NX]*(Data_Nhập[Year]=AJ$1)*(Data_Nhập[Main SKU name_GOM]=$A8)*(Data_Nhập[SKU name_NHẬP_GOM]=AJ$3)),SUMPRODUCT(Data_Nhập[Tổng Nhập-NX]*(Data_Nhập[Year]=AJ$1)*(Data_Nhập[Month]=AJ$2)*(Data_Nhập[Main SKU name_GOM]=$A8)*(Data_Nhập[SKU name_NHẬP_GOM]=AJ$3)))</f>
        <v>36535</v>
      </c>
      <c r="AK8" s="24" cm="1">
        <f t="array" ref="AK8">IF(AK$2="FY",SUMPRODUCT(Data_Nhập[Tổng Nhập-NX]*(Data_Nhập[Year]=AK$1)*(Data_Nhập[Main SKU name_GOM]=$A8)*(Data_Nhập[SKU name_NHẬP_GOM]=AK$3)),SUMPRODUCT(Data_Nhập[Tổng Nhập-NX]*(Data_Nhập[Year]=AK$1)*(Data_Nhập[Month]=AK$2)*(Data_Nhập[Main SKU name_GOM]=$A8)*(Data_Nhập[SKU name_NHẬP_GOM]=AK$3)))</f>
        <v>0</v>
      </c>
      <c r="AL8" s="25">
        <f t="shared" si="13"/>
        <v>1348969</v>
      </c>
      <c r="AN8" s="25" cm="1">
        <f t="array" ref="AN8">IF(AN$2="FY",SUMPRODUCT(Data_Xuất[Xuất-NX]*(Data_Xuất[Year]=AN$1)*(Data_Xuất[Main SKU name_GOM]=$A8)),SUMPRODUCT(Data_Xuất[Xuất-NX]*(Data_Xuất[Year]=AN$1)*(Data_Xuất[Main SKU name_GOM]=$A8)*(Data_Xuất[Month]=AN$2)))</f>
        <v>707100</v>
      </c>
      <c r="AO8" s="24" cm="1">
        <f t="array" ref="AO8">IF(AO$2="FY",SUMPRODUCT(Data_Nhập[Tổng Nhập-NX]*(Data_Nhập[Year]=AO$1)*(Data_Nhập[Main SKU name_GOM]=$A8)*(Data_Nhập[SKU name_NHẬP_GOM]=AO$3)),SUMPRODUCT(Data_Nhập[Tổng Nhập-NX]*(Data_Nhập[Year]=AO$1)*(Data_Nhập[Month]=AO$2)*(Data_Nhập[Main SKU name_GOM]=$A8)*(Data_Nhập[SKU name_NHẬP_GOM]=AO$3)))</f>
        <v>0</v>
      </c>
      <c r="AP8" s="24" cm="1">
        <f t="array" ref="AP8">IF(AP$2="FY",SUMPRODUCT(Data_Nhập[Tổng Nhập-NX]*(Data_Nhập[Year]=AP$1)*(Data_Nhập[Main SKU name_GOM]=$A8)*(Data_Nhập[SKU name_NHẬP_GOM]=AP$3)),SUMPRODUCT(Data_Nhập[Tổng Nhập-NX]*(Data_Nhập[Year]=AP$1)*(Data_Nhập[Month]=AP$2)*(Data_Nhập[Main SKU name_GOM]=$A8)*(Data_Nhập[SKU name_NHẬP_GOM]=AP$3)))</f>
        <v>13200</v>
      </c>
      <c r="AQ8" s="24" cm="1">
        <f t="array" ref="AQ8">IF(AQ$2="FY",SUMPRODUCT(Data_Nhập[Tổng Nhập-NX]*(Data_Nhập[Year]=AQ$1)*(Data_Nhập[Main SKU name_GOM]=$A8)*(Data_Nhập[SKU name_NHẬP_GOM]=AQ$3)),SUMPRODUCT(Data_Nhập[Tổng Nhập-NX]*(Data_Nhập[Year]=AQ$1)*(Data_Nhập[Month]=AQ$2)*(Data_Nhập[Main SKU name_GOM]=$A8)*(Data_Nhập[SKU name_NHẬP_GOM]=AQ$3)))</f>
        <v>599080</v>
      </c>
      <c r="AR8" s="24" cm="1">
        <f t="array" ref="AR8">IF(AR$2="FY",SUMPRODUCT(Data_Nhập[Tổng Nhập-NX]*(Data_Nhập[Year]=AR$1)*(Data_Nhập[Main SKU name_GOM]=$A8)*(Data_Nhập[SKU name_NHẬP_GOM]=AR$3)),SUMPRODUCT(Data_Nhập[Tổng Nhập-NX]*(Data_Nhập[Year]=AR$1)*(Data_Nhập[Month]=AR$2)*(Data_Nhập[Main SKU name_GOM]=$A8)*(Data_Nhập[SKU name_NHẬP_GOM]=AR$3)))</f>
        <v>0</v>
      </c>
      <c r="AS8" s="24" cm="1">
        <f t="array" ref="AS8">IF(AS$2="FY",SUMPRODUCT(Data_Nhập[Tổng Nhập-NX]*(Data_Nhập[Year]=AS$1)*(Data_Nhập[Main SKU name_GOM]=$A8)*(Data_Nhập[SKU name_NHẬP_GOM]=AS$3)),SUMPRODUCT(Data_Nhập[Tổng Nhập-NX]*(Data_Nhập[Year]=AS$1)*(Data_Nhập[Month]=AS$2)*(Data_Nhập[Main SKU name_GOM]=$A8)*(Data_Nhập[SKU name_NHẬP_GOM]=AS$3)))</f>
        <v>5500</v>
      </c>
      <c r="AT8" s="24" cm="1">
        <f t="array" ref="AT8">IF(AT$2="FY",SUMPRODUCT(Data_Nhập[Tổng Nhập-NX]*(Data_Nhập[Year]=AT$1)*(Data_Nhập[Main SKU name_GOM]=$A8)*(Data_Nhập[SKU name_NHẬP_GOM]=AT$3)),SUMPRODUCT(Data_Nhập[Tổng Nhập-NX]*(Data_Nhập[Year]=AT$1)*(Data_Nhập[Month]=AT$2)*(Data_Nhập[Main SKU name_GOM]=$A8)*(Data_Nhập[SKU name_NHẬP_GOM]=AT$3)))</f>
        <v>0</v>
      </c>
      <c r="AU8" s="24" cm="1">
        <f t="array" ref="AU8">IF(AU$2="FY",SUMPRODUCT(Data_Nhập[Tổng Nhập-NX]*(Data_Nhập[Year]=AU$1)*(Data_Nhập[Main SKU name_GOM]=$A8)*(Data_Nhập[SKU name_NHẬP_GOM]=AU$3)),SUMPRODUCT(Data_Nhập[Tổng Nhập-NX]*(Data_Nhập[Year]=AU$1)*(Data_Nhập[Month]=AU$2)*(Data_Nhập[Main SKU name_GOM]=$A8)*(Data_Nhập[SKU name_NHẬP_GOM]=AU$3)))</f>
        <v>0</v>
      </c>
      <c r="AV8" s="24" cm="1">
        <f t="array" ref="AV8">IF(AV$2="FY",SUMPRODUCT(Data_Nhập[Tổng Nhập-NX]*(Data_Nhập[Year]=AV$1)*(Data_Nhập[Main SKU name_GOM]=$A8)*(Data_Nhập[SKU name_NHẬP_GOM]=AV$3)),SUMPRODUCT(Data_Nhập[Tổng Nhập-NX]*(Data_Nhập[Year]=AV$1)*(Data_Nhập[Month]=AV$2)*(Data_Nhập[Main SKU name_GOM]=$A8)*(Data_Nhập[SKU name_NHẬP_GOM]=AV$3)))</f>
        <v>0</v>
      </c>
      <c r="AW8" s="24" cm="1">
        <f t="array" ref="AW8">IF(AW$2="FY",SUMPRODUCT(Data_Nhập[Tổng Nhập-NX]*(Data_Nhập[Year]=AW$1)*(Data_Nhập[Main SKU name_GOM]=$A8)*(Data_Nhập[SKU name_NHẬP_GOM]=AW$3)),SUMPRODUCT(Data_Nhập[Tổng Nhập-NX]*(Data_Nhập[Year]=AW$1)*(Data_Nhập[Month]=AW$2)*(Data_Nhập[Main SKU name_GOM]=$A8)*(Data_Nhập[SKU name_NHẬP_GOM]=AW$3)))</f>
        <v>0</v>
      </c>
      <c r="AX8" s="24" cm="1">
        <f t="array" ref="AX8">IF(AX$2="FY",SUMPRODUCT(Data_Nhập[Tổng Nhập-NX]*(Data_Nhập[Year]=AX$1)*(Data_Nhập[Main SKU name_GOM]=$A8)*(Data_Nhập[SKU name_NHẬP_GOM]=AX$3)),SUMPRODUCT(Data_Nhập[Tổng Nhập-NX]*(Data_Nhập[Year]=AX$1)*(Data_Nhập[Month]=AX$2)*(Data_Nhập[Main SKU name_GOM]=$A8)*(Data_Nhập[SKU name_NHẬP_GOM]=AX$3)))</f>
        <v>0</v>
      </c>
      <c r="AY8" s="24" cm="1">
        <f t="array" ref="AY8">IF(AY$2="FY",SUMPRODUCT(Data_Nhập[Tổng Nhập-NX]*(Data_Nhập[Year]=AY$1)*(Data_Nhập[Main SKU name_GOM]=$A8)*(Data_Nhập[SKU name_NHẬP_GOM]=AY$3)),SUMPRODUCT(Data_Nhập[Tổng Nhập-NX]*(Data_Nhập[Year]=AY$1)*(Data_Nhập[Month]=AY$2)*(Data_Nhập[Main SKU name_GOM]=$A8)*(Data_Nhập[SKU name_NHẬP_GOM]=AY$3)))</f>
        <v>19800</v>
      </c>
      <c r="AZ8" s="24" cm="1">
        <f t="array" ref="AZ8">IF(AZ$2="FY",SUMPRODUCT(Data_Nhập[Tổng Nhập-NX]*(Data_Nhập[Year]=AZ$1)*(Data_Nhập[Main SKU name_GOM]=$A8)*(Data_Nhập[SKU name_NHẬP_GOM]=AZ$3)),SUMPRODUCT(Data_Nhập[Tổng Nhập-NX]*(Data_Nhập[Year]=AZ$1)*(Data_Nhập[Month]=AZ$2)*(Data_Nhập[Main SKU name_GOM]=$A8)*(Data_Nhập[SKU name_NHẬP_GOM]=AZ$3)))</f>
        <v>1100</v>
      </c>
      <c r="BA8" s="24" cm="1">
        <f t="array" ref="BA8">IF(BA$2="FY",SUMPRODUCT(Data_Nhập[Tổng Nhập-NX]*(Data_Nhập[Year]=BA$1)*(Data_Nhập[Main SKU name_GOM]=$A8)*(Data_Nhập[SKU name_NHẬP_GOM]=BA$3)),SUMPRODUCT(Data_Nhập[Tổng Nhập-NX]*(Data_Nhập[Year]=BA$1)*(Data_Nhập[Month]=BA$2)*(Data_Nhập[Main SKU name_GOM]=$A8)*(Data_Nhập[SKU name_NHẬP_GOM]=BA$3)))</f>
        <v>0</v>
      </c>
      <c r="BB8" s="24" cm="1">
        <f t="array" ref="BB8">IF(BB$2="FY",SUMPRODUCT(Data_Nhập[Tổng Nhập-NX]*(Data_Nhập[Year]=BB$1)*(Data_Nhập[Main SKU name_GOM]=$A8)*(Data_Nhập[SKU name_NHẬP_GOM]=BB$3)),SUMPRODUCT(Data_Nhập[Tổng Nhập-NX]*(Data_Nhập[Year]=BB$1)*(Data_Nhập[Month]=BB$2)*(Data_Nhập[Main SKU name_GOM]=$A8)*(Data_Nhập[SKU name_NHẬP_GOM]=BB$3)))</f>
        <v>67315</v>
      </c>
      <c r="BC8" s="24" cm="1">
        <f t="array" ref="BC8">IF(BC$2="FY",SUMPRODUCT(Data_Nhập[Tổng Nhập-NX]*(Data_Nhập[Year]=BC$1)*(Data_Nhập[Main SKU name_GOM]=$A8)*(Data_Nhập[SKU name_NHẬP_GOM]=BC$3)),SUMPRODUCT(Data_Nhập[Tổng Nhập-NX]*(Data_Nhập[Year]=BC$1)*(Data_Nhập[Month]=BC$2)*(Data_Nhập[Main SKU name_GOM]=$A8)*(Data_Nhập[SKU name_NHẬP_GOM]=BC$3)))</f>
        <v>0</v>
      </c>
      <c r="BD8" s="25">
        <f t="shared" si="14"/>
        <v>705995</v>
      </c>
      <c r="BF8" s="25" cm="1">
        <f t="array" ref="BF8">IF(BF$2="FY",SUMPRODUCT(Data_Xuất[Xuất-NX]*(Data_Xuất[Year]=BF$1)*(Data_Xuất[Main SKU name_GOM]=$A8)),SUMPRODUCT(Data_Xuất[Xuất-NX]*(Data_Xuất[Year]=BF$1)*(Data_Xuất[Main SKU name_GOM]=$A8)*(Data_Xuất[Month]=BF$2)))</f>
        <v>1538493.9999999998</v>
      </c>
      <c r="BG8" s="24" cm="1">
        <f t="array" ref="BG8">IF(BG$2="FY",SUMPRODUCT(Data_Nhập[Tổng Nhập-NX]*(Data_Nhập[Year]=BG$1)*(Data_Nhập[Main SKU name_GOM]=$A8)*(Data_Nhập[SKU name_NHẬP_GOM]=BG$3)),SUMPRODUCT(Data_Nhập[Tổng Nhập-NX]*(Data_Nhập[Year]=BG$1)*(Data_Nhập[Month]=BG$2)*(Data_Nhập[Main SKU name_GOM]=$A8)*(Data_Nhập[SKU name_NHẬP_GOM]=BG$3)))</f>
        <v>0</v>
      </c>
      <c r="BH8" s="24" cm="1">
        <f t="array" ref="BH8">IF(BH$2="FY",SUMPRODUCT(Data_Nhập[Tổng Nhập-NX]*(Data_Nhập[Year]=BH$1)*(Data_Nhập[Main SKU name_GOM]=$A8)*(Data_Nhập[SKU name_NHẬP_GOM]=BH$3)),SUMPRODUCT(Data_Nhập[Tổng Nhập-NX]*(Data_Nhập[Year]=BH$1)*(Data_Nhập[Month]=BH$2)*(Data_Nhập[Main SKU name_GOM]=$A8)*(Data_Nhập[SKU name_NHẬP_GOM]=BH$3)))</f>
        <v>35200</v>
      </c>
      <c r="BI8" s="24" cm="1">
        <f t="array" ref="BI8">IF(BI$2="FY",SUMPRODUCT(Data_Nhập[Tổng Nhập-NX]*(Data_Nhập[Year]=BI$1)*(Data_Nhập[Main SKU name_GOM]=$A8)*(Data_Nhập[SKU name_NHẬP_GOM]=BI$3)),SUMPRODUCT(Data_Nhập[Tổng Nhập-NX]*(Data_Nhập[Year]=BI$1)*(Data_Nhập[Month]=BI$2)*(Data_Nhập[Main SKU name_GOM]=$A8)*(Data_Nhập[SKU name_NHẬP_GOM]=BI$3)))</f>
        <v>1379399.9999999995</v>
      </c>
      <c r="BJ8" s="24" cm="1">
        <f t="array" ref="BJ8">IF(BJ$2="FY",SUMPRODUCT(Data_Nhập[Tổng Nhập-NX]*(Data_Nhập[Year]=BJ$1)*(Data_Nhập[Main SKU name_GOM]=$A8)*(Data_Nhập[SKU name_NHẬP_GOM]=BJ$3)),SUMPRODUCT(Data_Nhập[Tổng Nhập-NX]*(Data_Nhập[Year]=BJ$1)*(Data_Nhập[Month]=BJ$2)*(Data_Nhập[Main SKU name_GOM]=$A8)*(Data_Nhập[SKU name_NHẬP_GOM]=BJ$3)))</f>
        <v>0</v>
      </c>
      <c r="BK8" s="24" cm="1">
        <f t="array" ref="BK8">IF(BK$2="FY",SUMPRODUCT(Data_Nhập[Tổng Nhập-NX]*(Data_Nhập[Year]=BK$1)*(Data_Nhập[Main SKU name_GOM]=$A8)*(Data_Nhập[SKU name_NHẬP_GOM]=BK$3)),SUMPRODUCT(Data_Nhập[Tổng Nhập-NX]*(Data_Nhập[Year]=BK$1)*(Data_Nhập[Month]=BK$2)*(Data_Nhập[Main SKU name_GOM]=$A8)*(Data_Nhập[SKU name_NHẬP_GOM]=BK$3)))</f>
        <v>8800.0000000000018</v>
      </c>
      <c r="BL8" s="24" cm="1">
        <f t="array" ref="BL8">IF(BL$2="FY",SUMPRODUCT(Data_Nhập[Tổng Nhập-NX]*(Data_Nhập[Year]=BL$1)*(Data_Nhập[Main SKU name_GOM]=$A8)*(Data_Nhập[SKU name_NHẬP_GOM]=BL$3)),SUMPRODUCT(Data_Nhập[Tổng Nhập-NX]*(Data_Nhập[Year]=BL$1)*(Data_Nhập[Month]=BL$2)*(Data_Nhập[Main SKU name_GOM]=$A8)*(Data_Nhập[SKU name_NHẬP_GOM]=BL$3)))</f>
        <v>0</v>
      </c>
      <c r="BM8" s="24" cm="1">
        <f t="array" ref="BM8">IF(BM$2="FY",SUMPRODUCT(Data_Nhập[Tổng Nhập-NX]*(Data_Nhập[Year]=BM$1)*(Data_Nhập[Main SKU name_GOM]=$A8)*(Data_Nhập[SKU name_NHẬP_GOM]=BM$3)),SUMPRODUCT(Data_Nhập[Tổng Nhập-NX]*(Data_Nhập[Year]=BM$1)*(Data_Nhập[Month]=BM$2)*(Data_Nhập[Main SKU name_GOM]=$A8)*(Data_Nhập[SKU name_NHẬP_GOM]=BM$3)))</f>
        <v>0</v>
      </c>
      <c r="BN8" s="24" cm="1">
        <f t="array" ref="BN8">IF(BN$2="FY",SUMPRODUCT(Data_Nhập[Tổng Nhập-NX]*(Data_Nhập[Year]=BN$1)*(Data_Nhập[Main SKU name_GOM]=$A8)*(Data_Nhập[SKU name_NHẬP_GOM]=BN$3)),SUMPRODUCT(Data_Nhập[Tổng Nhập-NX]*(Data_Nhập[Year]=BN$1)*(Data_Nhập[Month]=BN$2)*(Data_Nhập[Main SKU name_GOM]=$A8)*(Data_Nhập[SKU name_NHẬP_GOM]=BN$3)))</f>
        <v>0</v>
      </c>
      <c r="BO8" s="24" cm="1">
        <f t="array" ref="BO8">IF(BO$2="FY",SUMPRODUCT(Data_Nhập[Tổng Nhập-NX]*(Data_Nhập[Year]=BO$1)*(Data_Nhập[Main SKU name_GOM]=$A8)*(Data_Nhập[SKU name_NHẬP_GOM]=BO$3)),SUMPRODUCT(Data_Nhập[Tổng Nhập-NX]*(Data_Nhập[Year]=BO$1)*(Data_Nhập[Month]=BO$2)*(Data_Nhập[Main SKU name_GOM]=$A8)*(Data_Nhập[SKU name_NHẬP_GOM]=BO$3)))</f>
        <v>0</v>
      </c>
      <c r="BP8" s="24" cm="1">
        <f t="array" ref="BP8">IF(BP$2="FY",SUMPRODUCT(Data_Nhập[Tổng Nhập-NX]*(Data_Nhập[Year]=BP$1)*(Data_Nhập[Main SKU name_GOM]=$A8)*(Data_Nhập[SKU name_NHẬP_GOM]=BP$3)),SUMPRODUCT(Data_Nhập[Tổng Nhập-NX]*(Data_Nhập[Year]=BP$1)*(Data_Nhập[Month]=BP$2)*(Data_Nhập[Main SKU name_GOM]=$A8)*(Data_Nhập[SKU name_NHẬP_GOM]=BP$3)))</f>
        <v>0</v>
      </c>
      <c r="BQ8" s="24" cm="1">
        <f t="array" ref="BQ8">IF(BQ$2="FY",SUMPRODUCT(Data_Nhập[Tổng Nhập-NX]*(Data_Nhập[Year]=BQ$1)*(Data_Nhập[Main SKU name_GOM]=$A8)*(Data_Nhập[SKU name_NHẬP_GOM]=BQ$3)),SUMPRODUCT(Data_Nhập[Tổng Nhập-NX]*(Data_Nhập[Year]=BQ$1)*(Data_Nhập[Month]=BQ$2)*(Data_Nhập[Main SKU name_GOM]=$A8)*(Data_Nhập[SKU name_NHẬP_GOM]=BQ$3)))</f>
        <v>8800</v>
      </c>
      <c r="BR8" s="24" cm="1">
        <f t="array" ref="BR8">IF(BR$2="FY",SUMPRODUCT(Data_Nhập[Tổng Nhập-NX]*(Data_Nhập[Year]=BR$1)*(Data_Nhập[Main SKU name_GOM]=$A8)*(Data_Nhập[SKU name_NHẬP_GOM]=BR$3)),SUMPRODUCT(Data_Nhập[Tổng Nhập-NX]*(Data_Nhập[Year]=BR$1)*(Data_Nhập[Month]=BR$2)*(Data_Nhập[Main SKU name_GOM]=$A8)*(Data_Nhập[SKU name_NHẬP_GOM]=BR$3)))</f>
        <v>3300</v>
      </c>
      <c r="BS8" s="24" cm="1">
        <f t="array" ref="BS8">IF(BS$2="FY",SUMPRODUCT(Data_Nhập[Tổng Nhập-NX]*(Data_Nhập[Year]=BS$1)*(Data_Nhập[Main SKU name_GOM]=$A8)*(Data_Nhập[SKU name_NHẬP_GOM]=BS$3)),SUMPRODUCT(Data_Nhập[Tổng Nhập-NX]*(Data_Nhập[Year]=BS$1)*(Data_Nhập[Month]=BS$2)*(Data_Nhập[Main SKU name_GOM]=$A8)*(Data_Nhập[SKU name_NHẬP_GOM]=BS$3)))</f>
        <v>0</v>
      </c>
      <c r="BT8" s="24" cm="1">
        <f t="array" ref="BT8">IF(BT$2="FY",SUMPRODUCT(Data_Nhập[Tổng Nhập-NX]*(Data_Nhập[Year]=BT$1)*(Data_Nhập[Main SKU name_GOM]=$A8)*(Data_Nhập[SKU name_NHẬP_GOM]=BT$3)),SUMPRODUCT(Data_Nhập[Tổng Nhập-NX]*(Data_Nhập[Year]=BT$1)*(Data_Nhập[Month]=BT$2)*(Data_Nhập[Main SKU name_GOM]=$A8)*(Data_Nhập[SKU name_NHẬP_GOM]=BT$3)))</f>
        <v>100272</v>
      </c>
      <c r="BU8" s="24" cm="1">
        <f t="array" ref="BU8">IF(BU$2="FY",SUMPRODUCT(Data_Nhập[Tổng Nhập-NX]*(Data_Nhập[Year]=BU$1)*(Data_Nhập[Main SKU name_GOM]=$A8)*(Data_Nhập[SKU name_NHẬP_GOM]=BU$3)),SUMPRODUCT(Data_Nhập[Tổng Nhập-NX]*(Data_Nhập[Year]=BU$1)*(Data_Nhập[Month]=BU$2)*(Data_Nhập[Main SKU name_GOM]=$A8)*(Data_Nhập[SKU name_NHẬP_GOM]=BU$3)))</f>
        <v>0</v>
      </c>
      <c r="BV8" s="25">
        <f t="shared" si="15"/>
        <v>1535771.9999999995</v>
      </c>
      <c r="BX8" s="25" cm="1">
        <f t="array" ref="BX8">IF(BX$2="FY",SUMPRODUCT(Data_Xuất[Xuất-NX]*(Data_Xuất[Year]=BX$1)*(Data_Xuất[Main SKU name_GOM]=$A8)),SUMPRODUCT(Data_Xuất[Xuất-NX]*(Data_Xuất[Year]=BX$1)*(Data_Xuất[Main SKU name_GOM]=$A8)*(Data_Xuất[Month]=BX$2)))</f>
        <v>2963312.5</v>
      </c>
      <c r="BY8" s="24" cm="1">
        <f t="array" ref="BY8">IF(BY$2="FY",SUMPRODUCT(Data_Nhập[Tổng Nhập-NX]*(Data_Nhập[Year]=BY$1)*(Data_Nhập[Main SKU name_GOM]=$A8)*(Data_Nhập[SKU name_NHẬP_GOM]=BY$3)),SUMPRODUCT(Data_Nhập[Tổng Nhập-NX]*(Data_Nhập[Year]=BY$1)*(Data_Nhập[Month]=BY$2)*(Data_Nhập[Main SKU name_GOM]=$A8)*(Data_Nhập[SKU name_NHẬP_GOM]=BY$3)))</f>
        <v>2200</v>
      </c>
      <c r="BZ8" s="24" cm="1">
        <f t="array" ref="BZ8">IF(BZ$2="FY",SUMPRODUCT(Data_Nhập[Tổng Nhập-NX]*(Data_Nhập[Year]=BZ$1)*(Data_Nhập[Main SKU name_GOM]=$A8)*(Data_Nhập[SKU name_NHẬP_GOM]=BZ$3)),SUMPRODUCT(Data_Nhập[Tổng Nhập-NX]*(Data_Nhập[Year]=BZ$1)*(Data_Nhập[Month]=BZ$2)*(Data_Nhập[Main SKU name_GOM]=$A8)*(Data_Nhập[SKU name_NHẬP_GOM]=BZ$3)))</f>
        <v>132000.00000000006</v>
      </c>
      <c r="CA8" s="24" cm="1">
        <f t="array" ref="CA8">IF(CA$2="FY",SUMPRODUCT(Data_Nhập[Tổng Nhập-NX]*(Data_Nhập[Year]=CA$1)*(Data_Nhập[Main SKU name_GOM]=$A8)*(Data_Nhập[SKU name_NHẬP_GOM]=CA$3)),SUMPRODUCT(Data_Nhập[Tổng Nhập-NX]*(Data_Nhập[Year]=CA$1)*(Data_Nhập[Month]=CA$2)*(Data_Nhập[Main SKU name_GOM]=$A8)*(Data_Nhập[SKU name_NHẬP_GOM]=CA$3)))</f>
        <v>2627900.0000000005</v>
      </c>
      <c r="CB8" s="24" cm="1">
        <f t="array" ref="CB8">IF(CB$2="FY",SUMPRODUCT(Data_Nhập[Tổng Nhập-NX]*(Data_Nhập[Year]=CB$1)*(Data_Nhập[Main SKU name_GOM]=$A8)*(Data_Nhập[SKU name_NHẬP_GOM]=CB$3)),SUMPRODUCT(Data_Nhập[Tổng Nhập-NX]*(Data_Nhập[Year]=CB$1)*(Data_Nhập[Month]=CB$2)*(Data_Nhập[Main SKU name_GOM]=$A8)*(Data_Nhập[SKU name_NHẬP_GOM]=CB$3)))</f>
        <v>0</v>
      </c>
      <c r="CC8" s="24" cm="1">
        <f t="array" ref="CC8">IF(CC$2="FY",SUMPRODUCT(Data_Nhập[Tổng Nhập-NX]*(Data_Nhập[Year]=CC$1)*(Data_Nhập[Main SKU name_GOM]=$A8)*(Data_Nhập[SKU name_NHẬP_GOM]=CC$3)),SUMPRODUCT(Data_Nhập[Tổng Nhập-NX]*(Data_Nhập[Year]=CC$1)*(Data_Nhập[Month]=CC$2)*(Data_Nhập[Main SKU name_GOM]=$A8)*(Data_Nhập[SKU name_NHẬP_GOM]=CC$3)))</f>
        <v>14300.000000000002</v>
      </c>
      <c r="CD8" s="24" cm="1">
        <f t="array" ref="CD8">IF(CD$2="FY",SUMPRODUCT(Data_Nhập[Tổng Nhập-NX]*(Data_Nhập[Year]=CD$1)*(Data_Nhập[Main SKU name_GOM]=$A8)*(Data_Nhập[SKU name_NHẬP_GOM]=CD$3)),SUMPRODUCT(Data_Nhập[Tổng Nhập-NX]*(Data_Nhập[Year]=CD$1)*(Data_Nhập[Month]=CD$2)*(Data_Nhập[Main SKU name_GOM]=$A8)*(Data_Nhập[SKU name_NHẬP_GOM]=CD$3)))</f>
        <v>0</v>
      </c>
      <c r="CE8" s="24" cm="1">
        <f t="array" ref="CE8">IF(CE$2="FY",SUMPRODUCT(Data_Nhập[Tổng Nhập-NX]*(Data_Nhập[Year]=CE$1)*(Data_Nhập[Main SKU name_GOM]=$A8)*(Data_Nhập[SKU name_NHẬP_GOM]=CE$3)),SUMPRODUCT(Data_Nhập[Tổng Nhập-NX]*(Data_Nhập[Year]=CE$1)*(Data_Nhập[Month]=CE$2)*(Data_Nhập[Main SKU name_GOM]=$A8)*(Data_Nhập[SKU name_NHẬP_GOM]=CE$3)))</f>
        <v>0</v>
      </c>
      <c r="CF8" s="24" cm="1">
        <f t="array" ref="CF8">IF(CF$2="FY",SUMPRODUCT(Data_Nhập[Tổng Nhập-NX]*(Data_Nhập[Year]=CF$1)*(Data_Nhập[Main SKU name_GOM]=$A8)*(Data_Nhập[SKU name_NHẬP_GOM]=CF$3)),SUMPRODUCT(Data_Nhập[Tổng Nhập-NX]*(Data_Nhập[Year]=CF$1)*(Data_Nhập[Month]=CF$2)*(Data_Nhập[Main SKU name_GOM]=$A8)*(Data_Nhập[SKU name_NHẬP_GOM]=CF$3)))</f>
        <v>0</v>
      </c>
      <c r="CG8" s="24" cm="1">
        <f t="array" ref="CG8">IF(CG$2="FY",SUMPRODUCT(Data_Nhập[Tổng Nhập-NX]*(Data_Nhập[Year]=CG$1)*(Data_Nhập[Main SKU name_GOM]=$A8)*(Data_Nhập[SKU name_NHẬP_GOM]=CG$3)),SUMPRODUCT(Data_Nhập[Tổng Nhập-NX]*(Data_Nhập[Year]=CG$1)*(Data_Nhập[Month]=CG$2)*(Data_Nhập[Main SKU name_GOM]=$A8)*(Data_Nhập[SKU name_NHẬP_GOM]=CG$3)))</f>
        <v>0</v>
      </c>
      <c r="CH8" s="24" cm="1">
        <f t="array" ref="CH8">IF(CH$2="FY",SUMPRODUCT(Data_Nhập[Tổng Nhập-NX]*(Data_Nhập[Year]=CH$1)*(Data_Nhập[Main SKU name_GOM]=$A8)*(Data_Nhập[SKU name_NHẬP_GOM]=CH$3)),SUMPRODUCT(Data_Nhập[Tổng Nhập-NX]*(Data_Nhập[Year]=CH$1)*(Data_Nhập[Month]=CH$2)*(Data_Nhập[Main SKU name_GOM]=$A8)*(Data_Nhập[SKU name_NHẬP_GOM]=CH$3)))</f>
        <v>0</v>
      </c>
      <c r="CI8" s="24" cm="1">
        <f t="array" ref="CI8">IF(CI$2="FY",SUMPRODUCT(Data_Nhập[Tổng Nhập-NX]*(Data_Nhập[Year]=CI$1)*(Data_Nhập[Main SKU name_GOM]=$A8)*(Data_Nhập[SKU name_NHẬP_GOM]=CI$3)),SUMPRODUCT(Data_Nhập[Tổng Nhập-NX]*(Data_Nhập[Year]=CI$1)*(Data_Nhập[Month]=CI$2)*(Data_Nhập[Main SKU name_GOM]=$A8)*(Data_Nhập[SKU name_NHẬP_GOM]=CI$3)))</f>
        <v>12100</v>
      </c>
      <c r="CJ8" s="24" cm="1">
        <f t="array" ref="CJ8">IF(CJ$2="FY",SUMPRODUCT(Data_Nhập[Tổng Nhập-NX]*(Data_Nhập[Year]=CJ$1)*(Data_Nhập[Main SKU name_GOM]=$A8)*(Data_Nhập[SKU name_NHẬP_GOM]=CJ$3)),SUMPRODUCT(Data_Nhập[Tổng Nhập-NX]*(Data_Nhập[Year]=CJ$1)*(Data_Nhập[Month]=CJ$2)*(Data_Nhập[Main SKU name_GOM]=$A8)*(Data_Nhập[SKU name_NHẬP_GOM]=CJ$3)))</f>
        <v>11000</v>
      </c>
      <c r="CK8" s="24" cm="1">
        <f t="array" ref="CK8">IF(CK$2="FY",SUMPRODUCT(Data_Nhập[Tổng Nhập-NX]*(Data_Nhập[Year]=CK$1)*(Data_Nhập[Main SKU name_GOM]=$A8)*(Data_Nhập[SKU name_NHẬP_GOM]=CK$3)),SUMPRODUCT(Data_Nhập[Tổng Nhập-NX]*(Data_Nhập[Year]=CK$1)*(Data_Nhập[Month]=CK$2)*(Data_Nhập[Main SKU name_GOM]=$A8)*(Data_Nhập[SKU name_NHẬP_GOM]=CK$3)))</f>
        <v>0</v>
      </c>
      <c r="CL8" s="24" cm="1">
        <f t="array" ref="CL8">IF(CL$2="FY",SUMPRODUCT(Data_Nhập[Tổng Nhập-NX]*(Data_Nhập[Year]=CL$1)*(Data_Nhập[Main SKU name_GOM]=$A8)*(Data_Nhập[SKU name_NHẬP_GOM]=CL$3)),SUMPRODUCT(Data_Nhập[Tổng Nhập-NX]*(Data_Nhập[Year]=CL$1)*(Data_Nhập[Month]=CL$2)*(Data_Nhập[Main SKU name_GOM]=$A8)*(Data_Nhập[SKU name_NHẬP_GOM]=CL$3)))</f>
        <v>142708.00000000003</v>
      </c>
      <c r="CM8" s="24" cm="1">
        <f t="array" ref="CM8">IF(CM$2="FY",SUMPRODUCT(Data_Nhập[Tổng Nhập-NX]*(Data_Nhập[Year]=CM$1)*(Data_Nhập[Main SKU name_GOM]=$A8)*(Data_Nhập[SKU name_NHẬP_GOM]=CM$3)),SUMPRODUCT(Data_Nhập[Tổng Nhập-NX]*(Data_Nhập[Year]=CM$1)*(Data_Nhập[Month]=CM$2)*(Data_Nhập[Main SKU name_GOM]=$A8)*(Data_Nhập[SKU name_NHẬP_GOM]=CM$3)))</f>
        <v>0</v>
      </c>
      <c r="CN8" s="25">
        <f t="shared" si="16"/>
        <v>2942208.0000000005</v>
      </c>
      <c r="CP8" s="25" cm="1">
        <f t="array" ref="CP8">IF(CP$2="FY",SUMPRODUCT(Data_Xuất[Xuất-NX]*(Data_Xuất[Year]=CP$1)*(Data_Xuất[Main SKU name_GOM]=$A8)),SUMPRODUCT(Data_Xuất[Xuất-NX]*(Data_Xuất[Year]=CP$1)*(Data_Xuất[Main SKU name_GOM]=$A8)*(Data_Xuất[Month]=CP$2)))</f>
        <v>1781791.4999999995</v>
      </c>
      <c r="CQ8" s="24" cm="1">
        <f t="array" ref="CQ8">IF(CQ$2="FY",SUMPRODUCT(Data_Nhập[Tổng Nhập-NX]*(Data_Nhập[Year]=CQ$1)*(Data_Nhập[Main SKU name_GOM]=$A8)*(Data_Nhập[SKU name_NHẬP_GOM]=CQ$3)),SUMPRODUCT(Data_Nhập[Tổng Nhập-NX]*(Data_Nhập[Year]=CQ$1)*(Data_Nhập[Month]=CQ$2)*(Data_Nhập[Main SKU name_GOM]=$A8)*(Data_Nhập[SKU name_NHẬP_GOM]=CQ$3)))</f>
        <v>0</v>
      </c>
      <c r="CR8" s="24" cm="1">
        <f t="array" ref="CR8">IF(CR$2="FY",SUMPRODUCT(Data_Nhập[Tổng Nhập-NX]*(Data_Nhập[Year]=CR$1)*(Data_Nhập[Main SKU name_GOM]=$A8)*(Data_Nhập[SKU name_NHẬP_GOM]=CR$3)),SUMPRODUCT(Data_Nhập[Tổng Nhập-NX]*(Data_Nhập[Year]=CR$1)*(Data_Nhập[Month]=CR$2)*(Data_Nhập[Main SKU name_GOM]=$A8)*(Data_Nhập[SKU name_NHẬP_GOM]=CR$3)))</f>
        <v>153999.99999999997</v>
      </c>
      <c r="CS8" s="24" cm="1">
        <f t="array" ref="CS8">IF(CS$2="FY",SUMPRODUCT(Data_Nhập[Tổng Nhập-NX]*(Data_Nhập[Year]=CS$1)*(Data_Nhập[Main SKU name_GOM]=$A8)*(Data_Nhập[SKU name_NHẬP_GOM]=CS$3)),SUMPRODUCT(Data_Nhập[Tổng Nhập-NX]*(Data_Nhập[Year]=CS$1)*(Data_Nhập[Month]=CS$2)*(Data_Nhập[Main SKU name_GOM]=$A8)*(Data_Nhập[SKU name_NHẬP_GOM]=CS$3)))</f>
        <v>1481700</v>
      </c>
      <c r="CT8" s="24" cm="1">
        <f t="array" ref="CT8">IF(CT$2="FY",SUMPRODUCT(Data_Nhập[Tổng Nhập-NX]*(Data_Nhập[Year]=CT$1)*(Data_Nhập[Main SKU name_GOM]=$A8)*(Data_Nhập[SKU name_NHẬP_GOM]=CT$3)),SUMPRODUCT(Data_Nhập[Tổng Nhập-NX]*(Data_Nhập[Year]=CT$1)*(Data_Nhập[Month]=CT$2)*(Data_Nhập[Main SKU name_GOM]=$A8)*(Data_Nhập[SKU name_NHẬP_GOM]=CT$3)))</f>
        <v>0</v>
      </c>
      <c r="CU8" s="24" cm="1">
        <f t="array" ref="CU8">IF(CU$2="FY",SUMPRODUCT(Data_Nhập[Tổng Nhập-NX]*(Data_Nhập[Year]=CU$1)*(Data_Nhập[Main SKU name_GOM]=$A8)*(Data_Nhập[SKU name_NHẬP_GOM]=CU$3)),SUMPRODUCT(Data_Nhập[Tổng Nhập-NX]*(Data_Nhập[Year]=CU$1)*(Data_Nhập[Month]=CU$2)*(Data_Nhập[Main SKU name_GOM]=$A8)*(Data_Nhập[SKU name_NHẬP_GOM]=CU$3)))</f>
        <v>11000.000000000002</v>
      </c>
      <c r="CV8" s="24" cm="1">
        <f t="array" ref="CV8">IF(CV$2="FY",SUMPRODUCT(Data_Nhập[Tổng Nhập-NX]*(Data_Nhập[Year]=CV$1)*(Data_Nhập[Main SKU name_GOM]=$A8)*(Data_Nhập[SKU name_NHẬP_GOM]=CV$3)),SUMPRODUCT(Data_Nhập[Tổng Nhập-NX]*(Data_Nhập[Year]=CV$1)*(Data_Nhập[Month]=CV$2)*(Data_Nhập[Main SKU name_GOM]=$A8)*(Data_Nhập[SKU name_NHẬP_GOM]=CV$3)))</f>
        <v>0</v>
      </c>
      <c r="CW8" s="24" cm="1">
        <f t="array" ref="CW8">IF(CW$2="FY",SUMPRODUCT(Data_Nhập[Tổng Nhập-NX]*(Data_Nhập[Year]=CW$1)*(Data_Nhập[Main SKU name_GOM]=$A8)*(Data_Nhập[SKU name_NHẬP_GOM]=CW$3)),SUMPRODUCT(Data_Nhập[Tổng Nhập-NX]*(Data_Nhập[Year]=CW$1)*(Data_Nhập[Month]=CW$2)*(Data_Nhập[Main SKU name_GOM]=$A8)*(Data_Nhập[SKU name_NHẬP_GOM]=CW$3)))</f>
        <v>0</v>
      </c>
      <c r="CX8" s="24" cm="1">
        <f t="array" ref="CX8">IF(CX$2="FY",SUMPRODUCT(Data_Nhập[Tổng Nhập-NX]*(Data_Nhập[Year]=CX$1)*(Data_Nhập[Main SKU name_GOM]=$A8)*(Data_Nhập[SKU name_NHẬP_GOM]=CX$3)),SUMPRODUCT(Data_Nhập[Tổng Nhập-NX]*(Data_Nhập[Year]=CX$1)*(Data_Nhập[Month]=CX$2)*(Data_Nhập[Main SKU name_GOM]=$A8)*(Data_Nhập[SKU name_NHẬP_GOM]=CX$3)))</f>
        <v>0</v>
      </c>
      <c r="CY8" s="24" cm="1">
        <f t="array" ref="CY8">IF(CY$2="FY",SUMPRODUCT(Data_Nhập[Tổng Nhập-NX]*(Data_Nhập[Year]=CY$1)*(Data_Nhập[Main SKU name_GOM]=$A8)*(Data_Nhập[SKU name_NHẬP_GOM]=CY$3)),SUMPRODUCT(Data_Nhập[Tổng Nhập-NX]*(Data_Nhập[Year]=CY$1)*(Data_Nhập[Month]=CY$2)*(Data_Nhập[Main SKU name_GOM]=$A8)*(Data_Nhập[SKU name_NHẬP_GOM]=CY$3)))</f>
        <v>0</v>
      </c>
      <c r="CZ8" s="24" cm="1">
        <f t="array" ref="CZ8">IF(CZ$2="FY",SUMPRODUCT(Data_Nhập[Tổng Nhập-NX]*(Data_Nhập[Year]=CZ$1)*(Data_Nhập[Main SKU name_GOM]=$A8)*(Data_Nhập[SKU name_NHẬP_GOM]=CZ$3)),SUMPRODUCT(Data_Nhập[Tổng Nhập-NX]*(Data_Nhập[Year]=CZ$1)*(Data_Nhập[Month]=CZ$2)*(Data_Nhập[Main SKU name_GOM]=$A8)*(Data_Nhập[SKU name_NHẬP_GOM]=CZ$3)))</f>
        <v>0</v>
      </c>
      <c r="DA8" s="24" cm="1">
        <f t="array" ref="DA8">IF(DA$2="FY",SUMPRODUCT(Data_Nhập[Tổng Nhập-NX]*(Data_Nhập[Year]=DA$1)*(Data_Nhập[Main SKU name_GOM]=$A8)*(Data_Nhập[SKU name_NHẬP_GOM]=DA$3)),SUMPRODUCT(Data_Nhập[Tổng Nhập-NX]*(Data_Nhập[Year]=DA$1)*(Data_Nhập[Month]=DA$2)*(Data_Nhập[Main SKU name_GOM]=$A8)*(Data_Nhập[SKU name_NHẬP_GOM]=DA$3)))</f>
        <v>18700</v>
      </c>
      <c r="DB8" s="24" cm="1">
        <f t="array" ref="DB8">IF(DB$2="FY",SUMPRODUCT(Data_Nhập[Tổng Nhập-NX]*(Data_Nhập[Year]=DB$1)*(Data_Nhập[Main SKU name_GOM]=$A8)*(Data_Nhập[SKU name_NHẬP_GOM]=DB$3)),SUMPRODUCT(Data_Nhập[Tổng Nhập-NX]*(Data_Nhập[Year]=DB$1)*(Data_Nhập[Month]=DB$2)*(Data_Nhập[Main SKU name_GOM]=$A8)*(Data_Nhập[SKU name_NHẬP_GOM]=DB$3)))</f>
        <v>6599.9999999999991</v>
      </c>
      <c r="DC8" s="24" cm="1">
        <f t="array" ref="DC8">IF(DC$2="FY",SUMPRODUCT(Data_Nhập[Tổng Nhập-NX]*(Data_Nhập[Year]=DC$1)*(Data_Nhập[Main SKU name_GOM]=$A8)*(Data_Nhập[SKU name_NHẬP_GOM]=DC$3)),SUMPRODUCT(Data_Nhập[Tổng Nhập-NX]*(Data_Nhập[Year]=DC$1)*(Data_Nhập[Month]=DC$2)*(Data_Nhập[Main SKU name_GOM]=$A8)*(Data_Nhập[SKU name_NHẬP_GOM]=DC$3)))</f>
        <v>0</v>
      </c>
      <c r="DD8" s="24" cm="1">
        <f t="array" ref="DD8">IF(DD$2="FY",SUMPRODUCT(Data_Nhập[Tổng Nhập-NX]*(Data_Nhập[Year]=DD$1)*(Data_Nhập[Main SKU name_GOM]=$A8)*(Data_Nhập[SKU name_NHẬP_GOM]=DD$3)),SUMPRODUCT(Data_Nhập[Tổng Nhập-NX]*(Data_Nhập[Year]=DD$1)*(Data_Nhập[Month]=DD$2)*(Data_Nhập[Main SKU name_GOM]=$A8)*(Data_Nhập[SKU name_NHẬP_GOM]=DD$3)))</f>
        <v>84941</v>
      </c>
      <c r="DE8" s="24" cm="1">
        <f t="array" ref="DE8">IF(DE$2="FY",SUMPRODUCT(Data_Nhập[Tổng Nhập-NX]*(Data_Nhập[Year]=DE$1)*(Data_Nhập[Main SKU name_GOM]=$A8)*(Data_Nhập[SKU name_NHẬP_GOM]=DE$3)),SUMPRODUCT(Data_Nhập[Tổng Nhập-NX]*(Data_Nhập[Year]=DE$1)*(Data_Nhập[Month]=DE$2)*(Data_Nhập[Main SKU name_GOM]=$A8)*(Data_Nhập[SKU name_NHẬP_GOM]=DE$3)))</f>
        <v>0</v>
      </c>
      <c r="DF8" s="25">
        <f t="shared" si="17"/>
        <v>1756941</v>
      </c>
      <c r="DH8" s="25" cm="1">
        <f t="array" ref="DH8">IF(DH$2="FY",SUMPRODUCT(Data_Xuất[Xuất-NX]*(Data_Xuất[Year]=DH$1)*(Data_Xuất[Main SKU name_GOM]=$A8)),SUMPRODUCT(Data_Xuất[Xuất-NX]*(Data_Xuất[Year]=DH$1)*(Data_Xuất[Main SKU name_GOM]=$A8)*(Data_Xuất[Month]=DH$2)))</f>
        <v>1599483.5000000007</v>
      </c>
      <c r="DI8" s="24" cm="1">
        <f t="array" ref="DI8">IF(DI$2="FY",SUMPRODUCT(Data_Nhập[Tổng Nhập-NX]*(Data_Nhập[Year]=DI$1)*(Data_Nhập[Main SKU name_GOM]=$A8)*(Data_Nhập[SKU name_NHẬP_GOM]=DI$3)),SUMPRODUCT(Data_Nhập[Tổng Nhập-NX]*(Data_Nhập[Year]=DI$1)*(Data_Nhập[Month]=DI$2)*(Data_Nhập[Main SKU name_GOM]=$A8)*(Data_Nhập[SKU name_NHẬP_GOM]=DI$3)))</f>
        <v>16500.000000000004</v>
      </c>
      <c r="DJ8" s="24" cm="1">
        <f t="array" ref="DJ8">IF(DJ$2="FY",SUMPRODUCT(Data_Nhập[Tổng Nhập-NX]*(Data_Nhập[Year]=DJ$1)*(Data_Nhập[Main SKU name_GOM]=$A8)*(Data_Nhập[SKU name_NHẬP_GOM]=DJ$3)),SUMPRODUCT(Data_Nhập[Tổng Nhập-NX]*(Data_Nhập[Year]=DJ$1)*(Data_Nhập[Month]=DJ$2)*(Data_Nhập[Main SKU name_GOM]=$A8)*(Data_Nhập[SKU name_NHẬP_GOM]=DJ$3)))</f>
        <v>91300</v>
      </c>
      <c r="DK8" s="24" cm="1">
        <f t="array" ref="DK8">IF(DK$2="FY",SUMPRODUCT(Data_Nhập[Tổng Nhập-NX]*(Data_Nhập[Year]=DK$1)*(Data_Nhập[Main SKU name_GOM]=$A8)*(Data_Nhập[SKU name_NHẬP_GOM]=DK$3)),SUMPRODUCT(Data_Nhập[Tổng Nhập-NX]*(Data_Nhập[Year]=DK$1)*(Data_Nhập[Month]=DK$2)*(Data_Nhập[Main SKU name_GOM]=$A8)*(Data_Nhập[SKU name_NHẬP_GOM]=DK$3)))</f>
        <v>1326599.9999999998</v>
      </c>
      <c r="DL8" s="24" cm="1">
        <f t="array" ref="DL8">IF(DL$2="FY",SUMPRODUCT(Data_Nhập[Tổng Nhập-NX]*(Data_Nhập[Year]=DL$1)*(Data_Nhập[Main SKU name_GOM]=$A8)*(Data_Nhập[SKU name_NHẬP_GOM]=DL$3)),SUMPRODUCT(Data_Nhập[Tổng Nhập-NX]*(Data_Nhập[Year]=DL$1)*(Data_Nhập[Month]=DL$2)*(Data_Nhập[Main SKU name_GOM]=$A8)*(Data_Nhập[SKU name_NHẬP_GOM]=DL$3)))</f>
        <v>0</v>
      </c>
      <c r="DM8" s="24" cm="1">
        <f t="array" ref="DM8">IF(DM$2="FY",SUMPRODUCT(Data_Nhập[Tổng Nhập-NX]*(Data_Nhập[Year]=DM$1)*(Data_Nhập[Main SKU name_GOM]=$A8)*(Data_Nhập[SKU name_NHẬP_GOM]=DM$3)),SUMPRODUCT(Data_Nhập[Tổng Nhập-NX]*(Data_Nhập[Year]=DM$1)*(Data_Nhập[Month]=DM$2)*(Data_Nhập[Main SKU name_GOM]=$A8)*(Data_Nhập[SKU name_NHẬP_GOM]=DM$3)))</f>
        <v>12100.000000000002</v>
      </c>
      <c r="DN8" s="24" cm="1">
        <f t="array" ref="DN8">IF(DN$2="FY",SUMPRODUCT(Data_Nhập[Tổng Nhập-NX]*(Data_Nhập[Year]=DN$1)*(Data_Nhập[Main SKU name_GOM]=$A8)*(Data_Nhập[SKU name_NHẬP_GOM]=DN$3)),SUMPRODUCT(Data_Nhập[Tổng Nhập-NX]*(Data_Nhập[Year]=DN$1)*(Data_Nhập[Month]=DN$2)*(Data_Nhập[Main SKU name_GOM]=$A8)*(Data_Nhập[SKU name_NHẬP_GOM]=DN$3)))</f>
        <v>0</v>
      </c>
      <c r="DO8" s="24" cm="1">
        <f t="array" ref="DO8">IF(DO$2="FY",SUMPRODUCT(Data_Nhập[Tổng Nhập-NX]*(Data_Nhập[Year]=DO$1)*(Data_Nhập[Main SKU name_GOM]=$A8)*(Data_Nhập[SKU name_NHẬP_GOM]=DO$3)),SUMPRODUCT(Data_Nhập[Tổng Nhập-NX]*(Data_Nhập[Year]=DO$1)*(Data_Nhập[Month]=DO$2)*(Data_Nhập[Main SKU name_GOM]=$A8)*(Data_Nhập[SKU name_NHẬP_GOM]=DO$3)))</f>
        <v>0</v>
      </c>
      <c r="DP8" s="24" cm="1">
        <f t="array" ref="DP8">IF(DP$2="FY",SUMPRODUCT(Data_Nhập[Tổng Nhập-NX]*(Data_Nhập[Year]=DP$1)*(Data_Nhập[Main SKU name_GOM]=$A8)*(Data_Nhập[SKU name_NHẬP_GOM]=DP$3)),SUMPRODUCT(Data_Nhập[Tổng Nhập-NX]*(Data_Nhập[Year]=DP$1)*(Data_Nhập[Month]=DP$2)*(Data_Nhập[Main SKU name_GOM]=$A8)*(Data_Nhập[SKU name_NHẬP_GOM]=DP$3)))</f>
        <v>0</v>
      </c>
      <c r="DQ8" s="24" cm="1">
        <f t="array" ref="DQ8">IF(DQ$2="FY",SUMPRODUCT(Data_Nhập[Tổng Nhập-NX]*(Data_Nhập[Year]=DQ$1)*(Data_Nhập[Main SKU name_GOM]=$A8)*(Data_Nhập[SKU name_NHẬP_GOM]=DQ$3)),SUMPRODUCT(Data_Nhập[Tổng Nhập-NX]*(Data_Nhập[Year]=DQ$1)*(Data_Nhập[Month]=DQ$2)*(Data_Nhập[Main SKU name_GOM]=$A8)*(Data_Nhập[SKU name_NHẬP_GOM]=DQ$3)))</f>
        <v>2199.9999999999995</v>
      </c>
      <c r="DR8" s="24" cm="1">
        <f t="array" ref="DR8">IF(DR$2="FY",SUMPRODUCT(Data_Nhập[Tổng Nhập-NX]*(Data_Nhập[Year]=DR$1)*(Data_Nhập[Main SKU name_GOM]=$A8)*(Data_Nhập[SKU name_NHẬP_GOM]=DR$3)),SUMPRODUCT(Data_Nhập[Tổng Nhập-NX]*(Data_Nhập[Year]=DR$1)*(Data_Nhập[Month]=DR$2)*(Data_Nhập[Main SKU name_GOM]=$A8)*(Data_Nhập[SKU name_NHẬP_GOM]=DR$3)))</f>
        <v>0</v>
      </c>
      <c r="DS8" s="24" cm="1">
        <f t="array" ref="DS8">IF(DS$2="FY",SUMPRODUCT(Data_Nhập[Tổng Nhập-NX]*(Data_Nhập[Year]=DS$1)*(Data_Nhập[Main SKU name_GOM]=$A8)*(Data_Nhập[SKU name_NHẬP_GOM]=DS$3)),SUMPRODUCT(Data_Nhập[Tổng Nhập-NX]*(Data_Nhập[Year]=DS$1)*(Data_Nhập[Month]=DS$2)*(Data_Nhập[Main SKU name_GOM]=$A8)*(Data_Nhập[SKU name_NHẬP_GOM]=DS$3)))</f>
        <v>27500.000000000004</v>
      </c>
      <c r="DT8" s="24" cm="1">
        <f t="array" ref="DT8">IF(DT$2="FY",SUMPRODUCT(Data_Nhập[Tổng Nhập-NX]*(Data_Nhập[Year]=DT$1)*(Data_Nhập[Main SKU name_GOM]=$A8)*(Data_Nhập[SKU name_NHẬP_GOM]=DT$3)),SUMPRODUCT(Data_Nhập[Tổng Nhập-NX]*(Data_Nhập[Year]=DT$1)*(Data_Nhập[Month]=DT$2)*(Data_Nhập[Main SKU name_GOM]=$A8)*(Data_Nhập[SKU name_NHẬP_GOM]=DT$3)))</f>
        <v>7700.0000000000018</v>
      </c>
      <c r="DU8" s="24" cm="1">
        <f t="array" ref="DU8">IF(DU$2="FY",SUMPRODUCT(Data_Nhập[Tổng Nhập-NX]*(Data_Nhập[Year]=DU$1)*(Data_Nhập[Main SKU name_GOM]=$A8)*(Data_Nhập[SKU name_NHẬP_GOM]=DU$3)),SUMPRODUCT(Data_Nhập[Tổng Nhập-NX]*(Data_Nhập[Year]=DU$1)*(Data_Nhập[Month]=DU$2)*(Data_Nhập[Main SKU name_GOM]=$A8)*(Data_Nhập[SKU name_NHẬP_GOM]=DU$3)))</f>
        <v>0</v>
      </c>
      <c r="DV8" s="24" cm="1">
        <f t="array" ref="DV8">IF(DV$2="FY",SUMPRODUCT(Data_Nhập[Tổng Nhập-NX]*(Data_Nhập[Year]=DV$1)*(Data_Nhập[Main SKU name_GOM]=$A8)*(Data_Nhập[SKU name_NHẬP_GOM]=DV$3)),SUMPRODUCT(Data_Nhập[Tổng Nhập-NX]*(Data_Nhập[Year]=DV$1)*(Data_Nhập[Month]=DV$2)*(Data_Nhập[Main SKU name_GOM]=$A8)*(Data_Nhập[SKU name_NHẬP_GOM]=DV$3)))</f>
        <v>90558</v>
      </c>
      <c r="DW8" s="24" cm="1">
        <f t="array" ref="DW8">IF(DW$2="FY",SUMPRODUCT(Data_Nhập[Tổng Nhập-NX]*(Data_Nhập[Year]=DW$1)*(Data_Nhập[Main SKU name_GOM]=$A8)*(Data_Nhập[SKU name_NHẬP_GOM]=DW$3)),SUMPRODUCT(Data_Nhập[Tổng Nhập-NX]*(Data_Nhập[Year]=DW$1)*(Data_Nhập[Month]=DW$2)*(Data_Nhập[Main SKU name_GOM]=$A8)*(Data_Nhập[SKU name_NHẬP_GOM]=DW$3)))</f>
        <v>0</v>
      </c>
      <c r="DX8" s="25">
        <f t="shared" si="18"/>
        <v>1574457.9999999998</v>
      </c>
      <c r="DZ8" s="25" cm="1">
        <f t="array" ref="DZ8">IF(DZ$2="FY",SUMPRODUCT(Data_Xuất[Xuất-NX]*(Data_Xuất[Year]=DZ$1)*(Data_Xuất[Main SKU name_GOM]=$A8)),SUMPRODUCT(Data_Xuất[Xuất-NX]*(Data_Xuất[Year]=DZ$1)*(Data_Xuất[Main SKU name_GOM]=$A8)*(Data_Xuất[Month]=DZ$2)))</f>
        <v>2348709.5</v>
      </c>
      <c r="EA8" s="24" cm="1">
        <f t="array" ref="EA8">IF(EA$2="FY",SUMPRODUCT(Data_Nhập[Tổng Nhập-NX]*(Data_Nhập[Year]=EA$1)*(Data_Nhập[Main SKU name_GOM]=$A8)*(Data_Nhập[SKU name_NHẬP_GOM]=EA$3)),SUMPRODUCT(Data_Nhập[Tổng Nhập-NX]*(Data_Nhập[Year]=EA$1)*(Data_Nhập[Month]=EA$2)*(Data_Nhập[Main SKU name_GOM]=$A8)*(Data_Nhập[SKU name_NHẬP_GOM]=EA$3)))</f>
        <v>1100</v>
      </c>
      <c r="EB8" s="24" cm="1">
        <f t="array" ref="EB8">IF(EB$2="FY",SUMPRODUCT(Data_Nhập[Tổng Nhập-NX]*(Data_Nhập[Year]=EB$1)*(Data_Nhập[Main SKU name_GOM]=$A8)*(Data_Nhập[SKU name_NHẬP_GOM]=EB$3)),SUMPRODUCT(Data_Nhập[Tổng Nhập-NX]*(Data_Nhập[Year]=EB$1)*(Data_Nhập[Month]=EB$2)*(Data_Nhập[Main SKU name_GOM]=$A8)*(Data_Nhập[SKU name_NHẬP_GOM]=EB$3)))</f>
        <v>78100.000000000015</v>
      </c>
      <c r="EC8" s="24" cm="1">
        <f t="array" ref="EC8">IF(EC$2="FY",SUMPRODUCT(Data_Nhập[Tổng Nhập-NX]*(Data_Nhập[Year]=EC$1)*(Data_Nhập[Main SKU name_GOM]=$A8)*(Data_Nhập[SKU name_NHẬP_GOM]=EC$3)),SUMPRODUCT(Data_Nhập[Tổng Nhập-NX]*(Data_Nhập[Year]=EC$1)*(Data_Nhập[Month]=EC$2)*(Data_Nhập[Main SKU name_GOM]=$A8)*(Data_Nhập[SKU name_NHẬP_GOM]=EC$3)))</f>
        <v>1998800</v>
      </c>
      <c r="ED8" s="24" cm="1">
        <f t="array" ref="ED8">IF(ED$2="FY",SUMPRODUCT(Data_Nhập[Tổng Nhập-NX]*(Data_Nhập[Year]=ED$1)*(Data_Nhập[Main SKU name_GOM]=$A8)*(Data_Nhập[SKU name_NHẬP_GOM]=ED$3)),SUMPRODUCT(Data_Nhập[Tổng Nhập-NX]*(Data_Nhập[Year]=ED$1)*(Data_Nhập[Month]=ED$2)*(Data_Nhập[Main SKU name_GOM]=$A8)*(Data_Nhập[SKU name_NHẬP_GOM]=ED$3)))</f>
        <v>0</v>
      </c>
      <c r="EE8" s="24" cm="1">
        <f t="array" ref="EE8">IF(EE$2="FY",SUMPRODUCT(Data_Nhập[Tổng Nhập-NX]*(Data_Nhập[Year]=EE$1)*(Data_Nhập[Main SKU name_GOM]=$A8)*(Data_Nhập[SKU name_NHẬP_GOM]=EE$3)),SUMPRODUCT(Data_Nhập[Tổng Nhập-NX]*(Data_Nhập[Year]=EE$1)*(Data_Nhập[Month]=EE$2)*(Data_Nhập[Main SKU name_GOM]=$A8)*(Data_Nhập[SKU name_NHẬP_GOM]=EE$3)))</f>
        <v>4400</v>
      </c>
      <c r="EF8" s="24" cm="1">
        <f t="array" ref="EF8">IF(EF$2="FY",SUMPRODUCT(Data_Nhập[Tổng Nhập-NX]*(Data_Nhập[Year]=EF$1)*(Data_Nhập[Main SKU name_GOM]=$A8)*(Data_Nhập[SKU name_NHẬP_GOM]=EF$3)),SUMPRODUCT(Data_Nhập[Tổng Nhập-NX]*(Data_Nhập[Year]=EF$1)*(Data_Nhập[Month]=EF$2)*(Data_Nhập[Main SKU name_GOM]=$A8)*(Data_Nhập[SKU name_NHẬP_GOM]=EF$3)))</f>
        <v>0</v>
      </c>
      <c r="EG8" s="24" cm="1">
        <f t="array" ref="EG8">IF(EG$2="FY",SUMPRODUCT(Data_Nhập[Tổng Nhập-NX]*(Data_Nhập[Year]=EG$1)*(Data_Nhập[Main SKU name_GOM]=$A8)*(Data_Nhập[SKU name_NHẬP_GOM]=EG$3)),SUMPRODUCT(Data_Nhập[Tổng Nhập-NX]*(Data_Nhập[Year]=EG$1)*(Data_Nhập[Month]=EG$2)*(Data_Nhập[Main SKU name_GOM]=$A8)*(Data_Nhập[SKU name_NHẬP_GOM]=EG$3)))</f>
        <v>0</v>
      </c>
      <c r="EH8" s="24" cm="1">
        <f t="array" ref="EH8">IF(EH$2="FY",SUMPRODUCT(Data_Nhập[Tổng Nhập-NX]*(Data_Nhập[Year]=EH$1)*(Data_Nhập[Main SKU name_GOM]=$A8)*(Data_Nhập[SKU name_NHẬP_GOM]=EH$3)),SUMPRODUCT(Data_Nhập[Tổng Nhập-NX]*(Data_Nhập[Year]=EH$1)*(Data_Nhập[Month]=EH$2)*(Data_Nhập[Main SKU name_GOM]=$A8)*(Data_Nhập[SKU name_NHẬP_GOM]=EH$3)))</f>
        <v>0</v>
      </c>
      <c r="EI8" s="24" cm="1">
        <f t="array" ref="EI8">IF(EI$2="FY",SUMPRODUCT(Data_Nhập[Tổng Nhập-NX]*(Data_Nhập[Year]=EI$1)*(Data_Nhập[Main SKU name_GOM]=$A8)*(Data_Nhập[SKU name_NHẬP_GOM]=EI$3)),SUMPRODUCT(Data_Nhập[Tổng Nhập-NX]*(Data_Nhập[Year]=EI$1)*(Data_Nhập[Month]=EI$2)*(Data_Nhập[Main SKU name_GOM]=$A8)*(Data_Nhập[SKU name_NHẬP_GOM]=EI$3)))</f>
        <v>0</v>
      </c>
      <c r="EJ8" s="24" cm="1">
        <f t="array" ref="EJ8">IF(EJ$2="FY",SUMPRODUCT(Data_Nhập[Tổng Nhập-NX]*(Data_Nhập[Year]=EJ$1)*(Data_Nhập[Main SKU name_GOM]=$A8)*(Data_Nhập[SKU name_NHẬP_GOM]=EJ$3)),SUMPRODUCT(Data_Nhập[Tổng Nhập-NX]*(Data_Nhập[Year]=EJ$1)*(Data_Nhập[Month]=EJ$2)*(Data_Nhập[Main SKU name_GOM]=$A8)*(Data_Nhập[SKU name_NHẬP_GOM]=EJ$3)))</f>
        <v>0</v>
      </c>
      <c r="EK8" s="24" cm="1">
        <f t="array" ref="EK8">IF(EK$2="FY",SUMPRODUCT(Data_Nhập[Tổng Nhập-NX]*(Data_Nhập[Year]=EK$1)*(Data_Nhập[Main SKU name_GOM]=$A8)*(Data_Nhập[SKU name_NHẬP_GOM]=EK$3)),SUMPRODUCT(Data_Nhập[Tổng Nhập-NX]*(Data_Nhập[Year]=EK$1)*(Data_Nhập[Month]=EK$2)*(Data_Nhập[Main SKU name_GOM]=$A8)*(Data_Nhập[SKU name_NHẬP_GOM]=EK$3)))</f>
        <v>113300.00000000001</v>
      </c>
      <c r="EL8" s="24" cm="1">
        <f t="array" ref="EL8">IF(EL$2="FY",SUMPRODUCT(Data_Nhập[Tổng Nhập-NX]*(Data_Nhập[Year]=EL$1)*(Data_Nhập[Main SKU name_GOM]=$A8)*(Data_Nhập[SKU name_NHẬP_GOM]=EL$3)),SUMPRODUCT(Data_Nhập[Tổng Nhập-NX]*(Data_Nhập[Year]=EL$1)*(Data_Nhập[Month]=EL$2)*(Data_Nhập[Main SKU name_GOM]=$A8)*(Data_Nhập[SKU name_NHẬP_GOM]=EL$3)))</f>
        <v>9900</v>
      </c>
      <c r="EM8" s="24" cm="1">
        <f t="array" ref="EM8">IF(EM$2="FY",SUMPRODUCT(Data_Nhập[Tổng Nhập-NX]*(Data_Nhập[Year]=EM$1)*(Data_Nhập[Main SKU name_GOM]=$A8)*(Data_Nhập[SKU name_NHẬP_GOM]=EM$3)),SUMPRODUCT(Data_Nhập[Tổng Nhập-NX]*(Data_Nhập[Year]=EM$1)*(Data_Nhập[Month]=EM$2)*(Data_Nhập[Main SKU name_GOM]=$A8)*(Data_Nhập[SKU name_NHẬP_GOM]=EM$3)))</f>
        <v>0</v>
      </c>
      <c r="EN8" s="24" cm="1">
        <f t="array" ref="EN8">IF(EN$2="FY",SUMPRODUCT(Data_Nhập[Tổng Nhập-NX]*(Data_Nhập[Year]=EN$1)*(Data_Nhập[Main SKU name_GOM]=$A8)*(Data_Nhập[SKU name_NHẬP_GOM]=EN$3)),SUMPRODUCT(Data_Nhập[Tổng Nhập-NX]*(Data_Nhập[Year]=EN$1)*(Data_Nhập[Month]=EN$2)*(Data_Nhập[Main SKU name_GOM]=$A8)*(Data_Nhập[SKU name_NHẬP_GOM]=EN$3)))</f>
        <v>110075</v>
      </c>
      <c r="EO8" s="24" cm="1">
        <f t="array" ref="EO8">IF(EO$2="FY",SUMPRODUCT(Data_Nhập[Tổng Nhập-NX]*(Data_Nhập[Year]=EO$1)*(Data_Nhập[Main SKU name_GOM]=$A8)*(Data_Nhập[SKU name_NHẬP_GOM]=EO$3)),SUMPRODUCT(Data_Nhập[Tổng Nhập-NX]*(Data_Nhập[Year]=EO$1)*(Data_Nhập[Month]=EO$2)*(Data_Nhập[Main SKU name_GOM]=$A8)*(Data_Nhập[SKU name_NHẬP_GOM]=EO$3)))</f>
        <v>0</v>
      </c>
      <c r="EP8" s="25">
        <f t="shared" si="19"/>
        <v>2315675</v>
      </c>
      <c r="ER8" s="25" cm="1">
        <f t="array" ref="ER8">IF(ER$2="FY",SUMPRODUCT(Data_Xuất[Xuất-NX]*(Data_Xuất[Year]=ER$1)*(Data_Xuất[Main SKU name_GOM]=$A8)),SUMPRODUCT(Data_Xuất[Xuất-NX]*(Data_Xuất[Year]=ER$1)*(Data_Xuất[Main SKU name_GOM]=$A8)*(Data_Xuất[Month]=ER$2)))</f>
        <v>2262026.9999999991</v>
      </c>
      <c r="ES8" s="24" cm="1">
        <f t="array" ref="ES8">IF(ES$2="FY",SUMPRODUCT(Data_Nhập[Tổng Nhập-NX]*(Data_Nhập[Year]=ES$1)*(Data_Nhập[Main SKU name_GOM]=$A8)*(Data_Nhập[SKU name_NHẬP_GOM]=ES$3)),SUMPRODUCT(Data_Nhập[Tổng Nhập-NX]*(Data_Nhập[Year]=ES$1)*(Data_Nhập[Month]=ES$2)*(Data_Nhập[Main SKU name_GOM]=$A8)*(Data_Nhập[SKU name_NHẬP_GOM]=ES$3)))</f>
        <v>2200</v>
      </c>
      <c r="ET8" s="24" cm="1">
        <f t="array" ref="ET8">IF(ET$2="FY",SUMPRODUCT(Data_Nhập[Tổng Nhập-NX]*(Data_Nhập[Year]=ET$1)*(Data_Nhập[Main SKU name_GOM]=$A8)*(Data_Nhập[SKU name_NHẬP_GOM]=ET$3)),SUMPRODUCT(Data_Nhập[Tổng Nhập-NX]*(Data_Nhập[Year]=ET$1)*(Data_Nhập[Month]=ET$2)*(Data_Nhập[Main SKU name_GOM]=$A8)*(Data_Nhập[SKU name_NHẬP_GOM]=ET$3)))</f>
        <v>192500</v>
      </c>
      <c r="EU8" s="24" cm="1">
        <f t="array" ref="EU8">IF(EU$2="FY",SUMPRODUCT(Data_Nhập[Tổng Nhập-NX]*(Data_Nhập[Year]=EU$1)*(Data_Nhập[Main SKU name_GOM]=$A8)*(Data_Nhập[SKU name_NHẬP_GOM]=EU$3)),SUMPRODUCT(Data_Nhập[Tổng Nhập-NX]*(Data_Nhập[Year]=EU$1)*(Data_Nhập[Month]=EU$2)*(Data_Nhập[Main SKU name_GOM]=$A8)*(Data_Nhập[SKU name_NHẬP_GOM]=EU$3)))</f>
        <v>1802899.9999999998</v>
      </c>
      <c r="EV8" s="24" cm="1">
        <f t="array" ref="EV8">IF(EV$2="FY",SUMPRODUCT(Data_Nhập[Tổng Nhập-NX]*(Data_Nhập[Year]=EV$1)*(Data_Nhập[Main SKU name_GOM]=$A8)*(Data_Nhập[SKU name_NHẬP_GOM]=EV$3)),SUMPRODUCT(Data_Nhập[Tổng Nhập-NX]*(Data_Nhập[Year]=EV$1)*(Data_Nhập[Month]=EV$2)*(Data_Nhập[Main SKU name_GOM]=$A8)*(Data_Nhập[SKU name_NHẬP_GOM]=EV$3)))</f>
        <v>0</v>
      </c>
      <c r="EW8" s="24" cm="1">
        <f t="array" ref="EW8">IF(EW$2="FY",SUMPRODUCT(Data_Nhập[Tổng Nhập-NX]*(Data_Nhập[Year]=EW$1)*(Data_Nhập[Main SKU name_GOM]=$A8)*(Data_Nhập[SKU name_NHẬP_GOM]=EW$3)),SUMPRODUCT(Data_Nhập[Tổng Nhập-NX]*(Data_Nhập[Year]=EW$1)*(Data_Nhập[Month]=EW$2)*(Data_Nhập[Main SKU name_GOM]=$A8)*(Data_Nhập[SKU name_NHẬP_GOM]=EW$3)))</f>
        <v>15400</v>
      </c>
      <c r="EX8" s="24" cm="1">
        <f t="array" ref="EX8">IF(EX$2="FY",SUMPRODUCT(Data_Nhập[Tổng Nhập-NX]*(Data_Nhập[Year]=EX$1)*(Data_Nhập[Main SKU name_GOM]=$A8)*(Data_Nhập[SKU name_NHẬP_GOM]=EX$3)),SUMPRODUCT(Data_Nhập[Tổng Nhập-NX]*(Data_Nhập[Year]=EX$1)*(Data_Nhập[Month]=EX$2)*(Data_Nhập[Main SKU name_GOM]=$A8)*(Data_Nhập[SKU name_NHẬP_GOM]=EX$3)))</f>
        <v>0</v>
      </c>
      <c r="EY8" s="24" cm="1">
        <f t="array" ref="EY8">IF(EY$2="FY",SUMPRODUCT(Data_Nhập[Tổng Nhập-NX]*(Data_Nhập[Year]=EY$1)*(Data_Nhập[Main SKU name_GOM]=$A8)*(Data_Nhập[SKU name_NHẬP_GOM]=EY$3)),SUMPRODUCT(Data_Nhập[Tổng Nhập-NX]*(Data_Nhập[Year]=EY$1)*(Data_Nhập[Month]=EY$2)*(Data_Nhập[Main SKU name_GOM]=$A8)*(Data_Nhập[SKU name_NHẬP_GOM]=EY$3)))</f>
        <v>0</v>
      </c>
      <c r="EZ8" s="24" cm="1">
        <f t="array" ref="EZ8">IF(EZ$2="FY",SUMPRODUCT(Data_Nhập[Tổng Nhập-NX]*(Data_Nhập[Year]=EZ$1)*(Data_Nhập[Main SKU name_GOM]=$A8)*(Data_Nhập[SKU name_NHẬP_GOM]=EZ$3)),SUMPRODUCT(Data_Nhập[Tổng Nhập-NX]*(Data_Nhập[Year]=EZ$1)*(Data_Nhập[Month]=EZ$2)*(Data_Nhập[Main SKU name_GOM]=$A8)*(Data_Nhập[SKU name_NHẬP_GOM]=EZ$3)))</f>
        <v>0</v>
      </c>
      <c r="FA8" s="24" cm="1">
        <f t="array" ref="FA8">IF(FA$2="FY",SUMPRODUCT(Data_Nhập[Tổng Nhập-NX]*(Data_Nhập[Year]=FA$1)*(Data_Nhập[Main SKU name_GOM]=$A8)*(Data_Nhập[SKU name_NHẬP_GOM]=FA$3)),SUMPRODUCT(Data_Nhập[Tổng Nhập-NX]*(Data_Nhập[Year]=FA$1)*(Data_Nhập[Month]=FA$2)*(Data_Nhập[Main SKU name_GOM]=$A8)*(Data_Nhập[SKU name_NHẬP_GOM]=FA$3)))</f>
        <v>0</v>
      </c>
      <c r="FB8" s="24" cm="1">
        <f t="array" ref="FB8">IF(FB$2="FY",SUMPRODUCT(Data_Nhập[Tổng Nhập-NX]*(Data_Nhập[Year]=FB$1)*(Data_Nhập[Main SKU name_GOM]=$A8)*(Data_Nhập[SKU name_NHẬP_GOM]=FB$3)),SUMPRODUCT(Data_Nhập[Tổng Nhập-NX]*(Data_Nhập[Year]=FB$1)*(Data_Nhập[Month]=FB$2)*(Data_Nhập[Main SKU name_GOM]=$A8)*(Data_Nhập[SKU name_NHẬP_GOM]=FB$3)))</f>
        <v>0</v>
      </c>
      <c r="FC8" s="24" cm="1">
        <f t="array" ref="FC8">IF(FC$2="FY",SUMPRODUCT(Data_Nhập[Tổng Nhập-NX]*(Data_Nhập[Year]=FC$1)*(Data_Nhập[Main SKU name_GOM]=$A8)*(Data_Nhập[SKU name_NHẬP_GOM]=FC$3)),SUMPRODUCT(Data_Nhập[Tổng Nhập-NX]*(Data_Nhập[Year]=FC$1)*(Data_Nhập[Month]=FC$2)*(Data_Nhập[Main SKU name_GOM]=$A8)*(Data_Nhập[SKU name_NHẬP_GOM]=FC$3)))</f>
        <v>94600.000000000015</v>
      </c>
      <c r="FD8" s="24" cm="1">
        <f t="array" ref="FD8">IF(FD$2="FY",SUMPRODUCT(Data_Nhập[Tổng Nhập-NX]*(Data_Nhập[Year]=FD$1)*(Data_Nhập[Main SKU name_GOM]=$A8)*(Data_Nhập[SKU name_NHẬP_GOM]=FD$3)),SUMPRODUCT(Data_Nhập[Tổng Nhập-NX]*(Data_Nhập[Year]=FD$1)*(Data_Nhập[Month]=FD$2)*(Data_Nhập[Main SKU name_GOM]=$A8)*(Data_Nhập[SKU name_NHẬP_GOM]=FD$3)))</f>
        <v>15400</v>
      </c>
      <c r="FE8" s="24" cm="1">
        <f t="array" ref="FE8">IF(FE$2="FY",SUMPRODUCT(Data_Nhập[Tổng Nhập-NX]*(Data_Nhập[Year]=FE$1)*(Data_Nhập[Main SKU name_GOM]=$A8)*(Data_Nhập[SKU name_NHẬP_GOM]=FE$3)),SUMPRODUCT(Data_Nhập[Tổng Nhập-NX]*(Data_Nhập[Year]=FE$1)*(Data_Nhập[Month]=FE$2)*(Data_Nhập[Main SKU name_GOM]=$A8)*(Data_Nhập[SKU name_NHẬP_GOM]=FE$3)))</f>
        <v>0</v>
      </c>
      <c r="FF8" s="24" cm="1">
        <f t="array" ref="FF8">IF(FF$2="FY",SUMPRODUCT(Data_Nhập[Tổng Nhập-NX]*(Data_Nhập[Year]=FF$1)*(Data_Nhập[Main SKU name_GOM]=$A8)*(Data_Nhập[SKU name_NHẬP_GOM]=FF$3)),SUMPRODUCT(Data_Nhập[Tổng Nhập-NX]*(Data_Nhập[Year]=FF$1)*(Data_Nhập[Month]=FF$2)*(Data_Nhập[Main SKU name_GOM]=$A8)*(Data_Nhập[SKU name_NHẬP_GOM]=FF$3)))</f>
        <v>99880</v>
      </c>
      <c r="FG8" s="24" cm="1">
        <f t="array" ref="FG8">IF(FG$2="FY",SUMPRODUCT(Data_Nhập[Tổng Nhập-NX]*(Data_Nhập[Year]=FG$1)*(Data_Nhập[Main SKU name_GOM]=$A8)*(Data_Nhập[SKU name_NHẬP_GOM]=FG$3)),SUMPRODUCT(Data_Nhập[Tổng Nhập-NX]*(Data_Nhập[Year]=FG$1)*(Data_Nhập[Month]=FG$2)*(Data_Nhập[Main SKU name_GOM]=$A8)*(Data_Nhập[SKU name_NHẬP_GOM]=FG$3)))</f>
        <v>0</v>
      </c>
      <c r="FH8" s="25">
        <f t="shared" si="20"/>
        <v>2222880</v>
      </c>
      <c r="FJ8" s="25" cm="1">
        <f t="array" ref="FJ8">IF(FJ$2="FY",SUMPRODUCT(Data_Xuất[Xuất-NX]*(Data_Xuất[Year]=FJ$1)*(Data_Xuất[Main SKU name_GOM]=$A8)),SUMPRODUCT(Data_Xuất[Xuất-NX]*(Data_Xuất[Year]=FJ$1)*(Data_Xuất[Main SKU name_GOM]=$A8)*(Data_Xuất[Month]=FJ$2)))</f>
        <v>1739782</v>
      </c>
      <c r="FK8" s="24" cm="1">
        <f t="array" ref="FK8">IF(FK$2="FY",SUMPRODUCT(Data_Nhập[Tổng Nhập-NX]*(Data_Nhập[Year]=FK$1)*(Data_Nhập[Main SKU name_GOM]=$A8)*(Data_Nhập[SKU name_NHẬP_GOM]=FK$3)),SUMPRODUCT(Data_Nhập[Tổng Nhập-NX]*(Data_Nhập[Year]=FK$1)*(Data_Nhập[Month]=FK$2)*(Data_Nhập[Main SKU name_GOM]=$A8)*(Data_Nhập[SKU name_NHẬP_GOM]=FK$3)))</f>
        <v>8800</v>
      </c>
      <c r="FL8" s="24" cm="1">
        <f t="array" ref="FL8">IF(FL$2="FY",SUMPRODUCT(Data_Nhập[Tổng Nhập-NX]*(Data_Nhập[Year]=FL$1)*(Data_Nhập[Main SKU name_GOM]=$A8)*(Data_Nhập[SKU name_NHẬP_GOM]=FL$3)),SUMPRODUCT(Data_Nhập[Tổng Nhập-NX]*(Data_Nhập[Year]=FL$1)*(Data_Nhập[Month]=FL$2)*(Data_Nhập[Main SKU name_GOM]=$A8)*(Data_Nhập[SKU name_NHẬP_GOM]=FL$3)))</f>
        <v>27500</v>
      </c>
      <c r="FM8" s="24" cm="1">
        <f t="array" ref="FM8">IF(FM$2="FY",SUMPRODUCT(Data_Nhập[Tổng Nhập-NX]*(Data_Nhập[Year]=FM$1)*(Data_Nhập[Main SKU name_GOM]=$A8)*(Data_Nhập[SKU name_NHẬP_GOM]=FM$3)),SUMPRODUCT(Data_Nhập[Tổng Nhập-NX]*(Data_Nhập[Year]=FM$1)*(Data_Nhập[Month]=FM$2)*(Data_Nhập[Main SKU name_GOM]=$A8)*(Data_Nhập[SKU name_NHẬP_GOM]=FM$3)))</f>
        <v>1565300</v>
      </c>
      <c r="FN8" s="24" cm="1">
        <f t="array" ref="FN8">IF(FN$2="FY",SUMPRODUCT(Data_Nhập[Tổng Nhập-NX]*(Data_Nhập[Year]=FN$1)*(Data_Nhập[Main SKU name_GOM]=$A8)*(Data_Nhập[SKU name_NHẬP_GOM]=FN$3)),SUMPRODUCT(Data_Nhập[Tổng Nhập-NX]*(Data_Nhập[Year]=FN$1)*(Data_Nhập[Month]=FN$2)*(Data_Nhập[Main SKU name_GOM]=$A8)*(Data_Nhập[SKU name_NHẬP_GOM]=FN$3)))</f>
        <v>0</v>
      </c>
      <c r="FO8" s="24" cm="1">
        <f t="array" ref="FO8">IF(FO$2="FY",SUMPRODUCT(Data_Nhập[Tổng Nhập-NX]*(Data_Nhập[Year]=FO$1)*(Data_Nhập[Main SKU name_GOM]=$A8)*(Data_Nhập[SKU name_NHẬP_GOM]=FO$3)),SUMPRODUCT(Data_Nhập[Tổng Nhập-NX]*(Data_Nhập[Year]=FO$1)*(Data_Nhập[Month]=FO$2)*(Data_Nhập[Main SKU name_GOM]=$A8)*(Data_Nhập[SKU name_NHẬP_GOM]=FO$3)))</f>
        <v>8800</v>
      </c>
      <c r="FP8" s="24" cm="1">
        <f t="array" ref="FP8">IF(FP$2="FY",SUMPRODUCT(Data_Nhập[Tổng Nhập-NX]*(Data_Nhập[Year]=FP$1)*(Data_Nhập[Main SKU name_GOM]=$A8)*(Data_Nhập[SKU name_NHẬP_GOM]=FP$3)),SUMPRODUCT(Data_Nhập[Tổng Nhập-NX]*(Data_Nhập[Year]=FP$1)*(Data_Nhập[Month]=FP$2)*(Data_Nhập[Main SKU name_GOM]=$A8)*(Data_Nhập[SKU name_NHẬP_GOM]=FP$3)))</f>
        <v>0</v>
      </c>
      <c r="FQ8" s="24" cm="1">
        <f t="array" ref="FQ8">IF(FQ$2="FY",SUMPRODUCT(Data_Nhập[Tổng Nhập-NX]*(Data_Nhập[Year]=FQ$1)*(Data_Nhập[Main SKU name_GOM]=$A8)*(Data_Nhập[SKU name_NHẬP_GOM]=FQ$3)),SUMPRODUCT(Data_Nhập[Tổng Nhập-NX]*(Data_Nhập[Year]=FQ$1)*(Data_Nhập[Month]=FQ$2)*(Data_Nhập[Main SKU name_GOM]=$A8)*(Data_Nhập[SKU name_NHẬP_GOM]=FQ$3)))</f>
        <v>0</v>
      </c>
      <c r="FR8" s="24" cm="1">
        <f t="array" ref="FR8">IF(FR$2="FY",SUMPRODUCT(Data_Nhập[Tổng Nhập-NX]*(Data_Nhập[Year]=FR$1)*(Data_Nhập[Main SKU name_GOM]=$A8)*(Data_Nhập[SKU name_NHẬP_GOM]=FR$3)),SUMPRODUCT(Data_Nhập[Tổng Nhập-NX]*(Data_Nhập[Year]=FR$1)*(Data_Nhập[Month]=FR$2)*(Data_Nhập[Main SKU name_GOM]=$A8)*(Data_Nhập[SKU name_NHẬP_GOM]=FR$3)))</f>
        <v>0</v>
      </c>
      <c r="FS8" s="24" cm="1">
        <f t="array" ref="FS8">IF(FS$2="FY",SUMPRODUCT(Data_Nhập[Tổng Nhập-NX]*(Data_Nhập[Year]=FS$1)*(Data_Nhập[Main SKU name_GOM]=$A8)*(Data_Nhập[SKU name_NHẬP_GOM]=FS$3)),SUMPRODUCT(Data_Nhập[Tổng Nhập-NX]*(Data_Nhập[Year]=FS$1)*(Data_Nhập[Month]=FS$2)*(Data_Nhập[Main SKU name_GOM]=$A8)*(Data_Nhập[SKU name_NHẬP_GOM]=FS$3)))</f>
        <v>0</v>
      </c>
      <c r="FT8" s="24" cm="1">
        <f t="array" ref="FT8">IF(FT$2="FY",SUMPRODUCT(Data_Nhập[Tổng Nhập-NX]*(Data_Nhập[Year]=FT$1)*(Data_Nhập[Main SKU name_GOM]=$A8)*(Data_Nhập[SKU name_NHẬP_GOM]=FT$3)),SUMPRODUCT(Data_Nhập[Tổng Nhập-NX]*(Data_Nhập[Year]=FT$1)*(Data_Nhập[Month]=FT$2)*(Data_Nhập[Main SKU name_GOM]=$A8)*(Data_Nhập[SKU name_NHẬP_GOM]=FT$3)))</f>
        <v>1100</v>
      </c>
      <c r="FU8" s="24" cm="1">
        <f t="array" ref="FU8">IF(FU$2="FY",SUMPRODUCT(Data_Nhập[Tổng Nhập-NX]*(Data_Nhập[Year]=FU$1)*(Data_Nhập[Main SKU name_GOM]=$A8)*(Data_Nhập[SKU name_NHẬP_GOM]=FU$3)),SUMPRODUCT(Data_Nhập[Tổng Nhập-NX]*(Data_Nhập[Year]=FU$1)*(Data_Nhập[Month]=FU$2)*(Data_Nhập[Main SKU name_GOM]=$A8)*(Data_Nhập[SKU name_NHẬP_GOM]=FU$3)))</f>
        <v>24200</v>
      </c>
      <c r="FV8" s="24" cm="1">
        <f t="array" ref="FV8">IF(FV$2="FY",SUMPRODUCT(Data_Nhập[Tổng Nhập-NX]*(Data_Nhập[Year]=FV$1)*(Data_Nhập[Main SKU name_GOM]=$A8)*(Data_Nhập[SKU name_NHẬP_GOM]=FV$3)),SUMPRODUCT(Data_Nhập[Tổng Nhập-NX]*(Data_Nhập[Year]=FV$1)*(Data_Nhập[Month]=FV$2)*(Data_Nhập[Main SKU name_GOM]=$A8)*(Data_Nhập[SKU name_NHẬP_GOM]=FV$3)))</f>
        <v>7700.0000000000009</v>
      </c>
      <c r="FW8" s="24" cm="1">
        <f t="array" ref="FW8">IF(FW$2="FY",SUMPRODUCT(Data_Nhập[Tổng Nhập-NX]*(Data_Nhập[Year]=FW$1)*(Data_Nhập[Main SKU name_GOM]=$A8)*(Data_Nhập[SKU name_NHẬP_GOM]=FW$3)),SUMPRODUCT(Data_Nhập[Tổng Nhập-NX]*(Data_Nhập[Year]=FW$1)*(Data_Nhập[Month]=FW$2)*(Data_Nhập[Main SKU name_GOM]=$A8)*(Data_Nhập[SKU name_NHẬP_GOM]=FW$3)))</f>
        <v>0</v>
      </c>
      <c r="FX8" s="24" cm="1">
        <f t="array" ref="FX8">IF(FX$2="FY",SUMPRODUCT(Data_Nhập[Tổng Nhập-NX]*(Data_Nhập[Year]=FX$1)*(Data_Nhập[Main SKU name_GOM]=$A8)*(Data_Nhập[SKU name_NHẬP_GOM]=FX$3)),SUMPRODUCT(Data_Nhập[Tổng Nhập-NX]*(Data_Nhập[Year]=FX$1)*(Data_Nhập[Month]=FX$2)*(Data_Nhập[Main SKU name_GOM]=$A8)*(Data_Nhập[SKU name_NHẬP_GOM]=FX$3)))</f>
        <v>70581</v>
      </c>
      <c r="FY8" s="24" cm="1">
        <f t="array" ref="FY8">IF(FY$2="FY",SUMPRODUCT(Data_Nhập[Tổng Nhập-NX]*(Data_Nhập[Year]=FY$1)*(Data_Nhập[Main SKU name_GOM]=$A8)*(Data_Nhập[SKU name_NHẬP_GOM]=FY$3)),SUMPRODUCT(Data_Nhập[Tổng Nhập-NX]*(Data_Nhập[Year]=FY$1)*(Data_Nhập[Month]=FY$2)*(Data_Nhập[Main SKU name_GOM]=$A8)*(Data_Nhập[SKU name_NHẬP_GOM]=FY$3)))</f>
        <v>0</v>
      </c>
      <c r="FZ8" s="25">
        <f t="shared" si="21"/>
        <v>1713981</v>
      </c>
      <c r="GB8" s="25" cm="1">
        <f t="array" ref="GB8">IF(GB$2="FY",SUMPRODUCT(Data_Xuất[Xuất-NX]*(Data_Xuất[Year]=GB$1)*(Data_Xuất[Main SKU name_GOM]=$A8)),SUMPRODUCT(Data_Xuất[Xuất-NX]*(Data_Xuất[Year]=GB$1)*(Data_Xuất[Main SKU name_GOM]=$A8)*(Data_Xuất[Month]=GB$2)))</f>
        <v>2758162.0000000005</v>
      </c>
      <c r="GC8" s="24" cm="1">
        <f t="array" ref="GC8">IF(GC$2="FY",SUMPRODUCT(Data_Nhập[Tổng Nhập-NX]*(Data_Nhập[Year]=GC$1)*(Data_Nhập[Main SKU name_GOM]=$A8)*(Data_Nhập[SKU name_NHẬP_GOM]=GC$3)),SUMPRODUCT(Data_Nhập[Tổng Nhập-NX]*(Data_Nhập[Year]=GC$1)*(Data_Nhập[Month]=GC$2)*(Data_Nhập[Main SKU name_GOM]=$A8)*(Data_Nhập[SKU name_NHẬP_GOM]=GC$3)))</f>
        <v>12100</v>
      </c>
      <c r="GD8" s="24" cm="1">
        <f t="array" ref="GD8">IF(GD$2="FY",SUMPRODUCT(Data_Nhập[Tổng Nhập-NX]*(Data_Nhập[Year]=GD$1)*(Data_Nhập[Main SKU name_GOM]=$A8)*(Data_Nhập[SKU name_NHẬP_GOM]=GD$3)),SUMPRODUCT(Data_Nhập[Tổng Nhập-NX]*(Data_Nhập[Year]=GD$1)*(Data_Nhập[Month]=GD$2)*(Data_Nhập[Main SKU name_GOM]=$A8)*(Data_Nhập[SKU name_NHẬP_GOM]=GD$3)))</f>
        <v>60500.000000000007</v>
      </c>
      <c r="GE8" s="24" cm="1">
        <f t="array" ref="GE8">IF(GE$2="FY",SUMPRODUCT(Data_Nhập[Tổng Nhập-NX]*(Data_Nhập[Year]=GE$1)*(Data_Nhập[Main SKU name_GOM]=$A8)*(Data_Nhập[SKU name_NHẬP_GOM]=GE$3)),SUMPRODUCT(Data_Nhập[Tổng Nhập-NX]*(Data_Nhập[Year]=GE$1)*(Data_Nhập[Month]=GE$2)*(Data_Nhập[Main SKU name_GOM]=$A8)*(Data_Nhập[SKU name_NHẬP_GOM]=GE$3)))</f>
        <v>2459599.9999999991</v>
      </c>
      <c r="GF8" s="24" cm="1">
        <f t="array" ref="GF8">IF(GF$2="FY",SUMPRODUCT(Data_Nhập[Tổng Nhập-NX]*(Data_Nhập[Year]=GF$1)*(Data_Nhập[Main SKU name_GOM]=$A8)*(Data_Nhập[SKU name_NHẬP_GOM]=GF$3)),SUMPRODUCT(Data_Nhập[Tổng Nhập-NX]*(Data_Nhập[Year]=GF$1)*(Data_Nhập[Month]=GF$2)*(Data_Nhập[Main SKU name_GOM]=$A8)*(Data_Nhập[SKU name_NHẬP_GOM]=GF$3)))</f>
        <v>0</v>
      </c>
      <c r="GG8" s="24" cm="1">
        <f t="array" ref="GG8">IF(GG$2="FY",SUMPRODUCT(Data_Nhập[Tổng Nhập-NX]*(Data_Nhập[Year]=GG$1)*(Data_Nhập[Main SKU name_GOM]=$A8)*(Data_Nhập[SKU name_NHẬP_GOM]=GG$3)),SUMPRODUCT(Data_Nhập[Tổng Nhập-NX]*(Data_Nhập[Year]=GG$1)*(Data_Nhập[Month]=GG$2)*(Data_Nhập[Main SKU name_GOM]=$A8)*(Data_Nhập[SKU name_NHẬP_GOM]=GG$3)))</f>
        <v>20900</v>
      </c>
      <c r="GH8" s="24" cm="1">
        <f t="array" ref="GH8">IF(GH$2="FY",SUMPRODUCT(Data_Nhập[Tổng Nhập-NX]*(Data_Nhập[Year]=GH$1)*(Data_Nhập[Main SKU name_GOM]=$A8)*(Data_Nhập[SKU name_NHẬP_GOM]=GH$3)),SUMPRODUCT(Data_Nhập[Tổng Nhập-NX]*(Data_Nhập[Year]=GH$1)*(Data_Nhập[Month]=GH$2)*(Data_Nhập[Main SKU name_GOM]=$A8)*(Data_Nhập[SKU name_NHẬP_GOM]=GH$3)))</f>
        <v>0</v>
      </c>
      <c r="GI8" s="24" cm="1">
        <f t="array" ref="GI8">IF(GI$2="FY",SUMPRODUCT(Data_Nhập[Tổng Nhập-NX]*(Data_Nhập[Year]=GI$1)*(Data_Nhập[Main SKU name_GOM]=$A8)*(Data_Nhập[SKU name_NHẬP_GOM]=GI$3)),SUMPRODUCT(Data_Nhập[Tổng Nhập-NX]*(Data_Nhập[Year]=GI$1)*(Data_Nhập[Month]=GI$2)*(Data_Nhập[Main SKU name_GOM]=$A8)*(Data_Nhập[SKU name_NHẬP_GOM]=GI$3)))</f>
        <v>0</v>
      </c>
      <c r="GJ8" s="24" cm="1">
        <f t="array" ref="GJ8">IF(GJ$2="FY",SUMPRODUCT(Data_Nhập[Tổng Nhập-NX]*(Data_Nhập[Year]=GJ$1)*(Data_Nhập[Main SKU name_GOM]=$A8)*(Data_Nhập[SKU name_NHẬP_GOM]=GJ$3)),SUMPRODUCT(Data_Nhập[Tổng Nhập-NX]*(Data_Nhập[Year]=GJ$1)*(Data_Nhập[Month]=GJ$2)*(Data_Nhập[Main SKU name_GOM]=$A8)*(Data_Nhập[SKU name_NHẬP_GOM]=GJ$3)))</f>
        <v>0</v>
      </c>
      <c r="GK8" s="24" cm="1">
        <f t="array" ref="GK8">IF(GK$2="FY",SUMPRODUCT(Data_Nhập[Tổng Nhập-NX]*(Data_Nhập[Year]=GK$1)*(Data_Nhập[Main SKU name_GOM]=$A8)*(Data_Nhập[SKU name_NHẬP_GOM]=GK$3)),SUMPRODUCT(Data_Nhập[Tổng Nhập-NX]*(Data_Nhập[Year]=GK$1)*(Data_Nhập[Month]=GK$2)*(Data_Nhập[Main SKU name_GOM]=$A8)*(Data_Nhập[SKU name_NHẬP_GOM]=GK$3)))</f>
        <v>0</v>
      </c>
      <c r="GL8" s="24" cm="1">
        <f t="array" ref="GL8">IF(GL$2="FY",SUMPRODUCT(Data_Nhập[Tổng Nhập-NX]*(Data_Nhập[Year]=GL$1)*(Data_Nhập[Main SKU name_GOM]=$A8)*(Data_Nhập[SKU name_NHẬP_GOM]=GL$3)),SUMPRODUCT(Data_Nhập[Tổng Nhập-NX]*(Data_Nhập[Year]=GL$1)*(Data_Nhập[Month]=GL$2)*(Data_Nhập[Main SKU name_GOM]=$A8)*(Data_Nhập[SKU name_NHẬP_GOM]=GL$3)))</f>
        <v>0</v>
      </c>
      <c r="GM8" s="24" cm="1">
        <f t="array" ref="GM8">IF(GM$2="FY",SUMPRODUCT(Data_Nhập[Tổng Nhập-NX]*(Data_Nhập[Year]=GM$1)*(Data_Nhập[Main SKU name_GOM]=$A8)*(Data_Nhập[SKU name_NHẬP_GOM]=GM$3)),SUMPRODUCT(Data_Nhập[Tổng Nhập-NX]*(Data_Nhập[Year]=GM$1)*(Data_Nhập[Month]=GM$2)*(Data_Nhập[Main SKU name_GOM]=$A8)*(Data_Nhập[SKU name_NHẬP_GOM]=GM$3)))</f>
        <v>27500.000000000004</v>
      </c>
      <c r="GN8" s="24" cm="1">
        <f t="array" ref="GN8">IF(GN$2="FY",SUMPRODUCT(Data_Nhập[Tổng Nhập-NX]*(Data_Nhập[Year]=GN$1)*(Data_Nhập[Main SKU name_GOM]=$A8)*(Data_Nhập[SKU name_NHẬP_GOM]=GN$3)),SUMPRODUCT(Data_Nhập[Tổng Nhập-NX]*(Data_Nhập[Year]=GN$1)*(Data_Nhập[Month]=GN$2)*(Data_Nhập[Main SKU name_GOM]=$A8)*(Data_Nhập[SKU name_NHẬP_GOM]=GN$3)))</f>
        <v>33000</v>
      </c>
      <c r="GO8" s="24" cm="1">
        <f t="array" ref="GO8">IF(GO$2="FY",SUMPRODUCT(Data_Nhập[Tổng Nhập-NX]*(Data_Nhập[Year]=GO$1)*(Data_Nhập[Main SKU name_GOM]=$A8)*(Data_Nhập[SKU name_NHẬP_GOM]=GO$3)),SUMPRODUCT(Data_Nhập[Tổng Nhập-NX]*(Data_Nhập[Year]=GO$1)*(Data_Nhập[Month]=GO$2)*(Data_Nhập[Main SKU name_GOM]=$A8)*(Data_Nhập[SKU name_NHẬP_GOM]=GO$3)))</f>
        <v>0</v>
      </c>
      <c r="GP8" s="24" cm="1">
        <f t="array" ref="GP8">IF(GP$2="FY",SUMPRODUCT(Data_Nhập[Tổng Nhập-NX]*(Data_Nhập[Year]=GP$1)*(Data_Nhập[Main SKU name_GOM]=$A8)*(Data_Nhập[SKU name_NHẬP_GOM]=GP$3)),SUMPRODUCT(Data_Nhập[Tổng Nhập-NX]*(Data_Nhập[Year]=GP$1)*(Data_Nhập[Month]=GP$2)*(Data_Nhập[Main SKU name_GOM]=$A8)*(Data_Nhập[SKU name_NHẬP_GOM]=GP$3)))</f>
        <v>105839</v>
      </c>
      <c r="GQ8" s="24" cm="1">
        <f t="array" ref="GQ8">IF(GQ$2="FY",SUMPRODUCT(Data_Nhập[Tổng Nhập-NX]*(Data_Nhập[Year]=GQ$1)*(Data_Nhập[Main SKU name_GOM]=$A8)*(Data_Nhập[SKU name_NHẬP_GOM]=GQ$3)),SUMPRODUCT(Data_Nhập[Tổng Nhập-NX]*(Data_Nhập[Year]=GQ$1)*(Data_Nhập[Month]=GQ$2)*(Data_Nhập[Main SKU name_GOM]=$A8)*(Data_Nhập[SKU name_NHẬP_GOM]=GQ$3)))</f>
        <v>0</v>
      </c>
      <c r="GR8" s="25">
        <f t="shared" si="22"/>
        <v>2719438.9999999991</v>
      </c>
      <c r="GT8" s="25" cm="1">
        <f t="array" ref="GT8">IF(GT$2="FY",SUMPRODUCT(Data_Xuất[Xuất-NX]*(Data_Xuất[Year]=GT$1)*(Data_Xuất[Main SKU name_GOM]=$A8)),SUMPRODUCT(Data_Xuất[Xuất-NX]*(Data_Xuất[Year]=GT$1)*(Data_Xuất[Main SKU name_GOM]=$A8)*(Data_Xuất[Month]=GT$2)))</f>
        <v>576798</v>
      </c>
      <c r="GU8" s="24" cm="1">
        <f t="array" ref="GU8">IF(GU$2="FY",SUMPRODUCT(Data_Nhập[Tổng Nhập-NX]*(Data_Nhập[Year]=GU$1)*(Data_Nhập[Main SKU name_GOM]=$A8)*(Data_Nhập[SKU name_NHẬP_GOM]=GU$3)),SUMPRODUCT(Data_Nhập[Tổng Nhập-NX]*(Data_Nhập[Year]=GU$1)*(Data_Nhập[Month]=GU$2)*(Data_Nhập[Main SKU name_GOM]=$A8)*(Data_Nhập[SKU name_NHẬP_GOM]=GU$3)))</f>
        <v>0</v>
      </c>
      <c r="GV8" s="24" cm="1">
        <f t="array" ref="GV8">IF(GV$2="FY",SUMPRODUCT(Data_Nhập[Tổng Nhập-NX]*(Data_Nhập[Year]=GV$1)*(Data_Nhập[Main SKU name_GOM]=$A8)*(Data_Nhập[SKU name_NHẬP_GOM]=GV$3)),SUMPRODUCT(Data_Nhập[Tổng Nhập-NX]*(Data_Nhập[Year]=GV$1)*(Data_Nhập[Month]=GV$2)*(Data_Nhập[Main SKU name_GOM]=$A8)*(Data_Nhập[SKU name_NHẬP_GOM]=GV$3)))</f>
        <v>3300</v>
      </c>
      <c r="GW8" s="24" cm="1">
        <f t="array" ref="GW8">IF(GW$2="FY",SUMPRODUCT(Data_Nhập[Tổng Nhập-NX]*(Data_Nhập[Year]=GW$1)*(Data_Nhập[Main SKU name_GOM]=$A8)*(Data_Nhập[SKU name_NHẬP_GOM]=GW$3)),SUMPRODUCT(Data_Nhập[Tổng Nhập-NX]*(Data_Nhập[Year]=GW$1)*(Data_Nhập[Month]=GW$2)*(Data_Nhập[Main SKU name_GOM]=$A8)*(Data_Nhập[SKU name_NHẬP_GOM]=GW$3)))</f>
        <v>436700</v>
      </c>
      <c r="GX8" s="24" cm="1">
        <f t="array" ref="GX8">IF(GX$2="FY",SUMPRODUCT(Data_Nhập[Tổng Nhập-NX]*(Data_Nhập[Year]=GX$1)*(Data_Nhập[Main SKU name_GOM]=$A8)*(Data_Nhập[SKU name_NHẬP_GOM]=GX$3)),SUMPRODUCT(Data_Nhập[Tổng Nhập-NX]*(Data_Nhập[Year]=GX$1)*(Data_Nhập[Month]=GX$2)*(Data_Nhập[Main SKU name_GOM]=$A8)*(Data_Nhập[SKU name_NHẬP_GOM]=GX$3)))</f>
        <v>0</v>
      </c>
      <c r="GY8" s="24" cm="1">
        <f t="array" ref="GY8">IF(GY$2="FY",SUMPRODUCT(Data_Nhập[Tổng Nhập-NX]*(Data_Nhập[Year]=GY$1)*(Data_Nhập[Main SKU name_GOM]=$A8)*(Data_Nhập[SKU name_NHẬP_GOM]=GY$3)),SUMPRODUCT(Data_Nhập[Tổng Nhập-NX]*(Data_Nhập[Year]=GY$1)*(Data_Nhập[Month]=GY$2)*(Data_Nhập[Main SKU name_GOM]=$A8)*(Data_Nhập[SKU name_NHẬP_GOM]=GY$3)))</f>
        <v>11000</v>
      </c>
      <c r="GZ8" s="24" cm="1">
        <f t="array" ref="GZ8">IF(GZ$2="FY",SUMPRODUCT(Data_Nhập[Tổng Nhập-NX]*(Data_Nhập[Year]=GZ$1)*(Data_Nhập[Main SKU name_GOM]=$A8)*(Data_Nhập[SKU name_NHẬP_GOM]=GZ$3)),SUMPRODUCT(Data_Nhập[Tổng Nhập-NX]*(Data_Nhập[Year]=GZ$1)*(Data_Nhập[Month]=GZ$2)*(Data_Nhập[Main SKU name_GOM]=$A8)*(Data_Nhập[SKU name_NHẬP_GOM]=GZ$3)))</f>
        <v>0</v>
      </c>
      <c r="HA8" s="24" cm="1">
        <f t="array" ref="HA8">IF(HA$2="FY",SUMPRODUCT(Data_Nhập[Tổng Nhập-NX]*(Data_Nhập[Year]=HA$1)*(Data_Nhập[Main SKU name_GOM]=$A8)*(Data_Nhập[SKU name_NHẬP_GOM]=HA$3)),SUMPRODUCT(Data_Nhập[Tổng Nhập-NX]*(Data_Nhập[Year]=HA$1)*(Data_Nhập[Month]=HA$2)*(Data_Nhập[Main SKU name_GOM]=$A8)*(Data_Nhập[SKU name_NHẬP_GOM]=HA$3)))</f>
        <v>0</v>
      </c>
      <c r="HB8" s="24" cm="1">
        <f t="array" ref="HB8">IF(HB$2="FY",SUMPRODUCT(Data_Nhập[Tổng Nhập-NX]*(Data_Nhập[Year]=HB$1)*(Data_Nhập[Main SKU name_GOM]=$A8)*(Data_Nhập[SKU name_NHẬP_GOM]=HB$3)),SUMPRODUCT(Data_Nhập[Tổng Nhập-NX]*(Data_Nhập[Year]=HB$1)*(Data_Nhập[Month]=HB$2)*(Data_Nhập[Main SKU name_GOM]=$A8)*(Data_Nhập[SKU name_NHẬP_GOM]=HB$3)))</f>
        <v>0</v>
      </c>
      <c r="HC8" s="24" cm="1">
        <f t="array" ref="HC8">IF(HC$2="FY",SUMPRODUCT(Data_Nhập[Tổng Nhập-NX]*(Data_Nhập[Year]=HC$1)*(Data_Nhập[Main SKU name_GOM]=$A8)*(Data_Nhập[SKU name_NHẬP_GOM]=HC$3)),SUMPRODUCT(Data_Nhập[Tổng Nhập-NX]*(Data_Nhập[Year]=HC$1)*(Data_Nhập[Month]=HC$2)*(Data_Nhập[Main SKU name_GOM]=$A8)*(Data_Nhập[SKU name_NHẬP_GOM]=HC$3)))</f>
        <v>0</v>
      </c>
      <c r="HD8" s="24" cm="1">
        <f t="array" ref="HD8">IF(HD$2="FY",SUMPRODUCT(Data_Nhập[Tổng Nhập-NX]*(Data_Nhập[Year]=HD$1)*(Data_Nhập[Main SKU name_GOM]=$A8)*(Data_Nhập[SKU name_NHẬP_GOM]=HD$3)),SUMPRODUCT(Data_Nhập[Tổng Nhập-NX]*(Data_Nhập[Year]=HD$1)*(Data_Nhập[Month]=HD$2)*(Data_Nhập[Main SKU name_GOM]=$A8)*(Data_Nhập[SKU name_NHẬP_GOM]=HD$3)))</f>
        <v>0</v>
      </c>
      <c r="HE8" s="24" cm="1">
        <f t="array" ref="HE8">IF(HE$2="FY",SUMPRODUCT(Data_Nhập[Tổng Nhập-NX]*(Data_Nhập[Year]=HE$1)*(Data_Nhập[Main SKU name_GOM]=$A8)*(Data_Nhập[SKU name_NHẬP_GOM]=HE$3)),SUMPRODUCT(Data_Nhập[Tổng Nhập-NX]*(Data_Nhập[Year]=HE$1)*(Data_Nhập[Month]=HE$2)*(Data_Nhập[Main SKU name_GOM]=$A8)*(Data_Nhập[SKU name_NHẬP_GOM]=HE$3)))</f>
        <v>81400</v>
      </c>
      <c r="HF8" s="24" cm="1">
        <f t="array" ref="HF8">IF(HF$2="FY",SUMPRODUCT(Data_Nhập[Tổng Nhập-NX]*(Data_Nhập[Year]=HF$1)*(Data_Nhập[Main SKU name_GOM]=$A8)*(Data_Nhập[SKU name_NHẬP_GOM]=HF$3)),SUMPRODUCT(Data_Nhập[Tổng Nhập-NX]*(Data_Nhập[Year]=HF$1)*(Data_Nhập[Month]=HF$2)*(Data_Nhập[Main SKU name_GOM]=$A8)*(Data_Nhập[SKU name_NHẬP_GOM]=HF$3)))</f>
        <v>11000</v>
      </c>
      <c r="HG8" s="24" cm="1">
        <f t="array" ref="HG8">IF(HG$2="FY",SUMPRODUCT(Data_Nhập[Tổng Nhập-NX]*(Data_Nhập[Year]=HG$1)*(Data_Nhập[Main SKU name_GOM]=$A8)*(Data_Nhập[SKU name_NHẬP_GOM]=HG$3)),SUMPRODUCT(Data_Nhập[Tổng Nhập-NX]*(Data_Nhập[Year]=HG$1)*(Data_Nhập[Month]=HG$2)*(Data_Nhập[Main SKU name_GOM]=$A8)*(Data_Nhập[SKU name_NHẬP_GOM]=HG$3)))</f>
        <v>0</v>
      </c>
      <c r="HH8" s="24" cm="1">
        <f t="array" ref="HH8">IF(HH$2="FY",SUMPRODUCT(Data_Nhập[Tổng Nhập-NX]*(Data_Nhập[Year]=HH$1)*(Data_Nhập[Main SKU name_GOM]=$A8)*(Data_Nhập[SKU name_NHẬP_GOM]=HH$3)),SUMPRODUCT(Data_Nhập[Tổng Nhập-NX]*(Data_Nhập[Year]=HH$1)*(Data_Nhập[Month]=HH$2)*(Data_Nhập[Main SKU name_GOM]=$A8)*(Data_Nhập[SKU name_NHẬP_GOM]=HH$3)))</f>
        <v>25182</v>
      </c>
      <c r="HI8" s="24" cm="1">
        <f t="array" ref="HI8">IF(HI$2="FY",SUMPRODUCT(Data_Nhập[Tổng Nhập-NX]*(Data_Nhập[Year]=HI$1)*(Data_Nhập[Main SKU name_GOM]=$A8)*(Data_Nhập[SKU name_NHẬP_GOM]=HI$3)),SUMPRODUCT(Data_Nhập[Tổng Nhập-NX]*(Data_Nhập[Year]=HI$1)*(Data_Nhập[Month]=HI$2)*(Data_Nhập[Main SKU name_GOM]=$A8)*(Data_Nhập[SKU name_NHẬP_GOM]=HI$3)))</f>
        <v>0</v>
      </c>
      <c r="HJ8" s="25">
        <f t="shared" si="23"/>
        <v>568582</v>
      </c>
      <c r="HL8" s="25" cm="1">
        <f t="array" ref="HL8">IF(HL$2="FY",SUMPRODUCT(Data_Xuất[Xuất-NX]*(Data_Xuất[Year]=HL$1)*(Data_Xuất[Main SKU name_GOM]=$A8)),SUMPRODUCT(Data_Xuất[Xuất-NX]*(Data_Xuất[Year]=HL$1)*(Data_Xuất[Main SKU name_GOM]=$A8)*(Data_Xuất[Month]=HL$2)))</f>
        <v>1677799.9999999998</v>
      </c>
      <c r="HM8" s="24" cm="1">
        <f t="array" ref="HM8">IF(HM$2="FY",SUMPRODUCT(Data_Nhập[Tổng Nhập-NX]*(Data_Nhập[Year]=HM$1)*(Data_Nhập[Main SKU name_GOM]=$A8)*(Data_Nhập[SKU name_NHẬP_GOM]=HM$3)),SUMPRODUCT(Data_Nhập[Tổng Nhập-NX]*(Data_Nhập[Year]=HM$1)*(Data_Nhập[Month]=HM$2)*(Data_Nhập[Main SKU name_GOM]=$A8)*(Data_Nhập[SKU name_NHẬP_GOM]=HM$3)))</f>
        <v>12100</v>
      </c>
      <c r="HN8" s="24" cm="1">
        <f t="array" ref="HN8">IF(HN$2="FY",SUMPRODUCT(Data_Nhập[Tổng Nhập-NX]*(Data_Nhập[Year]=HN$1)*(Data_Nhập[Main SKU name_GOM]=$A8)*(Data_Nhập[SKU name_NHẬP_GOM]=HN$3)),SUMPRODUCT(Data_Nhập[Tổng Nhập-NX]*(Data_Nhập[Year]=HN$1)*(Data_Nhập[Month]=HN$2)*(Data_Nhập[Main SKU name_GOM]=$A8)*(Data_Nhập[SKU name_NHẬP_GOM]=HN$3)))</f>
        <v>52800</v>
      </c>
      <c r="HO8" s="24" cm="1">
        <f t="array" ref="HO8">IF(HO$2="FY",SUMPRODUCT(Data_Nhập[Tổng Nhập-NX]*(Data_Nhập[Year]=HO$1)*(Data_Nhập[Main SKU name_GOM]=$A8)*(Data_Nhập[SKU name_NHẬP_GOM]=HO$3)),SUMPRODUCT(Data_Nhập[Tổng Nhập-NX]*(Data_Nhập[Year]=HO$1)*(Data_Nhập[Month]=HO$2)*(Data_Nhập[Main SKU name_GOM]=$A8)*(Data_Nhập[SKU name_NHẬP_GOM]=HO$3)))</f>
        <v>1428900</v>
      </c>
      <c r="HP8" s="24" cm="1">
        <f t="array" ref="HP8">IF(HP$2="FY",SUMPRODUCT(Data_Nhập[Tổng Nhập-NX]*(Data_Nhập[Year]=HP$1)*(Data_Nhập[Main SKU name_GOM]=$A8)*(Data_Nhập[SKU name_NHẬP_GOM]=HP$3)),SUMPRODUCT(Data_Nhập[Tổng Nhập-NX]*(Data_Nhập[Year]=HP$1)*(Data_Nhập[Month]=HP$2)*(Data_Nhập[Main SKU name_GOM]=$A8)*(Data_Nhập[SKU name_NHẬP_GOM]=HP$3)))</f>
        <v>0</v>
      </c>
      <c r="HQ8" s="24" cm="1">
        <f t="array" ref="HQ8">IF(HQ$2="FY",SUMPRODUCT(Data_Nhập[Tổng Nhập-NX]*(Data_Nhập[Year]=HQ$1)*(Data_Nhập[Main SKU name_GOM]=$A8)*(Data_Nhập[SKU name_NHẬP_GOM]=HQ$3)),SUMPRODUCT(Data_Nhập[Tổng Nhập-NX]*(Data_Nhập[Year]=HQ$1)*(Data_Nhập[Month]=HQ$2)*(Data_Nhập[Main SKU name_GOM]=$A8)*(Data_Nhập[SKU name_NHẬP_GOM]=HQ$3)))</f>
        <v>20900</v>
      </c>
      <c r="HR8" s="24" cm="1">
        <f t="array" ref="HR8">IF(HR$2="FY",SUMPRODUCT(Data_Nhập[Tổng Nhập-NX]*(Data_Nhập[Year]=HR$1)*(Data_Nhập[Main SKU name_GOM]=$A8)*(Data_Nhập[SKU name_NHẬP_GOM]=HR$3)),SUMPRODUCT(Data_Nhập[Tổng Nhập-NX]*(Data_Nhập[Year]=HR$1)*(Data_Nhập[Month]=HR$2)*(Data_Nhập[Main SKU name_GOM]=$A8)*(Data_Nhập[SKU name_NHẬP_GOM]=HR$3)))</f>
        <v>0</v>
      </c>
      <c r="HS8" s="24" cm="1">
        <f t="array" ref="HS8">IF(HS$2="FY",SUMPRODUCT(Data_Nhập[Tổng Nhập-NX]*(Data_Nhập[Year]=HS$1)*(Data_Nhập[Main SKU name_GOM]=$A8)*(Data_Nhập[SKU name_NHẬP_GOM]=HS$3)),SUMPRODUCT(Data_Nhập[Tổng Nhập-NX]*(Data_Nhập[Year]=HS$1)*(Data_Nhập[Month]=HS$2)*(Data_Nhập[Main SKU name_GOM]=$A8)*(Data_Nhập[SKU name_NHẬP_GOM]=HS$3)))</f>
        <v>0</v>
      </c>
      <c r="HT8" s="24" cm="1">
        <f t="array" ref="HT8">IF(HT$2="FY",SUMPRODUCT(Data_Nhập[Tổng Nhập-NX]*(Data_Nhập[Year]=HT$1)*(Data_Nhập[Main SKU name_GOM]=$A8)*(Data_Nhập[SKU name_NHẬP_GOM]=HT$3)),SUMPRODUCT(Data_Nhập[Tổng Nhập-NX]*(Data_Nhập[Year]=HT$1)*(Data_Nhập[Month]=HT$2)*(Data_Nhập[Main SKU name_GOM]=$A8)*(Data_Nhập[SKU name_NHẬP_GOM]=HT$3)))</f>
        <v>0</v>
      </c>
      <c r="HU8" s="24" cm="1">
        <f t="array" ref="HU8">IF(HU$2="FY",SUMPRODUCT(Data_Nhập[Tổng Nhập-NX]*(Data_Nhập[Year]=HU$1)*(Data_Nhập[Main SKU name_GOM]=$A8)*(Data_Nhập[SKU name_NHẬP_GOM]=HU$3)),SUMPRODUCT(Data_Nhập[Tổng Nhập-NX]*(Data_Nhập[Year]=HU$1)*(Data_Nhập[Month]=HU$2)*(Data_Nhập[Main SKU name_GOM]=$A8)*(Data_Nhập[SKU name_NHẬP_GOM]=HU$3)))</f>
        <v>0</v>
      </c>
      <c r="HV8" s="24" cm="1">
        <f t="array" ref="HV8">IF(HV$2="FY",SUMPRODUCT(Data_Nhập[Tổng Nhập-NX]*(Data_Nhập[Year]=HV$1)*(Data_Nhập[Main SKU name_GOM]=$A8)*(Data_Nhập[SKU name_NHẬP_GOM]=HV$3)),SUMPRODUCT(Data_Nhập[Tổng Nhập-NX]*(Data_Nhập[Year]=HV$1)*(Data_Nhập[Month]=HV$2)*(Data_Nhập[Main SKU name_GOM]=$A8)*(Data_Nhập[SKU name_NHẬP_GOM]=HV$3)))</f>
        <v>0</v>
      </c>
      <c r="HW8" s="24" cm="1">
        <f t="array" ref="HW8">IF(HW$2="FY",SUMPRODUCT(Data_Nhập[Tổng Nhập-NX]*(Data_Nhập[Year]=HW$1)*(Data_Nhập[Main SKU name_GOM]=$A8)*(Data_Nhập[SKU name_NHẬP_GOM]=HW$3)),SUMPRODUCT(Data_Nhập[Tổng Nhập-NX]*(Data_Nhập[Year]=HW$1)*(Data_Nhập[Month]=HW$2)*(Data_Nhập[Main SKU name_GOM]=$A8)*(Data_Nhập[SKU name_NHẬP_GOM]=HW$3)))</f>
        <v>39600</v>
      </c>
      <c r="HX8" s="24" cm="1">
        <f t="array" ref="HX8">IF(HX$2="FY",SUMPRODUCT(Data_Nhập[Tổng Nhập-NX]*(Data_Nhập[Year]=HX$1)*(Data_Nhập[Main SKU name_GOM]=$A8)*(Data_Nhập[SKU name_NHẬP_GOM]=HX$3)),SUMPRODUCT(Data_Nhập[Tổng Nhập-NX]*(Data_Nhập[Year]=HX$1)*(Data_Nhập[Month]=HX$2)*(Data_Nhập[Main SKU name_GOM]=$A8)*(Data_Nhập[SKU name_NHẬP_GOM]=HX$3)))</f>
        <v>17600</v>
      </c>
      <c r="HY8" s="24" cm="1">
        <f t="array" ref="HY8">IF(HY$2="FY",SUMPRODUCT(Data_Nhập[Tổng Nhập-NX]*(Data_Nhập[Year]=HY$1)*(Data_Nhập[Main SKU name_GOM]=$A8)*(Data_Nhập[SKU name_NHẬP_GOM]=HY$3)),SUMPRODUCT(Data_Nhập[Tổng Nhập-NX]*(Data_Nhập[Year]=HY$1)*(Data_Nhập[Month]=HY$2)*(Data_Nhập[Main SKU name_GOM]=$A8)*(Data_Nhập[SKU name_NHẬP_GOM]=HY$3)))</f>
        <v>0</v>
      </c>
      <c r="HZ8" s="24" cm="1">
        <f t="array" ref="HZ8">IF(HZ$2="FY",SUMPRODUCT(Data_Nhập[Tổng Nhập-NX]*(Data_Nhập[Year]=HZ$1)*(Data_Nhập[Main SKU name_GOM]=$A8)*(Data_Nhập[SKU name_NHẬP_GOM]=HZ$3)),SUMPRODUCT(Data_Nhập[Tổng Nhập-NX]*(Data_Nhập[Year]=HZ$1)*(Data_Nhập[Month]=HZ$2)*(Data_Nhập[Main SKU name_GOM]=$A8)*(Data_Nhập[SKU name_NHẬP_GOM]=HZ$3)))</f>
        <v>77799</v>
      </c>
      <c r="IA8" s="24" cm="1">
        <f t="array" ref="IA8">IF(IA$2="FY",SUMPRODUCT(Data_Nhập[Tổng Nhập-NX]*(Data_Nhập[Year]=IA$1)*(Data_Nhập[Main SKU name_GOM]=$A8)*(Data_Nhập[SKU name_NHẬP_GOM]=IA$3)),SUMPRODUCT(Data_Nhập[Tổng Nhập-NX]*(Data_Nhập[Year]=IA$1)*(Data_Nhập[Month]=IA$2)*(Data_Nhập[Main SKU name_GOM]=$A8)*(Data_Nhập[SKU name_NHẬP_GOM]=IA$3)))</f>
        <v>0</v>
      </c>
      <c r="IB8" s="25">
        <f t="shared" si="24"/>
        <v>1649699</v>
      </c>
    </row>
    <row r="9" spans="1:236" x14ac:dyDescent="0.35">
      <c r="A9" s="5" t="s">
        <v>71</v>
      </c>
      <c r="B9" s="22" t="s">
        <v>71</v>
      </c>
      <c r="D9" s="25" cm="1">
        <f t="array" ref="D9">IF(D$2="FY",SUMPRODUCT(Data_Xuất[Xuất-NX]*(Data_Xuất[Year]=D$1)*(Data_Xuất[Main SKU name_GOM]=$A9)),SUMPRODUCT(Data_Xuất[Xuất-NX]*(Data_Xuất[Year]=D$1)*(Data_Xuất[Main SKU name_GOM]=$A9)*Data_Xuất[Month]=D$2))</f>
        <v>1318944.9999999998</v>
      </c>
      <c r="E9" s="24" cm="1">
        <f t="array" ref="E9">IF(E$2="FY",SUMPRODUCT(Data_Nhập[Tổng Nhập-NX]*(Data_Nhập[Year]=E$1)*(Data_Nhập[Main SKU name_GOM]=$A9)*(Data_Nhập[SKU name_NHẬP_GOM]=E$3)),SUMPRODUCT(Data_Nhập[Tổng Nhập-NX]*(Data_Nhập[Year]=E$1)*(Data_Nhập[Month]=E$2)*(Data_Nhập[Main SKU name_GOM]=$A9)*(Data_Nhập[SKU name_NHẬP_GOM]=E$3)))</f>
        <v>0</v>
      </c>
      <c r="F9" s="24" cm="1">
        <f t="array" ref="F9">IF(F$2="FY",SUMPRODUCT(Data_Nhập[Tổng Nhập-NX]*(Data_Nhập[Year]=F$1)*(Data_Nhập[Main SKU name_GOM]=$A9)*(Data_Nhập[SKU name_NHẬP_GOM]=F$3)),SUMPRODUCT(Data_Nhập[Tổng Nhập-NX]*(Data_Nhập[Year]=F$1)*(Data_Nhập[Month]=F$2)*(Data_Nhập[Main SKU name_GOM]=$A9)*(Data_Nhập[SKU name_NHẬP_GOM]=F$3)))</f>
        <v>0</v>
      </c>
      <c r="G9" s="24" cm="1">
        <f t="array" ref="G9">IF(G$2="FY",SUMPRODUCT(Data_Nhập[Tổng Nhập-NX]*(Data_Nhập[Year]=G$1)*(Data_Nhập[Main SKU name_GOM]=$A9)*(Data_Nhập[SKU name_NHẬP_GOM]=G$3)),SUMPRODUCT(Data_Nhập[Tổng Nhập-NX]*(Data_Nhập[Year]=G$1)*(Data_Nhập[Month]=G$2)*(Data_Nhập[Main SKU name_GOM]=$A9)*(Data_Nhập[SKU name_NHẬP_GOM]=G$3)))</f>
        <v>0</v>
      </c>
      <c r="H9" s="24" cm="1">
        <f t="array" ref="H9">IF(H$2="FY",SUMPRODUCT(Data_Nhập[Tổng Nhập-NX]*(Data_Nhập[Year]=H$1)*(Data_Nhập[Main SKU name_GOM]=$A9)*(Data_Nhập[SKU name_NHẬP_GOM]=H$3)),SUMPRODUCT(Data_Nhập[Tổng Nhập-NX]*(Data_Nhập[Year]=H$1)*(Data_Nhập[Month]=H$2)*(Data_Nhập[Main SKU name_GOM]=$A9)*(Data_Nhập[SKU name_NHẬP_GOM]=H$3)))</f>
        <v>0</v>
      </c>
      <c r="I9" s="24" cm="1">
        <f t="array" ref="I9">IF(I$2="FY",SUMPRODUCT(Data_Nhập[Tổng Nhập-NX]*(Data_Nhập[Year]=I$1)*(Data_Nhập[Main SKU name_GOM]=$A9)*(Data_Nhập[SKU name_NHẬP_GOM]=I$3)),SUMPRODUCT(Data_Nhập[Tổng Nhập-NX]*(Data_Nhập[Year]=I$1)*(Data_Nhập[Month]=I$2)*(Data_Nhập[Main SKU name_GOM]=$A9)*(Data_Nhập[SKU name_NHẬP_GOM]=I$3)))</f>
        <v>1167400</v>
      </c>
      <c r="J9" s="24" cm="1">
        <f t="array" ref="J9">IF(J$2="FY",SUMPRODUCT(Data_Nhập[Tổng Nhập-NX]*(Data_Nhập[Year]=J$1)*(Data_Nhập[Main SKU name_GOM]=$A9)*(Data_Nhập[SKU name_NHẬP_GOM]=J$3)),SUMPRODUCT(Data_Nhập[Tổng Nhập-NX]*(Data_Nhập[Year]=J$1)*(Data_Nhập[Month]=J$2)*(Data_Nhập[Main SKU name_GOM]=$A9)*(Data_Nhập[SKU name_NHẬP_GOM]=J$3)))</f>
        <v>0</v>
      </c>
      <c r="K9" s="24" cm="1">
        <f t="array" ref="K9">IF(K$2="FY",SUMPRODUCT(Data_Nhập[Tổng Nhập-NX]*(Data_Nhập[Year]=K$1)*(Data_Nhập[Main SKU name_GOM]=$A9)*(Data_Nhập[SKU name_NHẬP_GOM]=K$3)),SUMPRODUCT(Data_Nhập[Tổng Nhập-NX]*(Data_Nhập[Year]=K$1)*(Data_Nhập[Month]=K$2)*(Data_Nhập[Main SKU name_GOM]=$A9)*(Data_Nhập[SKU name_NHẬP_GOM]=K$3)))</f>
        <v>0</v>
      </c>
      <c r="L9" s="24" cm="1">
        <f t="array" ref="L9">IF(L$2="FY",SUMPRODUCT(Data_Nhập[Tổng Nhập-NX]*(Data_Nhập[Year]=L$1)*(Data_Nhập[Main SKU name_GOM]=$A9)*(Data_Nhập[SKU name_NHẬP_GOM]=L$3)),SUMPRODUCT(Data_Nhập[Tổng Nhập-NX]*(Data_Nhập[Year]=L$1)*(Data_Nhập[Month]=L$2)*(Data_Nhập[Main SKU name_GOM]=$A9)*(Data_Nhập[SKU name_NHẬP_GOM]=L$3)))</f>
        <v>0</v>
      </c>
      <c r="M9" s="24" cm="1">
        <f t="array" ref="M9">IF(M$2="FY",SUMPRODUCT(Data_Nhập[Tổng Nhập-NX]*(Data_Nhập[Year]=M$1)*(Data_Nhập[Main SKU name_GOM]=$A9)*(Data_Nhập[SKU name_NHẬP_GOM]=M$3)),SUMPRODUCT(Data_Nhập[Tổng Nhập-NX]*(Data_Nhập[Year]=M$1)*(Data_Nhập[Month]=M$2)*(Data_Nhập[Main SKU name_GOM]=$A9)*(Data_Nhập[SKU name_NHẬP_GOM]=M$3)))</f>
        <v>0</v>
      </c>
      <c r="N9" s="24" cm="1">
        <f t="array" ref="N9">IF(N$2="FY",SUMPRODUCT(Data_Nhập[Tổng Nhập-NX]*(Data_Nhập[Year]=N$1)*(Data_Nhập[Main SKU name_GOM]=$A9)*(Data_Nhập[SKU name_NHẬP_GOM]=N$3)),SUMPRODUCT(Data_Nhập[Tổng Nhập-NX]*(Data_Nhập[Year]=N$1)*(Data_Nhập[Month]=N$2)*(Data_Nhập[Main SKU name_GOM]=$A9)*(Data_Nhập[SKU name_NHẬP_GOM]=N$3)))</f>
        <v>0</v>
      </c>
      <c r="O9" s="24" cm="1">
        <f t="array" ref="O9">IF(O$2="FY",SUMPRODUCT(Data_Nhập[Tổng Nhập-NX]*(Data_Nhập[Year]=O$1)*(Data_Nhập[Main SKU name_GOM]=$A9)*(Data_Nhập[SKU name_NHẬP_GOM]=O$3)),SUMPRODUCT(Data_Nhập[Tổng Nhập-NX]*(Data_Nhập[Year]=O$1)*(Data_Nhập[Month]=O$2)*(Data_Nhập[Main SKU name_GOM]=$A9)*(Data_Nhập[SKU name_NHẬP_GOM]=O$3)))</f>
        <v>0</v>
      </c>
      <c r="P9" s="24" cm="1">
        <f t="array" ref="P9">IF(P$2="FY",SUMPRODUCT(Data_Nhập[Tổng Nhập-NX]*(Data_Nhập[Year]=P$1)*(Data_Nhập[Main SKU name_GOM]=$A9)*(Data_Nhập[SKU name_NHẬP_GOM]=P$3)),SUMPRODUCT(Data_Nhập[Tổng Nhập-NX]*(Data_Nhập[Year]=P$1)*(Data_Nhập[Month]=P$2)*(Data_Nhập[Main SKU name_GOM]=$A9)*(Data_Nhập[SKU name_NHẬP_GOM]=P$3)))</f>
        <v>41800</v>
      </c>
      <c r="Q9" s="24" cm="1">
        <f t="array" ref="Q9">IF(Q$2="FY",SUMPRODUCT(Data_Nhập[Tổng Nhập-NX]*(Data_Nhập[Year]=Q$1)*(Data_Nhập[Main SKU name_GOM]=$A9)*(Data_Nhập[SKU name_NHẬP_GOM]=Q$3)),SUMPRODUCT(Data_Nhập[Tổng Nhập-NX]*(Data_Nhập[Year]=Q$1)*(Data_Nhập[Month]=Q$2)*(Data_Nhập[Main SKU name_GOM]=$A9)*(Data_Nhập[SKU name_NHẬP_GOM]=Q$3)))</f>
        <v>0</v>
      </c>
      <c r="R9" s="24" cm="1">
        <f t="array" ref="R9">IF(R$2="FY",SUMPRODUCT(Data_Nhập[Tổng Nhập-NX]*(Data_Nhập[Year]=R$1)*(Data_Nhập[Main SKU name_GOM]=$A9)*(Data_Nhập[SKU name_NHẬP_GOM]=R$3)),SUMPRODUCT(Data_Nhập[Tổng Nhập-NX]*(Data_Nhập[Year]=R$1)*(Data_Nhập[Month]=R$2)*(Data_Nhập[Main SKU name_GOM]=$A9)*(Data_Nhập[SKU name_NHẬP_GOM]=R$3)))</f>
        <v>96956</v>
      </c>
      <c r="S9" s="24" cm="1">
        <f t="array" ref="S9">IF(S$2="FY",SUMPRODUCT(Data_Nhập[Tổng Nhập-NX]*(Data_Nhập[Year]=S$1)*(Data_Nhập[Main SKU name_GOM]=$A9)*(Data_Nhập[SKU name_NHẬP_GOM]=S$3)),SUMPRODUCT(Data_Nhập[Tổng Nhập-NX]*(Data_Nhập[Year]=S$1)*(Data_Nhập[Month]=S$2)*(Data_Nhập[Main SKU name_GOM]=$A9)*(Data_Nhập[SKU name_NHẬP_GOM]=S$3)))</f>
        <v>0</v>
      </c>
      <c r="T9" s="25">
        <f t="shared" si="12"/>
        <v>1306156</v>
      </c>
      <c r="V9" s="25" cm="1">
        <f t="array" ref="V9">IF(V$2="FY",SUMPRODUCT(Data_Xuất[Xuất-NX]*(Data_Xuất[Year]=V$1)*(Data_Xuất[Main SKU name_GOM]=$A9)),SUMPRODUCT(Data_Xuất[Xuất-NX]*(Data_Xuất[Year]=V$1)*(Data_Xuất[Main SKU name_GOM]=$A9)*(Data_Xuất[Month]=V$2)))</f>
        <v>0</v>
      </c>
      <c r="W9" s="24" cm="1">
        <f t="array" ref="W9">IF(W$2="FY",SUMPRODUCT(Data_Nhập[Tổng Nhập-NX]*(Data_Nhập[Year]=W$1)*(Data_Nhập[Main SKU name_GOM]=$A9)*(Data_Nhập[SKU name_NHẬP_GOM]=W$3)),SUMPRODUCT(Data_Nhập[Tổng Nhập-NX]*(Data_Nhập[Year]=W$1)*(Data_Nhập[Month]=W$2)*(Data_Nhập[Main SKU name_GOM]=$A9)*(Data_Nhập[SKU name_NHẬP_GOM]=W$3)))</f>
        <v>0</v>
      </c>
      <c r="X9" s="24" cm="1">
        <f t="array" ref="X9">IF(X$2="FY",SUMPRODUCT(Data_Nhập[Tổng Nhập-NX]*(Data_Nhập[Year]=X$1)*(Data_Nhập[Main SKU name_GOM]=$A9)*(Data_Nhập[SKU name_NHẬP_GOM]=X$3)),SUMPRODUCT(Data_Nhập[Tổng Nhập-NX]*(Data_Nhập[Year]=X$1)*(Data_Nhập[Month]=X$2)*(Data_Nhập[Main SKU name_GOM]=$A9)*(Data_Nhập[SKU name_NHẬP_GOM]=X$3)))</f>
        <v>0</v>
      </c>
      <c r="Y9" s="24" cm="1">
        <f t="array" ref="Y9">IF(Y$2="FY",SUMPRODUCT(Data_Nhập[Tổng Nhập-NX]*(Data_Nhập[Year]=Y$1)*(Data_Nhập[Main SKU name_GOM]=$A9)*(Data_Nhập[SKU name_NHẬP_GOM]=Y$3)),SUMPRODUCT(Data_Nhập[Tổng Nhập-NX]*(Data_Nhập[Year]=Y$1)*(Data_Nhập[Month]=Y$2)*(Data_Nhập[Main SKU name_GOM]=$A9)*(Data_Nhập[SKU name_NHẬP_GOM]=Y$3)))</f>
        <v>0</v>
      </c>
      <c r="Z9" s="24" cm="1">
        <f t="array" ref="Z9">IF(Z$2="FY",SUMPRODUCT(Data_Nhập[Tổng Nhập-NX]*(Data_Nhập[Year]=Z$1)*(Data_Nhập[Main SKU name_GOM]=$A9)*(Data_Nhập[SKU name_NHẬP_GOM]=Z$3)),SUMPRODUCT(Data_Nhập[Tổng Nhập-NX]*(Data_Nhập[Year]=Z$1)*(Data_Nhập[Month]=Z$2)*(Data_Nhập[Main SKU name_GOM]=$A9)*(Data_Nhập[SKU name_NHẬP_GOM]=Z$3)))</f>
        <v>0</v>
      </c>
      <c r="AA9" s="24" cm="1">
        <f t="array" ref="AA9">IF(AA$2="FY",SUMPRODUCT(Data_Nhập[Tổng Nhập-NX]*(Data_Nhập[Year]=AA$1)*(Data_Nhập[Main SKU name_GOM]=$A9)*(Data_Nhập[SKU name_NHẬP_GOM]=AA$3)),SUMPRODUCT(Data_Nhập[Tổng Nhập-NX]*(Data_Nhập[Year]=AA$1)*(Data_Nhập[Month]=AA$2)*(Data_Nhập[Main SKU name_GOM]=$A9)*(Data_Nhập[SKU name_NHẬP_GOM]=AA$3)))</f>
        <v>0</v>
      </c>
      <c r="AB9" s="24" cm="1">
        <f t="array" ref="AB9">IF(AB$2="FY",SUMPRODUCT(Data_Nhập[Tổng Nhập-NX]*(Data_Nhập[Year]=AB$1)*(Data_Nhập[Main SKU name_GOM]=$A9)*(Data_Nhập[SKU name_NHẬP_GOM]=AB$3)),SUMPRODUCT(Data_Nhập[Tổng Nhập-NX]*(Data_Nhập[Year]=AB$1)*(Data_Nhập[Month]=AB$2)*(Data_Nhập[Main SKU name_GOM]=$A9)*(Data_Nhập[SKU name_NHẬP_GOM]=AB$3)))</f>
        <v>0</v>
      </c>
      <c r="AC9" s="24" cm="1">
        <f t="array" ref="AC9">IF(AC$2="FY",SUMPRODUCT(Data_Nhập[Tổng Nhập-NX]*(Data_Nhập[Year]=AC$1)*(Data_Nhập[Main SKU name_GOM]=$A9)*(Data_Nhập[SKU name_NHẬP_GOM]=AC$3)),SUMPRODUCT(Data_Nhập[Tổng Nhập-NX]*(Data_Nhập[Year]=AC$1)*(Data_Nhập[Month]=AC$2)*(Data_Nhập[Main SKU name_GOM]=$A9)*(Data_Nhập[SKU name_NHẬP_GOM]=AC$3)))</f>
        <v>0</v>
      </c>
      <c r="AD9" s="24" cm="1">
        <f t="array" ref="AD9">IF(AD$2="FY",SUMPRODUCT(Data_Nhập[Tổng Nhập-NX]*(Data_Nhập[Year]=AD$1)*(Data_Nhập[Main SKU name_GOM]=$A9)*(Data_Nhập[SKU name_NHẬP_GOM]=AD$3)),SUMPRODUCT(Data_Nhập[Tổng Nhập-NX]*(Data_Nhập[Year]=AD$1)*(Data_Nhập[Month]=AD$2)*(Data_Nhập[Main SKU name_GOM]=$A9)*(Data_Nhập[SKU name_NHẬP_GOM]=AD$3)))</f>
        <v>0</v>
      </c>
      <c r="AE9" s="24" cm="1">
        <f t="array" ref="AE9">IF(AE$2="FY",SUMPRODUCT(Data_Nhập[Tổng Nhập-NX]*(Data_Nhập[Year]=AE$1)*(Data_Nhập[Main SKU name_GOM]=$A9)*(Data_Nhập[SKU name_NHẬP_GOM]=AE$3)),SUMPRODUCT(Data_Nhập[Tổng Nhập-NX]*(Data_Nhập[Year]=AE$1)*(Data_Nhập[Month]=AE$2)*(Data_Nhập[Main SKU name_GOM]=$A9)*(Data_Nhập[SKU name_NHẬP_GOM]=AE$3)))</f>
        <v>0</v>
      </c>
      <c r="AF9" s="24" cm="1">
        <f t="array" ref="AF9">IF(AF$2="FY",SUMPRODUCT(Data_Nhập[Tổng Nhập-NX]*(Data_Nhập[Year]=AF$1)*(Data_Nhập[Main SKU name_GOM]=$A9)*(Data_Nhập[SKU name_NHẬP_GOM]=AF$3)),SUMPRODUCT(Data_Nhập[Tổng Nhập-NX]*(Data_Nhập[Year]=AF$1)*(Data_Nhập[Month]=AF$2)*(Data_Nhập[Main SKU name_GOM]=$A9)*(Data_Nhập[SKU name_NHẬP_GOM]=AF$3)))</f>
        <v>0</v>
      </c>
      <c r="AG9" s="24" cm="1">
        <f t="array" ref="AG9">IF(AG$2="FY",SUMPRODUCT(Data_Nhập[Tổng Nhập-NX]*(Data_Nhập[Year]=AG$1)*(Data_Nhập[Main SKU name_GOM]=$A9)*(Data_Nhập[SKU name_NHẬP_GOM]=AG$3)),SUMPRODUCT(Data_Nhập[Tổng Nhập-NX]*(Data_Nhập[Year]=AG$1)*(Data_Nhập[Month]=AG$2)*(Data_Nhập[Main SKU name_GOM]=$A9)*(Data_Nhập[SKU name_NHẬP_GOM]=AG$3)))</f>
        <v>0</v>
      </c>
      <c r="AH9" s="24" cm="1">
        <f t="array" ref="AH9">IF(AH$2="FY",SUMPRODUCT(Data_Nhập[Tổng Nhập-NX]*(Data_Nhập[Year]=AH$1)*(Data_Nhập[Main SKU name_GOM]=$A9)*(Data_Nhập[SKU name_NHẬP_GOM]=AH$3)),SUMPRODUCT(Data_Nhập[Tổng Nhập-NX]*(Data_Nhập[Year]=AH$1)*(Data_Nhập[Month]=AH$2)*(Data_Nhập[Main SKU name_GOM]=$A9)*(Data_Nhập[SKU name_NHẬP_GOM]=AH$3)))</f>
        <v>0</v>
      </c>
      <c r="AI9" s="24" cm="1">
        <f t="array" ref="AI9">IF(AI$2="FY",SUMPRODUCT(Data_Nhập[Tổng Nhập-NX]*(Data_Nhập[Year]=AI$1)*(Data_Nhập[Main SKU name_GOM]=$A9)*(Data_Nhập[SKU name_NHẬP_GOM]=AI$3)),SUMPRODUCT(Data_Nhập[Tổng Nhập-NX]*(Data_Nhập[Year]=AI$1)*(Data_Nhập[Month]=AI$2)*(Data_Nhập[Main SKU name_GOM]=$A9)*(Data_Nhập[SKU name_NHẬP_GOM]=AI$3)))</f>
        <v>0</v>
      </c>
      <c r="AJ9" s="24" cm="1">
        <f t="array" ref="AJ9">IF(AJ$2="FY",SUMPRODUCT(Data_Nhập[Tổng Nhập-NX]*(Data_Nhập[Year]=AJ$1)*(Data_Nhập[Main SKU name_GOM]=$A9)*(Data_Nhập[SKU name_NHẬP_GOM]=AJ$3)),SUMPRODUCT(Data_Nhập[Tổng Nhập-NX]*(Data_Nhập[Year]=AJ$1)*(Data_Nhập[Month]=AJ$2)*(Data_Nhập[Main SKU name_GOM]=$A9)*(Data_Nhập[SKU name_NHẬP_GOM]=AJ$3)))</f>
        <v>0</v>
      </c>
      <c r="AK9" s="24" cm="1">
        <f t="array" ref="AK9">IF(AK$2="FY",SUMPRODUCT(Data_Nhập[Tổng Nhập-NX]*(Data_Nhập[Year]=AK$1)*(Data_Nhập[Main SKU name_GOM]=$A9)*(Data_Nhập[SKU name_NHẬP_GOM]=AK$3)),SUMPRODUCT(Data_Nhập[Tổng Nhập-NX]*(Data_Nhập[Year]=AK$1)*(Data_Nhập[Month]=AK$2)*(Data_Nhập[Main SKU name_GOM]=$A9)*(Data_Nhập[SKU name_NHẬP_GOM]=AK$3)))</f>
        <v>0</v>
      </c>
      <c r="AL9" s="25">
        <f t="shared" si="13"/>
        <v>0</v>
      </c>
      <c r="AN9" s="25" cm="1">
        <f t="array" ref="AN9">IF(AN$2="FY",SUMPRODUCT(Data_Xuất[Xuất-NX]*(Data_Xuất[Year]=AN$1)*(Data_Xuất[Main SKU name_GOM]=$A9)),SUMPRODUCT(Data_Xuất[Xuất-NX]*(Data_Xuất[Year]=AN$1)*(Data_Xuất[Main SKU name_GOM]=$A9)*(Data_Xuất[Month]=AN$2)))</f>
        <v>8999.9999999999982</v>
      </c>
      <c r="AO9" s="24" cm="1">
        <f t="array" ref="AO9">IF(AO$2="FY",SUMPRODUCT(Data_Nhập[Tổng Nhập-NX]*(Data_Nhập[Year]=AO$1)*(Data_Nhập[Main SKU name_GOM]=$A9)*(Data_Nhập[SKU name_NHẬP_GOM]=AO$3)),SUMPRODUCT(Data_Nhập[Tổng Nhập-NX]*(Data_Nhập[Year]=AO$1)*(Data_Nhập[Month]=AO$2)*(Data_Nhập[Main SKU name_GOM]=$A9)*(Data_Nhập[SKU name_NHẬP_GOM]=AO$3)))</f>
        <v>0</v>
      </c>
      <c r="AP9" s="24" cm="1">
        <f t="array" ref="AP9">IF(AP$2="FY",SUMPRODUCT(Data_Nhập[Tổng Nhập-NX]*(Data_Nhập[Year]=AP$1)*(Data_Nhập[Main SKU name_GOM]=$A9)*(Data_Nhập[SKU name_NHẬP_GOM]=AP$3)),SUMPRODUCT(Data_Nhập[Tổng Nhập-NX]*(Data_Nhập[Year]=AP$1)*(Data_Nhập[Month]=AP$2)*(Data_Nhập[Main SKU name_GOM]=$A9)*(Data_Nhập[SKU name_NHẬP_GOM]=AP$3)))</f>
        <v>0</v>
      </c>
      <c r="AQ9" s="24" cm="1">
        <f t="array" ref="AQ9">IF(AQ$2="FY",SUMPRODUCT(Data_Nhập[Tổng Nhập-NX]*(Data_Nhập[Year]=AQ$1)*(Data_Nhập[Main SKU name_GOM]=$A9)*(Data_Nhập[SKU name_NHẬP_GOM]=AQ$3)),SUMPRODUCT(Data_Nhập[Tổng Nhập-NX]*(Data_Nhập[Year]=AQ$1)*(Data_Nhập[Month]=AQ$2)*(Data_Nhập[Main SKU name_GOM]=$A9)*(Data_Nhập[SKU name_NHẬP_GOM]=AQ$3)))</f>
        <v>0</v>
      </c>
      <c r="AR9" s="24" cm="1">
        <f t="array" ref="AR9">IF(AR$2="FY",SUMPRODUCT(Data_Nhập[Tổng Nhập-NX]*(Data_Nhập[Year]=AR$1)*(Data_Nhập[Main SKU name_GOM]=$A9)*(Data_Nhập[SKU name_NHẬP_GOM]=AR$3)),SUMPRODUCT(Data_Nhập[Tổng Nhập-NX]*(Data_Nhập[Year]=AR$1)*(Data_Nhập[Month]=AR$2)*(Data_Nhập[Main SKU name_GOM]=$A9)*(Data_Nhập[SKU name_NHẬP_GOM]=AR$3)))</f>
        <v>0</v>
      </c>
      <c r="AS9" s="24" cm="1">
        <f t="array" ref="AS9">IF(AS$2="FY",SUMPRODUCT(Data_Nhập[Tổng Nhập-NX]*(Data_Nhập[Year]=AS$1)*(Data_Nhập[Main SKU name_GOM]=$A9)*(Data_Nhập[SKU name_NHẬP_GOM]=AS$3)),SUMPRODUCT(Data_Nhập[Tổng Nhập-NX]*(Data_Nhập[Year]=AS$1)*(Data_Nhập[Month]=AS$2)*(Data_Nhập[Main SKU name_GOM]=$A9)*(Data_Nhập[SKU name_NHẬP_GOM]=AS$3)))</f>
        <v>5500</v>
      </c>
      <c r="AT9" s="24" cm="1">
        <f t="array" ref="AT9">IF(AT$2="FY",SUMPRODUCT(Data_Nhập[Tổng Nhập-NX]*(Data_Nhập[Year]=AT$1)*(Data_Nhập[Main SKU name_GOM]=$A9)*(Data_Nhập[SKU name_NHẬP_GOM]=AT$3)),SUMPRODUCT(Data_Nhập[Tổng Nhập-NX]*(Data_Nhập[Year]=AT$1)*(Data_Nhập[Month]=AT$2)*(Data_Nhập[Main SKU name_GOM]=$A9)*(Data_Nhập[SKU name_NHẬP_GOM]=AT$3)))</f>
        <v>0</v>
      </c>
      <c r="AU9" s="24" cm="1">
        <f t="array" ref="AU9">IF(AU$2="FY",SUMPRODUCT(Data_Nhập[Tổng Nhập-NX]*(Data_Nhập[Year]=AU$1)*(Data_Nhập[Main SKU name_GOM]=$A9)*(Data_Nhập[SKU name_NHẬP_GOM]=AU$3)),SUMPRODUCT(Data_Nhập[Tổng Nhập-NX]*(Data_Nhập[Year]=AU$1)*(Data_Nhập[Month]=AU$2)*(Data_Nhập[Main SKU name_GOM]=$A9)*(Data_Nhập[SKU name_NHẬP_GOM]=AU$3)))</f>
        <v>0</v>
      </c>
      <c r="AV9" s="24" cm="1">
        <f t="array" ref="AV9">IF(AV$2="FY",SUMPRODUCT(Data_Nhập[Tổng Nhập-NX]*(Data_Nhập[Year]=AV$1)*(Data_Nhập[Main SKU name_GOM]=$A9)*(Data_Nhập[SKU name_NHẬP_GOM]=AV$3)),SUMPRODUCT(Data_Nhập[Tổng Nhập-NX]*(Data_Nhập[Year]=AV$1)*(Data_Nhập[Month]=AV$2)*(Data_Nhập[Main SKU name_GOM]=$A9)*(Data_Nhập[SKU name_NHẬP_GOM]=AV$3)))</f>
        <v>0</v>
      </c>
      <c r="AW9" s="24" cm="1">
        <f t="array" ref="AW9">IF(AW$2="FY",SUMPRODUCT(Data_Nhập[Tổng Nhập-NX]*(Data_Nhập[Year]=AW$1)*(Data_Nhập[Main SKU name_GOM]=$A9)*(Data_Nhập[SKU name_NHẬP_GOM]=AW$3)),SUMPRODUCT(Data_Nhập[Tổng Nhập-NX]*(Data_Nhập[Year]=AW$1)*(Data_Nhập[Month]=AW$2)*(Data_Nhập[Main SKU name_GOM]=$A9)*(Data_Nhập[SKU name_NHẬP_GOM]=AW$3)))</f>
        <v>0</v>
      </c>
      <c r="AX9" s="24" cm="1">
        <f t="array" ref="AX9">IF(AX$2="FY",SUMPRODUCT(Data_Nhập[Tổng Nhập-NX]*(Data_Nhập[Year]=AX$1)*(Data_Nhập[Main SKU name_GOM]=$A9)*(Data_Nhập[SKU name_NHẬP_GOM]=AX$3)),SUMPRODUCT(Data_Nhập[Tổng Nhập-NX]*(Data_Nhập[Year]=AX$1)*(Data_Nhập[Month]=AX$2)*(Data_Nhập[Main SKU name_GOM]=$A9)*(Data_Nhập[SKU name_NHẬP_GOM]=AX$3)))</f>
        <v>0</v>
      </c>
      <c r="AY9" s="24" cm="1">
        <f t="array" ref="AY9">IF(AY$2="FY",SUMPRODUCT(Data_Nhập[Tổng Nhập-NX]*(Data_Nhập[Year]=AY$1)*(Data_Nhập[Main SKU name_GOM]=$A9)*(Data_Nhập[SKU name_NHẬP_GOM]=AY$3)),SUMPRODUCT(Data_Nhập[Tổng Nhập-NX]*(Data_Nhập[Year]=AY$1)*(Data_Nhập[Month]=AY$2)*(Data_Nhập[Main SKU name_GOM]=$A9)*(Data_Nhập[SKU name_NHẬP_GOM]=AY$3)))</f>
        <v>0</v>
      </c>
      <c r="AZ9" s="24" cm="1">
        <f t="array" ref="AZ9">IF(AZ$2="FY",SUMPRODUCT(Data_Nhập[Tổng Nhập-NX]*(Data_Nhập[Year]=AZ$1)*(Data_Nhập[Main SKU name_GOM]=$A9)*(Data_Nhập[SKU name_NHẬP_GOM]=AZ$3)),SUMPRODUCT(Data_Nhập[Tổng Nhập-NX]*(Data_Nhập[Year]=AZ$1)*(Data_Nhập[Month]=AZ$2)*(Data_Nhập[Main SKU name_GOM]=$A9)*(Data_Nhập[SKU name_NHẬP_GOM]=AZ$3)))</f>
        <v>2200</v>
      </c>
      <c r="BA9" s="24" cm="1">
        <f t="array" ref="BA9">IF(BA$2="FY",SUMPRODUCT(Data_Nhập[Tổng Nhập-NX]*(Data_Nhập[Year]=BA$1)*(Data_Nhập[Main SKU name_GOM]=$A9)*(Data_Nhập[SKU name_NHẬP_GOM]=BA$3)),SUMPRODUCT(Data_Nhập[Tổng Nhập-NX]*(Data_Nhập[Year]=BA$1)*(Data_Nhập[Month]=BA$2)*(Data_Nhập[Main SKU name_GOM]=$A9)*(Data_Nhập[SKU name_NHẬP_GOM]=BA$3)))</f>
        <v>0</v>
      </c>
      <c r="BB9" s="24" cm="1">
        <f t="array" ref="BB9">IF(BB$2="FY",SUMPRODUCT(Data_Nhập[Tổng Nhập-NX]*(Data_Nhập[Year]=BB$1)*(Data_Nhập[Main SKU name_GOM]=$A9)*(Data_Nhập[SKU name_NHẬP_GOM]=BB$3)),SUMPRODUCT(Data_Nhập[Tổng Nhập-NX]*(Data_Nhập[Year]=BB$1)*(Data_Nhập[Month]=BB$2)*(Data_Nhập[Main SKU name_GOM]=$A9)*(Data_Nhập[SKU name_NHẬP_GOM]=BB$3)))</f>
        <v>1250</v>
      </c>
      <c r="BC9" s="24" cm="1">
        <f t="array" ref="BC9">IF(BC$2="FY",SUMPRODUCT(Data_Nhập[Tổng Nhập-NX]*(Data_Nhập[Year]=BC$1)*(Data_Nhập[Main SKU name_GOM]=$A9)*(Data_Nhập[SKU name_NHẬP_GOM]=BC$3)),SUMPRODUCT(Data_Nhập[Tổng Nhập-NX]*(Data_Nhập[Year]=BC$1)*(Data_Nhập[Month]=BC$2)*(Data_Nhập[Main SKU name_GOM]=$A9)*(Data_Nhập[SKU name_NHẬP_GOM]=BC$3)))</f>
        <v>0</v>
      </c>
      <c r="BD9" s="25">
        <f t="shared" si="14"/>
        <v>8950</v>
      </c>
      <c r="BF9" s="25" cm="1">
        <f t="array" ref="BF9">IF(BF$2="FY",SUMPRODUCT(Data_Xuất[Xuất-NX]*(Data_Xuất[Year]=BF$1)*(Data_Xuất[Main SKU name_GOM]=$A9)),SUMPRODUCT(Data_Xuất[Xuất-NX]*(Data_Xuất[Year]=BF$1)*(Data_Xuất[Main SKU name_GOM]=$A9)*(Data_Xuất[Month]=BF$2)))</f>
        <v>428000</v>
      </c>
      <c r="BG9" s="24" cm="1">
        <f t="array" ref="BG9">IF(BG$2="FY",SUMPRODUCT(Data_Nhập[Tổng Nhập-NX]*(Data_Nhập[Year]=BG$1)*(Data_Nhập[Main SKU name_GOM]=$A9)*(Data_Nhập[SKU name_NHẬP_GOM]=BG$3)),SUMPRODUCT(Data_Nhập[Tổng Nhập-NX]*(Data_Nhập[Year]=BG$1)*(Data_Nhập[Month]=BG$2)*(Data_Nhập[Main SKU name_GOM]=$A9)*(Data_Nhập[SKU name_NHẬP_GOM]=BG$3)))</f>
        <v>0</v>
      </c>
      <c r="BH9" s="24" cm="1">
        <f t="array" ref="BH9">IF(BH$2="FY",SUMPRODUCT(Data_Nhập[Tổng Nhập-NX]*(Data_Nhập[Year]=BH$1)*(Data_Nhập[Main SKU name_GOM]=$A9)*(Data_Nhập[SKU name_NHẬP_GOM]=BH$3)),SUMPRODUCT(Data_Nhập[Tổng Nhập-NX]*(Data_Nhập[Year]=BH$1)*(Data_Nhập[Month]=BH$2)*(Data_Nhập[Main SKU name_GOM]=$A9)*(Data_Nhập[SKU name_NHẬP_GOM]=BH$3)))</f>
        <v>0</v>
      </c>
      <c r="BI9" s="24" cm="1">
        <f t="array" ref="BI9">IF(BI$2="FY",SUMPRODUCT(Data_Nhập[Tổng Nhập-NX]*(Data_Nhập[Year]=BI$1)*(Data_Nhập[Main SKU name_GOM]=$A9)*(Data_Nhập[SKU name_NHẬP_GOM]=BI$3)),SUMPRODUCT(Data_Nhập[Tổng Nhập-NX]*(Data_Nhập[Year]=BI$1)*(Data_Nhập[Month]=BI$2)*(Data_Nhập[Main SKU name_GOM]=$A9)*(Data_Nhập[SKU name_NHẬP_GOM]=BI$3)))</f>
        <v>0</v>
      </c>
      <c r="BJ9" s="24" cm="1">
        <f t="array" ref="BJ9">IF(BJ$2="FY",SUMPRODUCT(Data_Nhập[Tổng Nhập-NX]*(Data_Nhập[Year]=BJ$1)*(Data_Nhập[Main SKU name_GOM]=$A9)*(Data_Nhập[SKU name_NHẬP_GOM]=BJ$3)),SUMPRODUCT(Data_Nhập[Tổng Nhập-NX]*(Data_Nhập[Year]=BJ$1)*(Data_Nhập[Month]=BJ$2)*(Data_Nhập[Main SKU name_GOM]=$A9)*(Data_Nhập[SKU name_NHẬP_GOM]=BJ$3)))</f>
        <v>0</v>
      </c>
      <c r="BK9" s="24" cm="1">
        <f t="array" ref="BK9">IF(BK$2="FY",SUMPRODUCT(Data_Nhập[Tổng Nhập-NX]*(Data_Nhập[Year]=BK$1)*(Data_Nhập[Main SKU name_GOM]=$A9)*(Data_Nhập[SKU name_NHẬP_GOM]=BK$3)),SUMPRODUCT(Data_Nhập[Tổng Nhập-NX]*(Data_Nhập[Year]=BK$1)*(Data_Nhập[Month]=BK$2)*(Data_Nhập[Main SKU name_GOM]=$A9)*(Data_Nhập[SKU name_NHẬP_GOM]=BK$3)))</f>
        <v>390500</v>
      </c>
      <c r="BL9" s="24" cm="1">
        <f t="array" ref="BL9">IF(BL$2="FY",SUMPRODUCT(Data_Nhập[Tổng Nhập-NX]*(Data_Nhập[Year]=BL$1)*(Data_Nhập[Main SKU name_GOM]=$A9)*(Data_Nhập[SKU name_NHẬP_GOM]=BL$3)),SUMPRODUCT(Data_Nhập[Tổng Nhập-NX]*(Data_Nhập[Year]=BL$1)*(Data_Nhập[Month]=BL$2)*(Data_Nhập[Main SKU name_GOM]=$A9)*(Data_Nhập[SKU name_NHẬP_GOM]=BL$3)))</f>
        <v>0</v>
      </c>
      <c r="BM9" s="24" cm="1">
        <f t="array" ref="BM9">IF(BM$2="FY",SUMPRODUCT(Data_Nhập[Tổng Nhập-NX]*(Data_Nhập[Year]=BM$1)*(Data_Nhập[Main SKU name_GOM]=$A9)*(Data_Nhập[SKU name_NHẬP_GOM]=BM$3)),SUMPRODUCT(Data_Nhập[Tổng Nhập-NX]*(Data_Nhập[Year]=BM$1)*(Data_Nhập[Month]=BM$2)*(Data_Nhập[Main SKU name_GOM]=$A9)*(Data_Nhập[SKU name_NHẬP_GOM]=BM$3)))</f>
        <v>0</v>
      </c>
      <c r="BN9" s="24" cm="1">
        <f t="array" ref="BN9">IF(BN$2="FY",SUMPRODUCT(Data_Nhập[Tổng Nhập-NX]*(Data_Nhập[Year]=BN$1)*(Data_Nhập[Main SKU name_GOM]=$A9)*(Data_Nhập[SKU name_NHẬP_GOM]=BN$3)),SUMPRODUCT(Data_Nhập[Tổng Nhập-NX]*(Data_Nhập[Year]=BN$1)*(Data_Nhập[Month]=BN$2)*(Data_Nhập[Main SKU name_GOM]=$A9)*(Data_Nhập[SKU name_NHẬP_GOM]=BN$3)))</f>
        <v>0</v>
      </c>
      <c r="BO9" s="24" cm="1">
        <f t="array" ref="BO9">IF(BO$2="FY",SUMPRODUCT(Data_Nhập[Tổng Nhập-NX]*(Data_Nhập[Year]=BO$1)*(Data_Nhập[Main SKU name_GOM]=$A9)*(Data_Nhập[SKU name_NHẬP_GOM]=BO$3)),SUMPRODUCT(Data_Nhập[Tổng Nhập-NX]*(Data_Nhập[Year]=BO$1)*(Data_Nhập[Month]=BO$2)*(Data_Nhập[Main SKU name_GOM]=$A9)*(Data_Nhập[SKU name_NHẬP_GOM]=BO$3)))</f>
        <v>0</v>
      </c>
      <c r="BP9" s="24" cm="1">
        <f t="array" ref="BP9">IF(BP$2="FY",SUMPRODUCT(Data_Nhập[Tổng Nhập-NX]*(Data_Nhập[Year]=BP$1)*(Data_Nhập[Main SKU name_GOM]=$A9)*(Data_Nhập[SKU name_NHẬP_GOM]=BP$3)),SUMPRODUCT(Data_Nhập[Tổng Nhập-NX]*(Data_Nhập[Year]=BP$1)*(Data_Nhập[Month]=BP$2)*(Data_Nhập[Main SKU name_GOM]=$A9)*(Data_Nhập[SKU name_NHẬP_GOM]=BP$3)))</f>
        <v>0</v>
      </c>
      <c r="BQ9" s="24" cm="1">
        <f t="array" ref="BQ9">IF(BQ$2="FY",SUMPRODUCT(Data_Nhập[Tổng Nhập-NX]*(Data_Nhập[Year]=BQ$1)*(Data_Nhập[Main SKU name_GOM]=$A9)*(Data_Nhập[SKU name_NHẬP_GOM]=BQ$3)),SUMPRODUCT(Data_Nhập[Tổng Nhập-NX]*(Data_Nhập[Year]=BQ$1)*(Data_Nhập[Month]=BQ$2)*(Data_Nhập[Main SKU name_GOM]=$A9)*(Data_Nhập[SKU name_NHẬP_GOM]=BQ$3)))</f>
        <v>0</v>
      </c>
      <c r="BR9" s="24" cm="1">
        <f t="array" ref="BR9">IF(BR$2="FY",SUMPRODUCT(Data_Nhập[Tổng Nhập-NX]*(Data_Nhập[Year]=BR$1)*(Data_Nhập[Main SKU name_GOM]=$A9)*(Data_Nhập[SKU name_NHẬP_GOM]=BR$3)),SUMPRODUCT(Data_Nhập[Tổng Nhập-NX]*(Data_Nhập[Year]=BR$1)*(Data_Nhập[Month]=BR$2)*(Data_Nhập[Main SKU name_GOM]=$A9)*(Data_Nhập[SKU name_NHẬP_GOM]=BR$3)))</f>
        <v>0</v>
      </c>
      <c r="BS9" s="24" cm="1">
        <f t="array" ref="BS9">IF(BS$2="FY",SUMPRODUCT(Data_Nhập[Tổng Nhập-NX]*(Data_Nhập[Year]=BS$1)*(Data_Nhập[Main SKU name_GOM]=$A9)*(Data_Nhập[SKU name_NHẬP_GOM]=BS$3)),SUMPRODUCT(Data_Nhập[Tổng Nhập-NX]*(Data_Nhập[Year]=BS$1)*(Data_Nhập[Month]=BS$2)*(Data_Nhập[Main SKU name_GOM]=$A9)*(Data_Nhập[SKU name_NHẬP_GOM]=BS$3)))</f>
        <v>0</v>
      </c>
      <c r="BT9" s="24" cm="1">
        <f t="array" ref="BT9">IF(BT$2="FY",SUMPRODUCT(Data_Nhập[Tổng Nhập-NX]*(Data_Nhập[Year]=BT$1)*(Data_Nhập[Main SKU name_GOM]=$A9)*(Data_Nhập[SKU name_NHẬP_GOM]=BT$3)),SUMPRODUCT(Data_Nhập[Tổng Nhập-NX]*(Data_Nhập[Year]=BT$1)*(Data_Nhập[Month]=BT$2)*(Data_Nhập[Main SKU name_GOM]=$A9)*(Data_Nhập[SKU name_NHẬP_GOM]=BT$3)))</f>
        <v>36413</v>
      </c>
      <c r="BU9" s="24" cm="1">
        <f t="array" ref="BU9">IF(BU$2="FY",SUMPRODUCT(Data_Nhập[Tổng Nhập-NX]*(Data_Nhập[Year]=BU$1)*(Data_Nhập[Main SKU name_GOM]=$A9)*(Data_Nhập[SKU name_NHẬP_GOM]=BU$3)),SUMPRODUCT(Data_Nhập[Tổng Nhập-NX]*(Data_Nhập[Year]=BU$1)*(Data_Nhập[Month]=BU$2)*(Data_Nhập[Main SKU name_GOM]=$A9)*(Data_Nhập[SKU name_NHẬP_GOM]=BU$3)))</f>
        <v>0</v>
      </c>
      <c r="BV9" s="25">
        <f t="shared" si="15"/>
        <v>426913</v>
      </c>
      <c r="BX9" s="25" cm="1">
        <f t="array" ref="BX9">IF(BX$2="FY",SUMPRODUCT(Data_Xuất[Xuất-NX]*(Data_Xuất[Year]=BX$1)*(Data_Xuất[Main SKU name_GOM]=$A9)),SUMPRODUCT(Data_Xuất[Xuất-NX]*(Data_Xuất[Year]=BX$1)*(Data_Xuất[Main SKU name_GOM]=$A9)*(Data_Xuất[Month]=BX$2)))</f>
        <v>114699.99999999999</v>
      </c>
      <c r="BY9" s="24" cm="1">
        <f t="array" ref="BY9">IF(BY$2="FY",SUMPRODUCT(Data_Nhập[Tổng Nhập-NX]*(Data_Nhập[Year]=BY$1)*(Data_Nhập[Main SKU name_GOM]=$A9)*(Data_Nhập[SKU name_NHẬP_GOM]=BY$3)),SUMPRODUCT(Data_Nhập[Tổng Nhập-NX]*(Data_Nhập[Year]=BY$1)*(Data_Nhập[Month]=BY$2)*(Data_Nhập[Main SKU name_GOM]=$A9)*(Data_Nhập[SKU name_NHẬP_GOM]=BY$3)))</f>
        <v>0</v>
      </c>
      <c r="BZ9" s="24" cm="1">
        <f t="array" ref="BZ9">IF(BZ$2="FY",SUMPRODUCT(Data_Nhập[Tổng Nhập-NX]*(Data_Nhập[Year]=BZ$1)*(Data_Nhập[Main SKU name_GOM]=$A9)*(Data_Nhập[SKU name_NHẬP_GOM]=BZ$3)),SUMPRODUCT(Data_Nhập[Tổng Nhập-NX]*(Data_Nhập[Year]=BZ$1)*(Data_Nhập[Month]=BZ$2)*(Data_Nhập[Main SKU name_GOM]=$A9)*(Data_Nhập[SKU name_NHẬP_GOM]=BZ$3)))</f>
        <v>0</v>
      </c>
      <c r="CA9" s="24" cm="1">
        <f t="array" ref="CA9">IF(CA$2="FY",SUMPRODUCT(Data_Nhập[Tổng Nhập-NX]*(Data_Nhập[Year]=CA$1)*(Data_Nhập[Main SKU name_GOM]=$A9)*(Data_Nhập[SKU name_NHẬP_GOM]=CA$3)),SUMPRODUCT(Data_Nhập[Tổng Nhập-NX]*(Data_Nhập[Year]=CA$1)*(Data_Nhập[Month]=CA$2)*(Data_Nhập[Main SKU name_GOM]=$A9)*(Data_Nhập[SKU name_NHẬP_GOM]=CA$3)))</f>
        <v>0</v>
      </c>
      <c r="CB9" s="24" cm="1">
        <f t="array" ref="CB9">IF(CB$2="FY",SUMPRODUCT(Data_Nhập[Tổng Nhập-NX]*(Data_Nhập[Year]=CB$1)*(Data_Nhập[Main SKU name_GOM]=$A9)*(Data_Nhập[SKU name_NHẬP_GOM]=CB$3)),SUMPRODUCT(Data_Nhập[Tổng Nhập-NX]*(Data_Nhập[Year]=CB$1)*(Data_Nhập[Month]=CB$2)*(Data_Nhập[Main SKU name_GOM]=$A9)*(Data_Nhập[SKU name_NHẬP_GOM]=CB$3)))</f>
        <v>0</v>
      </c>
      <c r="CC9" s="24" cm="1">
        <f t="array" ref="CC9">IF(CC$2="FY",SUMPRODUCT(Data_Nhập[Tổng Nhập-NX]*(Data_Nhập[Year]=CC$1)*(Data_Nhập[Main SKU name_GOM]=$A9)*(Data_Nhập[SKU name_NHẬP_GOM]=CC$3)),SUMPRODUCT(Data_Nhập[Tổng Nhập-NX]*(Data_Nhập[Year]=CC$1)*(Data_Nhập[Month]=CC$2)*(Data_Nhập[Main SKU name_GOM]=$A9)*(Data_Nhập[SKU name_NHẬP_GOM]=CC$3)))</f>
        <v>106700</v>
      </c>
      <c r="CD9" s="24" cm="1">
        <f t="array" ref="CD9">IF(CD$2="FY",SUMPRODUCT(Data_Nhập[Tổng Nhập-NX]*(Data_Nhập[Year]=CD$1)*(Data_Nhập[Main SKU name_GOM]=$A9)*(Data_Nhập[SKU name_NHẬP_GOM]=CD$3)),SUMPRODUCT(Data_Nhập[Tổng Nhập-NX]*(Data_Nhập[Year]=CD$1)*(Data_Nhập[Month]=CD$2)*(Data_Nhập[Main SKU name_GOM]=$A9)*(Data_Nhập[SKU name_NHẬP_GOM]=CD$3)))</f>
        <v>0</v>
      </c>
      <c r="CE9" s="24" cm="1">
        <f t="array" ref="CE9">IF(CE$2="FY",SUMPRODUCT(Data_Nhập[Tổng Nhập-NX]*(Data_Nhập[Year]=CE$1)*(Data_Nhập[Main SKU name_GOM]=$A9)*(Data_Nhập[SKU name_NHẬP_GOM]=CE$3)),SUMPRODUCT(Data_Nhập[Tổng Nhập-NX]*(Data_Nhập[Year]=CE$1)*(Data_Nhập[Month]=CE$2)*(Data_Nhập[Main SKU name_GOM]=$A9)*(Data_Nhập[SKU name_NHẬP_GOM]=CE$3)))</f>
        <v>0</v>
      </c>
      <c r="CF9" s="24" cm="1">
        <f t="array" ref="CF9">IF(CF$2="FY",SUMPRODUCT(Data_Nhập[Tổng Nhập-NX]*(Data_Nhập[Year]=CF$1)*(Data_Nhập[Main SKU name_GOM]=$A9)*(Data_Nhập[SKU name_NHẬP_GOM]=CF$3)),SUMPRODUCT(Data_Nhập[Tổng Nhập-NX]*(Data_Nhập[Year]=CF$1)*(Data_Nhập[Month]=CF$2)*(Data_Nhập[Main SKU name_GOM]=$A9)*(Data_Nhập[SKU name_NHẬP_GOM]=CF$3)))</f>
        <v>0</v>
      </c>
      <c r="CG9" s="24" cm="1">
        <f t="array" ref="CG9">IF(CG$2="FY",SUMPRODUCT(Data_Nhập[Tổng Nhập-NX]*(Data_Nhập[Year]=CG$1)*(Data_Nhập[Main SKU name_GOM]=$A9)*(Data_Nhập[SKU name_NHẬP_GOM]=CG$3)),SUMPRODUCT(Data_Nhập[Tổng Nhập-NX]*(Data_Nhập[Year]=CG$1)*(Data_Nhập[Month]=CG$2)*(Data_Nhập[Main SKU name_GOM]=$A9)*(Data_Nhập[SKU name_NHẬP_GOM]=CG$3)))</f>
        <v>0</v>
      </c>
      <c r="CH9" s="24" cm="1">
        <f t="array" ref="CH9">IF(CH$2="FY",SUMPRODUCT(Data_Nhập[Tổng Nhập-NX]*(Data_Nhập[Year]=CH$1)*(Data_Nhập[Main SKU name_GOM]=$A9)*(Data_Nhập[SKU name_NHẬP_GOM]=CH$3)),SUMPRODUCT(Data_Nhập[Tổng Nhập-NX]*(Data_Nhập[Year]=CH$1)*(Data_Nhập[Month]=CH$2)*(Data_Nhập[Main SKU name_GOM]=$A9)*(Data_Nhập[SKU name_NHẬP_GOM]=CH$3)))</f>
        <v>0</v>
      </c>
      <c r="CI9" s="24" cm="1">
        <f t="array" ref="CI9">IF(CI$2="FY",SUMPRODUCT(Data_Nhập[Tổng Nhập-NX]*(Data_Nhập[Year]=CI$1)*(Data_Nhập[Main SKU name_GOM]=$A9)*(Data_Nhập[SKU name_NHẬP_GOM]=CI$3)),SUMPRODUCT(Data_Nhập[Tổng Nhập-NX]*(Data_Nhập[Year]=CI$1)*(Data_Nhập[Month]=CI$2)*(Data_Nhập[Main SKU name_GOM]=$A9)*(Data_Nhập[SKU name_NHẬP_GOM]=CI$3)))</f>
        <v>0</v>
      </c>
      <c r="CJ9" s="24" cm="1">
        <f t="array" ref="CJ9">IF(CJ$2="FY",SUMPRODUCT(Data_Nhập[Tổng Nhập-NX]*(Data_Nhập[Year]=CJ$1)*(Data_Nhập[Main SKU name_GOM]=$A9)*(Data_Nhập[SKU name_NHẬP_GOM]=CJ$3)),SUMPRODUCT(Data_Nhập[Tổng Nhập-NX]*(Data_Nhập[Year]=CJ$1)*(Data_Nhập[Month]=CJ$2)*(Data_Nhập[Main SKU name_GOM]=$A9)*(Data_Nhập[SKU name_NHẬP_GOM]=CJ$3)))</f>
        <v>0</v>
      </c>
      <c r="CK9" s="24" cm="1">
        <f t="array" ref="CK9">IF(CK$2="FY",SUMPRODUCT(Data_Nhập[Tổng Nhập-NX]*(Data_Nhập[Year]=CK$1)*(Data_Nhập[Main SKU name_GOM]=$A9)*(Data_Nhập[SKU name_NHẬP_GOM]=CK$3)),SUMPRODUCT(Data_Nhập[Tổng Nhập-NX]*(Data_Nhập[Year]=CK$1)*(Data_Nhập[Month]=CK$2)*(Data_Nhập[Main SKU name_GOM]=$A9)*(Data_Nhập[SKU name_NHẬP_GOM]=CK$3)))</f>
        <v>0</v>
      </c>
      <c r="CL9" s="24" cm="1">
        <f t="array" ref="CL9">IF(CL$2="FY",SUMPRODUCT(Data_Nhập[Tổng Nhập-NX]*(Data_Nhập[Year]=CL$1)*(Data_Nhập[Main SKU name_GOM]=$A9)*(Data_Nhập[SKU name_NHẬP_GOM]=CL$3)),SUMPRODUCT(Data_Nhập[Tổng Nhập-NX]*(Data_Nhập[Year]=CL$1)*(Data_Nhập[Month]=CL$2)*(Data_Nhập[Main SKU name_GOM]=$A9)*(Data_Nhập[SKU name_NHẬP_GOM]=CL$3)))</f>
        <v>7820</v>
      </c>
      <c r="CM9" s="24" cm="1">
        <f t="array" ref="CM9">IF(CM$2="FY",SUMPRODUCT(Data_Nhập[Tổng Nhập-NX]*(Data_Nhập[Year]=CM$1)*(Data_Nhập[Main SKU name_GOM]=$A9)*(Data_Nhập[SKU name_NHẬP_GOM]=CM$3)),SUMPRODUCT(Data_Nhập[Tổng Nhập-NX]*(Data_Nhập[Year]=CM$1)*(Data_Nhập[Month]=CM$2)*(Data_Nhập[Main SKU name_GOM]=$A9)*(Data_Nhập[SKU name_NHẬP_GOM]=CM$3)))</f>
        <v>0</v>
      </c>
      <c r="CN9" s="25">
        <f t="shared" si="16"/>
        <v>114520</v>
      </c>
      <c r="CP9" s="25" cm="1">
        <f t="array" ref="CP9">IF(CP$2="FY",SUMPRODUCT(Data_Xuất[Xuất-NX]*(Data_Xuất[Year]=CP$1)*(Data_Xuất[Main SKU name_GOM]=$A9)),SUMPRODUCT(Data_Xuất[Xuất-NX]*(Data_Xuất[Year]=CP$1)*(Data_Xuất[Main SKU name_GOM]=$A9)*(Data_Xuất[Month]=CP$2)))</f>
        <v>0</v>
      </c>
      <c r="CQ9" s="24" cm="1">
        <f t="array" ref="CQ9">IF(CQ$2="FY",SUMPRODUCT(Data_Nhập[Tổng Nhập-NX]*(Data_Nhập[Year]=CQ$1)*(Data_Nhập[Main SKU name_GOM]=$A9)*(Data_Nhập[SKU name_NHẬP_GOM]=CQ$3)),SUMPRODUCT(Data_Nhập[Tổng Nhập-NX]*(Data_Nhập[Year]=CQ$1)*(Data_Nhập[Month]=CQ$2)*(Data_Nhập[Main SKU name_GOM]=$A9)*(Data_Nhập[SKU name_NHẬP_GOM]=CQ$3)))</f>
        <v>0</v>
      </c>
      <c r="CR9" s="24" cm="1">
        <f t="array" ref="CR9">IF(CR$2="FY",SUMPRODUCT(Data_Nhập[Tổng Nhập-NX]*(Data_Nhập[Year]=CR$1)*(Data_Nhập[Main SKU name_GOM]=$A9)*(Data_Nhập[SKU name_NHẬP_GOM]=CR$3)),SUMPRODUCT(Data_Nhập[Tổng Nhập-NX]*(Data_Nhập[Year]=CR$1)*(Data_Nhập[Month]=CR$2)*(Data_Nhập[Main SKU name_GOM]=$A9)*(Data_Nhập[SKU name_NHẬP_GOM]=CR$3)))</f>
        <v>0</v>
      </c>
      <c r="CS9" s="24" cm="1">
        <f t="array" ref="CS9">IF(CS$2="FY",SUMPRODUCT(Data_Nhập[Tổng Nhập-NX]*(Data_Nhập[Year]=CS$1)*(Data_Nhập[Main SKU name_GOM]=$A9)*(Data_Nhập[SKU name_NHẬP_GOM]=CS$3)),SUMPRODUCT(Data_Nhập[Tổng Nhập-NX]*(Data_Nhập[Year]=CS$1)*(Data_Nhập[Month]=CS$2)*(Data_Nhập[Main SKU name_GOM]=$A9)*(Data_Nhập[SKU name_NHẬP_GOM]=CS$3)))</f>
        <v>0</v>
      </c>
      <c r="CT9" s="24" cm="1">
        <f t="array" ref="CT9">IF(CT$2="FY",SUMPRODUCT(Data_Nhập[Tổng Nhập-NX]*(Data_Nhập[Year]=CT$1)*(Data_Nhập[Main SKU name_GOM]=$A9)*(Data_Nhập[SKU name_NHẬP_GOM]=CT$3)),SUMPRODUCT(Data_Nhập[Tổng Nhập-NX]*(Data_Nhập[Year]=CT$1)*(Data_Nhập[Month]=CT$2)*(Data_Nhập[Main SKU name_GOM]=$A9)*(Data_Nhập[SKU name_NHẬP_GOM]=CT$3)))</f>
        <v>0</v>
      </c>
      <c r="CU9" s="24" cm="1">
        <f t="array" ref="CU9">IF(CU$2="FY",SUMPRODUCT(Data_Nhập[Tổng Nhập-NX]*(Data_Nhập[Year]=CU$1)*(Data_Nhập[Main SKU name_GOM]=$A9)*(Data_Nhập[SKU name_NHẬP_GOM]=CU$3)),SUMPRODUCT(Data_Nhập[Tổng Nhập-NX]*(Data_Nhập[Year]=CU$1)*(Data_Nhập[Month]=CU$2)*(Data_Nhập[Main SKU name_GOM]=$A9)*(Data_Nhập[SKU name_NHẬP_GOM]=CU$3)))</f>
        <v>0</v>
      </c>
      <c r="CV9" s="24" cm="1">
        <f t="array" ref="CV9">IF(CV$2="FY",SUMPRODUCT(Data_Nhập[Tổng Nhập-NX]*(Data_Nhập[Year]=CV$1)*(Data_Nhập[Main SKU name_GOM]=$A9)*(Data_Nhập[SKU name_NHẬP_GOM]=CV$3)),SUMPRODUCT(Data_Nhập[Tổng Nhập-NX]*(Data_Nhập[Year]=CV$1)*(Data_Nhập[Month]=CV$2)*(Data_Nhập[Main SKU name_GOM]=$A9)*(Data_Nhập[SKU name_NHẬP_GOM]=CV$3)))</f>
        <v>0</v>
      </c>
      <c r="CW9" s="24" cm="1">
        <f t="array" ref="CW9">IF(CW$2="FY",SUMPRODUCT(Data_Nhập[Tổng Nhập-NX]*(Data_Nhập[Year]=CW$1)*(Data_Nhập[Main SKU name_GOM]=$A9)*(Data_Nhập[SKU name_NHẬP_GOM]=CW$3)),SUMPRODUCT(Data_Nhập[Tổng Nhập-NX]*(Data_Nhập[Year]=CW$1)*(Data_Nhập[Month]=CW$2)*(Data_Nhập[Main SKU name_GOM]=$A9)*(Data_Nhập[SKU name_NHẬP_GOM]=CW$3)))</f>
        <v>0</v>
      </c>
      <c r="CX9" s="24" cm="1">
        <f t="array" ref="CX9">IF(CX$2="FY",SUMPRODUCT(Data_Nhập[Tổng Nhập-NX]*(Data_Nhập[Year]=CX$1)*(Data_Nhập[Main SKU name_GOM]=$A9)*(Data_Nhập[SKU name_NHẬP_GOM]=CX$3)),SUMPRODUCT(Data_Nhập[Tổng Nhập-NX]*(Data_Nhập[Year]=CX$1)*(Data_Nhập[Month]=CX$2)*(Data_Nhập[Main SKU name_GOM]=$A9)*(Data_Nhập[SKU name_NHẬP_GOM]=CX$3)))</f>
        <v>0</v>
      </c>
      <c r="CY9" s="24" cm="1">
        <f t="array" ref="CY9">IF(CY$2="FY",SUMPRODUCT(Data_Nhập[Tổng Nhập-NX]*(Data_Nhập[Year]=CY$1)*(Data_Nhập[Main SKU name_GOM]=$A9)*(Data_Nhập[SKU name_NHẬP_GOM]=CY$3)),SUMPRODUCT(Data_Nhập[Tổng Nhập-NX]*(Data_Nhập[Year]=CY$1)*(Data_Nhập[Month]=CY$2)*(Data_Nhập[Main SKU name_GOM]=$A9)*(Data_Nhập[SKU name_NHẬP_GOM]=CY$3)))</f>
        <v>0</v>
      </c>
      <c r="CZ9" s="24" cm="1">
        <f t="array" ref="CZ9">IF(CZ$2="FY",SUMPRODUCT(Data_Nhập[Tổng Nhập-NX]*(Data_Nhập[Year]=CZ$1)*(Data_Nhập[Main SKU name_GOM]=$A9)*(Data_Nhập[SKU name_NHẬP_GOM]=CZ$3)),SUMPRODUCT(Data_Nhập[Tổng Nhập-NX]*(Data_Nhập[Year]=CZ$1)*(Data_Nhập[Month]=CZ$2)*(Data_Nhập[Main SKU name_GOM]=$A9)*(Data_Nhập[SKU name_NHẬP_GOM]=CZ$3)))</f>
        <v>0</v>
      </c>
      <c r="DA9" s="24" cm="1">
        <f t="array" ref="DA9">IF(DA$2="FY",SUMPRODUCT(Data_Nhập[Tổng Nhập-NX]*(Data_Nhập[Year]=DA$1)*(Data_Nhập[Main SKU name_GOM]=$A9)*(Data_Nhập[SKU name_NHẬP_GOM]=DA$3)),SUMPRODUCT(Data_Nhập[Tổng Nhập-NX]*(Data_Nhập[Year]=DA$1)*(Data_Nhập[Month]=DA$2)*(Data_Nhập[Main SKU name_GOM]=$A9)*(Data_Nhập[SKU name_NHẬP_GOM]=DA$3)))</f>
        <v>0</v>
      </c>
      <c r="DB9" s="24" cm="1">
        <f t="array" ref="DB9">IF(DB$2="FY",SUMPRODUCT(Data_Nhập[Tổng Nhập-NX]*(Data_Nhập[Year]=DB$1)*(Data_Nhập[Main SKU name_GOM]=$A9)*(Data_Nhập[SKU name_NHẬP_GOM]=DB$3)),SUMPRODUCT(Data_Nhập[Tổng Nhập-NX]*(Data_Nhập[Year]=DB$1)*(Data_Nhập[Month]=DB$2)*(Data_Nhập[Main SKU name_GOM]=$A9)*(Data_Nhập[SKU name_NHẬP_GOM]=DB$3)))</f>
        <v>0</v>
      </c>
      <c r="DC9" s="24" cm="1">
        <f t="array" ref="DC9">IF(DC$2="FY",SUMPRODUCT(Data_Nhập[Tổng Nhập-NX]*(Data_Nhập[Year]=DC$1)*(Data_Nhập[Main SKU name_GOM]=$A9)*(Data_Nhập[SKU name_NHẬP_GOM]=DC$3)),SUMPRODUCT(Data_Nhập[Tổng Nhập-NX]*(Data_Nhập[Year]=DC$1)*(Data_Nhập[Month]=DC$2)*(Data_Nhập[Main SKU name_GOM]=$A9)*(Data_Nhập[SKU name_NHẬP_GOM]=DC$3)))</f>
        <v>0</v>
      </c>
      <c r="DD9" s="24" cm="1">
        <f t="array" ref="DD9">IF(DD$2="FY",SUMPRODUCT(Data_Nhập[Tổng Nhập-NX]*(Data_Nhập[Year]=DD$1)*(Data_Nhập[Main SKU name_GOM]=$A9)*(Data_Nhập[SKU name_NHẬP_GOM]=DD$3)),SUMPRODUCT(Data_Nhập[Tổng Nhập-NX]*(Data_Nhập[Year]=DD$1)*(Data_Nhập[Month]=DD$2)*(Data_Nhập[Main SKU name_GOM]=$A9)*(Data_Nhập[SKU name_NHẬP_GOM]=DD$3)))</f>
        <v>0</v>
      </c>
      <c r="DE9" s="24" cm="1">
        <f t="array" ref="DE9">IF(DE$2="FY",SUMPRODUCT(Data_Nhập[Tổng Nhập-NX]*(Data_Nhập[Year]=DE$1)*(Data_Nhập[Main SKU name_GOM]=$A9)*(Data_Nhập[SKU name_NHẬP_GOM]=DE$3)),SUMPRODUCT(Data_Nhập[Tổng Nhập-NX]*(Data_Nhập[Year]=DE$1)*(Data_Nhập[Month]=DE$2)*(Data_Nhập[Main SKU name_GOM]=$A9)*(Data_Nhập[SKU name_NHẬP_GOM]=DE$3)))</f>
        <v>0</v>
      </c>
      <c r="DF9" s="25">
        <f t="shared" si="17"/>
        <v>0</v>
      </c>
      <c r="DH9" s="25" cm="1">
        <f t="array" ref="DH9">IF(DH$2="FY",SUMPRODUCT(Data_Xuất[Xuất-NX]*(Data_Xuất[Year]=DH$1)*(Data_Xuất[Main SKU name_GOM]=$A9)),SUMPRODUCT(Data_Xuất[Xuất-NX]*(Data_Xuất[Year]=DH$1)*(Data_Xuất[Main SKU name_GOM]=$A9)*(Data_Xuất[Month]=DH$2)))</f>
        <v>300</v>
      </c>
      <c r="DI9" s="24" cm="1">
        <f t="array" ref="DI9">IF(DI$2="FY",SUMPRODUCT(Data_Nhập[Tổng Nhập-NX]*(Data_Nhập[Year]=DI$1)*(Data_Nhập[Main SKU name_GOM]=$A9)*(Data_Nhập[SKU name_NHẬP_GOM]=DI$3)),SUMPRODUCT(Data_Nhập[Tổng Nhập-NX]*(Data_Nhập[Year]=DI$1)*(Data_Nhập[Month]=DI$2)*(Data_Nhập[Main SKU name_GOM]=$A9)*(Data_Nhập[SKU name_NHẬP_GOM]=DI$3)))</f>
        <v>0</v>
      </c>
      <c r="DJ9" s="24" cm="1">
        <f t="array" ref="DJ9">IF(DJ$2="FY",SUMPRODUCT(Data_Nhập[Tổng Nhập-NX]*(Data_Nhập[Year]=DJ$1)*(Data_Nhập[Main SKU name_GOM]=$A9)*(Data_Nhập[SKU name_NHẬP_GOM]=DJ$3)),SUMPRODUCT(Data_Nhập[Tổng Nhập-NX]*(Data_Nhập[Year]=DJ$1)*(Data_Nhập[Month]=DJ$2)*(Data_Nhập[Main SKU name_GOM]=$A9)*(Data_Nhập[SKU name_NHẬP_GOM]=DJ$3)))</f>
        <v>0</v>
      </c>
      <c r="DK9" s="24" cm="1">
        <f t="array" ref="DK9">IF(DK$2="FY",SUMPRODUCT(Data_Nhập[Tổng Nhập-NX]*(Data_Nhập[Year]=DK$1)*(Data_Nhập[Main SKU name_GOM]=$A9)*(Data_Nhập[SKU name_NHẬP_GOM]=DK$3)),SUMPRODUCT(Data_Nhập[Tổng Nhập-NX]*(Data_Nhập[Year]=DK$1)*(Data_Nhập[Month]=DK$2)*(Data_Nhập[Main SKU name_GOM]=$A9)*(Data_Nhập[SKU name_NHẬP_GOM]=DK$3)))</f>
        <v>0</v>
      </c>
      <c r="DL9" s="24" cm="1">
        <f t="array" ref="DL9">IF(DL$2="FY",SUMPRODUCT(Data_Nhập[Tổng Nhập-NX]*(Data_Nhập[Year]=DL$1)*(Data_Nhập[Main SKU name_GOM]=$A9)*(Data_Nhập[SKU name_NHẬP_GOM]=DL$3)),SUMPRODUCT(Data_Nhập[Tổng Nhập-NX]*(Data_Nhập[Year]=DL$1)*(Data_Nhập[Month]=DL$2)*(Data_Nhập[Main SKU name_GOM]=$A9)*(Data_Nhập[SKU name_NHẬP_GOM]=DL$3)))</f>
        <v>0</v>
      </c>
      <c r="DM9" s="24" cm="1">
        <f t="array" ref="DM9">IF(DM$2="FY",SUMPRODUCT(Data_Nhập[Tổng Nhập-NX]*(Data_Nhập[Year]=DM$1)*(Data_Nhập[Main SKU name_GOM]=$A9)*(Data_Nhập[SKU name_NHẬP_GOM]=DM$3)),SUMPRODUCT(Data_Nhập[Tổng Nhập-NX]*(Data_Nhập[Year]=DM$1)*(Data_Nhập[Month]=DM$2)*(Data_Nhập[Main SKU name_GOM]=$A9)*(Data_Nhập[SKU name_NHẬP_GOM]=DM$3)))</f>
        <v>300</v>
      </c>
      <c r="DN9" s="24" cm="1">
        <f t="array" ref="DN9">IF(DN$2="FY",SUMPRODUCT(Data_Nhập[Tổng Nhập-NX]*(Data_Nhập[Year]=DN$1)*(Data_Nhập[Main SKU name_GOM]=$A9)*(Data_Nhập[SKU name_NHẬP_GOM]=DN$3)),SUMPRODUCT(Data_Nhập[Tổng Nhập-NX]*(Data_Nhập[Year]=DN$1)*(Data_Nhập[Month]=DN$2)*(Data_Nhập[Main SKU name_GOM]=$A9)*(Data_Nhập[SKU name_NHẬP_GOM]=DN$3)))</f>
        <v>0</v>
      </c>
      <c r="DO9" s="24" cm="1">
        <f t="array" ref="DO9">IF(DO$2="FY",SUMPRODUCT(Data_Nhập[Tổng Nhập-NX]*(Data_Nhập[Year]=DO$1)*(Data_Nhập[Main SKU name_GOM]=$A9)*(Data_Nhập[SKU name_NHẬP_GOM]=DO$3)),SUMPRODUCT(Data_Nhập[Tổng Nhập-NX]*(Data_Nhập[Year]=DO$1)*(Data_Nhập[Month]=DO$2)*(Data_Nhập[Main SKU name_GOM]=$A9)*(Data_Nhập[SKU name_NHẬP_GOM]=DO$3)))</f>
        <v>0</v>
      </c>
      <c r="DP9" s="24" cm="1">
        <f t="array" ref="DP9">IF(DP$2="FY",SUMPRODUCT(Data_Nhập[Tổng Nhập-NX]*(Data_Nhập[Year]=DP$1)*(Data_Nhập[Main SKU name_GOM]=$A9)*(Data_Nhập[SKU name_NHẬP_GOM]=DP$3)),SUMPRODUCT(Data_Nhập[Tổng Nhập-NX]*(Data_Nhập[Year]=DP$1)*(Data_Nhập[Month]=DP$2)*(Data_Nhập[Main SKU name_GOM]=$A9)*(Data_Nhập[SKU name_NHẬP_GOM]=DP$3)))</f>
        <v>0</v>
      </c>
      <c r="DQ9" s="24" cm="1">
        <f t="array" ref="DQ9">IF(DQ$2="FY",SUMPRODUCT(Data_Nhập[Tổng Nhập-NX]*(Data_Nhập[Year]=DQ$1)*(Data_Nhập[Main SKU name_GOM]=$A9)*(Data_Nhập[SKU name_NHẬP_GOM]=DQ$3)),SUMPRODUCT(Data_Nhập[Tổng Nhập-NX]*(Data_Nhập[Year]=DQ$1)*(Data_Nhập[Month]=DQ$2)*(Data_Nhập[Main SKU name_GOM]=$A9)*(Data_Nhập[SKU name_NHẬP_GOM]=DQ$3)))</f>
        <v>0</v>
      </c>
      <c r="DR9" s="24" cm="1">
        <f t="array" ref="DR9">IF(DR$2="FY",SUMPRODUCT(Data_Nhập[Tổng Nhập-NX]*(Data_Nhập[Year]=DR$1)*(Data_Nhập[Main SKU name_GOM]=$A9)*(Data_Nhập[SKU name_NHẬP_GOM]=DR$3)),SUMPRODUCT(Data_Nhập[Tổng Nhập-NX]*(Data_Nhập[Year]=DR$1)*(Data_Nhập[Month]=DR$2)*(Data_Nhập[Main SKU name_GOM]=$A9)*(Data_Nhập[SKU name_NHẬP_GOM]=DR$3)))</f>
        <v>0</v>
      </c>
      <c r="DS9" s="24" cm="1">
        <f t="array" ref="DS9">IF(DS$2="FY",SUMPRODUCT(Data_Nhập[Tổng Nhập-NX]*(Data_Nhập[Year]=DS$1)*(Data_Nhập[Main SKU name_GOM]=$A9)*(Data_Nhập[SKU name_NHẬP_GOM]=DS$3)),SUMPRODUCT(Data_Nhập[Tổng Nhập-NX]*(Data_Nhập[Year]=DS$1)*(Data_Nhập[Month]=DS$2)*(Data_Nhập[Main SKU name_GOM]=$A9)*(Data_Nhập[SKU name_NHẬP_GOM]=DS$3)))</f>
        <v>0</v>
      </c>
      <c r="DT9" s="24" cm="1">
        <f t="array" ref="DT9">IF(DT$2="FY",SUMPRODUCT(Data_Nhập[Tổng Nhập-NX]*(Data_Nhập[Year]=DT$1)*(Data_Nhập[Main SKU name_GOM]=$A9)*(Data_Nhập[SKU name_NHẬP_GOM]=DT$3)),SUMPRODUCT(Data_Nhập[Tổng Nhập-NX]*(Data_Nhập[Year]=DT$1)*(Data_Nhập[Month]=DT$2)*(Data_Nhập[Main SKU name_GOM]=$A9)*(Data_Nhập[SKU name_NHẬP_GOM]=DT$3)))</f>
        <v>0</v>
      </c>
      <c r="DU9" s="24" cm="1">
        <f t="array" ref="DU9">IF(DU$2="FY",SUMPRODUCT(Data_Nhập[Tổng Nhập-NX]*(Data_Nhập[Year]=DU$1)*(Data_Nhập[Main SKU name_GOM]=$A9)*(Data_Nhập[SKU name_NHẬP_GOM]=DU$3)),SUMPRODUCT(Data_Nhập[Tổng Nhập-NX]*(Data_Nhập[Year]=DU$1)*(Data_Nhập[Month]=DU$2)*(Data_Nhập[Main SKU name_GOM]=$A9)*(Data_Nhập[SKU name_NHẬP_GOM]=DU$3)))</f>
        <v>0</v>
      </c>
      <c r="DV9" s="24" cm="1">
        <f t="array" ref="DV9">IF(DV$2="FY",SUMPRODUCT(Data_Nhập[Tổng Nhập-NX]*(Data_Nhập[Year]=DV$1)*(Data_Nhập[Main SKU name_GOM]=$A9)*(Data_Nhập[SKU name_NHẬP_GOM]=DV$3)),SUMPRODUCT(Data_Nhập[Tổng Nhập-NX]*(Data_Nhập[Year]=DV$1)*(Data_Nhập[Month]=DV$2)*(Data_Nhập[Main SKU name_GOM]=$A9)*(Data_Nhập[SKU name_NHẬP_GOM]=DV$3)))</f>
        <v>0</v>
      </c>
      <c r="DW9" s="24" cm="1">
        <f t="array" ref="DW9">IF(DW$2="FY",SUMPRODUCT(Data_Nhập[Tổng Nhập-NX]*(Data_Nhập[Year]=DW$1)*(Data_Nhập[Main SKU name_GOM]=$A9)*(Data_Nhập[SKU name_NHẬP_GOM]=DW$3)),SUMPRODUCT(Data_Nhập[Tổng Nhập-NX]*(Data_Nhập[Year]=DW$1)*(Data_Nhập[Month]=DW$2)*(Data_Nhập[Main SKU name_GOM]=$A9)*(Data_Nhập[SKU name_NHẬP_GOM]=DW$3)))</f>
        <v>0</v>
      </c>
      <c r="DX9" s="25">
        <f t="shared" si="18"/>
        <v>300</v>
      </c>
      <c r="DZ9" s="25" cm="1">
        <f t="array" ref="DZ9">IF(DZ$2="FY",SUMPRODUCT(Data_Xuất[Xuất-NX]*(Data_Xuất[Year]=DZ$1)*(Data_Xuất[Main SKU name_GOM]=$A9)),SUMPRODUCT(Data_Xuất[Xuất-NX]*(Data_Xuất[Year]=DZ$1)*(Data_Xuất[Main SKU name_GOM]=$A9)*(Data_Xuất[Month]=DZ$2)))</f>
        <v>0</v>
      </c>
      <c r="EA9" s="24" cm="1">
        <f t="array" ref="EA9">IF(EA$2="FY",SUMPRODUCT(Data_Nhập[Tổng Nhập-NX]*(Data_Nhập[Year]=EA$1)*(Data_Nhập[Main SKU name_GOM]=$A9)*(Data_Nhập[SKU name_NHẬP_GOM]=EA$3)),SUMPRODUCT(Data_Nhập[Tổng Nhập-NX]*(Data_Nhập[Year]=EA$1)*(Data_Nhập[Month]=EA$2)*(Data_Nhập[Main SKU name_GOM]=$A9)*(Data_Nhập[SKU name_NHẬP_GOM]=EA$3)))</f>
        <v>0</v>
      </c>
      <c r="EB9" s="24" cm="1">
        <f t="array" ref="EB9">IF(EB$2="FY",SUMPRODUCT(Data_Nhập[Tổng Nhập-NX]*(Data_Nhập[Year]=EB$1)*(Data_Nhập[Main SKU name_GOM]=$A9)*(Data_Nhập[SKU name_NHẬP_GOM]=EB$3)),SUMPRODUCT(Data_Nhập[Tổng Nhập-NX]*(Data_Nhập[Year]=EB$1)*(Data_Nhập[Month]=EB$2)*(Data_Nhập[Main SKU name_GOM]=$A9)*(Data_Nhập[SKU name_NHẬP_GOM]=EB$3)))</f>
        <v>0</v>
      </c>
      <c r="EC9" s="24" cm="1">
        <f t="array" ref="EC9">IF(EC$2="FY",SUMPRODUCT(Data_Nhập[Tổng Nhập-NX]*(Data_Nhập[Year]=EC$1)*(Data_Nhập[Main SKU name_GOM]=$A9)*(Data_Nhập[SKU name_NHẬP_GOM]=EC$3)),SUMPRODUCT(Data_Nhập[Tổng Nhập-NX]*(Data_Nhập[Year]=EC$1)*(Data_Nhập[Month]=EC$2)*(Data_Nhập[Main SKU name_GOM]=$A9)*(Data_Nhập[SKU name_NHẬP_GOM]=EC$3)))</f>
        <v>0</v>
      </c>
      <c r="ED9" s="24" cm="1">
        <f t="array" ref="ED9">IF(ED$2="FY",SUMPRODUCT(Data_Nhập[Tổng Nhập-NX]*(Data_Nhập[Year]=ED$1)*(Data_Nhập[Main SKU name_GOM]=$A9)*(Data_Nhập[SKU name_NHẬP_GOM]=ED$3)),SUMPRODUCT(Data_Nhập[Tổng Nhập-NX]*(Data_Nhập[Year]=ED$1)*(Data_Nhập[Month]=ED$2)*(Data_Nhập[Main SKU name_GOM]=$A9)*(Data_Nhập[SKU name_NHẬP_GOM]=ED$3)))</f>
        <v>0</v>
      </c>
      <c r="EE9" s="24" cm="1">
        <f t="array" ref="EE9">IF(EE$2="FY",SUMPRODUCT(Data_Nhập[Tổng Nhập-NX]*(Data_Nhập[Year]=EE$1)*(Data_Nhập[Main SKU name_GOM]=$A9)*(Data_Nhập[SKU name_NHẬP_GOM]=EE$3)),SUMPRODUCT(Data_Nhập[Tổng Nhập-NX]*(Data_Nhập[Year]=EE$1)*(Data_Nhập[Month]=EE$2)*(Data_Nhập[Main SKU name_GOM]=$A9)*(Data_Nhập[SKU name_NHẬP_GOM]=EE$3)))</f>
        <v>0</v>
      </c>
      <c r="EF9" s="24" cm="1">
        <f t="array" ref="EF9">IF(EF$2="FY",SUMPRODUCT(Data_Nhập[Tổng Nhập-NX]*(Data_Nhập[Year]=EF$1)*(Data_Nhập[Main SKU name_GOM]=$A9)*(Data_Nhập[SKU name_NHẬP_GOM]=EF$3)),SUMPRODUCT(Data_Nhập[Tổng Nhập-NX]*(Data_Nhập[Year]=EF$1)*(Data_Nhập[Month]=EF$2)*(Data_Nhập[Main SKU name_GOM]=$A9)*(Data_Nhập[SKU name_NHẬP_GOM]=EF$3)))</f>
        <v>0</v>
      </c>
      <c r="EG9" s="24" cm="1">
        <f t="array" ref="EG9">IF(EG$2="FY",SUMPRODUCT(Data_Nhập[Tổng Nhập-NX]*(Data_Nhập[Year]=EG$1)*(Data_Nhập[Main SKU name_GOM]=$A9)*(Data_Nhập[SKU name_NHẬP_GOM]=EG$3)),SUMPRODUCT(Data_Nhập[Tổng Nhập-NX]*(Data_Nhập[Year]=EG$1)*(Data_Nhập[Month]=EG$2)*(Data_Nhập[Main SKU name_GOM]=$A9)*(Data_Nhập[SKU name_NHẬP_GOM]=EG$3)))</f>
        <v>0</v>
      </c>
      <c r="EH9" s="24" cm="1">
        <f t="array" ref="EH9">IF(EH$2="FY",SUMPRODUCT(Data_Nhập[Tổng Nhập-NX]*(Data_Nhập[Year]=EH$1)*(Data_Nhập[Main SKU name_GOM]=$A9)*(Data_Nhập[SKU name_NHẬP_GOM]=EH$3)),SUMPRODUCT(Data_Nhập[Tổng Nhập-NX]*(Data_Nhập[Year]=EH$1)*(Data_Nhập[Month]=EH$2)*(Data_Nhập[Main SKU name_GOM]=$A9)*(Data_Nhập[SKU name_NHẬP_GOM]=EH$3)))</f>
        <v>0</v>
      </c>
      <c r="EI9" s="24" cm="1">
        <f t="array" ref="EI9">IF(EI$2="FY",SUMPRODUCT(Data_Nhập[Tổng Nhập-NX]*(Data_Nhập[Year]=EI$1)*(Data_Nhập[Main SKU name_GOM]=$A9)*(Data_Nhập[SKU name_NHẬP_GOM]=EI$3)),SUMPRODUCT(Data_Nhập[Tổng Nhập-NX]*(Data_Nhập[Year]=EI$1)*(Data_Nhập[Month]=EI$2)*(Data_Nhập[Main SKU name_GOM]=$A9)*(Data_Nhập[SKU name_NHẬP_GOM]=EI$3)))</f>
        <v>0</v>
      </c>
      <c r="EJ9" s="24" cm="1">
        <f t="array" ref="EJ9">IF(EJ$2="FY",SUMPRODUCT(Data_Nhập[Tổng Nhập-NX]*(Data_Nhập[Year]=EJ$1)*(Data_Nhập[Main SKU name_GOM]=$A9)*(Data_Nhập[SKU name_NHẬP_GOM]=EJ$3)),SUMPRODUCT(Data_Nhập[Tổng Nhập-NX]*(Data_Nhập[Year]=EJ$1)*(Data_Nhập[Month]=EJ$2)*(Data_Nhập[Main SKU name_GOM]=$A9)*(Data_Nhập[SKU name_NHẬP_GOM]=EJ$3)))</f>
        <v>0</v>
      </c>
      <c r="EK9" s="24" cm="1">
        <f t="array" ref="EK9">IF(EK$2="FY",SUMPRODUCT(Data_Nhập[Tổng Nhập-NX]*(Data_Nhập[Year]=EK$1)*(Data_Nhập[Main SKU name_GOM]=$A9)*(Data_Nhập[SKU name_NHẬP_GOM]=EK$3)),SUMPRODUCT(Data_Nhập[Tổng Nhập-NX]*(Data_Nhập[Year]=EK$1)*(Data_Nhập[Month]=EK$2)*(Data_Nhập[Main SKU name_GOM]=$A9)*(Data_Nhập[SKU name_NHẬP_GOM]=EK$3)))</f>
        <v>0</v>
      </c>
      <c r="EL9" s="24" cm="1">
        <f t="array" ref="EL9">IF(EL$2="FY",SUMPRODUCT(Data_Nhập[Tổng Nhập-NX]*(Data_Nhập[Year]=EL$1)*(Data_Nhập[Main SKU name_GOM]=$A9)*(Data_Nhập[SKU name_NHẬP_GOM]=EL$3)),SUMPRODUCT(Data_Nhập[Tổng Nhập-NX]*(Data_Nhập[Year]=EL$1)*(Data_Nhập[Month]=EL$2)*(Data_Nhập[Main SKU name_GOM]=$A9)*(Data_Nhập[SKU name_NHẬP_GOM]=EL$3)))</f>
        <v>0</v>
      </c>
      <c r="EM9" s="24" cm="1">
        <f t="array" ref="EM9">IF(EM$2="FY",SUMPRODUCT(Data_Nhập[Tổng Nhập-NX]*(Data_Nhập[Year]=EM$1)*(Data_Nhập[Main SKU name_GOM]=$A9)*(Data_Nhập[SKU name_NHẬP_GOM]=EM$3)),SUMPRODUCT(Data_Nhập[Tổng Nhập-NX]*(Data_Nhập[Year]=EM$1)*(Data_Nhập[Month]=EM$2)*(Data_Nhập[Main SKU name_GOM]=$A9)*(Data_Nhập[SKU name_NHẬP_GOM]=EM$3)))</f>
        <v>0</v>
      </c>
      <c r="EN9" s="24" cm="1">
        <f t="array" ref="EN9">IF(EN$2="FY",SUMPRODUCT(Data_Nhập[Tổng Nhập-NX]*(Data_Nhập[Year]=EN$1)*(Data_Nhập[Main SKU name_GOM]=$A9)*(Data_Nhập[SKU name_NHẬP_GOM]=EN$3)),SUMPRODUCT(Data_Nhập[Tổng Nhập-NX]*(Data_Nhập[Year]=EN$1)*(Data_Nhập[Month]=EN$2)*(Data_Nhập[Main SKU name_GOM]=$A9)*(Data_Nhập[SKU name_NHẬP_GOM]=EN$3)))</f>
        <v>0</v>
      </c>
      <c r="EO9" s="24" cm="1">
        <f t="array" ref="EO9">IF(EO$2="FY",SUMPRODUCT(Data_Nhập[Tổng Nhập-NX]*(Data_Nhập[Year]=EO$1)*(Data_Nhập[Main SKU name_GOM]=$A9)*(Data_Nhập[SKU name_NHẬP_GOM]=EO$3)),SUMPRODUCT(Data_Nhập[Tổng Nhập-NX]*(Data_Nhập[Year]=EO$1)*(Data_Nhập[Month]=EO$2)*(Data_Nhập[Main SKU name_GOM]=$A9)*(Data_Nhập[SKU name_NHẬP_GOM]=EO$3)))</f>
        <v>0</v>
      </c>
      <c r="EP9" s="25">
        <f t="shared" si="19"/>
        <v>0</v>
      </c>
      <c r="ER9" s="25" cm="1">
        <f t="array" ref="ER9">IF(ER$2="FY",SUMPRODUCT(Data_Xuất[Xuất-NX]*(Data_Xuất[Year]=ER$1)*(Data_Xuất[Main SKU name_GOM]=$A9)),SUMPRODUCT(Data_Xuất[Xuất-NX]*(Data_Xuất[Year]=ER$1)*(Data_Xuất[Main SKU name_GOM]=$A9)*(Data_Xuất[Month]=ER$2)))</f>
        <v>0</v>
      </c>
      <c r="ES9" s="24" cm="1">
        <f t="array" ref="ES9">IF(ES$2="FY",SUMPRODUCT(Data_Nhập[Tổng Nhập-NX]*(Data_Nhập[Year]=ES$1)*(Data_Nhập[Main SKU name_GOM]=$A9)*(Data_Nhập[SKU name_NHẬP_GOM]=ES$3)),SUMPRODUCT(Data_Nhập[Tổng Nhập-NX]*(Data_Nhập[Year]=ES$1)*(Data_Nhập[Month]=ES$2)*(Data_Nhập[Main SKU name_GOM]=$A9)*(Data_Nhập[SKU name_NHẬP_GOM]=ES$3)))</f>
        <v>0</v>
      </c>
      <c r="ET9" s="24" cm="1">
        <f t="array" ref="ET9">IF(ET$2="FY",SUMPRODUCT(Data_Nhập[Tổng Nhập-NX]*(Data_Nhập[Year]=ET$1)*(Data_Nhập[Main SKU name_GOM]=$A9)*(Data_Nhập[SKU name_NHẬP_GOM]=ET$3)),SUMPRODUCT(Data_Nhập[Tổng Nhập-NX]*(Data_Nhập[Year]=ET$1)*(Data_Nhập[Month]=ET$2)*(Data_Nhập[Main SKU name_GOM]=$A9)*(Data_Nhập[SKU name_NHẬP_GOM]=ET$3)))</f>
        <v>0</v>
      </c>
      <c r="EU9" s="24" cm="1">
        <f t="array" ref="EU9">IF(EU$2="FY",SUMPRODUCT(Data_Nhập[Tổng Nhập-NX]*(Data_Nhập[Year]=EU$1)*(Data_Nhập[Main SKU name_GOM]=$A9)*(Data_Nhập[SKU name_NHẬP_GOM]=EU$3)),SUMPRODUCT(Data_Nhập[Tổng Nhập-NX]*(Data_Nhập[Year]=EU$1)*(Data_Nhập[Month]=EU$2)*(Data_Nhập[Main SKU name_GOM]=$A9)*(Data_Nhập[SKU name_NHẬP_GOM]=EU$3)))</f>
        <v>0</v>
      </c>
      <c r="EV9" s="24" cm="1">
        <f t="array" ref="EV9">IF(EV$2="FY",SUMPRODUCT(Data_Nhập[Tổng Nhập-NX]*(Data_Nhập[Year]=EV$1)*(Data_Nhập[Main SKU name_GOM]=$A9)*(Data_Nhập[SKU name_NHẬP_GOM]=EV$3)),SUMPRODUCT(Data_Nhập[Tổng Nhập-NX]*(Data_Nhập[Year]=EV$1)*(Data_Nhập[Month]=EV$2)*(Data_Nhập[Main SKU name_GOM]=$A9)*(Data_Nhập[SKU name_NHẬP_GOM]=EV$3)))</f>
        <v>0</v>
      </c>
      <c r="EW9" s="24" cm="1">
        <f t="array" ref="EW9">IF(EW$2="FY",SUMPRODUCT(Data_Nhập[Tổng Nhập-NX]*(Data_Nhập[Year]=EW$1)*(Data_Nhập[Main SKU name_GOM]=$A9)*(Data_Nhập[SKU name_NHẬP_GOM]=EW$3)),SUMPRODUCT(Data_Nhập[Tổng Nhập-NX]*(Data_Nhập[Year]=EW$1)*(Data_Nhập[Month]=EW$2)*(Data_Nhập[Main SKU name_GOM]=$A9)*(Data_Nhập[SKU name_NHẬP_GOM]=EW$3)))</f>
        <v>0</v>
      </c>
      <c r="EX9" s="24" cm="1">
        <f t="array" ref="EX9">IF(EX$2="FY",SUMPRODUCT(Data_Nhập[Tổng Nhập-NX]*(Data_Nhập[Year]=EX$1)*(Data_Nhập[Main SKU name_GOM]=$A9)*(Data_Nhập[SKU name_NHẬP_GOM]=EX$3)),SUMPRODUCT(Data_Nhập[Tổng Nhập-NX]*(Data_Nhập[Year]=EX$1)*(Data_Nhập[Month]=EX$2)*(Data_Nhập[Main SKU name_GOM]=$A9)*(Data_Nhập[SKU name_NHẬP_GOM]=EX$3)))</f>
        <v>0</v>
      </c>
      <c r="EY9" s="24" cm="1">
        <f t="array" ref="EY9">IF(EY$2="FY",SUMPRODUCT(Data_Nhập[Tổng Nhập-NX]*(Data_Nhập[Year]=EY$1)*(Data_Nhập[Main SKU name_GOM]=$A9)*(Data_Nhập[SKU name_NHẬP_GOM]=EY$3)),SUMPRODUCT(Data_Nhập[Tổng Nhập-NX]*(Data_Nhập[Year]=EY$1)*(Data_Nhập[Month]=EY$2)*(Data_Nhập[Main SKU name_GOM]=$A9)*(Data_Nhập[SKU name_NHẬP_GOM]=EY$3)))</f>
        <v>0</v>
      </c>
      <c r="EZ9" s="24" cm="1">
        <f t="array" ref="EZ9">IF(EZ$2="FY",SUMPRODUCT(Data_Nhập[Tổng Nhập-NX]*(Data_Nhập[Year]=EZ$1)*(Data_Nhập[Main SKU name_GOM]=$A9)*(Data_Nhập[SKU name_NHẬP_GOM]=EZ$3)),SUMPRODUCT(Data_Nhập[Tổng Nhập-NX]*(Data_Nhập[Year]=EZ$1)*(Data_Nhập[Month]=EZ$2)*(Data_Nhập[Main SKU name_GOM]=$A9)*(Data_Nhập[SKU name_NHẬP_GOM]=EZ$3)))</f>
        <v>0</v>
      </c>
      <c r="FA9" s="24" cm="1">
        <f t="array" ref="FA9">IF(FA$2="FY",SUMPRODUCT(Data_Nhập[Tổng Nhập-NX]*(Data_Nhập[Year]=FA$1)*(Data_Nhập[Main SKU name_GOM]=$A9)*(Data_Nhập[SKU name_NHẬP_GOM]=FA$3)),SUMPRODUCT(Data_Nhập[Tổng Nhập-NX]*(Data_Nhập[Year]=FA$1)*(Data_Nhập[Month]=FA$2)*(Data_Nhập[Main SKU name_GOM]=$A9)*(Data_Nhập[SKU name_NHẬP_GOM]=FA$3)))</f>
        <v>0</v>
      </c>
      <c r="FB9" s="24" cm="1">
        <f t="array" ref="FB9">IF(FB$2="FY",SUMPRODUCT(Data_Nhập[Tổng Nhập-NX]*(Data_Nhập[Year]=FB$1)*(Data_Nhập[Main SKU name_GOM]=$A9)*(Data_Nhập[SKU name_NHẬP_GOM]=FB$3)),SUMPRODUCT(Data_Nhập[Tổng Nhập-NX]*(Data_Nhập[Year]=FB$1)*(Data_Nhập[Month]=FB$2)*(Data_Nhập[Main SKU name_GOM]=$A9)*(Data_Nhập[SKU name_NHẬP_GOM]=FB$3)))</f>
        <v>0</v>
      </c>
      <c r="FC9" s="24" cm="1">
        <f t="array" ref="FC9">IF(FC$2="FY",SUMPRODUCT(Data_Nhập[Tổng Nhập-NX]*(Data_Nhập[Year]=FC$1)*(Data_Nhập[Main SKU name_GOM]=$A9)*(Data_Nhập[SKU name_NHẬP_GOM]=FC$3)),SUMPRODUCT(Data_Nhập[Tổng Nhập-NX]*(Data_Nhập[Year]=FC$1)*(Data_Nhập[Month]=FC$2)*(Data_Nhập[Main SKU name_GOM]=$A9)*(Data_Nhập[SKU name_NHẬP_GOM]=FC$3)))</f>
        <v>0</v>
      </c>
      <c r="FD9" s="24" cm="1">
        <f t="array" ref="FD9">IF(FD$2="FY",SUMPRODUCT(Data_Nhập[Tổng Nhập-NX]*(Data_Nhập[Year]=FD$1)*(Data_Nhập[Main SKU name_GOM]=$A9)*(Data_Nhập[SKU name_NHẬP_GOM]=FD$3)),SUMPRODUCT(Data_Nhập[Tổng Nhập-NX]*(Data_Nhập[Year]=FD$1)*(Data_Nhập[Month]=FD$2)*(Data_Nhập[Main SKU name_GOM]=$A9)*(Data_Nhập[SKU name_NHẬP_GOM]=FD$3)))</f>
        <v>0</v>
      </c>
      <c r="FE9" s="24" cm="1">
        <f t="array" ref="FE9">IF(FE$2="FY",SUMPRODUCT(Data_Nhập[Tổng Nhập-NX]*(Data_Nhập[Year]=FE$1)*(Data_Nhập[Main SKU name_GOM]=$A9)*(Data_Nhập[SKU name_NHẬP_GOM]=FE$3)),SUMPRODUCT(Data_Nhập[Tổng Nhập-NX]*(Data_Nhập[Year]=FE$1)*(Data_Nhập[Month]=FE$2)*(Data_Nhập[Main SKU name_GOM]=$A9)*(Data_Nhập[SKU name_NHẬP_GOM]=FE$3)))</f>
        <v>0</v>
      </c>
      <c r="FF9" s="24" cm="1">
        <f t="array" ref="FF9">IF(FF$2="FY",SUMPRODUCT(Data_Nhập[Tổng Nhập-NX]*(Data_Nhập[Year]=FF$1)*(Data_Nhập[Main SKU name_GOM]=$A9)*(Data_Nhập[SKU name_NHẬP_GOM]=FF$3)),SUMPRODUCT(Data_Nhập[Tổng Nhập-NX]*(Data_Nhập[Year]=FF$1)*(Data_Nhập[Month]=FF$2)*(Data_Nhập[Main SKU name_GOM]=$A9)*(Data_Nhập[SKU name_NHẬP_GOM]=FF$3)))</f>
        <v>0</v>
      </c>
      <c r="FG9" s="24" cm="1">
        <f t="array" ref="FG9">IF(FG$2="FY",SUMPRODUCT(Data_Nhập[Tổng Nhập-NX]*(Data_Nhập[Year]=FG$1)*(Data_Nhập[Main SKU name_GOM]=$A9)*(Data_Nhập[SKU name_NHẬP_GOM]=FG$3)),SUMPRODUCT(Data_Nhập[Tổng Nhập-NX]*(Data_Nhập[Year]=FG$1)*(Data_Nhập[Month]=FG$2)*(Data_Nhập[Main SKU name_GOM]=$A9)*(Data_Nhập[SKU name_NHẬP_GOM]=FG$3)))</f>
        <v>0</v>
      </c>
      <c r="FH9" s="25">
        <f t="shared" si="20"/>
        <v>0</v>
      </c>
      <c r="FJ9" s="25" cm="1">
        <f t="array" ref="FJ9">IF(FJ$2="FY",SUMPRODUCT(Data_Xuất[Xuất-NX]*(Data_Xuất[Year]=FJ$1)*(Data_Xuất[Main SKU name_GOM]=$A9)),SUMPRODUCT(Data_Xuất[Xuất-NX]*(Data_Xuất[Year]=FJ$1)*(Data_Xuất[Main SKU name_GOM]=$A9)*(Data_Xuất[Month]=FJ$2)))</f>
        <v>168000</v>
      </c>
      <c r="FK9" s="24" cm="1">
        <f t="array" ref="FK9">IF(FK$2="FY",SUMPRODUCT(Data_Nhập[Tổng Nhập-NX]*(Data_Nhập[Year]=FK$1)*(Data_Nhập[Main SKU name_GOM]=$A9)*(Data_Nhập[SKU name_NHẬP_GOM]=FK$3)),SUMPRODUCT(Data_Nhập[Tổng Nhập-NX]*(Data_Nhập[Year]=FK$1)*(Data_Nhập[Month]=FK$2)*(Data_Nhập[Main SKU name_GOM]=$A9)*(Data_Nhập[SKU name_NHẬP_GOM]=FK$3)))</f>
        <v>0</v>
      </c>
      <c r="FL9" s="24" cm="1">
        <f t="array" ref="FL9">IF(FL$2="FY",SUMPRODUCT(Data_Nhập[Tổng Nhập-NX]*(Data_Nhập[Year]=FL$1)*(Data_Nhập[Main SKU name_GOM]=$A9)*(Data_Nhập[SKU name_NHẬP_GOM]=FL$3)),SUMPRODUCT(Data_Nhập[Tổng Nhập-NX]*(Data_Nhập[Year]=FL$1)*(Data_Nhập[Month]=FL$2)*(Data_Nhập[Main SKU name_GOM]=$A9)*(Data_Nhập[SKU name_NHẬP_GOM]=FL$3)))</f>
        <v>0</v>
      </c>
      <c r="FM9" s="24" cm="1">
        <f t="array" ref="FM9">IF(FM$2="FY",SUMPRODUCT(Data_Nhập[Tổng Nhập-NX]*(Data_Nhập[Year]=FM$1)*(Data_Nhập[Main SKU name_GOM]=$A9)*(Data_Nhập[SKU name_NHẬP_GOM]=FM$3)),SUMPRODUCT(Data_Nhập[Tổng Nhập-NX]*(Data_Nhập[Year]=FM$1)*(Data_Nhập[Month]=FM$2)*(Data_Nhập[Main SKU name_GOM]=$A9)*(Data_Nhập[SKU name_NHẬP_GOM]=FM$3)))</f>
        <v>0</v>
      </c>
      <c r="FN9" s="24" cm="1">
        <f t="array" ref="FN9">IF(FN$2="FY",SUMPRODUCT(Data_Nhập[Tổng Nhập-NX]*(Data_Nhập[Year]=FN$1)*(Data_Nhập[Main SKU name_GOM]=$A9)*(Data_Nhập[SKU name_NHẬP_GOM]=FN$3)),SUMPRODUCT(Data_Nhập[Tổng Nhập-NX]*(Data_Nhập[Year]=FN$1)*(Data_Nhập[Month]=FN$2)*(Data_Nhập[Main SKU name_GOM]=$A9)*(Data_Nhập[SKU name_NHẬP_GOM]=FN$3)))</f>
        <v>0</v>
      </c>
      <c r="FO9" s="24" cm="1">
        <f t="array" ref="FO9">IF(FO$2="FY",SUMPRODUCT(Data_Nhập[Tổng Nhập-NX]*(Data_Nhập[Year]=FO$1)*(Data_Nhập[Main SKU name_GOM]=$A9)*(Data_Nhập[SKU name_NHẬP_GOM]=FO$3)),SUMPRODUCT(Data_Nhập[Tổng Nhập-NX]*(Data_Nhập[Year]=FO$1)*(Data_Nhập[Month]=FO$2)*(Data_Nhập[Main SKU name_GOM]=$A9)*(Data_Nhập[SKU name_NHẬP_GOM]=FO$3)))</f>
        <v>157300</v>
      </c>
      <c r="FP9" s="24" cm="1">
        <f t="array" ref="FP9">IF(FP$2="FY",SUMPRODUCT(Data_Nhập[Tổng Nhập-NX]*(Data_Nhập[Year]=FP$1)*(Data_Nhập[Main SKU name_GOM]=$A9)*(Data_Nhập[SKU name_NHẬP_GOM]=FP$3)),SUMPRODUCT(Data_Nhập[Tổng Nhập-NX]*(Data_Nhập[Year]=FP$1)*(Data_Nhập[Month]=FP$2)*(Data_Nhập[Main SKU name_GOM]=$A9)*(Data_Nhập[SKU name_NHẬP_GOM]=FP$3)))</f>
        <v>0</v>
      </c>
      <c r="FQ9" s="24" cm="1">
        <f t="array" ref="FQ9">IF(FQ$2="FY",SUMPRODUCT(Data_Nhập[Tổng Nhập-NX]*(Data_Nhập[Year]=FQ$1)*(Data_Nhập[Main SKU name_GOM]=$A9)*(Data_Nhập[SKU name_NHẬP_GOM]=FQ$3)),SUMPRODUCT(Data_Nhập[Tổng Nhập-NX]*(Data_Nhập[Year]=FQ$1)*(Data_Nhập[Month]=FQ$2)*(Data_Nhập[Main SKU name_GOM]=$A9)*(Data_Nhập[SKU name_NHẬP_GOM]=FQ$3)))</f>
        <v>0</v>
      </c>
      <c r="FR9" s="24" cm="1">
        <f t="array" ref="FR9">IF(FR$2="FY",SUMPRODUCT(Data_Nhập[Tổng Nhập-NX]*(Data_Nhập[Year]=FR$1)*(Data_Nhập[Main SKU name_GOM]=$A9)*(Data_Nhập[SKU name_NHẬP_GOM]=FR$3)),SUMPRODUCT(Data_Nhập[Tổng Nhập-NX]*(Data_Nhập[Year]=FR$1)*(Data_Nhập[Month]=FR$2)*(Data_Nhập[Main SKU name_GOM]=$A9)*(Data_Nhập[SKU name_NHẬP_GOM]=FR$3)))</f>
        <v>0</v>
      </c>
      <c r="FS9" s="24" cm="1">
        <f t="array" ref="FS9">IF(FS$2="FY",SUMPRODUCT(Data_Nhập[Tổng Nhập-NX]*(Data_Nhập[Year]=FS$1)*(Data_Nhập[Main SKU name_GOM]=$A9)*(Data_Nhập[SKU name_NHẬP_GOM]=FS$3)),SUMPRODUCT(Data_Nhập[Tổng Nhập-NX]*(Data_Nhập[Year]=FS$1)*(Data_Nhập[Month]=FS$2)*(Data_Nhập[Main SKU name_GOM]=$A9)*(Data_Nhập[SKU name_NHẬP_GOM]=FS$3)))</f>
        <v>0</v>
      </c>
      <c r="FT9" s="24" cm="1">
        <f t="array" ref="FT9">IF(FT$2="FY",SUMPRODUCT(Data_Nhập[Tổng Nhập-NX]*(Data_Nhập[Year]=FT$1)*(Data_Nhập[Main SKU name_GOM]=$A9)*(Data_Nhập[SKU name_NHẬP_GOM]=FT$3)),SUMPRODUCT(Data_Nhập[Tổng Nhập-NX]*(Data_Nhập[Year]=FT$1)*(Data_Nhập[Month]=FT$2)*(Data_Nhập[Main SKU name_GOM]=$A9)*(Data_Nhập[SKU name_NHẬP_GOM]=FT$3)))</f>
        <v>0</v>
      </c>
      <c r="FU9" s="24" cm="1">
        <f t="array" ref="FU9">IF(FU$2="FY",SUMPRODUCT(Data_Nhập[Tổng Nhập-NX]*(Data_Nhập[Year]=FU$1)*(Data_Nhập[Main SKU name_GOM]=$A9)*(Data_Nhập[SKU name_NHẬP_GOM]=FU$3)),SUMPRODUCT(Data_Nhập[Tổng Nhập-NX]*(Data_Nhập[Year]=FU$1)*(Data_Nhập[Month]=FU$2)*(Data_Nhập[Main SKU name_GOM]=$A9)*(Data_Nhập[SKU name_NHẬP_GOM]=FU$3)))</f>
        <v>0</v>
      </c>
      <c r="FV9" s="24" cm="1">
        <f t="array" ref="FV9">IF(FV$2="FY",SUMPRODUCT(Data_Nhập[Tổng Nhập-NX]*(Data_Nhập[Year]=FV$1)*(Data_Nhập[Main SKU name_GOM]=$A9)*(Data_Nhập[SKU name_NHẬP_GOM]=FV$3)),SUMPRODUCT(Data_Nhập[Tổng Nhập-NX]*(Data_Nhập[Year]=FV$1)*(Data_Nhập[Month]=FV$2)*(Data_Nhập[Main SKU name_GOM]=$A9)*(Data_Nhập[SKU name_NHẬP_GOM]=FV$3)))</f>
        <v>0</v>
      </c>
      <c r="FW9" s="24" cm="1">
        <f t="array" ref="FW9">IF(FW$2="FY",SUMPRODUCT(Data_Nhập[Tổng Nhập-NX]*(Data_Nhập[Year]=FW$1)*(Data_Nhập[Main SKU name_GOM]=$A9)*(Data_Nhập[SKU name_NHẬP_GOM]=FW$3)),SUMPRODUCT(Data_Nhập[Tổng Nhập-NX]*(Data_Nhập[Year]=FW$1)*(Data_Nhập[Month]=FW$2)*(Data_Nhập[Main SKU name_GOM]=$A9)*(Data_Nhập[SKU name_NHẬP_GOM]=FW$3)))</f>
        <v>0</v>
      </c>
      <c r="FX9" s="24" cm="1">
        <f t="array" ref="FX9">IF(FX$2="FY",SUMPRODUCT(Data_Nhập[Tổng Nhập-NX]*(Data_Nhập[Year]=FX$1)*(Data_Nhập[Main SKU name_GOM]=$A9)*(Data_Nhập[SKU name_NHẬP_GOM]=FX$3)),SUMPRODUCT(Data_Nhập[Tổng Nhập-NX]*(Data_Nhập[Year]=FX$1)*(Data_Nhập[Month]=FX$2)*(Data_Nhập[Main SKU name_GOM]=$A9)*(Data_Nhập[SKU name_NHẬP_GOM]=FX$3)))</f>
        <v>8220</v>
      </c>
      <c r="FY9" s="24" cm="1">
        <f t="array" ref="FY9">IF(FY$2="FY",SUMPRODUCT(Data_Nhập[Tổng Nhập-NX]*(Data_Nhập[Year]=FY$1)*(Data_Nhập[Main SKU name_GOM]=$A9)*(Data_Nhập[SKU name_NHẬP_GOM]=FY$3)),SUMPRODUCT(Data_Nhập[Tổng Nhập-NX]*(Data_Nhập[Year]=FY$1)*(Data_Nhập[Month]=FY$2)*(Data_Nhập[Main SKU name_GOM]=$A9)*(Data_Nhập[SKU name_NHẬP_GOM]=FY$3)))</f>
        <v>0</v>
      </c>
      <c r="FZ9" s="25">
        <f t="shared" si="21"/>
        <v>165520</v>
      </c>
      <c r="GB9" s="25" cm="1">
        <f t="array" ref="GB9">IF(GB$2="FY",SUMPRODUCT(Data_Xuất[Xuất-NX]*(Data_Xuất[Year]=GB$1)*(Data_Xuất[Main SKU name_GOM]=$A9)),SUMPRODUCT(Data_Xuất[Xuất-NX]*(Data_Xuất[Year]=GB$1)*(Data_Xuất[Main SKU name_GOM]=$A9)*(Data_Xuất[Month]=GB$2)))</f>
        <v>39999.999999999993</v>
      </c>
      <c r="GC9" s="24" cm="1">
        <f t="array" ref="GC9">IF(GC$2="FY",SUMPRODUCT(Data_Nhập[Tổng Nhập-NX]*(Data_Nhập[Year]=GC$1)*(Data_Nhập[Main SKU name_GOM]=$A9)*(Data_Nhập[SKU name_NHẬP_GOM]=GC$3)),SUMPRODUCT(Data_Nhập[Tổng Nhập-NX]*(Data_Nhập[Year]=GC$1)*(Data_Nhập[Month]=GC$2)*(Data_Nhập[Main SKU name_GOM]=$A9)*(Data_Nhập[SKU name_NHẬP_GOM]=GC$3)))</f>
        <v>0</v>
      </c>
      <c r="GD9" s="24" cm="1">
        <f t="array" ref="GD9">IF(GD$2="FY",SUMPRODUCT(Data_Nhập[Tổng Nhập-NX]*(Data_Nhập[Year]=GD$1)*(Data_Nhập[Main SKU name_GOM]=$A9)*(Data_Nhập[SKU name_NHẬP_GOM]=GD$3)),SUMPRODUCT(Data_Nhập[Tổng Nhập-NX]*(Data_Nhập[Year]=GD$1)*(Data_Nhập[Month]=GD$2)*(Data_Nhập[Main SKU name_GOM]=$A9)*(Data_Nhập[SKU name_NHẬP_GOM]=GD$3)))</f>
        <v>0</v>
      </c>
      <c r="GE9" s="24" cm="1">
        <f t="array" ref="GE9">IF(GE$2="FY",SUMPRODUCT(Data_Nhập[Tổng Nhập-NX]*(Data_Nhập[Year]=GE$1)*(Data_Nhập[Main SKU name_GOM]=$A9)*(Data_Nhập[SKU name_NHẬP_GOM]=GE$3)),SUMPRODUCT(Data_Nhập[Tổng Nhập-NX]*(Data_Nhập[Year]=GE$1)*(Data_Nhập[Month]=GE$2)*(Data_Nhập[Main SKU name_GOM]=$A9)*(Data_Nhập[SKU name_NHẬP_GOM]=GE$3)))</f>
        <v>0</v>
      </c>
      <c r="GF9" s="24" cm="1">
        <f t="array" ref="GF9">IF(GF$2="FY",SUMPRODUCT(Data_Nhập[Tổng Nhập-NX]*(Data_Nhập[Year]=GF$1)*(Data_Nhập[Main SKU name_GOM]=$A9)*(Data_Nhập[SKU name_NHẬP_GOM]=GF$3)),SUMPRODUCT(Data_Nhập[Tổng Nhập-NX]*(Data_Nhập[Year]=GF$1)*(Data_Nhập[Month]=GF$2)*(Data_Nhập[Main SKU name_GOM]=$A9)*(Data_Nhập[SKU name_NHẬP_GOM]=GF$3)))</f>
        <v>0</v>
      </c>
      <c r="GG9" s="24" cm="1">
        <f t="array" ref="GG9">IF(GG$2="FY",SUMPRODUCT(Data_Nhập[Tổng Nhập-NX]*(Data_Nhập[Year]=GG$1)*(Data_Nhập[Main SKU name_GOM]=$A9)*(Data_Nhập[SKU name_NHẬP_GOM]=GG$3)),SUMPRODUCT(Data_Nhập[Tổng Nhập-NX]*(Data_Nhập[Year]=GG$1)*(Data_Nhập[Month]=GG$2)*(Data_Nhập[Main SKU name_GOM]=$A9)*(Data_Nhập[SKU name_NHẬP_GOM]=GG$3)))</f>
        <v>0</v>
      </c>
      <c r="GH9" s="24" cm="1">
        <f t="array" ref="GH9">IF(GH$2="FY",SUMPRODUCT(Data_Nhập[Tổng Nhập-NX]*(Data_Nhập[Year]=GH$1)*(Data_Nhập[Main SKU name_GOM]=$A9)*(Data_Nhập[SKU name_NHẬP_GOM]=GH$3)),SUMPRODUCT(Data_Nhập[Tổng Nhập-NX]*(Data_Nhập[Year]=GH$1)*(Data_Nhập[Month]=GH$2)*(Data_Nhập[Main SKU name_GOM]=$A9)*(Data_Nhập[SKU name_NHẬP_GOM]=GH$3)))</f>
        <v>0</v>
      </c>
      <c r="GI9" s="24" cm="1">
        <f t="array" ref="GI9">IF(GI$2="FY",SUMPRODUCT(Data_Nhập[Tổng Nhập-NX]*(Data_Nhập[Year]=GI$1)*(Data_Nhập[Main SKU name_GOM]=$A9)*(Data_Nhập[SKU name_NHẬP_GOM]=GI$3)),SUMPRODUCT(Data_Nhập[Tổng Nhập-NX]*(Data_Nhập[Year]=GI$1)*(Data_Nhập[Month]=GI$2)*(Data_Nhập[Main SKU name_GOM]=$A9)*(Data_Nhập[SKU name_NHẬP_GOM]=GI$3)))</f>
        <v>0</v>
      </c>
      <c r="GJ9" s="24" cm="1">
        <f t="array" ref="GJ9">IF(GJ$2="FY",SUMPRODUCT(Data_Nhập[Tổng Nhập-NX]*(Data_Nhập[Year]=GJ$1)*(Data_Nhập[Main SKU name_GOM]=$A9)*(Data_Nhập[SKU name_NHẬP_GOM]=GJ$3)),SUMPRODUCT(Data_Nhập[Tổng Nhập-NX]*(Data_Nhập[Year]=GJ$1)*(Data_Nhập[Month]=GJ$2)*(Data_Nhập[Main SKU name_GOM]=$A9)*(Data_Nhập[SKU name_NHẬP_GOM]=GJ$3)))</f>
        <v>0</v>
      </c>
      <c r="GK9" s="24" cm="1">
        <f t="array" ref="GK9">IF(GK$2="FY",SUMPRODUCT(Data_Nhập[Tổng Nhập-NX]*(Data_Nhập[Year]=GK$1)*(Data_Nhập[Main SKU name_GOM]=$A9)*(Data_Nhập[SKU name_NHẬP_GOM]=GK$3)),SUMPRODUCT(Data_Nhập[Tổng Nhập-NX]*(Data_Nhập[Year]=GK$1)*(Data_Nhập[Month]=GK$2)*(Data_Nhập[Main SKU name_GOM]=$A9)*(Data_Nhập[SKU name_NHẬP_GOM]=GK$3)))</f>
        <v>0</v>
      </c>
      <c r="GL9" s="24" cm="1">
        <f t="array" ref="GL9">IF(GL$2="FY",SUMPRODUCT(Data_Nhập[Tổng Nhập-NX]*(Data_Nhập[Year]=GL$1)*(Data_Nhập[Main SKU name_GOM]=$A9)*(Data_Nhập[SKU name_NHẬP_GOM]=GL$3)),SUMPRODUCT(Data_Nhập[Tổng Nhập-NX]*(Data_Nhập[Year]=GL$1)*(Data_Nhập[Month]=GL$2)*(Data_Nhập[Main SKU name_GOM]=$A9)*(Data_Nhập[SKU name_NHẬP_GOM]=GL$3)))</f>
        <v>0</v>
      </c>
      <c r="GM9" s="24" cm="1">
        <f t="array" ref="GM9">IF(GM$2="FY",SUMPRODUCT(Data_Nhập[Tổng Nhập-NX]*(Data_Nhập[Year]=GM$1)*(Data_Nhập[Main SKU name_GOM]=$A9)*(Data_Nhập[SKU name_NHẬP_GOM]=GM$3)),SUMPRODUCT(Data_Nhập[Tổng Nhập-NX]*(Data_Nhập[Year]=GM$1)*(Data_Nhập[Month]=GM$2)*(Data_Nhập[Main SKU name_GOM]=$A9)*(Data_Nhập[SKU name_NHẬP_GOM]=GM$3)))</f>
        <v>0</v>
      </c>
      <c r="GN9" s="24" cm="1">
        <f t="array" ref="GN9">IF(GN$2="FY",SUMPRODUCT(Data_Nhập[Tổng Nhập-NX]*(Data_Nhập[Year]=GN$1)*(Data_Nhập[Main SKU name_GOM]=$A9)*(Data_Nhập[SKU name_NHẬP_GOM]=GN$3)),SUMPRODUCT(Data_Nhập[Tổng Nhập-NX]*(Data_Nhập[Year]=GN$1)*(Data_Nhập[Month]=GN$2)*(Data_Nhập[Main SKU name_GOM]=$A9)*(Data_Nhập[SKU name_NHẬP_GOM]=GN$3)))</f>
        <v>33000</v>
      </c>
      <c r="GO9" s="24" cm="1">
        <f t="array" ref="GO9">IF(GO$2="FY",SUMPRODUCT(Data_Nhập[Tổng Nhập-NX]*(Data_Nhập[Year]=GO$1)*(Data_Nhập[Main SKU name_GOM]=$A9)*(Data_Nhập[SKU name_NHẬP_GOM]=GO$3)),SUMPRODUCT(Data_Nhập[Tổng Nhập-NX]*(Data_Nhập[Year]=GO$1)*(Data_Nhập[Month]=GO$2)*(Data_Nhập[Main SKU name_GOM]=$A9)*(Data_Nhập[SKU name_NHẬP_GOM]=GO$3)))</f>
        <v>0</v>
      </c>
      <c r="GP9" s="24" cm="1">
        <f t="array" ref="GP9">IF(GP$2="FY",SUMPRODUCT(Data_Nhập[Tổng Nhập-NX]*(Data_Nhập[Year]=GP$1)*(Data_Nhập[Main SKU name_GOM]=$A9)*(Data_Nhập[SKU name_NHẬP_GOM]=GP$3)),SUMPRODUCT(Data_Nhập[Tổng Nhập-NX]*(Data_Nhập[Year]=GP$1)*(Data_Nhập[Month]=GP$2)*(Data_Nhập[Main SKU name_GOM]=$A9)*(Data_Nhập[SKU name_NHẬP_GOM]=GP$3)))</f>
        <v>6400</v>
      </c>
      <c r="GQ9" s="24" cm="1">
        <f t="array" ref="GQ9">IF(GQ$2="FY",SUMPRODUCT(Data_Nhập[Tổng Nhập-NX]*(Data_Nhập[Year]=GQ$1)*(Data_Nhập[Main SKU name_GOM]=$A9)*(Data_Nhập[SKU name_NHẬP_GOM]=GQ$3)),SUMPRODUCT(Data_Nhập[Tổng Nhập-NX]*(Data_Nhập[Year]=GQ$1)*(Data_Nhập[Month]=GQ$2)*(Data_Nhập[Main SKU name_GOM]=$A9)*(Data_Nhập[SKU name_NHẬP_GOM]=GQ$3)))</f>
        <v>0</v>
      </c>
      <c r="GR9" s="25">
        <f t="shared" si="22"/>
        <v>39400</v>
      </c>
      <c r="GT9" s="25" cm="1">
        <f t="array" ref="GT9">IF(GT$2="FY",SUMPRODUCT(Data_Xuất[Xuất-NX]*(Data_Xuất[Year]=GT$1)*(Data_Xuất[Main SKU name_GOM]=$A9)),SUMPRODUCT(Data_Xuất[Xuất-NX]*(Data_Xuất[Year]=GT$1)*(Data_Xuất[Main SKU name_GOM]=$A9)*(Data_Xuất[Month]=GT$2)))</f>
        <v>0</v>
      </c>
      <c r="GU9" s="24" cm="1">
        <f t="array" ref="GU9">IF(GU$2="FY",SUMPRODUCT(Data_Nhập[Tổng Nhập-NX]*(Data_Nhập[Year]=GU$1)*(Data_Nhập[Main SKU name_GOM]=$A9)*(Data_Nhập[SKU name_NHẬP_GOM]=GU$3)),SUMPRODUCT(Data_Nhập[Tổng Nhập-NX]*(Data_Nhập[Year]=GU$1)*(Data_Nhập[Month]=GU$2)*(Data_Nhập[Main SKU name_GOM]=$A9)*(Data_Nhập[SKU name_NHẬP_GOM]=GU$3)))</f>
        <v>0</v>
      </c>
      <c r="GV9" s="24" cm="1">
        <f t="array" ref="GV9">IF(GV$2="FY",SUMPRODUCT(Data_Nhập[Tổng Nhập-NX]*(Data_Nhập[Year]=GV$1)*(Data_Nhập[Main SKU name_GOM]=$A9)*(Data_Nhập[SKU name_NHẬP_GOM]=GV$3)),SUMPRODUCT(Data_Nhập[Tổng Nhập-NX]*(Data_Nhập[Year]=GV$1)*(Data_Nhập[Month]=GV$2)*(Data_Nhập[Main SKU name_GOM]=$A9)*(Data_Nhập[SKU name_NHẬP_GOM]=GV$3)))</f>
        <v>0</v>
      </c>
      <c r="GW9" s="24" cm="1">
        <f t="array" ref="GW9">IF(GW$2="FY",SUMPRODUCT(Data_Nhập[Tổng Nhập-NX]*(Data_Nhập[Year]=GW$1)*(Data_Nhập[Main SKU name_GOM]=$A9)*(Data_Nhập[SKU name_NHẬP_GOM]=GW$3)),SUMPRODUCT(Data_Nhập[Tổng Nhập-NX]*(Data_Nhập[Year]=GW$1)*(Data_Nhập[Month]=GW$2)*(Data_Nhập[Main SKU name_GOM]=$A9)*(Data_Nhập[SKU name_NHẬP_GOM]=GW$3)))</f>
        <v>0</v>
      </c>
      <c r="GX9" s="24" cm="1">
        <f t="array" ref="GX9">IF(GX$2="FY",SUMPRODUCT(Data_Nhập[Tổng Nhập-NX]*(Data_Nhập[Year]=GX$1)*(Data_Nhập[Main SKU name_GOM]=$A9)*(Data_Nhập[SKU name_NHẬP_GOM]=GX$3)),SUMPRODUCT(Data_Nhập[Tổng Nhập-NX]*(Data_Nhập[Year]=GX$1)*(Data_Nhập[Month]=GX$2)*(Data_Nhập[Main SKU name_GOM]=$A9)*(Data_Nhập[SKU name_NHẬP_GOM]=GX$3)))</f>
        <v>0</v>
      </c>
      <c r="GY9" s="24" cm="1">
        <f t="array" ref="GY9">IF(GY$2="FY",SUMPRODUCT(Data_Nhập[Tổng Nhập-NX]*(Data_Nhập[Year]=GY$1)*(Data_Nhập[Main SKU name_GOM]=$A9)*(Data_Nhập[SKU name_NHẬP_GOM]=GY$3)),SUMPRODUCT(Data_Nhập[Tổng Nhập-NX]*(Data_Nhập[Year]=GY$1)*(Data_Nhập[Month]=GY$2)*(Data_Nhập[Main SKU name_GOM]=$A9)*(Data_Nhập[SKU name_NHẬP_GOM]=GY$3)))</f>
        <v>0</v>
      </c>
      <c r="GZ9" s="24" cm="1">
        <f t="array" ref="GZ9">IF(GZ$2="FY",SUMPRODUCT(Data_Nhập[Tổng Nhập-NX]*(Data_Nhập[Year]=GZ$1)*(Data_Nhập[Main SKU name_GOM]=$A9)*(Data_Nhập[SKU name_NHẬP_GOM]=GZ$3)),SUMPRODUCT(Data_Nhập[Tổng Nhập-NX]*(Data_Nhập[Year]=GZ$1)*(Data_Nhập[Month]=GZ$2)*(Data_Nhập[Main SKU name_GOM]=$A9)*(Data_Nhập[SKU name_NHẬP_GOM]=GZ$3)))</f>
        <v>0</v>
      </c>
      <c r="HA9" s="24" cm="1">
        <f t="array" ref="HA9">IF(HA$2="FY",SUMPRODUCT(Data_Nhập[Tổng Nhập-NX]*(Data_Nhập[Year]=HA$1)*(Data_Nhập[Main SKU name_GOM]=$A9)*(Data_Nhập[SKU name_NHẬP_GOM]=HA$3)),SUMPRODUCT(Data_Nhập[Tổng Nhập-NX]*(Data_Nhập[Year]=HA$1)*(Data_Nhập[Month]=HA$2)*(Data_Nhập[Main SKU name_GOM]=$A9)*(Data_Nhập[SKU name_NHẬP_GOM]=HA$3)))</f>
        <v>0</v>
      </c>
      <c r="HB9" s="24" cm="1">
        <f t="array" ref="HB9">IF(HB$2="FY",SUMPRODUCT(Data_Nhập[Tổng Nhập-NX]*(Data_Nhập[Year]=HB$1)*(Data_Nhập[Main SKU name_GOM]=$A9)*(Data_Nhập[SKU name_NHẬP_GOM]=HB$3)),SUMPRODUCT(Data_Nhập[Tổng Nhập-NX]*(Data_Nhập[Year]=HB$1)*(Data_Nhập[Month]=HB$2)*(Data_Nhập[Main SKU name_GOM]=$A9)*(Data_Nhập[SKU name_NHẬP_GOM]=HB$3)))</f>
        <v>0</v>
      </c>
      <c r="HC9" s="24" cm="1">
        <f t="array" ref="HC9">IF(HC$2="FY",SUMPRODUCT(Data_Nhập[Tổng Nhập-NX]*(Data_Nhập[Year]=HC$1)*(Data_Nhập[Main SKU name_GOM]=$A9)*(Data_Nhập[SKU name_NHẬP_GOM]=HC$3)),SUMPRODUCT(Data_Nhập[Tổng Nhập-NX]*(Data_Nhập[Year]=HC$1)*(Data_Nhập[Month]=HC$2)*(Data_Nhập[Main SKU name_GOM]=$A9)*(Data_Nhập[SKU name_NHẬP_GOM]=HC$3)))</f>
        <v>0</v>
      </c>
      <c r="HD9" s="24" cm="1">
        <f t="array" ref="HD9">IF(HD$2="FY",SUMPRODUCT(Data_Nhập[Tổng Nhập-NX]*(Data_Nhập[Year]=HD$1)*(Data_Nhập[Main SKU name_GOM]=$A9)*(Data_Nhập[SKU name_NHẬP_GOM]=HD$3)),SUMPRODUCT(Data_Nhập[Tổng Nhập-NX]*(Data_Nhập[Year]=HD$1)*(Data_Nhập[Month]=HD$2)*(Data_Nhập[Main SKU name_GOM]=$A9)*(Data_Nhập[SKU name_NHẬP_GOM]=HD$3)))</f>
        <v>0</v>
      </c>
      <c r="HE9" s="24" cm="1">
        <f t="array" ref="HE9">IF(HE$2="FY",SUMPRODUCT(Data_Nhập[Tổng Nhập-NX]*(Data_Nhập[Year]=HE$1)*(Data_Nhập[Main SKU name_GOM]=$A9)*(Data_Nhập[SKU name_NHẬP_GOM]=HE$3)),SUMPRODUCT(Data_Nhập[Tổng Nhập-NX]*(Data_Nhập[Year]=HE$1)*(Data_Nhập[Month]=HE$2)*(Data_Nhập[Main SKU name_GOM]=$A9)*(Data_Nhập[SKU name_NHẬP_GOM]=HE$3)))</f>
        <v>0</v>
      </c>
      <c r="HF9" s="24" cm="1">
        <f t="array" ref="HF9">IF(HF$2="FY",SUMPRODUCT(Data_Nhập[Tổng Nhập-NX]*(Data_Nhập[Year]=HF$1)*(Data_Nhập[Main SKU name_GOM]=$A9)*(Data_Nhập[SKU name_NHẬP_GOM]=HF$3)),SUMPRODUCT(Data_Nhập[Tổng Nhập-NX]*(Data_Nhập[Year]=HF$1)*(Data_Nhập[Month]=HF$2)*(Data_Nhập[Main SKU name_GOM]=$A9)*(Data_Nhập[SKU name_NHẬP_GOM]=HF$3)))</f>
        <v>0</v>
      </c>
      <c r="HG9" s="24" cm="1">
        <f t="array" ref="HG9">IF(HG$2="FY",SUMPRODUCT(Data_Nhập[Tổng Nhập-NX]*(Data_Nhập[Year]=HG$1)*(Data_Nhập[Main SKU name_GOM]=$A9)*(Data_Nhập[SKU name_NHẬP_GOM]=HG$3)),SUMPRODUCT(Data_Nhập[Tổng Nhập-NX]*(Data_Nhập[Year]=HG$1)*(Data_Nhập[Month]=HG$2)*(Data_Nhập[Main SKU name_GOM]=$A9)*(Data_Nhập[SKU name_NHẬP_GOM]=HG$3)))</f>
        <v>0</v>
      </c>
      <c r="HH9" s="24" cm="1">
        <f t="array" ref="HH9">IF(HH$2="FY",SUMPRODUCT(Data_Nhập[Tổng Nhập-NX]*(Data_Nhập[Year]=HH$1)*(Data_Nhập[Main SKU name_GOM]=$A9)*(Data_Nhập[SKU name_NHẬP_GOM]=HH$3)),SUMPRODUCT(Data_Nhập[Tổng Nhập-NX]*(Data_Nhập[Year]=HH$1)*(Data_Nhập[Month]=HH$2)*(Data_Nhập[Main SKU name_GOM]=$A9)*(Data_Nhập[SKU name_NHẬP_GOM]=HH$3)))</f>
        <v>0</v>
      </c>
      <c r="HI9" s="24" cm="1">
        <f t="array" ref="HI9">IF(HI$2="FY",SUMPRODUCT(Data_Nhập[Tổng Nhập-NX]*(Data_Nhập[Year]=HI$1)*(Data_Nhập[Main SKU name_GOM]=$A9)*(Data_Nhập[SKU name_NHẬP_GOM]=HI$3)),SUMPRODUCT(Data_Nhập[Tổng Nhập-NX]*(Data_Nhập[Year]=HI$1)*(Data_Nhập[Month]=HI$2)*(Data_Nhập[Main SKU name_GOM]=$A9)*(Data_Nhập[SKU name_NHẬP_GOM]=HI$3)))</f>
        <v>0</v>
      </c>
      <c r="HJ9" s="25">
        <f t="shared" si="23"/>
        <v>0</v>
      </c>
      <c r="HL9" s="25" cm="1">
        <f t="array" ref="HL9">IF(HL$2="FY",SUMPRODUCT(Data_Xuất[Xuất-NX]*(Data_Xuất[Year]=HL$1)*(Data_Xuất[Main SKU name_GOM]=$A9)),SUMPRODUCT(Data_Xuất[Xuất-NX]*(Data_Xuất[Year]=HL$1)*(Data_Xuất[Main SKU name_GOM]=$A9)*(Data_Xuất[Month]=HL$2)))</f>
        <v>558945</v>
      </c>
      <c r="HM9" s="24" cm="1">
        <f t="array" ref="HM9">IF(HM$2="FY",SUMPRODUCT(Data_Nhập[Tổng Nhập-NX]*(Data_Nhập[Year]=HM$1)*(Data_Nhập[Main SKU name_GOM]=$A9)*(Data_Nhập[SKU name_NHẬP_GOM]=HM$3)),SUMPRODUCT(Data_Nhập[Tổng Nhập-NX]*(Data_Nhập[Year]=HM$1)*(Data_Nhập[Month]=HM$2)*(Data_Nhập[Main SKU name_GOM]=$A9)*(Data_Nhập[SKU name_NHẬP_GOM]=HM$3)))</f>
        <v>0</v>
      </c>
      <c r="HN9" s="24" cm="1">
        <f t="array" ref="HN9">IF(HN$2="FY",SUMPRODUCT(Data_Nhập[Tổng Nhập-NX]*(Data_Nhập[Year]=HN$1)*(Data_Nhập[Main SKU name_GOM]=$A9)*(Data_Nhập[SKU name_NHẬP_GOM]=HN$3)),SUMPRODUCT(Data_Nhập[Tổng Nhập-NX]*(Data_Nhập[Year]=HN$1)*(Data_Nhập[Month]=HN$2)*(Data_Nhập[Main SKU name_GOM]=$A9)*(Data_Nhập[SKU name_NHẬP_GOM]=HN$3)))</f>
        <v>0</v>
      </c>
      <c r="HO9" s="24" cm="1">
        <f t="array" ref="HO9">IF(HO$2="FY",SUMPRODUCT(Data_Nhập[Tổng Nhập-NX]*(Data_Nhập[Year]=HO$1)*(Data_Nhập[Main SKU name_GOM]=$A9)*(Data_Nhập[SKU name_NHẬP_GOM]=HO$3)),SUMPRODUCT(Data_Nhập[Tổng Nhập-NX]*(Data_Nhập[Year]=HO$1)*(Data_Nhập[Month]=HO$2)*(Data_Nhập[Main SKU name_GOM]=$A9)*(Data_Nhập[SKU name_NHẬP_GOM]=HO$3)))</f>
        <v>0</v>
      </c>
      <c r="HP9" s="24" cm="1">
        <f t="array" ref="HP9">IF(HP$2="FY",SUMPRODUCT(Data_Nhập[Tổng Nhập-NX]*(Data_Nhập[Year]=HP$1)*(Data_Nhập[Main SKU name_GOM]=$A9)*(Data_Nhập[SKU name_NHẬP_GOM]=HP$3)),SUMPRODUCT(Data_Nhập[Tổng Nhập-NX]*(Data_Nhập[Year]=HP$1)*(Data_Nhập[Month]=HP$2)*(Data_Nhập[Main SKU name_GOM]=$A9)*(Data_Nhập[SKU name_NHẬP_GOM]=HP$3)))</f>
        <v>0</v>
      </c>
      <c r="HQ9" s="24" cm="1">
        <f t="array" ref="HQ9">IF(HQ$2="FY",SUMPRODUCT(Data_Nhập[Tổng Nhập-NX]*(Data_Nhập[Year]=HQ$1)*(Data_Nhập[Main SKU name_GOM]=$A9)*(Data_Nhập[SKU name_NHẬP_GOM]=HQ$3)),SUMPRODUCT(Data_Nhập[Tổng Nhập-NX]*(Data_Nhập[Year]=HQ$1)*(Data_Nhập[Month]=HQ$2)*(Data_Nhập[Main SKU name_GOM]=$A9)*(Data_Nhập[SKU name_NHẬP_GOM]=HQ$3)))</f>
        <v>507100</v>
      </c>
      <c r="HR9" s="24" cm="1">
        <f t="array" ref="HR9">IF(HR$2="FY",SUMPRODUCT(Data_Nhập[Tổng Nhập-NX]*(Data_Nhập[Year]=HR$1)*(Data_Nhập[Main SKU name_GOM]=$A9)*(Data_Nhập[SKU name_NHẬP_GOM]=HR$3)),SUMPRODUCT(Data_Nhập[Tổng Nhập-NX]*(Data_Nhập[Year]=HR$1)*(Data_Nhập[Month]=HR$2)*(Data_Nhập[Main SKU name_GOM]=$A9)*(Data_Nhập[SKU name_NHẬP_GOM]=HR$3)))</f>
        <v>0</v>
      </c>
      <c r="HS9" s="24" cm="1">
        <f t="array" ref="HS9">IF(HS$2="FY",SUMPRODUCT(Data_Nhập[Tổng Nhập-NX]*(Data_Nhập[Year]=HS$1)*(Data_Nhập[Main SKU name_GOM]=$A9)*(Data_Nhập[SKU name_NHẬP_GOM]=HS$3)),SUMPRODUCT(Data_Nhập[Tổng Nhập-NX]*(Data_Nhập[Year]=HS$1)*(Data_Nhập[Month]=HS$2)*(Data_Nhập[Main SKU name_GOM]=$A9)*(Data_Nhập[SKU name_NHẬP_GOM]=HS$3)))</f>
        <v>0</v>
      </c>
      <c r="HT9" s="24" cm="1">
        <f t="array" ref="HT9">IF(HT$2="FY",SUMPRODUCT(Data_Nhập[Tổng Nhập-NX]*(Data_Nhập[Year]=HT$1)*(Data_Nhập[Main SKU name_GOM]=$A9)*(Data_Nhập[SKU name_NHẬP_GOM]=HT$3)),SUMPRODUCT(Data_Nhập[Tổng Nhập-NX]*(Data_Nhập[Year]=HT$1)*(Data_Nhập[Month]=HT$2)*(Data_Nhập[Main SKU name_GOM]=$A9)*(Data_Nhập[SKU name_NHẬP_GOM]=HT$3)))</f>
        <v>0</v>
      </c>
      <c r="HU9" s="24" cm="1">
        <f t="array" ref="HU9">IF(HU$2="FY",SUMPRODUCT(Data_Nhập[Tổng Nhập-NX]*(Data_Nhập[Year]=HU$1)*(Data_Nhập[Main SKU name_GOM]=$A9)*(Data_Nhập[SKU name_NHẬP_GOM]=HU$3)),SUMPRODUCT(Data_Nhập[Tổng Nhập-NX]*(Data_Nhập[Year]=HU$1)*(Data_Nhập[Month]=HU$2)*(Data_Nhập[Main SKU name_GOM]=$A9)*(Data_Nhập[SKU name_NHẬP_GOM]=HU$3)))</f>
        <v>0</v>
      </c>
      <c r="HV9" s="24" cm="1">
        <f t="array" ref="HV9">IF(HV$2="FY",SUMPRODUCT(Data_Nhập[Tổng Nhập-NX]*(Data_Nhập[Year]=HV$1)*(Data_Nhập[Main SKU name_GOM]=$A9)*(Data_Nhập[SKU name_NHẬP_GOM]=HV$3)),SUMPRODUCT(Data_Nhập[Tổng Nhập-NX]*(Data_Nhập[Year]=HV$1)*(Data_Nhập[Month]=HV$2)*(Data_Nhập[Main SKU name_GOM]=$A9)*(Data_Nhập[SKU name_NHẬP_GOM]=HV$3)))</f>
        <v>0</v>
      </c>
      <c r="HW9" s="24" cm="1">
        <f t="array" ref="HW9">IF(HW$2="FY",SUMPRODUCT(Data_Nhập[Tổng Nhập-NX]*(Data_Nhập[Year]=HW$1)*(Data_Nhập[Main SKU name_GOM]=$A9)*(Data_Nhập[SKU name_NHẬP_GOM]=HW$3)),SUMPRODUCT(Data_Nhập[Tổng Nhập-NX]*(Data_Nhập[Year]=HW$1)*(Data_Nhập[Month]=HW$2)*(Data_Nhập[Main SKU name_GOM]=$A9)*(Data_Nhập[SKU name_NHẬP_GOM]=HW$3)))</f>
        <v>0</v>
      </c>
      <c r="HX9" s="24" cm="1">
        <f t="array" ref="HX9">IF(HX$2="FY",SUMPRODUCT(Data_Nhập[Tổng Nhập-NX]*(Data_Nhập[Year]=HX$1)*(Data_Nhập[Main SKU name_GOM]=$A9)*(Data_Nhập[SKU name_NHẬP_GOM]=HX$3)),SUMPRODUCT(Data_Nhập[Tổng Nhập-NX]*(Data_Nhập[Year]=HX$1)*(Data_Nhập[Month]=HX$2)*(Data_Nhập[Main SKU name_GOM]=$A9)*(Data_Nhập[SKU name_NHẬP_GOM]=HX$3)))</f>
        <v>6600</v>
      </c>
      <c r="HY9" s="24" cm="1">
        <f t="array" ref="HY9">IF(HY$2="FY",SUMPRODUCT(Data_Nhập[Tổng Nhập-NX]*(Data_Nhập[Year]=HY$1)*(Data_Nhập[Main SKU name_GOM]=$A9)*(Data_Nhập[SKU name_NHẬP_GOM]=HY$3)),SUMPRODUCT(Data_Nhập[Tổng Nhập-NX]*(Data_Nhập[Year]=HY$1)*(Data_Nhập[Month]=HY$2)*(Data_Nhập[Main SKU name_GOM]=$A9)*(Data_Nhập[SKU name_NHẬP_GOM]=HY$3)))</f>
        <v>0</v>
      </c>
      <c r="HZ9" s="24" cm="1">
        <f t="array" ref="HZ9">IF(HZ$2="FY",SUMPRODUCT(Data_Nhập[Tổng Nhập-NX]*(Data_Nhập[Year]=HZ$1)*(Data_Nhập[Main SKU name_GOM]=$A9)*(Data_Nhập[SKU name_NHẬP_GOM]=HZ$3)),SUMPRODUCT(Data_Nhập[Tổng Nhập-NX]*(Data_Nhập[Year]=HZ$1)*(Data_Nhập[Month]=HZ$2)*(Data_Nhập[Main SKU name_GOM]=$A9)*(Data_Nhập[SKU name_NHẬP_GOM]=HZ$3)))</f>
        <v>36853</v>
      </c>
      <c r="IA9" s="24" cm="1">
        <f t="array" ref="IA9">IF(IA$2="FY",SUMPRODUCT(Data_Nhập[Tổng Nhập-NX]*(Data_Nhập[Year]=IA$1)*(Data_Nhập[Main SKU name_GOM]=$A9)*(Data_Nhập[SKU name_NHẬP_GOM]=IA$3)),SUMPRODUCT(Data_Nhập[Tổng Nhập-NX]*(Data_Nhập[Year]=IA$1)*(Data_Nhập[Month]=IA$2)*(Data_Nhập[Main SKU name_GOM]=$A9)*(Data_Nhập[SKU name_NHẬP_GOM]=IA$3)))</f>
        <v>0</v>
      </c>
      <c r="IB9" s="25">
        <f t="shared" si="24"/>
        <v>550553</v>
      </c>
    </row>
    <row r="10" spans="1:236" x14ac:dyDescent="0.35">
      <c r="A10" s="5" t="s">
        <v>148</v>
      </c>
      <c r="B10" s="22" t="s">
        <v>148</v>
      </c>
      <c r="D10" s="25" cm="1">
        <f t="array" ref="D10">IF(D$2="FY",SUMPRODUCT(Data_Xuất[Xuất-NX]*(Data_Xuất[Year]=D$1)*(Data_Xuất[Main SKU name_GOM]=$A10)),SUMPRODUCT(Data_Xuất[Xuất-NX]*(Data_Xuất[Year]=D$1)*(Data_Xuất[Main SKU name_GOM]=$A10)*Data_Xuất[Month]=D$2))</f>
        <v>10000.000000000002</v>
      </c>
      <c r="E10" s="24" cm="1">
        <f t="array" ref="E10">IF(E$2="FY",SUMPRODUCT(Data_Nhập[Tổng Nhập-NX]*(Data_Nhập[Year]=E$1)*(Data_Nhập[Main SKU name_GOM]=$A10)*(Data_Nhập[SKU name_NHẬP_GOM]=E$3)),SUMPRODUCT(Data_Nhập[Tổng Nhập-NX]*(Data_Nhập[Year]=E$1)*(Data_Nhập[Month]=E$2)*(Data_Nhập[Main SKU name_GOM]=$A10)*(Data_Nhập[SKU name_NHẬP_GOM]=E$3)))</f>
        <v>0</v>
      </c>
      <c r="F10" s="24" cm="1">
        <f t="array" ref="F10">IF(F$2="FY",SUMPRODUCT(Data_Nhập[Tổng Nhập-NX]*(Data_Nhập[Year]=F$1)*(Data_Nhập[Main SKU name_GOM]=$A10)*(Data_Nhập[SKU name_NHẬP_GOM]=F$3)),SUMPRODUCT(Data_Nhập[Tổng Nhập-NX]*(Data_Nhập[Year]=F$1)*(Data_Nhập[Month]=F$2)*(Data_Nhập[Main SKU name_GOM]=$A10)*(Data_Nhập[SKU name_NHẬP_GOM]=F$3)))</f>
        <v>0</v>
      </c>
      <c r="G10" s="24" cm="1">
        <f t="array" ref="G10">IF(G$2="FY",SUMPRODUCT(Data_Nhập[Tổng Nhập-NX]*(Data_Nhập[Year]=G$1)*(Data_Nhập[Main SKU name_GOM]=$A10)*(Data_Nhập[SKU name_NHẬP_GOM]=G$3)),SUMPRODUCT(Data_Nhập[Tổng Nhập-NX]*(Data_Nhập[Year]=G$1)*(Data_Nhập[Month]=G$2)*(Data_Nhập[Main SKU name_GOM]=$A10)*(Data_Nhập[SKU name_NHẬP_GOM]=G$3)))</f>
        <v>0</v>
      </c>
      <c r="H10" s="24" cm="1">
        <f t="array" ref="H10">IF(H$2="FY",SUMPRODUCT(Data_Nhập[Tổng Nhập-NX]*(Data_Nhập[Year]=H$1)*(Data_Nhập[Main SKU name_GOM]=$A10)*(Data_Nhập[SKU name_NHẬP_GOM]=H$3)),SUMPRODUCT(Data_Nhập[Tổng Nhập-NX]*(Data_Nhập[Year]=H$1)*(Data_Nhập[Month]=H$2)*(Data_Nhập[Main SKU name_GOM]=$A10)*(Data_Nhập[SKU name_NHẬP_GOM]=H$3)))</f>
        <v>0</v>
      </c>
      <c r="I10" s="24" cm="1">
        <f t="array" ref="I10">IF(I$2="FY",SUMPRODUCT(Data_Nhập[Tổng Nhập-NX]*(Data_Nhập[Year]=I$1)*(Data_Nhập[Main SKU name_GOM]=$A10)*(Data_Nhập[SKU name_NHẬP_GOM]=I$3)),SUMPRODUCT(Data_Nhập[Tổng Nhập-NX]*(Data_Nhập[Year]=I$1)*(Data_Nhập[Month]=I$2)*(Data_Nhập[Main SKU name_GOM]=$A10)*(Data_Nhập[SKU name_NHẬP_GOM]=I$3)))</f>
        <v>0</v>
      </c>
      <c r="J10" s="24" cm="1">
        <f t="array" ref="J10">IF(J$2="FY",SUMPRODUCT(Data_Nhập[Tổng Nhập-NX]*(Data_Nhập[Year]=J$1)*(Data_Nhập[Main SKU name_GOM]=$A10)*(Data_Nhập[SKU name_NHẬP_GOM]=J$3)),SUMPRODUCT(Data_Nhập[Tổng Nhập-NX]*(Data_Nhập[Year]=J$1)*(Data_Nhập[Month]=J$2)*(Data_Nhập[Main SKU name_GOM]=$A10)*(Data_Nhập[SKU name_NHẬP_GOM]=J$3)))</f>
        <v>3950</v>
      </c>
      <c r="K10" s="24" cm="1">
        <f t="array" ref="K10">IF(K$2="FY",SUMPRODUCT(Data_Nhập[Tổng Nhập-NX]*(Data_Nhập[Year]=K$1)*(Data_Nhập[Main SKU name_GOM]=$A10)*(Data_Nhập[SKU name_NHẬP_GOM]=K$3)),SUMPRODUCT(Data_Nhập[Tổng Nhập-NX]*(Data_Nhập[Year]=K$1)*(Data_Nhập[Month]=K$2)*(Data_Nhập[Main SKU name_GOM]=$A10)*(Data_Nhập[SKU name_NHẬP_GOM]=K$3)))</f>
        <v>5250</v>
      </c>
      <c r="L10" s="24" cm="1">
        <f t="array" ref="L10">IF(L$2="FY",SUMPRODUCT(Data_Nhập[Tổng Nhập-NX]*(Data_Nhập[Year]=L$1)*(Data_Nhập[Main SKU name_GOM]=$A10)*(Data_Nhập[SKU name_NHẬP_GOM]=L$3)),SUMPRODUCT(Data_Nhập[Tổng Nhập-NX]*(Data_Nhập[Year]=L$1)*(Data_Nhập[Month]=L$2)*(Data_Nhập[Main SKU name_GOM]=$A10)*(Data_Nhập[SKU name_NHẬP_GOM]=L$3)))</f>
        <v>0</v>
      </c>
      <c r="M10" s="24" cm="1">
        <f t="array" ref="M10">IF(M$2="FY",SUMPRODUCT(Data_Nhập[Tổng Nhập-NX]*(Data_Nhập[Year]=M$1)*(Data_Nhập[Main SKU name_GOM]=$A10)*(Data_Nhập[SKU name_NHẬP_GOM]=M$3)),SUMPRODUCT(Data_Nhập[Tổng Nhập-NX]*(Data_Nhập[Year]=M$1)*(Data_Nhập[Month]=M$2)*(Data_Nhập[Main SKU name_GOM]=$A10)*(Data_Nhập[SKU name_NHẬP_GOM]=M$3)))</f>
        <v>0</v>
      </c>
      <c r="N10" s="24" cm="1">
        <f t="array" ref="N10">IF(N$2="FY",SUMPRODUCT(Data_Nhập[Tổng Nhập-NX]*(Data_Nhập[Year]=N$1)*(Data_Nhập[Main SKU name_GOM]=$A10)*(Data_Nhập[SKU name_NHẬP_GOM]=N$3)),SUMPRODUCT(Data_Nhập[Tổng Nhập-NX]*(Data_Nhập[Year]=N$1)*(Data_Nhập[Month]=N$2)*(Data_Nhập[Main SKU name_GOM]=$A10)*(Data_Nhập[SKU name_NHẬP_GOM]=N$3)))</f>
        <v>0</v>
      </c>
      <c r="O10" s="24" cm="1">
        <f t="array" ref="O10">IF(O$2="FY",SUMPRODUCT(Data_Nhập[Tổng Nhập-NX]*(Data_Nhập[Year]=O$1)*(Data_Nhập[Main SKU name_GOM]=$A10)*(Data_Nhập[SKU name_NHẬP_GOM]=O$3)),SUMPRODUCT(Data_Nhập[Tổng Nhập-NX]*(Data_Nhập[Year]=O$1)*(Data_Nhập[Month]=O$2)*(Data_Nhập[Main SKU name_GOM]=$A10)*(Data_Nhập[SKU name_NHẬP_GOM]=O$3)))</f>
        <v>0</v>
      </c>
      <c r="P10" s="24" cm="1">
        <f t="array" ref="P10">IF(P$2="FY",SUMPRODUCT(Data_Nhập[Tổng Nhập-NX]*(Data_Nhập[Year]=P$1)*(Data_Nhập[Main SKU name_GOM]=$A10)*(Data_Nhập[SKU name_NHẬP_GOM]=P$3)),SUMPRODUCT(Data_Nhập[Tổng Nhập-NX]*(Data_Nhập[Year]=P$1)*(Data_Nhập[Month]=P$2)*(Data_Nhập[Main SKU name_GOM]=$A10)*(Data_Nhập[SKU name_NHẬP_GOM]=P$3)))</f>
        <v>0</v>
      </c>
      <c r="Q10" s="24" cm="1">
        <f t="array" ref="Q10">IF(Q$2="FY",SUMPRODUCT(Data_Nhập[Tổng Nhập-NX]*(Data_Nhập[Year]=Q$1)*(Data_Nhập[Main SKU name_GOM]=$A10)*(Data_Nhập[SKU name_NHẬP_GOM]=Q$3)),SUMPRODUCT(Data_Nhập[Tổng Nhập-NX]*(Data_Nhập[Year]=Q$1)*(Data_Nhập[Month]=Q$2)*(Data_Nhập[Main SKU name_GOM]=$A10)*(Data_Nhập[SKU name_NHẬP_GOM]=Q$3)))</f>
        <v>0</v>
      </c>
      <c r="R10" s="24" cm="1">
        <f t="array" ref="R10">IF(R$2="FY",SUMPRODUCT(Data_Nhập[Tổng Nhập-NX]*(Data_Nhập[Year]=R$1)*(Data_Nhập[Main SKU name_GOM]=$A10)*(Data_Nhập[SKU name_NHẬP_GOM]=R$3)),SUMPRODUCT(Data_Nhập[Tổng Nhập-NX]*(Data_Nhập[Year]=R$1)*(Data_Nhập[Month]=R$2)*(Data_Nhập[Main SKU name_GOM]=$A10)*(Data_Nhập[SKU name_NHẬP_GOM]=R$3)))</f>
        <v>750</v>
      </c>
      <c r="S10" s="24" cm="1">
        <f t="array" ref="S10">IF(S$2="FY",SUMPRODUCT(Data_Nhập[Tổng Nhập-NX]*(Data_Nhập[Year]=S$1)*(Data_Nhập[Main SKU name_GOM]=$A10)*(Data_Nhập[SKU name_NHẬP_GOM]=S$3)),SUMPRODUCT(Data_Nhập[Tổng Nhập-NX]*(Data_Nhập[Year]=S$1)*(Data_Nhập[Month]=S$2)*(Data_Nhập[Main SKU name_GOM]=$A10)*(Data_Nhập[SKU name_NHẬP_GOM]=S$3)))</f>
        <v>0</v>
      </c>
      <c r="T10" s="25">
        <f t="shared" si="12"/>
        <v>9950</v>
      </c>
      <c r="V10" s="25" cm="1">
        <f t="array" ref="V10">IF(V$2="FY",SUMPRODUCT(Data_Xuất[Xuất-NX]*(Data_Xuất[Year]=V$1)*(Data_Xuất[Main SKU name_GOM]=$A10)),SUMPRODUCT(Data_Xuất[Xuất-NX]*(Data_Xuất[Year]=V$1)*(Data_Xuất[Main SKU name_GOM]=$A10)*(Data_Xuất[Month]=V$2)))</f>
        <v>0</v>
      </c>
      <c r="W10" s="24" cm="1">
        <f t="array" ref="W10">IF(W$2="FY",SUMPRODUCT(Data_Nhập[Tổng Nhập-NX]*(Data_Nhập[Year]=W$1)*(Data_Nhập[Main SKU name_GOM]=$A10)*(Data_Nhập[SKU name_NHẬP_GOM]=W$3)),SUMPRODUCT(Data_Nhập[Tổng Nhập-NX]*(Data_Nhập[Year]=W$1)*(Data_Nhập[Month]=W$2)*(Data_Nhập[Main SKU name_GOM]=$A10)*(Data_Nhập[SKU name_NHẬP_GOM]=W$3)))</f>
        <v>0</v>
      </c>
      <c r="X10" s="24" cm="1">
        <f t="array" ref="X10">IF(X$2="FY",SUMPRODUCT(Data_Nhập[Tổng Nhập-NX]*(Data_Nhập[Year]=X$1)*(Data_Nhập[Main SKU name_GOM]=$A10)*(Data_Nhập[SKU name_NHẬP_GOM]=X$3)),SUMPRODUCT(Data_Nhập[Tổng Nhập-NX]*(Data_Nhập[Year]=X$1)*(Data_Nhập[Month]=X$2)*(Data_Nhập[Main SKU name_GOM]=$A10)*(Data_Nhập[SKU name_NHẬP_GOM]=X$3)))</f>
        <v>0</v>
      </c>
      <c r="Y10" s="24" cm="1">
        <f t="array" ref="Y10">IF(Y$2="FY",SUMPRODUCT(Data_Nhập[Tổng Nhập-NX]*(Data_Nhập[Year]=Y$1)*(Data_Nhập[Main SKU name_GOM]=$A10)*(Data_Nhập[SKU name_NHẬP_GOM]=Y$3)),SUMPRODUCT(Data_Nhập[Tổng Nhập-NX]*(Data_Nhập[Year]=Y$1)*(Data_Nhập[Month]=Y$2)*(Data_Nhập[Main SKU name_GOM]=$A10)*(Data_Nhập[SKU name_NHẬP_GOM]=Y$3)))</f>
        <v>0</v>
      </c>
      <c r="Z10" s="24" cm="1">
        <f t="array" ref="Z10">IF(Z$2="FY",SUMPRODUCT(Data_Nhập[Tổng Nhập-NX]*(Data_Nhập[Year]=Z$1)*(Data_Nhập[Main SKU name_GOM]=$A10)*(Data_Nhập[SKU name_NHẬP_GOM]=Z$3)),SUMPRODUCT(Data_Nhập[Tổng Nhập-NX]*(Data_Nhập[Year]=Z$1)*(Data_Nhập[Month]=Z$2)*(Data_Nhập[Main SKU name_GOM]=$A10)*(Data_Nhập[SKU name_NHẬP_GOM]=Z$3)))</f>
        <v>0</v>
      </c>
      <c r="AA10" s="24" cm="1">
        <f t="array" ref="AA10">IF(AA$2="FY",SUMPRODUCT(Data_Nhập[Tổng Nhập-NX]*(Data_Nhập[Year]=AA$1)*(Data_Nhập[Main SKU name_GOM]=$A10)*(Data_Nhập[SKU name_NHẬP_GOM]=AA$3)),SUMPRODUCT(Data_Nhập[Tổng Nhập-NX]*(Data_Nhập[Year]=AA$1)*(Data_Nhập[Month]=AA$2)*(Data_Nhập[Main SKU name_GOM]=$A10)*(Data_Nhập[SKU name_NHẬP_GOM]=AA$3)))</f>
        <v>0</v>
      </c>
      <c r="AB10" s="24" cm="1">
        <f t="array" ref="AB10">IF(AB$2="FY",SUMPRODUCT(Data_Nhập[Tổng Nhập-NX]*(Data_Nhập[Year]=AB$1)*(Data_Nhập[Main SKU name_GOM]=$A10)*(Data_Nhập[SKU name_NHẬP_GOM]=AB$3)),SUMPRODUCT(Data_Nhập[Tổng Nhập-NX]*(Data_Nhập[Year]=AB$1)*(Data_Nhập[Month]=AB$2)*(Data_Nhập[Main SKU name_GOM]=$A10)*(Data_Nhập[SKU name_NHẬP_GOM]=AB$3)))</f>
        <v>0</v>
      </c>
      <c r="AC10" s="24" cm="1">
        <f t="array" ref="AC10">IF(AC$2="FY",SUMPRODUCT(Data_Nhập[Tổng Nhập-NX]*(Data_Nhập[Year]=AC$1)*(Data_Nhập[Main SKU name_GOM]=$A10)*(Data_Nhập[SKU name_NHẬP_GOM]=AC$3)),SUMPRODUCT(Data_Nhập[Tổng Nhập-NX]*(Data_Nhập[Year]=AC$1)*(Data_Nhập[Month]=AC$2)*(Data_Nhập[Main SKU name_GOM]=$A10)*(Data_Nhập[SKU name_NHẬP_GOM]=AC$3)))</f>
        <v>0</v>
      </c>
      <c r="AD10" s="24" cm="1">
        <f t="array" ref="AD10">IF(AD$2="FY",SUMPRODUCT(Data_Nhập[Tổng Nhập-NX]*(Data_Nhập[Year]=AD$1)*(Data_Nhập[Main SKU name_GOM]=$A10)*(Data_Nhập[SKU name_NHẬP_GOM]=AD$3)),SUMPRODUCT(Data_Nhập[Tổng Nhập-NX]*(Data_Nhập[Year]=AD$1)*(Data_Nhập[Month]=AD$2)*(Data_Nhập[Main SKU name_GOM]=$A10)*(Data_Nhập[SKU name_NHẬP_GOM]=AD$3)))</f>
        <v>0</v>
      </c>
      <c r="AE10" s="24" cm="1">
        <f t="array" ref="AE10">IF(AE$2="FY",SUMPRODUCT(Data_Nhập[Tổng Nhập-NX]*(Data_Nhập[Year]=AE$1)*(Data_Nhập[Main SKU name_GOM]=$A10)*(Data_Nhập[SKU name_NHẬP_GOM]=AE$3)),SUMPRODUCT(Data_Nhập[Tổng Nhập-NX]*(Data_Nhập[Year]=AE$1)*(Data_Nhập[Month]=AE$2)*(Data_Nhập[Main SKU name_GOM]=$A10)*(Data_Nhập[SKU name_NHẬP_GOM]=AE$3)))</f>
        <v>0</v>
      </c>
      <c r="AF10" s="24" cm="1">
        <f t="array" ref="AF10">IF(AF$2="FY",SUMPRODUCT(Data_Nhập[Tổng Nhập-NX]*(Data_Nhập[Year]=AF$1)*(Data_Nhập[Main SKU name_GOM]=$A10)*(Data_Nhập[SKU name_NHẬP_GOM]=AF$3)),SUMPRODUCT(Data_Nhập[Tổng Nhập-NX]*(Data_Nhập[Year]=AF$1)*(Data_Nhập[Month]=AF$2)*(Data_Nhập[Main SKU name_GOM]=$A10)*(Data_Nhập[SKU name_NHẬP_GOM]=AF$3)))</f>
        <v>0</v>
      </c>
      <c r="AG10" s="24" cm="1">
        <f t="array" ref="AG10">IF(AG$2="FY",SUMPRODUCT(Data_Nhập[Tổng Nhập-NX]*(Data_Nhập[Year]=AG$1)*(Data_Nhập[Main SKU name_GOM]=$A10)*(Data_Nhập[SKU name_NHẬP_GOM]=AG$3)),SUMPRODUCT(Data_Nhập[Tổng Nhập-NX]*(Data_Nhập[Year]=AG$1)*(Data_Nhập[Month]=AG$2)*(Data_Nhập[Main SKU name_GOM]=$A10)*(Data_Nhập[SKU name_NHẬP_GOM]=AG$3)))</f>
        <v>0</v>
      </c>
      <c r="AH10" s="24" cm="1">
        <f t="array" ref="AH10">IF(AH$2="FY",SUMPRODUCT(Data_Nhập[Tổng Nhập-NX]*(Data_Nhập[Year]=AH$1)*(Data_Nhập[Main SKU name_GOM]=$A10)*(Data_Nhập[SKU name_NHẬP_GOM]=AH$3)),SUMPRODUCT(Data_Nhập[Tổng Nhập-NX]*(Data_Nhập[Year]=AH$1)*(Data_Nhập[Month]=AH$2)*(Data_Nhập[Main SKU name_GOM]=$A10)*(Data_Nhập[SKU name_NHẬP_GOM]=AH$3)))</f>
        <v>0</v>
      </c>
      <c r="AI10" s="24" cm="1">
        <f t="array" ref="AI10">IF(AI$2="FY",SUMPRODUCT(Data_Nhập[Tổng Nhập-NX]*(Data_Nhập[Year]=AI$1)*(Data_Nhập[Main SKU name_GOM]=$A10)*(Data_Nhập[SKU name_NHẬP_GOM]=AI$3)),SUMPRODUCT(Data_Nhập[Tổng Nhập-NX]*(Data_Nhập[Year]=AI$1)*(Data_Nhập[Month]=AI$2)*(Data_Nhập[Main SKU name_GOM]=$A10)*(Data_Nhập[SKU name_NHẬP_GOM]=AI$3)))</f>
        <v>0</v>
      </c>
      <c r="AJ10" s="24" cm="1">
        <f t="array" ref="AJ10">IF(AJ$2="FY",SUMPRODUCT(Data_Nhập[Tổng Nhập-NX]*(Data_Nhập[Year]=AJ$1)*(Data_Nhập[Main SKU name_GOM]=$A10)*(Data_Nhập[SKU name_NHẬP_GOM]=AJ$3)),SUMPRODUCT(Data_Nhập[Tổng Nhập-NX]*(Data_Nhập[Year]=AJ$1)*(Data_Nhập[Month]=AJ$2)*(Data_Nhập[Main SKU name_GOM]=$A10)*(Data_Nhập[SKU name_NHẬP_GOM]=AJ$3)))</f>
        <v>0</v>
      </c>
      <c r="AK10" s="24" cm="1">
        <f t="array" ref="AK10">IF(AK$2="FY",SUMPRODUCT(Data_Nhập[Tổng Nhập-NX]*(Data_Nhập[Year]=AK$1)*(Data_Nhập[Main SKU name_GOM]=$A10)*(Data_Nhập[SKU name_NHẬP_GOM]=AK$3)),SUMPRODUCT(Data_Nhập[Tổng Nhập-NX]*(Data_Nhập[Year]=AK$1)*(Data_Nhập[Month]=AK$2)*(Data_Nhập[Main SKU name_GOM]=$A10)*(Data_Nhập[SKU name_NHẬP_GOM]=AK$3)))</f>
        <v>0</v>
      </c>
      <c r="AL10" s="25">
        <f t="shared" si="13"/>
        <v>0</v>
      </c>
      <c r="AN10" s="25" cm="1">
        <f t="array" ref="AN10">IF(AN$2="FY",SUMPRODUCT(Data_Xuất[Xuất-NX]*(Data_Xuất[Year]=AN$1)*(Data_Xuất[Main SKU name_GOM]=$A10)),SUMPRODUCT(Data_Xuất[Xuất-NX]*(Data_Xuất[Year]=AN$1)*(Data_Xuất[Main SKU name_GOM]=$A10)*(Data_Xuất[Month]=AN$2)))</f>
        <v>0</v>
      </c>
      <c r="AO10" s="24" cm="1">
        <f t="array" ref="AO10">IF(AO$2="FY",SUMPRODUCT(Data_Nhập[Tổng Nhập-NX]*(Data_Nhập[Year]=AO$1)*(Data_Nhập[Main SKU name_GOM]=$A10)*(Data_Nhập[SKU name_NHẬP_GOM]=AO$3)),SUMPRODUCT(Data_Nhập[Tổng Nhập-NX]*(Data_Nhập[Year]=AO$1)*(Data_Nhập[Month]=AO$2)*(Data_Nhập[Main SKU name_GOM]=$A10)*(Data_Nhập[SKU name_NHẬP_GOM]=AO$3)))</f>
        <v>0</v>
      </c>
      <c r="AP10" s="24" cm="1">
        <f t="array" ref="AP10">IF(AP$2="FY",SUMPRODUCT(Data_Nhập[Tổng Nhập-NX]*(Data_Nhập[Year]=AP$1)*(Data_Nhập[Main SKU name_GOM]=$A10)*(Data_Nhập[SKU name_NHẬP_GOM]=AP$3)),SUMPRODUCT(Data_Nhập[Tổng Nhập-NX]*(Data_Nhập[Year]=AP$1)*(Data_Nhập[Month]=AP$2)*(Data_Nhập[Main SKU name_GOM]=$A10)*(Data_Nhập[SKU name_NHẬP_GOM]=AP$3)))</f>
        <v>0</v>
      </c>
      <c r="AQ10" s="24" cm="1">
        <f t="array" ref="AQ10">IF(AQ$2="FY",SUMPRODUCT(Data_Nhập[Tổng Nhập-NX]*(Data_Nhập[Year]=AQ$1)*(Data_Nhập[Main SKU name_GOM]=$A10)*(Data_Nhập[SKU name_NHẬP_GOM]=AQ$3)),SUMPRODUCT(Data_Nhập[Tổng Nhập-NX]*(Data_Nhập[Year]=AQ$1)*(Data_Nhập[Month]=AQ$2)*(Data_Nhập[Main SKU name_GOM]=$A10)*(Data_Nhập[SKU name_NHẬP_GOM]=AQ$3)))</f>
        <v>0</v>
      </c>
      <c r="AR10" s="24" cm="1">
        <f t="array" ref="AR10">IF(AR$2="FY",SUMPRODUCT(Data_Nhập[Tổng Nhập-NX]*(Data_Nhập[Year]=AR$1)*(Data_Nhập[Main SKU name_GOM]=$A10)*(Data_Nhập[SKU name_NHẬP_GOM]=AR$3)),SUMPRODUCT(Data_Nhập[Tổng Nhập-NX]*(Data_Nhập[Year]=AR$1)*(Data_Nhập[Month]=AR$2)*(Data_Nhập[Main SKU name_GOM]=$A10)*(Data_Nhập[SKU name_NHẬP_GOM]=AR$3)))</f>
        <v>0</v>
      </c>
      <c r="AS10" s="24" cm="1">
        <f t="array" ref="AS10">IF(AS$2="FY",SUMPRODUCT(Data_Nhập[Tổng Nhập-NX]*(Data_Nhập[Year]=AS$1)*(Data_Nhập[Main SKU name_GOM]=$A10)*(Data_Nhập[SKU name_NHẬP_GOM]=AS$3)),SUMPRODUCT(Data_Nhập[Tổng Nhập-NX]*(Data_Nhập[Year]=AS$1)*(Data_Nhập[Month]=AS$2)*(Data_Nhập[Main SKU name_GOM]=$A10)*(Data_Nhập[SKU name_NHẬP_GOM]=AS$3)))</f>
        <v>0</v>
      </c>
      <c r="AT10" s="24" cm="1">
        <f t="array" ref="AT10">IF(AT$2="FY",SUMPRODUCT(Data_Nhập[Tổng Nhập-NX]*(Data_Nhập[Year]=AT$1)*(Data_Nhập[Main SKU name_GOM]=$A10)*(Data_Nhập[SKU name_NHẬP_GOM]=AT$3)),SUMPRODUCT(Data_Nhập[Tổng Nhập-NX]*(Data_Nhập[Year]=AT$1)*(Data_Nhập[Month]=AT$2)*(Data_Nhập[Main SKU name_GOM]=$A10)*(Data_Nhập[SKU name_NHẬP_GOM]=AT$3)))</f>
        <v>0</v>
      </c>
      <c r="AU10" s="24" cm="1">
        <f t="array" ref="AU10">IF(AU$2="FY",SUMPRODUCT(Data_Nhập[Tổng Nhập-NX]*(Data_Nhập[Year]=AU$1)*(Data_Nhập[Main SKU name_GOM]=$A10)*(Data_Nhập[SKU name_NHẬP_GOM]=AU$3)),SUMPRODUCT(Data_Nhập[Tổng Nhập-NX]*(Data_Nhập[Year]=AU$1)*(Data_Nhập[Month]=AU$2)*(Data_Nhập[Main SKU name_GOM]=$A10)*(Data_Nhập[SKU name_NHẬP_GOM]=AU$3)))</f>
        <v>0</v>
      </c>
      <c r="AV10" s="24" cm="1">
        <f t="array" ref="AV10">IF(AV$2="FY",SUMPRODUCT(Data_Nhập[Tổng Nhập-NX]*(Data_Nhập[Year]=AV$1)*(Data_Nhập[Main SKU name_GOM]=$A10)*(Data_Nhập[SKU name_NHẬP_GOM]=AV$3)),SUMPRODUCT(Data_Nhập[Tổng Nhập-NX]*(Data_Nhập[Year]=AV$1)*(Data_Nhập[Month]=AV$2)*(Data_Nhập[Main SKU name_GOM]=$A10)*(Data_Nhập[SKU name_NHẬP_GOM]=AV$3)))</f>
        <v>0</v>
      </c>
      <c r="AW10" s="24" cm="1">
        <f t="array" ref="AW10">IF(AW$2="FY",SUMPRODUCT(Data_Nhập[Tổng Nhập-NX]*(Data_Nhập[Year]=AW$1)*(Data_Nhập[Main SKU name_GOM]=$A10)*(Data_Nhập[SKU name_NHẬP_GOM]=AW$3)),SUMPRODUCT(Data_Nhập[Tổng Nhập-NX]*(Data_Nhập[Year]=AW$1)*(Data_Nhập[Month]=AW$2)*(Data_Nhập[Main SKU name_GOM]=$A10)*(Data_Nhập[SKU name_NHẬP_GOM]=AW$3)))</f>
        <v>0</v>
      </c>
      <c r="AX10" s="24" cm="1">
        <f t="array" ref="AX10">IF(AX$2="FY",SUMPRODUCT(Data_Nhập[Tổng Nhập-NX]*(Data_Nhập[Year]=AX$1)*(Data_Nhập[Main SKU name_GOM]=$A10)*(Data_Nhập[SKU name_NHẬP_GOM]=AX$3)),SUMPRODUCT(Data_Nhập[Tổng Nhập-NX]*(Data_Nhập[Year]=AX$1)*(Data_Nhập[Month]=AX$2)*(Data_Nhập[Main SKU name_GOM]=$A10)*(Data_Nhập[SKU name_NHẬP_GOM]=AX$3)))</f>
        <v>0</v>
      </c>
      <c r="AY10" s="24" cm="1">
        <f t="array" ref="AY10">IF(AY$2="FY",SUMPRODUCT(Data_Nhập[Tổng Nhập-NX]*(Data_Nhập[Year]=AY$1)*(Data_Nhập[Main SKU name_GOM]=$A10)*(Data_Nhập[SKU name_NHẬP_GOM]=AY$3)),SUMPRODUCT(Data_Nhập[Tổng Nhập-NX]*(Data_Nhập[Year]=AY$1)*(Data_Nhập[Month]=AY$2)*(Data_Nhập[Main SKU name_GOM]=$A10)*(Data_Nhập[SKU name_NHẬP_GOM]=AY$3)))</f>
        <v>0</v>
      </c>
      <c r="AZ10" s="24" cm="1">
        <f t="array" ref="AZ10">IF(AZ$2="FY",SUMPRODUCT(Data_Nhập[Tổng Nhập-NX]*(Data_Nhập[Year]=AZ$1)*(Data_Nhập[Main SKU name_GOM]=$A10)*(Data_Nhập[SKU name_NHẬP_GOM]=AZ$3)),SUMPRODUCT(Data_Nhập[Tổng Nhập-NX]*(Data_Nhập[Year]=AZ$1)*(Data_Nhập[Month]=AZ$2)*(Data_Nhập[Main SKU name_GOM]=$A10)*(Data_Nhập[SKU name_NHẬP_GOM]=AZ$3)))</f>
        <v>0</v>
      </c>
      <c r="BA10" s="24" cm="1">
        <f t="array" ref="BA10">IF(BA$2="FY",SUMPRODUCT(Data_Nhập[Tổng Nhập-NX]*(Data_Nhập[Year]=BA$1)*(Data_Nhập[Main SKU name_GOM]=$A10)*(Data_Nhập[SKU name_NHẬP_GOM]=BA$3)),SUMPRODUCT(Data_Nhập[Tổng Nhập-NX]*(Data_Nhập[Year]=BA$1)*(Data_Nhập[Month]=BA$2)*(Data_Nhập[Main SKU name_GOM]=$A10)*(Data_Nhập[SKU name_NHẬP_GOM]=BA$3)))</f>
        <v>0</v>
      </c>
      <c r="BB10" s="24" cm="1">
        <f t="array" ref="BB10">IF(BB$2="FY",SUMPRODUCT(Data_Nhập[Tổng Nhập-NX]*(Data_Nhập[Year]=BB$1)*(Data_Nhập[Main SKU name_GOM]=$A10)*(Data_Nhập[SKU name_NHẬP_GOM]=BB$3)),SUMPRODUCT(Data_Nhập[Tổng Nhập-NX]*(Data_Nhập[Year]=BB$1)*(Data_Nhập[Month]=BB$2)*(Data_Nhập[Main SKU name_GOM]=$A10)*(Data_Nhập[SKU name_NHẬP_GOM]=BB$3)))</f>
        <v>0</v>
      </c>
      <c r="BC10" s="24" cm="1">
        <f t="array" ref="BC10">IF(BC$2="FY",SUMPRODUCT(Data_Nhập[Tổng Nhập-NX]*(Data_Nhập[Year]=BC$1)*(Data_Nhập[Main SKU name_GOM]=$A10)*(Data_Nhập[SKU name_NHẬP_GOM]=BC$3)),SUMPRODUCT(Data_Nhập[Tổng Nhập-NX]*(Data_Nhập[Year]=BC$1)*(Data_Nhập[Month]=BC$2)*(Data_Nhập[Main SKU name_GOM]=$A10)*(Data_Nhập[SKU name_NHẬP_GOM]=BC$3)))</f>
        <v>0</v>
      </c>
      <c r="BD10" s="25">
        <f t="shared" si="14"/>
        <v>0</v>
      </c>
      <c r="BF10" s="25" cm="1">
        <f t="array" ref="BF10">IF(BF$2="FY",SUMPRODUCT(Data_Xuất[Xuất-NX]*(Data_Xuất[Year]=BF$1)*(Data_Xuất[Main SKU name_GOM]=$A10)),SUMPRODUCT(Data_Xuất[Xuất-NX]*(Data_Xuất[Year]=BF$1)*(Data_Xuất[Main SKU name_GOM]=$A10)*(Data_Xuất[Month]=BF$2)))</f>
        <v>2500</v>
      </c>
      <c r="BG10" s="24" cm="1">
        <f t="array" ref="BG10">IF(BG$2="FY",SUMPRODUCT(Data_Nhập[Tổng Nhập-NX]*(Data_Nhập[Year]=BG$1)*(Data_Nhập[Main SKU name_GOM]=$A10)*(Data_Nhập[SKU name_NHẬP_GOM]=BG$3)),SUMPRODUCT(Data_Nhập[Tổng Nhập-NX]*(Data_Nhập[Year]=BG$1)*(Data_Nhập[Month]=BG$2)*(Data_Nhập[Main SKU name_GOM]=$A10)*(Data_Nhập[SKU name_NHẬP_GOM]=BG$3)))</f>
        <v>0</v>
      </c>
      <c r="BH10" s="24" cm="1">
        <f t="array" ref="BH10">IF(BH$2="FY",SUMPRODUCT(Data_Nhập[Tổng Nhập-NX]*(Data_Nhập[Year]=BH$1)*(Data_Nhập[Main SKU name_GOM]=$A10)*(Data_Nhập[SKU name_NHẬP_GOM]=BH$3)),SUMPRODUCT(Data_Nhập[Tổng Nhập-NX]*(Data_Nhập[Year]=BH$1)*(Data_Nhập[Month]=BH$2)*(Data_Nhập[Main SKU name_GOM]=$A10)*(Data_Nhập[SKU name_NHẬP_GOM]=BH$3)))</f>
        <v>0</v>
      </c>
      <c r="BI10" s="24" cm="1">
        <f t="array" ref="BI10">IF(BI$2="FY",SUMPRODUCT(Data_Nhập[Tổng Nhập-NX]*(Data_Nhập[Year]=BI$1)*(Data_Nhập[Main SKU name_GOM]=$A10)*(Data_Nhập[SKU name_NHẬP_GOM]=BI$3)),SUMPRODUCT(Data_Nhập[Tổng Nhập-NX]*(Data_Nhập[Year]=BI$1)*(Data_Nhập[Month]=BI$2)*(Data_Nhập[Main SKU name_GOM]=$A10)*(Data_Nhập[SKU name_NHẬP_GOM]=BI$3)))</f>
        <v>0</v>
      </c>
      <c r="BJ10" s="24" cm="1">
        <f t="array" ref="BJ10">IF(BJ$2="FY",SUMPRODUCT(Data_Nhập[Tổng Nhập-NX]*(Data_Nhập[Year]=BJ$1)*(Data_Nhập[Main SKU name_GOM]=$A10)*(Data_Nhập[SKU name_NHẬP_GOM]=BJ$3)),SUMPRODUCT(Data_Nhập[Tổng Nhập-NX]*(Data_Nhập[Year]=BJ$1)*(Data_Nhập[Month]=BJ$2)*(Data_Nhập[Main SKU name_GOM]=$A10)*(Data_Nhập[SKU name_NHẬP_GOM]=BJ$3)))</f>
        <v>0</v>
      </c>
      <c r="BK10" s="24" cm="1">
        <f t="array" ref="BK10">IF(BK$2="FY",SUMPRODUCT(Data_Nhập[Tổng Nhập-NX]*(Data_Nhập[Year]=BK$1)*(Data_Nhập[Main SKU name_GOM]=$A10)*(Data_Nhập[SKU name_NHẬP_GOM]=BK$3)),SUMPRODUCT(Data_Nhập[Tổng Nhập-NX]*(Data_Nhập[Year]=BK$1)*(Data_Nhập[Month]=BK$2)*(Data_Nhập[Main SKU name_GOM]=$A10)*(Data_Nhập[SKU name_NHẬP_GOM]=BK$3)))</f>
        <v>0</v>
      </c>
      <c r="BL10" s="24" cm="1">
        <f t="array" ref="BL10">IF(BL$2="FY",SUMPRODUCT(Data_Nhập[Tổng Nhập-NX]*(Data_Nhập[Year]=BL$1)*(Data_Nhập[Main SKU name_GOM]=$A10)*(Data_Nhập[SKU name_NHẬP_GOM]=BL$3)),SUMPRODUCT(Data_Nhập[Tổng Nhập-NX]*(Data_Nhập[Year]=BL$1)*(Data_Nhập[Month]=BL$2)*(Data_Nhập[Main SKU name_GOM]=$A10)*(Data_Nhập[SKU name_NHẬP_GOM]=BL$3)))</f>
        <v>2100</v>
      </c>
      <c r="BM10" s="24" cm="1">
        <f t="array" ref="BM10">IF(BM$2="FY",SUMPRODUCT(Data_Nhập[Tổng Nhập-NX]*(Data_Nhập[Year]=BM$1)*(Data_Nhập[Main SKU name_GOM]=$A10)*(Data_Nhập[SKU name_NHẬP_GOM]=BM$3)),SUMPRODUCT(Data_Nhập[Tổng Nhập-NX]*(Data_Nhập[Year]=BM$1)*(Data_Nhập[Month]=BM$2)*(Data_Nhập[Main SKU name_GOM]=$A10)*(Data_Nhập[SKU name_NHẬP_GOM]=BM$3)))</f>
        <v>0</v>
      </c>
      <c r="BN10" s="24" cm="1">
        <f t="array" ref="BN10">IF(BN$2="FY",SUMPRODUCT(Data_Nhập[Tổng Nhập-NX]*(Data_Nhập[Year]=BN$1)*(Data_Nhập[Main SKU name_GOM]=$A10)*(Data_Nhập[SKU name_NHẬP_GOM]=BN$3)),SUMPRODUCT(Data_Nhập[Tổng Nhập-NX]*(Data_Nhập[Year]=BN$1)*(Data_Nhập[Month]=BN$2)*(Data_Nhập[Main SKU name_GOM]=$A10)*(Data_Nhập[SKU name_NHẬP_GOM]=BN$3)))</f>
        <v>0</v>
      </c>
      <c r="BO10" s="24" cm="1">
        <f t="array" ref="BO10">IF(BO$2="FY",SUMPRODUCT(Data_Nhập[Tổng Nhập-NX]*(Data_Nhập[Year]=BO$1)*(Data_Nhập[Main SKU name_GOM]=$A10)*(Data_Nhập[SKU name_NHẬP_GOM]=BO$3)),SUMPRODUCT(Data_Nhập[Tổng Nhập-NX]*(Data_Nhập[Year]=BO$1)*(Data_Nhập[Month]=BO$2)*(Data_Nhập[Main SKU name_GOM]=$A10)*(Data_Nhập[SKU name_NHẬP_GOM]=BO$3)))</f>
        <v>0</v>
      </c>
      <c r="BP10" s="24" cm="1">
        <f t="array" ref="BP10">IF(BP$2="FY",SUMPRODUCT(Data_Nhập[Tổng Nhập-NX]*(Data_Nhập[Year]=BP$1)*(Data_Nhập[Main SKU name_GOM]=$A10)*(Data_Nhập[SKU name_NHẬP_GOM]=BP$3)),SUMPRODUCT(Data_Nhập[Tổng Nhập-NX]*(Data_Nhập[Year]=BP$1)*(Data_Nhập[Month]=BP$2)*(Data_Nhập[Main SKU name_GOM]=$A10)*(Data_Nhập[SKU name_NHẬP_GOM]=BP$3)))</f>
        <v>0</v>
      </c>
      <c r="BQ10" s="24" cm="1">
        <f t="array" ref="BQ10">IF(BQ$2="FY",SUMPRODUCT(Data_Nhập[Tổng Nhập-NX]*(Data_Nhập[Year]=BQ$1)*(Data_Nhập[Main SKU name_GOM]=$A10)*(Data_Nhập[SKU name_NHẬP_GOM]=BQ$3)),SUMPRODUCT(Data_Nhập[Tổng Nhập-NX]*(Data_Nhập[Year]=BQ$1)*(Data_Nhập[Month]=BQ$2)*(Data_Nhập[Main SKU name_GOM]=$A10)*(Data_Nhập[SKU name_NHẬP_GOM]=BQ$3)))</f>
        <v>0</v>
      </c>
      <c r="BR10" s="24" cm="1">
        <f t="array" ref="BR10">IF(BR$2="FY",SUMPRODUCT(Data_Nhập[Tổng Nhập-NX]*(Data_Nhập[Year]=BR$1)*(Data_Nhập[Main SKU name_GOM]=$A10)*(Data_Nhập[SKU name_NHẬP_GOM]=BR$3)),SUMPRODUCT(Data_Nhập[Tổng Nhập-NX]*(Data_Nhập[Year]=BR$1)*(Data_Nhập[Month]=BR$2)*(Data_Nhập[Main SKU name_GOM]=$A10)*(Data_Nhập[SKU name_NHẬP_GOM]=BR$3)))</f>
        <v>0</v>
      </c>
      <c r="BS10" s="24" cm="1">
        <f t="array" ref="BS10">IF(BS$2="FY",SUMPRODUCT(Data_Nhập[Tổng Nhập-NX]*(Data_Nhập[Year]=BS$1)*(Data_Nhập[Main SKU name_GOM]=$A10)*(Data_Nhập[SKU name_NHẬP_GOM]=BS$3)),SUMPRODUCT(Data_Nhập[Tổng Nhập-NX]*(Data_Nhập[Year]=BS$1)*(Data_Nhập[Month]=BS$2)*(Data_Nhập[Main SKU name_GOM]=$A10)*(Data_Nhập[SKU name_NHẬP_GOM]=BS$3)))</f>
        <v>0</v>
      </c>
      <c r="BT10" s="24" cm="1">
        <f t="array" ref="BT10">IF(BT$2="FY",SUMPRODUCT(Data_Nhập[Tổng Nhập-NX]*(Data_Nhập[Year]=BT$1)*(Data_Nhập[Main SKU name_GOM]=$A10)*(Data_Nhập[SKU name_NHẬP_GOM]=BT$3)),SUMPRODUCT(Data_Nhập[Tổng Nhập-NX]*(Data_Nhập[Year]=BT$1)*(Data_Nhập[Month]=BT$2)*(Data_Nhập[Main SKU name_GOM]=$A10)*(Data_Nhập[SKU name_NHẬP_GOM]=BT$3)))</f>
        <v>400</v>
      </c>
      <c r="BU10" s="24" cm="1">
        <f t="array" ref="BU10">IF(BU$2="FY",SUMPRODUCT(Data_Nhập[Tổng Nhập-NX]*(Data_Nhập[Year]=BU$1)*(Data_Nhập[Main SKU name_GOM]=$A10)*(Data_Nhập[SKU name_NHẬP_GOM]=BU$3)),SUMPRODUCT(Data_Nhập[Tổng Nhập-NX]*(Data_Nhập[Year]=BU$1)*(Data_Nhập[Month]=BU$2)*(Data_Nhập[Main SKU name_GOM]=$A10)*(Data_Nhập[SKU name_NHẬP_GOM]=BU$3)))</f>
        <v>0</v>
      </c>
      <c r="BV10" s="25">
        <f t="shared" si="15"/>
        <v>2500</v>
      </c>
      <c r="BX10" s="25" cm="1">
        <f t="array" ref="BX10">IF(BX$2="FY",SUMPRODUCT(Data_Xuất[Xuất-NX]*(Data_Xuất[Year]=BX$1)*(Data_Xuất[Main SKU name_GOM]=$A10)),SUMPRODUCT(Data_Xuất[Xuất-NX]*(Data_Xuất[Year]=BX$1)*(Data_Xuất[Main SKU name_GOM]=$A10)*(Data_Xuất[Month]=BX$2)))</f>
        <v>0</v>
      </c>
      <c r="BY10" s="24" cm="1">
        <f t="array" ref="BY10">IF(BY$2="FY",SUMPRODUCT(Data_Nhập[Tổng Nhập-NX]*(Data_Nhập[Year]=BY$1)*(Data_Nhập[Main SKU name_GOM]=$A10)*(Data_Nhập[SKU name_NHẬP_GOM]=BY$3)),SUMPRODUCT(Data_Nhập[Tổng Nhập-NX]*(Data_Nhập[Year]=BY$1)*(Data_Nhập[Month]=BY$2)*(Data_Nhập[Main SKU name_GOM]=$A10)*(Data_Nhập[SKU name_NHẬP_GOM]=BY$3)))</f>
        <v>0</v>
      </c>
      <c r="BZ10" s="24" cm="1">
        <f t="array" ref="BZ10">IF(BZ$2="FY",SUMPRODUCT(Data_Nhập[Tổng Nhập-NX]*(Data_Nhập[Year]=BZ$1)*(Data_Nhập[Main SKU name_GOM]=$A10)*(Data_Nhập[SKU name_NHẬP_GOM]=BZ$3)),SUMPRODUCT(Data_Nhập[Tổng Nhập-NX]*(Data_Nhập[Year]=BZ$1)*(Data_Nhập[Month]=BZ$2)*(Data_Nhập[Main SKU name_GOM]=$A10)*(Data_Nhập[SKU name_NHẬP_GOM]=BZ$3)))</f>
        <v>0</v>
      </c>
      <c r="CA10" s="24" cm="1">
        <f t="array" ref="CA10">IF(CA$2="FY",SUMPRODUCT(Data_Nhập[Tổng Nhập-NX]*(Data_Nhập[Year]=CA$1)*(Data_Nhập[Main SKU name_GOM]=$A10)*(Data_Nhập[SKU name_NHẬP_GOM]=CA$3)),SUMPRODUCT(Data_Nhập[Tổng Nhập-NX]*(Data_Nhập[Year]=CA$1)*(Data_Nhập[Month]=CA$2)*(Data_Nhập[Main SKU name_GOM]=$A10)*(Data_Nhập[SKU name_NHẬP_GOM]=CA$3)))</f>
        <v>0</v>
      </c>
      <c r="CB10" s="24" cm="1">
        <f t="array" ref="CB10">IF(CB$2="FY",SUMPRODUCT(Data_Nhập[Tổng Nhập-NX]*(Data_Nhập[Year]=CB$1)*(Data_Nhập[Main SKU name_GOM]=$A10)*(Data_Nhập[SKU name_NHẬP_GOM]=CB$3)),SUMPRODUCT(Data_Nhập[Tổng Nhập-NX]*(Data_Nhập[Year]=CB$1)*(Data_Nhập[Month]=CB$2)*(Data_Nhập[Main SKU name_GOM]=$A10)*(Data_Nhập[SKU name_NHẬP_GOM]=CB$3)))</f>
        <v>0</v>
      </c>
      <c r="CC10" s="24" cm="1">
        <f t="array" ref="CC10">IF(CC$2="FY",SUMPRODUCT(Data_Nhập[Tổng Nhập-NX]*(Data_Nhập[Year]=CC$1)*(Data_Nhập[Main SKU name_GOM]=$A10)*(Data_Nhập[SKU name_NHẬP_GOM]=CC$3)),SUMPRODUCT(Data_Nhập[Tổng Nhập-NX]*(Data_Nhập[Year]=CC$1)*(Data_Nhập[Month]=CC$2)*(Data_Nhập[Main SKU name_GOM]=$A10)*(Data_Nhập[SKU name_NHẬP_GOM]=CC$3)))</f>
        <v>0</v>
      </c>
      <c r="CD10" s="24" cm="1">
        <f t="array" ref="CD10">IF(CD$2="FY",SUMPRODUCT(Data_Nhập[Tổng Nhập-NX]*(Data_Nhập[Year]=CD$1)*(Data_Nhập[Main SKU name_GOM]=$A10)*(Data_Nhập[SKU name_NHẬP_GOM]=CD$3)),SUMPRODUCT(Data_Nhập[Tổng Nhập-NX]*(Data_Nhập[Year]=CD$1)*(Data_Nhập[Month]=CD$2)*(Data_Nhập[Main SKU name_GOM]=$A10)*(Data_Nhập[SKU name_NHẬP_GOM]=CD$3)))</f>
        <v>0</v>
      </c>
      <c r="CE10" s="24" cm="1">
        <f t="array" ref="CE10">IF(CE$2="FY",SUMPRODUCT(Data_Nhập[Tổng Nhập-NX]*(Data_Nhập[Year]=CE$1)*(Data_Nhập[Main SKU name_GOM]=$A10)*(Data_Nhập[SKU name_NHẬP_GOM]=CE$3)),SUMPRODUCT(Data_Nhập[Tổng Nhập-NX]*(Data_Nhập[Year]=CE$1)*(Data_Nhập[Month]=CE$2)*(Data_Nhập[Main SKU name_GOM]=$A10)*(Data_Nhập[SKU name_NHẬP_GOM]=CE$3)))</f>
        <v>0</v>
      </c>
      <c r="CF10" s="24" cm="1">
        <f t="array" ref="CF10">IF(CF$2="FY",SUMPRODUCT(Data_Nhập[Tổng Nhập-NX]*(Data_Nhập[Year]=CF$1)*(Data_Nhập[Main SKU name_GOM]=$A10)*(Data_Nhập[SKU name_NHẬP_GOM]=CF$3)),SUMPRODUCT(Data_Nhập[Tổng Nhập-NX]*(Data_Nhập[Year]=CF$1)*(Data_Nhập[Month]=CF$2)*(Data_Nhập[Main SKU name_GOM]=$A10)*(Data_Nhập[SKU name_NHẬP_GOM]=CF$3)))</f>
        <v>0</v>
      </c>
      <c r="CG10" s="24" cm="1">
        <f t="array" ref="CG10">IF(CG$2="FY",SUMPRODUCT(Data_Nhập[Tổng Nhập-NX]*(Data_Nhập[Year]=CG$1)*(Data_Nhập[Main SKU name_GOM]=$A10)*(Data_Nhập[SKU name_NHẬP_GOM]=CG$3)),SUMPRODUCT(Data_Nhập[Tổng Nhập-NX]*(Data_Nhập[Year]=CG$1)*(Data_Nhập[Month]=CG$2)*(Data_Nhập[Main SKU name_GOM]=$A10)*(Data_Nhập[SKU name_NHẬP_GOM]=CG$3)))</f>
        <v>0</v>
      </c>
      <c r="CH10" s="24" cm="1">
        <f t="array" ref="CH10">IF(CH$2="FY",SUMPRODUCT(Data_Nhập[Tổng Nhập-NX]*(Data_Nhập[Year]=CH$1)*(Data_Nhập[Main SKU name_GOM]=$A10)*(Data_Nhập[SKU name_NHẬP_GOM]=CH$3)),SUMPRODUCT(Data_Nhập[Tổng Nhập-NX]*(Data_Nhập[Year]=CH$1)*(Data_Nhập[Month]=CH$2)*(Data_Nhập[Main SKU name_GOM]=$A10)*(Data_Nhập[SKU name_NHẬP_GOM]=CH$3)))</f>
        <v>0</v>
      </c>
      <c r="CI10" s="24" cm="1">
        <f t="array" ref="CI10">IF(CI$2="FY",SUMPRODUCT(Data_Nhập[Tổng Nhập-NX]*(Data_Nhập[Year]=CI$1)*(Data_Nhập[Main SKU name_GOM]=$A10)*(Data_Nhập[SKU name_NHẬP_GOM]=CI$3)),SUMPRODUCT(Data_Nhập[Tổng Nhập-NX]*(Data_Nhập[Year]=CI$1)*(Data_Nhập[Month]=CI$2)*(Data_Nhập[Main SKU name_GOM]=$A10)*(Data_Nhập[SKU name_NHẬP_GOM]=CI$3)))</f>
        <v>0</v>
      </c>
      <c r="CJ10" s="24" cm="1">
        <f t="array" ref="CJ10">IF(CJ$2="FY",SUMPRODUCT(Data_Nhập[Tổng Nhập-NX]*(Data_Nhập[Year]=CJ$1)*(Data_Nhập[Main SKU name_GOM]=$A10)*(Data_Nhập[SKU name_NHẬP_GOM]=CJ$3)),SUMPRODUCT(Data_Nhập[Tổng Nhập-NX]*(Data_Nhập[Year]=CJ$1)*(Data_Nhập[Month]=CJ$2)*(Data_Nhập[Main SKU name_GOM]=$A10)*(Data_Nhập[SKU name_NHẬP_GOM]=CJ$3)))</f>
        <v>0</v>
      </c>
      <c r="CK10" s="24" cm="1">
        <f t="array" ref="CK10">IF(CK$2="FY",SUMPRODUCT(Data_Nhập[Tổng Nhập-NX]*(Data_Nhập[Year]=CK$1)*(Data_Nhập[Main SKU name_GOM]=$A10)*(Data_Nhập[SKU name_NHẬP_GOM]=CK$3)),SUMPRODUCT(Data_Nhập[Tổng Nhập-NX]*(Data_Nhập[Year]=CK$1)*(Data_Nhập[Month]=CK$2)*(Data_Nhập[Main SKU name_GOM]=$A10)*(Data_Nhập[SKU name_NHẬP_GOM]=CK$3)))</f>
        <v>0</v>
      </c>
      <c r="CL10" s="24" cm="1">
        <f t="array" ref="CL10">IF(CL$2="FY",SUMPRODUCT(Data_Nhập[Tổng Nhập-NX]*(Data_Nhập[Year]=CL$1)*(Data_Nhập[Main SKU name_GOM]=$A10)*(Data_Nhập[SKU name_NHẬP_GOM]=CL$3)),SUMPRODUCT(Data_Nhập[Tổng Nhập-NX]*(Data_Nhập[Year]=CL$1)*(Data_Nhập[Month]=CL$2)*(Data_Nhập[Main SKU name_GOM]=$A10)*(Data_Nhập[SKU name_NHẬP_GOM]=CL$3)))</f>
        <v>0</v>
      </c>
      <c r="CM10" s="24" cm="1">
        <f t="array" ref="CM10">IF(CM$2="FY",SUMPRODUCT(Data_Nhập[Tổng Nhập-NX]*(Data_Nhập[Year]=CM$1)*(Data_Nhập[Main SKU name_GOM]=$A10)*(Data_Nhập[SKU name_NHẬP_GOM]=CM$3)),SUMPRODUCT(Data_Nhập[Tổng Nhập-NX]*(Data_Nhập[Year]=CM$1)*(Data_Nhập[Month]=CM$2)*(Data_Nhập[Main SKU name_GOM]=$A10)*(Data_Nhập[SKU name_NHẬP_GOM]=CM$3)))</f>
        <v>0</v>
      </c>
      <c r="CN10" s="25">
        <f t="shared" si="16"/>
        <v>0</v>
      </c>
      <c r="CP10" s="25" cm="1">
        <f t="array" ref="CP10">IF(CP$2="FY",SUMPRODUCT(Data_Xuất[Xuất-NX]*(Data_Xuất[Year]=CP$1)*(Data_Xuất[Main SKU name_GOM]=$A10)),SUMPRODUCT(Data_Xuất[Xuất-NX]*(Data_Xuất[Year]=CP$1)*(Data_Xuất[Main SKU name_GOM]=$A10)*(Data_Xuất[Month]=CP$2)))</f>
        <v>0</v>
      </c>
      <c r="CQ10" s="24" cm="1">
        <f t="array" ref="CQ10">IF(CQ$2="FY",SUMPRODUCT(Data_Nhập[Tổng Nhập-NX]*(Data_Nhập[Year]=CQ$1)*(Data_Nhập[Main SKU name_GOM]=$A10)*(Data_Nhập[SKU name_NHẬP_GOM]=CQ$3)),SUMPRODUCT(Data_Nhập[Tổng Nhập-NX]*(Data_Nhập[Year]=CQ$1)*(Data_Nhập[Month]=CQ$2)*(Data_Nhập[Main SKU name_GOM]=$A10)*(Data_Nhập[SKU name_NHẬP_GOM]=CQ$3)))</f>
        <v>0</v>
      </c>
      <c r="CR10" s="24" cm="1">
        <f t="array" ref="CR10">IF(CR$2="FY",SUMPRODUCT(Data_Nhập[Tổng Nhập-NX]*(Data_Nhập[Year]=CR$1)*(Data_Nhập[Main SKU name_GOM]=$A10)*(Data_Nhập[SKU name_NHẬP_GOM]=CR$3)),SUMPRODUCT(Data_Nhập[Tổng Nhập-NX]*(Data_Nhập[Year]=CR$1)*(Data_Nhập[Month]=CR$2)*(Data_Nhập[Main SKU name_GOM]=$A10)*(Data_Nhập[SKU name_NHẬP_GOM]=CR$3)))</f>
        <v>0</v>
      </c>
      <c r="CS10" s="24" cm="1">
        <f t="array" ref="CS10">IF(CS$2="FY",SUMPRODUCT(Data_Nhập[Tổng Nhập-NX]*(Data_Nhập[Year]=CS$1)*(Data_Nhập[Main SKU name_GOM]=$A10)*(Data_Nhập[SKU name_NHẬP_GOM]=CS$3)),SUMPRODUCT(Data_Nhập[Tổng Nhập-NX]*(Data_Nhập[Year]=CS$1)*(Data_Nhập[Month]=CS$2)*(Data_Nhập[Main SKU name_GOM]=$A10)*(Data_Nhập[SKU name_NHẬP_GOM]=CS$3)))</f>
        <v>0</v>
      </c>
      <c r="CT10" s="24" cm="1">
        <f t="array" ref="CT10">IF(CT$2="FY",SUMPRODUCT(Data_Nhập[Tổng Nhập-NX]*(Data_Nhập[Year]=CT$1)*(Data_Nhập[Main SKU name_GOM]=$A10)*(Data_Nhập[SKU name_NHẬP_GOM]=CT$3)),SUMPRODUCT(Data_Nhập[Tổng Nhập-NX]*(Data_Nhập[Year]=CT$1)*(Data_Nhập[Month]=CT$2)*(Data_Nhập[Main SKU name_GOM]=$A10)*(Data_Nhập[SKU name_NHẬP_GOM]=CT$3)))</f>
        <v>0</v>
      </c>
      <c r="CU10" s="24" cm="1">
        <f t="array" ref="CU10">IF(CU$2="FY",SUMPRODUCT(Data_Nhập[Tổng Nhập-NX]*(Data_Nhập[Year]=CU$1)*(Data_Nhập[Main SKU name_GOM]=$A10)*(Data_Nhập[SKU name_NHẬP_GOM]=CU$3)),SUMPRODUCT(Data_Nhập[Tổng Nhập-NX]*(Data_Nhập[Year]=CU$1)*(Data_Nhập[Month]=CU$2)*(Data_Nhập[Main SKU name_GOM]=$A10)*(Data_Nhập[SKU name_NHẬP_GOM]=CU$3)))</f>
        <v>0</v>
      </c>
      <c r="CV10" s="24" cm="1">
        <f t="array" ref="CV10">IF(CV$2="FY",SUMPRODUCT(Data_Nhập[Tổng Nhập-NX]*(Data_Nhập[Year]=CV$1)*(Data_Nhập[Main SKU name_GOM]=$A10)*(Data_Nhập[SKU name_NHẬP_GOM]=CV$3)),SUMPRODUCT(Data_Nhập[Tổng Nhập-NX]*(Data_Nhập[Year]=CV$1)*(Data_Nhập[Month]=CV$2)*(Data_Nhập[Main SKU name_GOM]=$A10)*(Data_Nhập[SKU name_NHẬP_GOM]=CV$3)))</f>
        <v>0</v>
      </c>
      <c r="CW10" s="24" cm="1">
        <f t="array" ref="CW10">IF(CW$2="FY",SUMPRODUCT(Data_Nhập[Tổng Nhập-NX]*(Data_Nhập[Year]=CW$1)*(Data_Nhập[Main SKU name_GOM]=$A10)*(Data_Nhập[SKU name_NHẬP_GOM]=CW$3)),SUMPRODUCT(Data_Nhập[Tổng Nhập-NX]*(Data_Nhập[Year]=CW$1)*(Data_Nhập[Month]=CW$2)*(Data_Nhập[Main SKU name_GOM]=$A10)*(Data_Nhập[SKU name_NHẬP_GOM]=CW$3)))</f>
        <v>0</v>
      </c>
      <c r="CX10" s="24" cm="1">
        <f t="array" ref="CX10">IF(CX$2="FY",SUMPRODUCT(Data_Nhập[Tổng Nhập-NX]*(Data_Nhập[Year]=CX$1)*(Data_Nhập[Main SKU name_GOM]=$A10)*(Data_Nhập[SKU name_NHẬP_GOM]=CX$3)),SUMPRODUCT(Data_Nhập[Tổng Nhập-NX]*(Data_Nhập[Year]=CX$1)*(Data_Nhập[Month]=CX$2)*(Data_Nhập[Main SKU name_GOM]=$A10)*(Data_Nhập[SKU name_NHẬP_GOM]=CX$3)))</f>
        <v>0</v>
      </c>
      <c r="CY10" s="24" cm="1">
        <f t="array" ref="CY10">IF(CY$2="FY",SUMPRODUCT(Data_Nhập[Tổng Nhập-NX]*(Data_Nhập[Year]=CY$1)*(Data_Nhập[Main SKU name_GOM]=$A10)*(Data_Nhập[SKU name_NHẬP_GOM]=CY$3)),SUMPRODUCT(Data_Nhập[Tổng Nhập-NX]*(Data_Nhập[Year]=CY$1)*(Data_Nhập[Month]=CY$2)*(Data_Nhập[Main SKU name_GOM]=$A10)*(Data_Nhập[SKU name_NHẬP_GOM]=CY$3)))</f>
        <v>0</v>
      </c>
      <c r="CZ10" s="24" cm="1">
        <f t="array" ref="CZ10">IF(CZ$2="FY",SUMPRODUCT(Data_Nhập[Tổng Nhập-NX]*(Data_Nhập[Year]=CZ$1)*(Data_Nhập[Main SKU name_GOM]=$A10)*(Data_Nhập[SKU name_NHẬP_GOM]=CZ$3)),SUMPRODUCT(Data_Nhập[Tổng Nhập-NX]*(Data_Nhập[Year]=CZ$1)*(Data_Nhập[Month]=CZ$2)*(Data_Nhập[Main SKU name_GOM]=$A10)*(Data_Nhập[SKU name_NHẬP_GOM]=CZ$3)))</f>
        <v>0</v>
      </c>
      <c r="DA10" s="24" cm="1">
        <f t="array" ref="DA10">IF(DA$2="FY",SUMPRODUCT(Data_Nhập[Tổng Nhập-NX]*(Data_Nhập[Year]=DA$1)*(Data_Nhập[Main SKU name_GOM]=$A10)*(Data_Nhập[SKU name_NHẬP_GOM]=DA$3)),SUMPRODUCT(Data_Nhập[Tổng Nhập-NX]*(Data_Nhập[Year]=DA$1)*(Data_Nhập[Month]=DA$2)*(Data_Nhập[Main SKU name_GOM]=$A10)*(Data_Nhập[SKU name_NHẬP_GOM]=DA$3)))</f>
        <v>0</v>
      </c>
      <c r="DB10" s="24" cm="1">
        <f t="array" ref="DB10">IF(DB$2="FY",SUMPRODUCT(Data_Nhập[Tổng Nhập-NX]*(Data_Nhập[Year]=DB$1)*(Data_Nhập[Main SKU name_GOM]=$A10)*(Data_Nhập[SKU name_NHẬP_GOM]=DB$3)),SUMPRODUCT(Data_Nhập[Tổng Nhập-NX]*(Data_Nhập[Year]=DB$1)*(Data_Nhập[Month]=DB$2)*(Data_Nhập[Main SKU name_GOM]=$A10)*(Data_Nhập[SKU name_NHẬP_GOM]=DB$3)))</f>
        <v>0</v>
      </c>
      <c r="DC10" s="24" cm="1">
        <f t="array" ref="DC10">IF(DC$2="FY",SUMPRODUCT(Data_Nhập[Tổng Nhập-NX]*(Data_Nhập[Year]=DC$1)*(Data_Nhập[Main SKU name_GOM]=$A10)*(Data_Nhập[SKU name_NHẬP_GOM]=DC$3)),SUMPRODUCT(Data_Nhập[Tổng Nhập-NX]*(Data_Nhập[Year]=DC$1)*(Data_Nhập[Month]=DC$2)*(Data_Nhập[Main SKU name_GOM]=$A10)*(Data_Nhập[SKU name_NHẬP_GOM]=DC$3)))</f>
        <v>0</v>
      </c>
      <c r="DD10" s="24" cm="1">
        <f t="array" ref="DD10">IF(DD$2="FY",SUMPRODUCT(Data_Nhập[Tổng Nhập-NX]*(Data_Nhập[Year]=DD$1)*(Data_Nhập[Main SKU name_GOM]=$A10)*(Data_Nhập[SKU name_NHẬP_GOM]=DD$3)),SUMPRODUCT(Data_Nhập[Tổng Nhập-NX]*(Data_Nhập[Year]=DD$1)*(Data_Nhập[Month]=DD$2)*(Data_Nhập[Main SKU name_GOM]=$A10)*(Data_Nhập[SKU name_NHẬP_GOM]=DD$3)))</f>
        <v>0</v>
      </c>
      <c r="DE10" s="24" cm="1">
        <f t="array" ref="DE10">IF(DE$2="FY",SUMPRODUCT(Data_Nhập[Tổng Nhập-NX]*(Data_Nhập[Year]=DE$1)*(Data_Nhập[Main SKU name_GOM]=$A10)*(Data_Nhập[SKU name_NHẬP_GOM]=DE$3)),SUMPRODUCT(Data_Nhập[Tổng Nhập-NX]*(Data_Nhập[Year]=DE$1)*(Data_Nhập[Month]=DE$2)*(Data_Nhập[Main SKU name_GOM]=$A10)*(Data_Nhập[SKU name_NHẬP_GOM]=DE$3)))</f>
        <v>0</v>
      </c>
      <c r="DF10" s="25">
        <f t="shared" si="17"/>
        <v>0</v>
      </c>
      <c r="DH10" s="25" cm="1">
        <f t="array" ref="DH10">IF(DH$2="FY",SUMPRODUCT(Data_Xuất[Xuất-NX]*(Data_Xuất[Year]=DH$1)*(Data_Xuất[Main SKU name_GOM]=$A10)),SUMPRODUCT(Data_Xuất[Xuất-NX]*(Data_Xuất[Year]=DH$1)*(Data_Xuất[Main SKU name_GOM]=$A10)*(Data_Xuất[Month]=DH$2)))</f>
        <v>0</v>
      </c>
      <c r="DI10" s="24" cm="1">
        <f t="array" ref="DI10">IF(DI$2="FY",SUMPRODUCT(Data_Nhập[Tổng Nhập-NX]*(Data_Nhập[Year]=DI$1)*(Data_Nhập[Main SKU name_GOM]=$A10)*(Data_Nhập[SKU name_NHẬP_GOM]=DI$3)),SUMPRODUCT(Data_Nhập[Tổng Nhập-NX]*(Data_Nhập[Year]=DI$1)*(Data_Nhập[Month]=DI$2)*(Data_Nhập[Main SKU name_GOM]=$A10)*(Data_Nhập[SKU name_NHẬP_GOM]=DI$3)))</f>
        <v>0</v>
      </c>
      <c r="DJ10" s="24" cm="1">
        <f t="array" ref="DJ10">IF(DJ$2="FY",SUMPRODUCT(Data_Nhập[Tổng Nhập-NX]*(Data_Nhập[Year]=DJ$1)*(Data_Nhập[Main SKU name_GOM]=$A10)*(Data_Nhập[SKU name_NHẬP_GOM]=DJ$3)),SUMPRODUCT(Data_Nhập[Tổng Nhập-NX]*(Data_Nhập[Year]=DJ$1)*(Data_Nhập[Month]=DJ$2)*(Data_Nhập[Main SKU name_GOM]=$A10)*(Data_Nhập[SKU name_NHẬP_GOM]=DJ$3)))</f>
        <v>0</v>
      </c>
      <c r="DK10" s="24" cm="1">
        <f t="array" ref="DK10">IF(DK$2="FY",SUMPRODUCT(Data_Nhập[Tổng Nhập-NX]*(Data_Nhập[Year]=DK$1)*(Data_Nhập[Main SKU name_GOM]=$A10)*(Data_Nhập[SKU name_NHẬP_GOM]=DK$3)),SUMPRODUCT(Data_Nhập[Tổng Nhập-NX]*(Data_Nhập[Year]=DK$1)*(Data_Nhập[Month]=DK$2)*(Data_Nhập[Main SKU name_GOM]=$A10)*(Data_Nhập[SKU name_NHẬP_GOM]=DK$3)))</f>
        <v>0</v>
      </c>
      <c r="DL10" s="24" cm="1">
        <f t="array" ref="DL10">IF(DL$2="FY",SUMPRODUCT(Data_Nhập[Tổng Nhập-NX]*(Data_Nhập[Year]=DL$1)*(Data_Nhập[Main SKU name_GOM]=$A10)*(Data_Nhập[SKU name_NHẬP_GOM]=DL$3)),SUMPRODUCT(Data_Nhập[Tổng Nhập-NX]*(Data_Nhập[Year]=DL$1)*(Data_Nhập[Month]=DL$2)*(Data_Nhập[Main SKU name_GOM]=$A10)*(Data_Nhập[SKU name_NHẬP_GOM]=DL$3)))</f>
        <v>0</v>
      </c>
      <c r="DM10" s="24" cm="1">
        <f t="array" ref="DM10">IF(DM$2="FY",SUMPRODUCT(Data_Nhập[Tổng Nhập-NX]*(Data_Nhập[Year]=DM$1)*(Data_Nhập[Main SKU name_GOM]=$A10)*(Data_Nhập[SKU name_NHẬP_GOM]=DM$3)),SUMPRODUCT(Data_Nhập[Tổng Nhập-NX]*(Data_Nhập[Year]=DM$1)*(Data_Nhập[Month]=DM$2)*(Data_Nhập[Main SKU name_GOM]=$A10)*(Data_Nhập[SKU name_NHẬP_GOM]=DM$3)))</f>
        <v>0</v>
      </c>
      <c r="DN10" s="24" cm="1">
        <f t="array" ref="DN10">IF(DN$2="FY",SUMPRODUCT(Data_Nhập[Tổng Nhập-NX]*(Data_Nhập[Year]=DN$1)*(Data_Nhập[Main SKU name_GOM]=$A10)*(Data_Nhập[SKU name_NHẬP_GOM]=DN$3)),SUMPRODUCT(Data_Nhập[Tổng Nhập-NX]*(Data_Nhập[Year]=DN$1)*(Data_Nhập[Month]=DN$2)*(Data_Nhập[Main SKU name_GOM]=$A10)*(Data_Nhập[SKU name_NHẬP_GOM]=DN$3)))</f>
        <v>0</v>
      </c>
      <c r="DO10" s="24" cm="1">
        <f t="array" ref="DO10">IF(DO$2="FY",SUMPRODUCT(Data_Nhập[Tổng Nhập-NX]*(Data_Nhập[Year]=DO$1)*(Data_Nhập[Main SKU name_GOM]=$A10)*(Data_Nhập[SKU name_NHẬP_GOM]=DO$3)),SUMPRODUCT(Data_Nhập[Tổng Nhập-NX]*(Data_Nhập[Year]=DO$1)*(Data_Nhập[Month]=DO$2)*(Data_Nhập[Main SKU name_GOM]=$A10)*(Data_Nhập[SKU name_NHẬP_GOM]=DO$3)))</f>
        <v>0</v>
      </c>
      <c r="DP10" s="24" cm="1">
        <f t="array" ref="DP10">IF(DP$2="FY",SUMPRODUCT(Data_Nhập[Tổng Nhập-NX]*(Data_Nhập[Year]=DP$1)*(Data_Nhập[Main SKU name_GOM]=$A10)*(Data_Nhập[SKU name_NHẬP_GOM]=DP$3)),SUMPRODUCT(Data_Nhập[Tổng Nhập-NX]*(Data_Nhập[Year]=DP$1)*(Data_Nhập[Month]=DP$2)*(Data_Nhập[Main SKU name_GOM]=$A10)*(Data_Nhập[SKU name_NHẬP_GOM]=DP$3)))</f>
        <v>0</v>
      </c>
      <c r="DQ10" s="24" cm="1">
        <f t="array" ref="DQ10">IF(DQ$2="FY",SUMPRODUCT(Data_Nhập[Tổng Nhập-NX]*(Data_Nhập[Year]=DQ$1)*(Data_Nhập[Main SKU name_GOM]=$A10)*(Data_Nhập[SKU name_NHẬP_GOM]=DQ$3)),SUMPRODUCT(Data_Nhập[Tổng Nhập-NX]*(Data_Nhập[Year]=DQ$1)*(Data_Nhập[Month]=DQ$2)*(Data_Nhập[Main SKU name_GOM]=$A10)*(Data_Nhập[SKU name_NHẬP_GOM]=DQ$3)))</f>
        <v>0</v>
      </c>
      <c r="DR10" s="24" cm="1">
        <f t="array" ref="DR10">IF(DR$2="FY",SUMPRODUCT(Data_Nhập[Tổng Nhập-NX]*(Data_Nhập[Year]=DR$1)*(Data_Nhập[Main SKU name_GOM]=$A10)*(Data_Nhập[SKU name_NHẬP_GOM]=DR$3)),SUMPRODUCT(Data_Nhập[Tổng Nhập-NX]*(Data_Nhập[Year]=DR$1)*(Data_Nhập[Month]=DR$2)*(Data_Nhập[Main SKU name_GOM]=$A10)*(Data_Nhập[SKU name_NHẬP_GOM]=DR$3)))</f>
        <v>0</v>
      </c>
      <c r="DS10" s="24" cm="1">
        <f t="array" ref="DS10">IF(DS$2="FY",SUMPRODUCT(Data_Nhập[Tổng Nhập-NX]*(Data_Nhập[Year]=DS$1)*(Data_Nhập[Main SKU name_GOM]=$A10)*(Data_Nhập[SKU name_NHẬP_GOM]=DS$3)),SUMPRODUCT(Data_Nhập[Tổng Nhập-NX]*(Data_Nhập[Year]=DS$1)*(Data_Nhập[Month]=DS$2)*(Data_Nhập[Main SKU name_GOM]=$A10)*(Data_Nhập[SKU name_NHẬP_GOM]=DS$3)))</f>
        <v>0</v>
      </c>
      <c r="DT10" s="24" cm="1">
        <f t="array" ref="DT10">IF(DT$2="FY",SUMPRODUCT(Data_Nhập[Tổng Nhập-NX]*(Data_Nhập[Year]=DT$1)*(Data_Nhập[Main SKU name_GOM]=$A10)*(Data_Nhập[SKU name_NHẬP_GOM]=DT$3)),SUMPRODUCT(Data_Nhập[Tổng Nhập-NX]*(Data_Nhập[Year]=DT$1)*(Data_Nhập[Month]=DT$2)*(Data_Nhập[Main SKU name_GOM]=$A10)*(Data_Nhập[SKU name_NHẬP_GOM]=DT$3)))</f>
        <v>0</v>
      </c>
      <c r="DU10" s="24" cm="1">
        <f t="array" ref="DU10">IF(DU$2="FY",SUMPRODUCT(Data_Nhập[Tổng Nhập-NX]*(Data_Nhập[Year]=DU$1)*(Data_Nhập[Main SKU name_GOM]=$A10)*(Data_Nhập[SKU name_NHẬP_GOM]=DU$3)),SUMPRODUCT(Data_Nhập[Tổng Nhập-NX]*(Data_Nhập[Year]=DU$1)*(Data_Nhập[Month]=DU$2)*(Data_Nhập[Main SKU name_GOM]=$A10)*(Data_Nhập[SKU name_NHẬP_GOM]=DU$3)))</f>
        <v>0</v>
      </c>
      <c r="DV10" s="24" cm="1">
        <f t="array" ref="DV10">IF(DV$2="FY",SUMPRODUCT(Data_Nhập[Tổng Nhập-NX]*(Data_Nhập[Year]=DV$1)*(Data_Nhập[Main SKU name_GOM]=$A10)*(Data_Nhập[SKU name_NHẬP_GOM]=DV$3)),SUMPRODUCT(Data_Nhập[Tổng Nhập-NX]*(Data_Nhập[Year]=DV$1)*(Data_Nhập[Month]=DV$2)*(Data_Nhập[Main SKU name_GOM]=$A10)*(Data_Nhập[SKU name_NHẬP_GOM]=DV$3)))</f>
        <v>0</v>
      </c>
      <c r="DW10" s="24" cm="1">
        <f t="array" ref="DW10">IF(DW$2="FY",SUMPRODUCT(Data_Nhập[Tổng Nhập-NX]*(Data_Nhập[Year]=DW$1)*(Data_Nhập[Main SKU name_GOM]=$A10)*(Data_Nhập[SKU name_NHẬP_GOM]=DW$3)),SUMPRODUCT(Data_Nhập[Tổng Nhập-NX]*(Data_Nhập[Year]=DW$1)*(Data_Nhập[Month]=DW$2)*(Data_Nhập[Main SKU name_GOM]=$A10)*(Data_Nhập[SKU name_NHẬP_GOM]=DW$3)))</f>
        <v>0</v>
      </c>
      <c r="DX10" s="25">
        <f t="shared" si="18"/>
        <v>0</v>
      </c>
      <c r="DZ10" s="25" cm="1">
        <f t="array" ref="DZ10">IF(DZ$2="FY",SUMPRODUCT(Data_Xuất[Xuất-NX]*(Data_Xuất[Year]=DZ$1)*(Data_Xuất[Main SKU name_GOM]=$A10)),SUMPRODUCT(Data_Xuất[Xuất-NX]*(Data_Xuất[Year]=DZ$1)*(Data_Xuất[Main SKU name_GOM]=$A10)*(Data_Xuất[Month]=DZ$2)))</f>
        <v>0</v>
      </c>
      <c r="EA10" s="24" cm="1">
        <f t="array" ref="EA10">IF(EA$2="FY",SUMPRODUCT(Data_Nhập[Tổng Nhập-NX]*(Data_Nhập[Year]=EA$1)*(Data_Nhập[Main SKU name_GOM]=$A10)*(Data_Nhập[SKU name_NHẬP_GOM]=EA$3)),SUMPRODUCT(Data_Nhập[Tổng Nhập-NX]*(Data_Nhập[Year]=EA$1)*(Data_Nhập[Month]=EA$2)*(Data_Nhập[Main SKU name_GOM]=$A10)*(Data_Nhập[SKU name_NHẬP_GOM]=EA$3)))</f>
        <v>0</v>
      </c>
      <c r="EB10" s="24" cm="1">
        <f t="array" ref="EB10">IF(EB$2="FY",SUMPRODUCT(Data_Nhập[Tổng Nhập-NX]*(Data_Nhập[Year]=EB$1)*(Data_Nhập[Main SKU name_GOM]=$A10)*(Data_Nhập[SKU name_NHẬP_GOM]=EB$3)),SUMPRODUCT(Data_Nhập[Tổng Nhập-NX]*(Data_Nhập[Year]=EB$1)*(Data_Nhập[Month]=EB$2)*(Data_Nhập[Main SKU name_GOM]=$A10)*(Data_Nhập[SKU name_NHẬP_GOM]=EB$3)))</f>
        <v>0</v>
      </c>
      <c r="EC10" s="24" cm="1">
        <f t="array" ref="EC10">IF(EC$2="FY",SUMPRODUCT(Data_Nhập[Tổng Nhập-NX]*(Data_Nhập[Year]=EC$1)*(Data_Nhập[Main SKU name_GOM]=$A10)*(Data_Nhập[SKU name_NHẬP_GOM]=EC$3)),SUMPRODUCT(Data_Nhập[Tổng Nhập-NX]*(Data_Nhập[Year]=EC$1)*(Data_Nhập[Month]=EC$2)*(Data_Nhập[Main SKU name_GOM]=$A10)*(Data_Nhập[SKU name_NHẬP_GOM]=EC$3)))</f>
        <v>0</v>
      </c>
      <c r="ED10" s="24" cm="1">
        <f t="array" ref="ED10">IF(ED$2="FY",SUMPRODUCT(Data_Nhập[Tổng Nhập-NX]*(Data_Nhập[Year]=ED$1)*(Data_Nhập[Main SKU name_GOM]=$A10)*(Data_Nhập[SKU name_NHẬP_GOM]=ED$3)),SUMPRODUCT(Data_Nhập[Tổng Nhập-NX]*(Data_Nhập[Year]=ED$1)*(Data_Nhập[Month]=ED$2)*(Data_Nhập[Main SKU name_GOM]=$A10)*(Data_Nhập[SKU name_NHẬP_GOM]=ED$3)))</f>
        <v>0</v>
      </c>
      <c r="EE10" s="24" cm="1">
        <f t="array" ref="EE10">IF(EE$2="FY",SUMPRODUCT(Data_Nhập[Tổng Nhập-NX]*(Data_Nhập[Year]=EE$1)*(Data_Nhập[Main SKU name_GOM]=$A10)*(Data_Nhập[SKU name_NHẬP_GOM]=EE$3)),SUMPRODUCT(Data_Nhập[Tổng Nhập-NX]*(Data_Nhập[Year]=EE$1)*(Data_Nhập[Month]=EE$2)*(Data_Nhập[Main SKU name_GOM]=$A10)*(Data_Nhập[SKU name_NHẬP_GOM]=EE$3)))</f>
        <v>0</v>
      </c>
      <c r="EF10" s="24" cm="1">
        <f t="array" ref="EF10">IF(EF$2="FY",SUMPRODUCT(Data_Nhập[Tổng Nhập-NX]*(Data_Nhập[Year]=EF$1)*(Data_Nhập[Main SKU name_GOM]=$A10)*(Data_Nhập[SKU name_NHẬP_GOM]=EF$3)),SUMPRODUCT(Data_Nhập[Tổng Nhập-NX]*(Data_Nhập[Year]=EF$1)*(Data_Nhập[Month]=EF$2)*(Data_Nhập[Main SKU name_GOM]=$A10)*(Data_Nhập[SKU name_NHẬP_GOM]=EF$3)))</f>
        <v>0</v>
      </c>
      <c r="EG10" s="24" cm="1">
        <f t="array" ref="EG10">IF(EG$2="FY",SUMPRODUCT(Data_Nhập[Tổng Nhập-NX]*(Data_Nhập[Year]=EG$1)*(Data_Nhập[Main SKU name_GOM]=$A10)*(Data_Nhập[SKU name_NHẬP_GOM]=EG$3)),SUMPRODUCT(Data_Nhập[Tổng Nhập-NX]*(Data_Nhập[Year]=EG$1)*(Data_Nhập[Month]=EG$2)*(Data_Nhập[Main SKU name_GOM]=$A10)*(Data_Nhập[SKU name_NHẬP_GOM]=EG$3)))</f>
        <v>0</v>
      </c>
      <c r="EH10" s="24" cm="1">
        <f t="array" ref="EH10">IF(EH$2="FY",SUMPRODUCT(Data_Nhập[Tổng Nhập-NX]*(Data_Nhập[Year]=EH$1)*(Data_Nhập[Main SKU name_GOM]=$A10)*(Data_Nhập[SKU name_NHẬP_GOM]=EH$3)),SUMPRODUCT(Data_Nhập[Tổng Nhập-NX]*(Data_Nhập[Year]=EH$1)*(Data_Nhập[Month]=EH$2)*(Data_Nhập[Main SKU name_GOM]=$A10)*(Data_Nhập[SKU name_NHẬP_GOM]=EH$3)))</f>
        <v>0</v>
      </c>
      <c r="EI10" s="24" cm="1">
        <f t="array" ref="EI10">IF(EI$2="FY",SUMPRODUCT(Data_Nhập[Tổng Nhập-NX]*(Data_Nhập[Year]=EI$1)*(Data_Nhập[Main SKU name_GOM]=$A10)*(Data_Nhập[SKU name_NHẬP_GOM]=EI$3)),SUMPRODUCT(Data_Nhập[Tổng Nhập-NX]*(Data_Nhập[Year]=EI$1)*(Data_Nhập[Month]=EI$2)*(Data_Nhập[Main SKU name_GOM]=$A10)*(Data_Nhập[SKU name_NHẬP_GOM]=EI$3)))</f>
        <v>0</v>
      </c>
      <c r="EJ10" s="24" cm="1">
        <f t="array" ref="EJ10">IF(EJ$2="FY",SUMPRODUCT(Data_Nhập[Tổng Nhập-NX]*(Data_Nhập[Year]=EJ$1)*(Data_Nhập[Main SKU name_GOM]=$A10)*(Data_Nhập[SKU name_NHẬP_GOM]=EJ$3)),SUMPRODUCT(Data_Nhập[Tổng Nhập-NX]*(Data_Nhập[Year]=EJ$1)*(Data_Nhập[Month]=EJ$2)*(Data_Nhập[Main SKU name_GOM]=$A10)*(Data_Nhập[SKU name_NHẬP_GOM]=EJ$3)))</f>
        <v>0</v>
      </c>
      <c r="EK10" s="24" cm="1">
        <f t="array" ref="EK10">IF(EK$2="FY",SUMPRODUCT(Data_Nhập[Tổng Nhập-NX]*(Data_Nhập[Year]=EK$1)*(Data_Nhập[Main SKU name_GOM]=$A10)*(Data_Nhập[SKU name_NHẬP_GOM]=EK$3)),SUMPRODUCT(Data_Nhập[Tổng Nhập-NX]*(Data_Nhập[Year]=EK$1)*(Data_Nhập[Month]=EK$2)*(Data_Nhập[Main SKU name_GOM]=$A10)*(Data_Nhập[SKU name_NHẬP_GOM]=EK$3)))</f>
        <v>0</v>
      </c>
      <c r="EL10" s="24" cm="1">
        <f t="array" ref="EL10">IF(EL$2="FY",SUMPRODUCT(Data_Nhập[Tổng Nhập-NX]*(Data_Nhập[Year]=EL$1)*(Data_Nhập[Main SKU name_GOM]=$A10)*(Data_Nhập[SKU name_NHẬP_GOM]=EL$3)),SUMPRODUCT(Data_Nhập[Tổng Nhập-NX]*(Data_Nhập[Year]=EL$1)*(Data_Nhập[Month]=EL$2)*(Data_Nhập[Main SKU name_GOM]=$A10)*(Data_Nhập[SKU name_NHẬP_GOM]=EL$3)))</f>
        <v>0</v>
      </c>
      <c r="EM10" s="24" cm="1">
        <f t="array" ref="EM10">IF(EM$2="FY",SUMPRODUCT(Data_Nhập[Tổng Nhập-NX]*(Data_Nhập[Year]=EM$1)*(Data_Nhập[Main SKU name_GOM]=$A10)*(Data_Nhập[SKU name_NHẬP_GOM]=EM$3)),SUMPRODUCT(Data_Nhập[Tổng Nhập-NX]*(Data_Nhập[Year]=EM$1)*(Data_Nhập[Month]=EM$2)*(Data_Nhập[Main SKU name_GOM]=$A10)*(Data_Nhập[SKU name_NHẬP_GOM]=EM$3)))</f>
        <v>0</v>
      </c>
      <c r="EN10" s="24" cm="1">
        <f t="array" ref="EN10">IF(EN$2="FY",SUMPRODUCT(Data_Nhập[Tổng Nhập-NX]*(Data_Nhập[Year]=EN$1)*(Data_Nhập[Main SKU name_GOM]=$A10)*(Data_Nhập[SKU name_NHẬP_GOM]=EN$3)),SUMPRODUCT(Data_Nhập[Tổng Nhập-NX]*(Data_Nhập[Year]=EN$1)*(Data_Nhập[Month]=EN$2)*(Data_Nhập[Main SKU name_GOM]=$A10)*(Data_Nhập[SKU name_NHẬP_GOM]=EN$3)))</f>
        <v>0</v>
      </c>
      <c r="EO10" s="24" cm="1">
        <f t="array" ref="EO10">IF(EO$2="FY",SUMPRODUCT(Data_Nhập[Tổng Nhập-NX]*(Data_Nhập[Year]=EO$1)*(Data_Nhập[Main SKU name_GOM]=$A10)*(Data_Nhập[SKU name_NHẬP_GOM]=EO$3)),SUMPRODUCT(Data_Nhập[Tổng Nhập-NX]*(Data_Nhập[Year]=EO$1)*(Data_Nhập[Month]=EO$2)*(Data_Nhập[Main SKU name_GOM]=$A10)*(Data_Nhập[SKU name_NHẬP_GOM]=EO$3)))</f>
        <v>0</v>
      </c>
      <c r="EP10" s="25">
        <f t="shared" si="19"/>
        <v>0</v>
      </c>
      <c r="ER10" s="25" cm="1">
        <f t="array" ref="ER10">IF(ER$2="FY",SUMPRODUCT(Data_Xuất[Xuất-NX]*(Data_Xuất[Year]=ER$1)*(Data_Xuất[Main SKU name_GOM]=$A10)),SUMPRODUCT(Data_Xuất[Xuất-NX]*(Data_Xuất[Year]=ER$1)*(Data_Xuất[Main SKU name_GOM]=$A10)*(Data_Xuất[Month]=ER$2)))</f>
        <v>0</v>
      </c>
      <c r="ES10" s="24" cm="1">
        <f t="array" ref="ES10">IF(ES$2="FY",SUMPRODUCT(Data_Nhập[Tổng Nhập-NX]*(Data_Nhập[Year]=ES$1)*(Data_Nhập[Main SKU name_GOM]=$A10)*(Data_Nhập[SKU name_NHẬP_GOM]=ES$3)),SUMPRODUCT(Data_Nhập[Tổng Nhập-NX]*(Data_Nhập[Year]=ES$1)*(Data_Nhập[Month]=ES$2)*(Data_Nhập[Main SKU name_GOM]=$A10)*(Data_Nhập[SKU name_NHẬP_GOM]=ES$3)))</f>
        <v>0</v>
      </c>
      <c r="ET10" s="24" cm="1">
        <f t="array" ref="ET10">IF(ET$2="FY",SUMPRODUCT(Data_Nhập[Tổng Nhập-NX]*(Data_Nhập[Year]=ET$1)*(Data_Nhập[Main SKU name_GOM]=$A10)*(Data_Nhập[SKU name_NHẬP_GOM]=ET$3)),SUMPRODUCT(Data_Nhập[Tổng Nhập-NX]*(Data_Nhập[Year]=ET$1)*(Data_Nhập[Month]=ET$2)*(Data_Nhập[Main SKU name_GOM]=$A10)*(Data_Nhập[SKU name_NHẬP_GOM]=ET$3)))</f>
        <v>0</v>
      </c>
      <c r="EU10" s="24" cm="1">
        <f t="array" ref="EU10">IF(EU$2="FY",SUMPRODUCT(Data_Nhập[Tổng Nhập-NX]*(Data_Nhập[Year]=EU$1)*(Data_Nhập[Main SKU name_GOM]=$A10)*(Data_Nhập[SKU name_NHẬP_GOM]=EU$3)),SUMPRODUCT(Data_Nhập[Tổng Nhập-NX]*(Data_Nhập[Year]=EU$1)*(Data_Nhập[Month]=EU$2)*(Data_Nhập[Main SKU name_GOM]=$A10)*(Data_Nhập[SKU name_NHẬP_GOM]=EU$3)))</f>
        <v>0</v>
      </c>
      <c r="EV10" s="24" cm="1">
        <f t="array" ref="EV10">IF(EV$2="FY",SUMPRODUCT(Data_Nhập[Tổng Nhập-NX]*(Data_Nhập[Year]=EV$1)*(Data_Nhập[Main SKU name_GOM]=$A10)*(Data_Nhập[SKU name_NHẬP_GOM]=EV$3)),SUMPRODUCT(Data_Nhập[Tổng Nhập-NX]*(Data_Nhập[Year]=EV$1)*(Data_Nhập[Month]=EV$2)*(Data_Nhập[Main SKU name_GOM]=$A10)*(Data_Nhập[SKU name_NHẬP_GOM]=EV$3)))</f>
        <v>0</v>
      </c>
      <c r="EW10" s="24" cm="1">
        <f t="array" ref="EW10">IF(EW$2="FY",SUMPRODUCT(Data_Nhập[Tổng Nhập-NX]*(Data_Nhập[Year]=EW$1)*(Data_Nhập[Main SKU name_GOM]=$A10)*(Data_Nhập[SKU name_NHẬP_GOM]=EW$3)),SUMPRODUCT(Data_Nhập[Tổng Nhập-NX]*(Data_Nhập[Year]=EW$1)*(Data_Nhập[Month]=EW$2)*(Data_Nhập[Main SKU name_GOM]=$A10)*(Data_Nhập[SKU name_NHẬP_GOM]=EW$3)))</f>
        <v>0</v>
      </c>
      <c r="EX10" s="24" cm="1">
        <f t="array" ref="EX10">IF(EX$2="FY",SUMPRODUCT(Data_Nhập[Tổng Nhập-NX]*(Data_Nhập[Year]=EX$1)*(Data_Nhập[Main SKU name_GOM]=$A10)*(Data_Nhập[SKU name_NHẬP_GOM]=EX$3)),SUMPRODUCT(Data_Nhập[Tổng Nhập-NX]*(Data_Nhập[Year]=EX$1)*(Data_Nhập[Month]=EX$2)*(Data_Nhập[Main SKU name_GOM]=$A10)*(Data_Nhập[SKU name_NHẬP_GOM]=EX$3)))</f>
        <v>0</v>
      </c>
      <c r="EY10" s="24" cm="1">
        <f t="array" ref="EY10">IF(EY$2="FY",SUMPRODUCT(Data_Nhập[Tổng Nhập-NX]*(Data_Nhập[Year]=EY$1)*(Data_Nhập[Main SKU name_GOM]=$A10)*(Data_Nhập[SKU name_NHẬP_GOM]=EY$3)),SUMPRODUCT(Data_Nhập[Tổng Nhập-NX]*(Data_Nhập[Year]=EY$1)*(Data_Nhập[Month]=EY$2)*(Data_Nhập[Main SKU name_GOM]=$A10)*(Data_Nhập[SKU name_NHẬP_GOM]=EY$3)))</f>
        <v>0</v>
      </c>
      <c r="EZ10" s="24" cm="1">
        <f t="array" ref="EZ10">IF(EZ$2="FY",SUMPRODUCT(Data_Nhập[Tổng Nhập-NX]*(Data_Nhập[Year]=EZ$1)*(Data_Nhập[Main SKU name_GOM]=$A10)*(Data_Nhập[SKU name_NHẬP_GOM]=EZ$3)),SUMPRODUCT(Data_Nhập[Tổng Nhập-NX]*(Data_Nhập[Year]=EZ$1)*(Data_Nhập[Month]=EZ$2)*(Data_Nhập[Main SKU name_GOM]=$A10)*(Data_Nhập[SKU name_NHẬP_GOM]=EZ$3)))</f>
        <v>0</v>
      </c>
      <c r="FA10" s="24" cm="1">
        <f t="array" ref="FA10">IF(FA$2="FY",SUMPRODUCT(Data_Nhập[Tổng Nhập-NX]*(Data_Nhập[Year]=FA$1)*(Data_Nhập[Main SKU name_GOM]=$A10)*(Data_Nhập[SKU name_NHẬP_GOM]=FA$3)),SUMPRODUCT(Data_Nhập[Tổng Nhập-NX]*(Data_Nhập[Year]=FA$1)*(Data_Nhập[Month]=FA$2)*(Data_Nhập[Main SKU name_GOM]=$A10)*(Data_Nhập[SKU name_NHẬP_GOM]=FA$3)))</f>
        <v>0</v>
      </c>
      <c r="FB10" s="24" cm="1">
        <f t="array" ref="FB10">IF(FB$2="FY",SUMPRODUCT(Data_Nhập[Tổng Nhập-NX]*(Data_Nhập[Year]=FB$1)*(Data_Nhập[Main SKU name_GOM]=$A10)*(Data_Nhập[SKU name_NHẬP_GOM]=FB$3)),SUMPRODUCT(Data_Nhập[Tổng Nhập-NX]*(Data_Nhập[Year]=FB$1)*(Data_Nhập[Month]=FB$2)*(Data_Nhập[Main SKU name_GOM]=$A10)*(Data_Nhập[SKU name_NHẬP_GOM]=FB$3)))</f>
        <v>0</v>
      </c>
      <c r="FC10" s="24" cm="1">
        <f t="array" ref="FC10">IF(FC$2="FY",SUMPRODUCT(Data_Nhập[Tổng Nhập-NX]*(Data_Nhập[Year]=FC$1)*(Data_Nhập[Main SKU name_GOM]=$A10)*(Data_Nhập[SKU name_NHẬP_GOM]=FC$3)),SUMPRODUCT(Data_Nhập[Tổng Nhập-NX]*(Data_Nhập[Year]=FC$1)*(Data_Nhập[Month]=FC$2)*(Data_Nhập[Main SKU name_GOM]=$A10)*(Data_Nhập[SKU name_NHẬP_GOM]=FC$3)))</f>
        <v>0</v>
      </c>
      <c r="FD10" s="24" cm="1">
        <f t="array" ref="FD10">IF(FD$2="FY",SUMPRODUCT(Data_Nhập[Tổng Nhập-NX]*(Data_Nhập[Year]=FD$1)*(Data_Nhập[Main SKU name_GOM]=$A10)*(Data_Nhập[SKU name_NHẬP_GOM]=FD$3)),SUMPRODUCT(Data_Nhập[Tổng Nhập-NX]*(Data_Nhập[Year]=FD$1)*(Data_Nhập[Month]=FD$2)*(Data_Nhập[Main SKU name_GOM]=$A10)*(Data_Nhập[SKU name_NHẬP_GOM]=FD$3)))</f>
        <v>0</v>
      </c>
      <c r="FE10" s="24" cm="1">
        <f t="array" ref="FE10">IF(FE$2="FY",SUMPRODUCT(Data_Nhập[Tổng Nhập-NX]*(Data_Nhập[Year]=FE$1)*(Data_Nhập[Main SKU name_GOM]=$A10)*(Data_Nhập[SKU name_NHẬP_GOM]=FE$3)),SUMPRODUCT(Data_Nhập[Tổng Nhập-NX]*(Data_Nhập[Year]=FE$1)*(Data_Nhập[Month]=FE$2)*(Data_Nhập[Main SKU name_GOM]=$A10)*(Data_Nhập[SKU name_NHẬP_GOM]=FE$3)))</f>
        <v>0</v>
      </c>
      <c r="FF10" s="24" cm="1">
        <f t="array" ref="FF10">IF(FF$2="FY",SUMPRODUCT(Data_Nhập[Tổng Nhập-NX]*(Data_Nhập[Year]=FF$1)*(Data_Nhập[Main SKU name_GOM]=$A10)*(Data_Nhập[SKU name_NHẬP_GOM]=FF$3)),SUMPRODUCT(Data_Nhập[Tổng Nhập-NX]*(Data_Nhập[Year]=FF$1)*(Data_Nhập[Month]=FF$2)*(Data_Nhập[Main SKU name_GOM]=$A10)*(Data_Nhập[SKU name_NHẬP_GOM]=FF$3)))</f>
        <v>0</v>
      </c>
      <c r="FG10" s="24" cm="1">
        <f t="array" ref="FG10">IF(FG$2="FY",SUMPRODUCT(Data_Nhập[Tổng Nhập-NX]*(Data_Nhập[Year]=FG$1)*(Data_Nhập[Main SKU name_GOM]=$A10)*(Data_Nhập[SKU name_NHẬP_GOM]=FG$3)),SUMPRODUCT(Data_Nhập[Tổng Nhập-NX]*(Data_Nhập[Year]=FG$1)*(Data_Nhập[Month]=FG$2)*(Data_Nhập[Main SKU name_GOM]=$A10)*(Data_Nhập[SKU name_NHẬP_GOM]=FG$3)))</f>
        <v>0</v>
      </c>
      <c r="FH10" s="25">
        <f t="shared" si="20"/>
        <v>0</v>
      </c>
      <c r="FJ10" s="25" cm="1">
        <f t="array" ref="FJ10">IF(FJ$2="FY",SUMPRODUCT(Data_Xuất[Xuất-NX]*(Data_Xuất[Year]=FJ$1)*(Data_Xuất[Main SKU name_GOM]=$A10)),SUMPRODUCT(Data_Xuất[Xuất-NX]*(Data_Xuất[Year]=FJ$1)*(Data_Xuất[Main SKU name_GOM]=$A10)*(Data_Xuất[Month]=FJ$2)))</f>
        <v>0</v>
      </c>
      <c r="FK10" s="24" cm="1">
        <f t="array" ref="FK10">IF(FK$2="FY",SUMPRODUCT(Data_Nhập[Tổng Nhập-NX]*(Data_Nhập[Year]=FK$1)*(Data_Nhập[Main SKU name_GOM]=$A10)*(Data_Nhập[SKU name_NHẬP_GOM]=FK$3)),SUMPRODUCT(Data_Nhập[Tổng Nhập-NX]*(Data_Nhập[Year]=FK$1)*(Data_Nhập[Month]=FK$2)*(Data_Nhập[Main SKU name_GOM]=$A10)*(Data_Nhập[SKU name_NHẬP_GOM]=FK$3)))</f>
        <v>0</v>
      </c>
      <c r="FL10" s="24" cm="1">
        <f t="array" ref="FL10">IF(FL$2="FY",SUMPRODUCT(Data_Nhập[Tổng Nhập-NX]*(Data_Nhập[Year]=FL$1)*(Data_Nhập[Main SKU name_GOM]=$A10)*(Data_Nhập[SKU name_NHẬP_GOM]=FL$3)),SUMPRODUCT(Data_Nhập[Tổng Nhập-NX]*(Data_Nhập[Year]=FL$1)*(Data_Nhập[Month]=FL$2)*(Data_Nhập[Main SKU name_GOM]=$A10)*(Data_Nhập[SKU name_NHẬP_GOM]=FL$3)))</f>
        <v>0</v>
      </c>
      <c r="FM10" s="24" cm="1">
        <f t="array" ref="FM10">IF(FM$2="FY",SUMPRODUCT(Data_Nhập[Tổng Nhập-NX]*(Data_Nhập[Year]=FM$1)*(Data_Nhập[Main SKU name_GOM]=$A10)*(Data_Nhập[SKU name_NHẬP_GOM]=FM$3)),SUMPRODUCT(Data_Nhập[Tổng Nhập-NX]*(Data_Nhập[Year]=FM$1)*(Data_Nhập[Month]=FM$2)*(Data_Nhập[Main SKU name_GOM]=$A10)*(Data_Nhập[SKU name_NHẬP_GOM]=FM$3)))</f>
        <v>0</v>
      </c>
      <c r="FN10" s="24" cm="1">
        <f t="array" ref="FN10">IF(FN$2="FY",SUMPRODUCT(Data_Nhập[Tổng Nhập-NX]*(Data_Nhập[Year]=FN$1)*(Data_Nhập[Main SKU name_GOM]=$A10)*(Data_Nhập[SKU name_NHẬP_GOM]=FN$3)),SUMPRODUCT(Data_Nhập[Tổng Nhập-NX]*(Data_Nhập[Year]=FN$1)*(Data_Nhập[Month]=FN$2)*(Data_Nhập[Main SKU name_GOM]=$A10)*(Data_Nhập[SKU name_NHẬP_GOM]=FN$3)))</f>
        <v>0</v>
      </c>
      <c r="FO10" s="24" cm="1">
        <f t="array" ref="FO10">IF(FO$2="FY",SUMPRODUCT(Data_Nhập[Tổng Nhập-NX]*(Data_Nhập[Year]=FO$1)*(Data_Nhập[Main SKU name_GOM]=$A10)*(Data_Nhập[SKU name_NHẬP_GOM]=FO$3)),SUMPRODUCT(Data_Nhập[Tổng Nhập-NX]*(Data_Nhập[Year]=FO$1)*(Data_Nhập[Month]=FO$2)*(Data_Nhập[Main SKU name_GOM]=$A10)*(Data_Nhập[SKU name_NHẬP_GOM]=FO$3)))</f>
        <v>0</v>
      </c>
      <c r="FP10" s="24" cm="1">
        <f t="array" ref="FP10">IF(FP$2="FY",SUMPRODUCT(Data_Nhập[Tổng Nhập-NX]*(Data_Nhập[Year]=FP$1)*(Data_Nhập[Main SKU name_GOM]=$A10)*(Data_Nhập[SKU name_NHẬP_GOM]=FP$3)),SUMPRODUCT(Data_Nhập[Tổng Nhập-NX]*(Data_Nhập[Year]=FP$1)*(Data_Nhập[Month]=FP$2)*(Data_Nhập[Main SKU name_GOM]=$A10)*(Data_Nhập[SKU name_NHẬP_GOM]=FP$3)))</f>
        <v>0</v>
      </c>
      <c r="FQ10" s="24" cm="1">
        <f t="array" ref="FQ10">IF(FQ$2="FY",SUMPRODUCT(Data_Nhập[Tổng Nhập-NX]*(Data_Nhập[Year]=FQ$1)*(Data_Nhập[Main SKU name_GOM]=$A10)*(Data_Nhập[SKU name_NHẬP_GOM]=FQ$3)),SUMPRODUCT(Data_Nhập[Tổng Nhập-NX]*(Data_Nhập[Year]=FQ$1)*(Data_Nhập[Month]=FQ$2)*(Data_Nhập[Main SKU name_GOM]=$A10)*(Data_Nhập[SKU name_NHẬP_GOM]=FQ$3)))</f>
        <v>0</v>
      </c>
      <c r="FR10" s="24" cm="1">
        <f t="array" ref="FR10">IF(FR$2="FY",SUMPRODUCT(Data_Nhập[Tổng Nhập-NX]*(Data_Nhập[Year]=FR$1)*(Data_Nhập[Main SKU name_GOM]=$A10)*(Data_Nhập[SKU name_NHẬP_GOM]=FR$3)),SUMPRODUCT(Data_Nhập[Tổng Nhập-NX]*(Data_Nhập[Year]=FR$1)*(Data_Nhập[Month]=FR$2)*(Data_Nhập[Main SKU name_GOM]=$A10)*(Data_Nhập[SKU name_NHẬP_GOM]=FR$3)))</f>
        <v>0</v>
      </c>
      <c r="FS10" s="24" cm="1">
        <f t="array" ref="FS10">IF(FS$2="FY",SUMPRODUCT(Data_Nhập[Tổng Nhập-NX]*(Data_Nhập[Year]=FS$1)*(Data_Nhập[Main SKU name_GOM]=$A10)*(Data_Nhập[SKU name_NHẬP_GOM]=FS$3)),SUMPRODUCT(Data_Nhập[Tổng Nhập-NX]*(Data_Nhập[Year]=FS$1)*(Data_Nhập[Month]=FS$2)*(Data_Nhập[Main SKU name_GOM]=$A10)*(Data_Nhập[SKU name_NHẬP_GOM]=FS$3)))</f>
        <v>0</v>
      </c>
      <c r="FT10" s="24" cm="1">
        <f t="array" ref="FT10">IF(FT$2="FY",SUMPRODUCT(Data_Nhập[Tổng Nhập-NX]*(Data_Nhập[Year]=FT$1)*(Data_Nhập[Main SKU name_GOM]=$A10)*(Data_Nhập[SKU name_NHẬP_GOM]=FT$3)),SUMPRODUCT(Data_Nhập[Tổng Nhập-NX]*(Data_Nhập[Year]=FT$1)*(Data_Nhập[Month]=FT$2)*(Data_Nhập[Main SKU name_GOM]=$A10)*(Data_Nhập[SKU name_NHẬP_GOM]=FT$3)))</f>
        <v>0</v>
      </c>
      <c r="FU10" s="24" cm="1">
        <f t="array" ref="FU10">IF(FU$2="FY",SUMPRODUCT(Data_Nhập[Tổng Nhập-NX]*(Data_Nhập[Year]=FU$1)*(Data_Nhập[Main SKU name_GOM]=$A10)*(Data_Nhập[SKU name_NHẬP_GOM]=FU$3)),SUMPRODUCT(Data_Nhập[Tổng Nhập-NX]*(Data_Nhập[Year]=FU$1)*(Data_Nhập[Month]=FU$2)*(Data_Nhập[Main SKU name_GOM]=$A10)*(Data_Nhập[SKU name_NHẬP_GOM]=FU$3)))</f>
        <v>0</v>
      </c>
      <c r="FV10" s="24" cm="1">
        <f t="array" ref="FV10">IF(FV$2="FY",SUMPRODUCT(Data_Nhập[Tổng Nhập-NX]*(Data_Nhập[Year]=FV$1)*(Data_Nhập[Main SKU name_GOM]=$A10)*(Data_Nhập[SKU name_NHẬP_GOM]=FV$3)),SUMPRODUCT(Data_Nhập[Tổng Nhập-NX]*(Data_Nhập[Year]=FV$1)*(Data_Nhập[Month]=FV$2)*(Data_Nhập[Main SKU name_GOM]=$A10)*(Data_Nhập[SKU name_NHẬP_GOM]=FV$3)))</f>
        <v>0</v>
      </c>
      <c r="FW10" s="24" cm="1">
        <f t="array" ref="FW10">IF(FW$2="FY",SUMPRODUCT(Data_Nhập[Tổng Nhập-NX]*(Data_Nhập[Year]=FW$1)*(Data_Nhập[Main SKU name_GOM]=$A10)*(Data_Nhập[SKU name_NHẬP_GOM]=FW$3)),SUMPRODUCT(Data_Nhập[Tổng Nhập-NX]*(Data_Nhập[Year]=FW$1)*(Data_Nhập[Month]=FW$2)*(Data_Nhập[Main SKU name_GOM]=$A10)*(Data_Nhập[SKU name_NHẬP_GOM]=FW$3)))</f>
        <v>0</v>
      </c>
      <c r="FX10" s="24" cm="1">
        <f t="array" ref="FX10">IF(FX$2="FY",SUMPRODUCT(Data_Nhập[Tổng Nhập-NX]*(Data_Nhập[Year]=FX$1)*(Data_Nhập[Main SKU name_GOM]=$A10)*(Data_Nhập[SKU name_NHẬP_GOM]=FX$3)),SUMPRODUCT(Data_Nhập[Tổng Nhập-NX]*(Data_Nhập[Year]=FX$1)*(Data_Nhập[Month]=FX$2)*(Data_Nhập[Main SKU name_GOM]=$A10)*(Data_Nhập[SKU name_NHẬP_GOM]=FX$3)))</f>
        <v>0</v>
      </c>
      <c r="FY10" s="24" cm="1">
        <f t="array" ref="FY10">IF(FY$2="FY",SUMPRODUCT(Data_Nhập[Tổng Nhập-NX]*(Data_Nhập[Year]=FY$1)*(Data_Nhập[Main SKU name_GOM]=$A10)*(Data_Nhập[SKU name_NHẬP_GOM]=FY$3)),SUMPRODUCT(Data_Nhập[Tổng Nhập-NX]*(Data_Nhập[Year]=FY$1)*(Data_Nhập[Month]=FY$2)*(Data_Nhập[Main SKU name_GOM]=$A10)*(Data_Nhập[SKU name_NHẬP_GOM]=FY$3)))</f>
        <v>0</v>
      </c>
      <c r="FZ10" s="25">
        <f t="shared" si="21"/>
        <v>0</v>
      </c>
      <c r="GB10" s="25" cm="1">
        <f t="array" ref="GB10">IF(GB$2="FY",SUMPRODUCT(Data_Xuất[Xuất-NX]*(Data_Xuất[Year]=GB$1)*(Data_Xuất[Main SKU name_GOM]=$A10)),SUMPRODUCT(Data_Xuất[Xuất-NX]*(Data_Xuất[Year]=GB$1)*(Data_Xuất[Main SKU name_GOM]=$A10)*(Data_Xuất[Month]=GB$2)))</f>
        <v>0</v>
      </c>
      <c r="GC10" s="24" cm="1">
        <f t="array" ref="GC10">IF(GC$2="FY",SUMPRODUCT(Data_Nhập[Tổng Nhập-NX]*(Data_Nhập[Year]=GC$1)*(Data_Nhập[Main SKU name_GOM]=$A10)*(Data_Nhập[SKU name_NHẬP_GOM]=GC$3)),SUMPRODUCT(Data_Nhập[Tổng Nhập-NX]*(Data_Nhập[Year]=GC$1)*(Data_Nhập[Month]=GC$2)*(Data_Nhập[Main SKU name_GOM]=$A10)*(Data_Nhập[SKU name_NHẬP_GOM]=GC$3)))</f>
        <v>0</v>
      </c>
      <c r="GD10" s="24" cm="1">
        <f t="array" ref="GD10">IF(GD$2="FY",SUMPRODUCT(Data_Nhập[Tổng Nhập-NX]*(Data_Nhập[Year]=GD$1)*(Data_Nhập[Main SKU name_GOM]=$A10)*(Data_Nhập[SKU name_NHẬP_GOM]=GD$3)),SUMPRODUCT(Data_Nhập[Tổng Nhập-NX]*(Data_Nhập[Year]=GD$1)*(Data_Nhập[Month]=GD$2)*(Data_Nhập[Main SKU name_GOM]=$A10)*(Data_Nhập[SKU name_NHẬP_GOM]=GD$3)))</f>
        <v>0</v>
      </c>
      <c r="GE10" s="24" cm="1">
        <f t="array" ref="GE10">IF(GE$2="FY",SUMPRODUCT(Data_Nhập[Tổng Nhập-NX]*(Data_Nhập[Year]=GE$1)*(Data_Nhập[Main SKU name_GOM]=$A10)*(Data_Nhập[SKU name_NHẬP_GOM]=GE$3)),SUMPRODUCT(Data_Nhập[Tổng Nhập-NX]*(Data_Nhập[Year]=GE$1)*(Data_Nhập[Month]=GE$2)*(Data_Nhập[Main SKU name_GOM]=$A10)*(Data_Nhập[SKU name_NHẬP_GOM]=GE$3)))</f>
        <v>0</v>
      </c>
      <c r="GF10" s="24" cm="1">
        <f t="array" ref="GF10">IF(GF$2="FY",SUMPRODUCT(Data_Nhập[Tổng Nhập-NX]*(Data_Nhập[Year]=GF$1)*(Data_Nhập[Main SKU name_GOM]=$A10)*(Data_Nhập[SKU name_NHẬP_GOM]=GF$3)),SUMPRODUCT(Data_Nhập[Tổng Nhập-NX]*(Data_Nhập[Year]=GF$1)*(Data_Nhập[Month]=GF$2)*(Data_Nhập[Main SKU name_GOM]=$A10)*(Data_Nhập[SKU name_NHẬP_GOM]=GF$3)))</f>
        <v>0</v>
      </c>
      <c r="GG10" s="24" cm="1">
        <f t="array" ref="GG10">IF(GG$2="FY",SUMPRODUCT(Data_Nhập[Tổng Nhập-NX]*(Data_Nhập[Year]=GG$1)*(Data_Nhập[Main SKU name_GOM]=$A10)*(Data_Nhập[SKU name_NHẬP_GOM]=GG$3)),SUMPRODUCT(Data_Nhập[Tổng Nhập-NX]*(Data_Nhập[Year]=GG$1)*(Data_Nhập[Month]=GG$2)*(Data_Nhập[Main SKU name_GOM]=$A10)*(Data_Nhập[SKU name_NHẬP_GOM]=GG$3)))</f>
        <v>0</v>
      </c>
      <c r="GH10" s="24" cm="1">
        <f t="array" ref="GH10">IF(GH$2="FY",SUMPRODUCT(Data_Nhập[Tổng Nhập-NX]*(Data_Nhập[Year]=GH$1)*(Data_Nhập[Main SKU name_GOM]=$A10)*(Data_Nhập[SKU name_NHẬP_GOM]=GH$3)),SUMPRODUCT(Data_Nhập[Tổng Nhập-NX]*(Data_Nhập[Year]=GH$1)*(Data_Nhập[Month]=GH$2)*(Data_Nhập[Main SKU name_GOM]=$A10)*(Data_Nhập[SKU name_NHẬP_GOM]=GH$3)))</f>
        <v>0</v>
      </c>
      <c r="GI10" s="24" cm="1">
        <f t="array" ref="GI10">IF(GI$2="FY",SUMPRODUCT(Data_Nhập[Tổng Nhập-NX]*(Data_Nhập[Year]=GI$1)*(Data_Nhập[Main SKU name_GOM]=$A10)*(Data_Nhập[SKU name_NHẬP_GOM]=GI$3)),SUMPRODUCT(Data_Nhập[Tổng Nhập-NX]*(Data_Nhập[Year]=GI$1)*(Data_Nhập[Month]=GI$2)*(Data_Nhập[Main SKU name_GOM]=$A10)*(Data_Nhập[SKU name_NHẬP_GOM]=GI$3)))</f>
        <v>0</v>
      </c>
      <c r="GJ10" s="24" cm="1">
        <f t="array" ref="GJ10">IF(GJ$2="FY",SUMPRODUCT(Data_Nhập[Tổng Nhập-NX]*(Data_Nhập[Year]=GJ$1)*(Data_Nhập[Main SKU name_GOM]=$A10)*(Data_Nhập[SKU name_NHẬP_GOM]=GJ$3)),SUMPRODUCT(Data_Nhập[Tổng Nhập-NX]*(Data_Nhập[Year]=GJ$1)*(Data_Nhập[Month]=GJ$2)*(Data_Nhập[Main SKU name_GOM]=$A10)*(Data_Nhập[SKU name_NHẬP_GOM]=GJ$3)))</f>
        <v>0</v>
      </c>
      <c r="GK10" s="24" cm="1">
        <f t="array" ref="GK10">IF(GK$2="FY",SUMPRODUCT(Data_Nhập[Tổng Nhập-NX]*(Data_Nhập[Year]=GK$1)*(Data_Nhập[Main SKU name_GOM]=$A10)*(Data_Nhập[SKU name_NHẬP_GOM]=GK$3)),SUMPRODUCT(Data_Nhập[Tổng Nhập-NX]*(Data_Nhập[Year]=GK$1)*(Data_Nhập[Month]=GK$2)*(Data_Nhập[Main SKU name_GOM]=$A10)*(Data_Nhập[SKU name_NHẬP_GOM]=GK$3)))</f>
        <v>0</v>
      </c>
      <c r="GL10" s="24" cm="1">
        <f t="array" ref="GL10">IF(GL$2="FY",SUMPRODUCT(Data_Nhập[Tổng Nhập-NX]*(Data_Nhập[Year]=GL$1)*(Data_Nhập[Main SKU name_GOM]=$A10)*(Data_Nhập[SKU name_NHẬP_GOM]=GL$3)),SUMPRODUCT(Data_Nhập[Tổng Nhập-NX]*(Data_Nhập[Year]=GL$1)*(Data_Nhập[Month]=GL$2)*(Data_Nhập[Main SKU name_GOM]=$A10)*(Data_Nhập[SKU name_NHẬP_GOM]=GL$3)))</f>
        <v>0</v>
      </c>
      <c r="GM10" s="24" cm="1">
        <f t="array" ref="GM10">IF(GM$2="FY",SUMPRODUCT(Data_Nhập[Tổng Nhập-NX]*(Data_Nhập[Year]=GM$1)*(Data_Nhập[Main SKU name_GOM]=$A10)*(Data_Nhập[SKU name_NHẬP_GOM]=GM$3)),SUMPRODUCT(Data_Nhập[Tổng Nhập-NX]*(Data_Nhập[Year]=GM$1)*(Data_Nhập[Month]=GM$2)*(Data_Nhập[Main SKU name_GOM]=$A10)*(Data_Nhập[SKU name_NHẬP_GOM]=GM$3)))</f>
        <v>0</v>
      </c>
      <c r="GN10" s="24" cm="1">
        <f t="array" ref="GN10">IF(GN$2="FY",SUMPRODUCT(Data_Nhập[Tổng Nhập-NX]*(Data_Nhập[Year]=GN$1)*(Data_Nhập[Main SKU name_GOM]=$A10)*(Data_Nhập[SKU name_NHẬP_GOM]=GN$3)),SUMPRODUCT(Data_Nhập[Tổng Nhập-NX]*(Data_Nhập[Year]=GN$1)*(Data_Nhập[Month]=GN$2)*(Data_Nhập[Main SKU name_GOM]=$A10)*(Data_Nhập[SKU name_NHẬP_GOM]=GN$3)))</f>
        <v>0</v>
      </c>
      <c r="GO10" s="24" cm="1">
        <f t="array" ref="GO10">IF(GO$2="FY",SUMPRODUCT(Data_Nhập[Tổng Nhập-NX]*(Data_Nhập[Year]=GO$1)*(Data_Nhập[Main SKU name_GOM]=$A10)*(Data_Nhập[SKU name_NHẬP_GOM]=GO$3)),SUMPRODUCT(Data_Nhập[Tổng Nhập-NX]*(Data_Nhập[Year]=GO$1)*(Data_Nhập[Month]=GO$2)*(Data_Nhập[Main SKU name_GOM]=$A10)*(Data_Nhập[SKU name_NHẬP_GOM]=GO$3)))</f>
        <v>0</v>
      </c>
      <c r="GP10" s="24" cm="1">
        <f t="array" ref="GP10">IF(GP$2="FY",SUMPRODUCT(Data_Nhập[Tổng Nhập-NX]*(Data_Nhập[Year]=GP$1)*(Data_Nhập[Main SKU name_GOM]=$A10)*(Data_Nhập[SKU name_NHẬP_GOM]=GP$3)),SUMPRODUCT(Data_Nhập[Tổng Nhập-NX]*(Data_Nhập[Year]=GP$1)*(Data_Nhập[Month]=GP$2)*(Data_Nhập[Main SKU name_GOM]=$A10)*(Data_Nhập[SKU name_NHẬP_GOM]=GP$3)))</f>
        <v>0</v>
      </c>
      <c r="GQ10" s="24" cm="1">
        <f t="array" ref="GQ10">IF(GQ$2="FY",SUMPRODUCT(Data_Nhập[Tổng Nhập-NX]*(Data_Nhập[Year]=GQ$1)*(Data_Nhập[Main SKU name_GOM]=$A10)*(Data_Nhập[SKU name_NHẬP_GOM]=GQ$3)),SUMPRODUCT(Data_Nhập[Tổng Nhập-NX]*(Data_Nhập[Year]=GQ$1)*(Data_Nhập[Month]=GQ$2)*(Data_Nhập[Main SKU name_GOM]=$A10)*(Data_Nhập[SKU name_NHẬP_GOM]=GQ$3)))</f>
        <v>0</v>
      </c>
      <c r="GR10" s="25">
        <f t="shared" si="22"/>
        <v>0</v>
      </c>
      <c r="GT10" s="25" cm="1">
        <f t="array" ref="GT10">IF(GT$2="FY",SUMPRODUCT(Data_Xuất[Xuất-NX]*(Data_Xuất[Year]=GT$1)*(Data_Xuất[Main SKU name_GOM]=$A10)),SUMPRODUCT(Data_Xuất[Xuất-NX]*(Data_Xuất[Year]=GT$1)*(Data_Xuất[Main SKU name_GOM]=$A10)*(Data_Xuất[Month]=GT$2)))</f>
        <v>7499.9999999999991</v>
      </c>
      <c r="GU10" s="24" cm="1">
        <f t="array" ref="GU10">IF(GU$2="FY",SUMPRODUCT(Data_Nhập[Tổng Nhập-NX]*(Data_Nhập[Year]=GU$1)*(Data_Nhập[Main SKU name_GOM]=$A10)*(Data_Nhập[SKU name_NHẬP_GOM]=GU$3)),SUMPRODUCT(Data_Nhập[Tổng Nhập-NX]*(Data_Nhập[Year]=GU$1)*(Data_Nhập[Month]=GU$2)*(Data_Nhập[Main SKU name_GOM]=$A10)*(Data_Nhập[SKU name_NHẬP_GOM]=GU$3)))</f>
        <v>0</v>
      </c>
      <c r="GV10" s="24" cm="1">
        <f t="array" ref="GV10">IF(GV$2="FY",SUMPRODUCT(Data_Nhập[Tổng Nhập-NX]*(Data_Nhập[Year]=GV$1)*(Data_Nhập[Main SKU name_GOM]=$A10)*(Data_Nhập[SKU name_NHẬP_GOM]=GV$3)),SUMPRODUCT(Data_Nhập[Tổng Nhập-NX]*(Data_Nhập[Year]=GV$1)*(Data_Nhập[Month]=GV$2)*(Data_Nhập[Main SKU name_GOM]=$A10)*(Data_Nhập[SKU name_NHẬP_GOM]=GV$3)))</f>
        <v>0</v>
      </c>
      <c r="GW10" s="24" cm="1">
        <f t="array" ref="GW10">IF(GW$2="FY",SUMPRODUCT(Data_Nhập[Tổng Nhập-NX]*(Data_Nhập[Year]=GW$1)*(Data_Nhập[Main SKU name_GOM]=$A10)*(Data_Nhập[SKU name_NHẬP_GOM]=GW$3)),SUMPRODUCT(Data_Nhập[Tổng Nhập-NX]*(Data_Nhập[Year]=GW$1)*(Data_Nhập[Month]=GW$2)*(Data_Nhập[Main SKU name_GOM]=$A10)*(Data_Nhập[SKU name_NHẬP_GOM]=GW$3)))</f>
        <v>0</v>
      </c>
      <c r="GX10" s="24" cm="1">
        <f t="array" ref="GX10">IF(GX$2="FY",SUMPRODUCT(Data_Nhập[Tổng Nhập-NX]*(Data_Nhập[Year]=GX$1)*(Data_Nhập[Main SKU name_GOM]=$A10)*(Data_Nhập[SKU name_NHẬP_GOM]=GX$3)),SUMPRODUCT(Data_Nhập[Tổng Nhập-NX]*(Data_Nhập[Year]=GX$1)*(Data_Nhập[Month]=GX$2)*(Data_Nhập[Main SKU name_GOM]=$A10)*(Data_Nhập[SKU name_NHẬP_GOM]=GX$3)))</f>
        <v>0</v>
      </c>
      <c r="GY10" s="24" cm="1">
        <f t="array" ref="GY10">IF(GY$2="FY",SUMPRODUCT(Data_Nhập[Tổng Nhập-NX]*(Data_Nhập[Year]=GY$1)*(Data_Nhập[Main SKU name_GOM]=$A10)*(Data_Nhập[SKU name_NHẬP_GOM]=GY$3)),SUMPRODUCT(Data_Nhập[Tổng Nhập-NX]*(Data_Nhập[Year]=GY$1)*(Data_Nhập[Month]=GY$2)*(Data_Nhập[Main SKU name_GOM]=$A10)*(Data_Nhập[SKU name_NHẬP_GOM]=GY$3)))</f>
        <v>0</v>
      </c>
      <c r="GZ10" s="24" cm="1">
        <f t="array" ref="GZ10">IF(GZ$2="FY",SUMPRODUCT(Data_Nhập[Tổng Nhập-NX]*(Data_Nhập[Year]=GZ$1)*(Data_Nhập[Main SKU name_GOM]=$A10)*(Data_Nhập[SKU name_NHẬP_GOM]=GZ$3)),SUMPRODUCT(Data_Nhập[Tổng Nhập-NX]*(Data_Nhập[Year]=GZ$1)*(Data_Nhập[Month]=GZ$2)*(Data_Nhập[Main SKU name_GOM]=$A10)*(Data_Nhập[SKU name_NHẬP_GOM]=GZ$3)))</f>
        <v>1850</v>
      </c>
      <c r="HA10" s="24" cm="1">
        <f t="array" ref="HA10">IF(HA$2="FY",SUMPRODUCT(Data_Nhập[Tổng Nhập-NX]*(Data_Nhập[Year]=HA$1)*(Data_Nhập[Main SKU name_GOM]=$A10)*(Data_Nhập[SKU name_NHẬP_GOM]=HA$3)),SUMPRODUCT(Data_Nhập[Tổng Nhập-NX]*(Data_Nhập[Year]=HA$1)*(Data_Nhập[Month]=HA$2)*(Data_Nhập[Main SKU name_GOM]=$A10)*(Data_Nhập[SKU name_NHẬP_GOM]=HA$3)))</f>
        <v>5250</v>
      </c>
      <c r="HB10" s="24" cm="1">
        <f t="array" ref="HB10">IF(HB$2="FY",SUMPRODUCT(Data_Nhập[Tổng Nhập-NX]*(Data_Nhập[Year]=HB$1)*(Data_Nhập[Main SKU name_GOM]=$A10)*(Data_Nhập[SKU name_NHẬP_GOM]=HB$3)),SUMPRODUCT(Data_Nhập[Tổng Nhập-NX]*(Data_Nhập[Year]=HB$1)*(Data_Nhập[Month]=HB$2)*(Data_Nhập[Main SKU name_GOM]=$A10)*(Data_Nhập[SKU name_NHẬP_GOM]=HB$3)))</f>
        <v>0</v>
      </c>
      <c r="HC10" s="24" cm="1">
        <f t="array" ref="HC10">IF(HC$2="FY",SUMPRODUCT(Data_Nhập[Tổng Nhập-NX]*(Data_Nhập[Year]=HC$1)*(Data_Nhập[Main SKU name_GOM]=$A10)*(Data_Nhập[SKU name_NHẬP_GOM]=HC$3)),SUMPRODUCT(Data_Nhập[Tổng Nhập-NX]*(Data_Nhập[Year]=HC$1)*(Data_Nhập[Month]=HC$2)*(Data_Nhập[Main SKU name_GOM]=$A10)*(Data_Nhập[SKU name_NHẬP_GOM]=HC$3)))</f>
        <v>0</v>
      </c>
      <c r="HD10" s="24" cm="1">
        <f t="array" ref="HD10">IF(HD$2="FY",SUMPRODUCT(Data_Nhập[Tổng Nhập-NX]*(Data_Nhập[Year]=HD$1)*(Data_Nhập[Main SKU name_GOM]=$A10)*(Data_Nhập[SKU name_NHẬP_GOM]=HD$3)),SUMPRODUCT(Data_Nhập[Tổng Nhập-NX]*(Data_Nhập[Year]=HD$1)*(Data_Nhập[Month]=HD$2)*(Data_Nhập[Main SKU name_GOM]=$A10)*(Data_Nhập[SKU name_NHẬP_GOM]=HD$3)))</f>
        <v>0</v>
      </c>
      <c r="HE10" s="24" cm="1">
        <f t="array" ref="HE10">IF(HE$2="FY",SUMPRODUCT(Data_Nhập[Tổng Nhập-NX]*(Data_Nhập[Year]=HE$1)*(Data_Nhập[Main SKU name_GOM]=$A10)*(Data_Nhập[SKU name_NHẬP_GOM]=HE$3)),SUMPRODUCT(Data_Nhập[Tổng Nhập-NX]*(Data_Nhập[Year]=HE$1)*(Data_Nhập[Month]=HE$2)*(Data_Nhập[Main SKU name_GOM]=$A10)*(Data_Nhập[SKU name_NHẬP_GOM]=HE$3)))</f>
        <v>0</v>
      </c>
      <c r="HF10" s="24" cm="1">
        <f t="array" ref="HF10">IF(HF$2="FY",SUMPRODUCT(Data_Nhập[Tổng Nhập-NX]*(Data_Nhập[Year]=HF$1)*(Data_Nhập[Main SKU name_GOM]=$A10)*(Data_Nhập[SKU name_NHẬP_GOM]=HF$3)),SUMPRODUCT(Data_Nhập[Tổng Nhập-NX]*(Data_Nhập[Year]=HF$1)*(Data_Nhập[Month]=HF$2)*(Data_Nhập[Main SKU name_GOM]=$A10)*(Data_Nhập[SKU name_NHẬP_GOM]=HF$3)))</f>
        <v>0</v>
      </c>
      <c r="HG10" s="24" cm="1">
        <f t="array" ref="HG10">IF(HG$2="FY",SUMPRODUCT(Data_Nhập[Tổng Nhập-NX]*(Data_Nhập[Year]=HG$1)*(Data_Nhập[Main SKU name_GOM]=$A10)*(Data_Nhập[SKU name_NHẬP_GOM]=HG$3)),SUMPRODUCT(Data_Nhập[Tổng Nhập-NX]*(Data_Nhập[Year]=HG$1)*(Data_Nhập[Month]=HG$2)*(Data_Nhập[Main SKU name_GOM]=$A10)*(Data_Nhập[SKU name_NHẬP_GOM]=HG$3)))</f>
        <v>0</v>
      </c>
      <c r="HH10" s="24" cm="1">
        <f t="array" ref="HH10">IF(HH$2="FY",SUMPRODUCT(Data_Nhập[Tổng Nhập-NX]*(Data_Nhập[Year]=HH$1)*(Data_Nhập[Main SKU name_GOM]=$A10)*(Data_Nhập[SKU name_NHẬP_GOM]=HH$3)),SUMPRODUCT(Data_Nhập[Tổng Nhập-NX]*(Data_Nhập[Year]=HH$1)*(Data_Nhập[Month]=HH$2)*(Data_Nhập[Main SKU name_GOM]=$A10)*(Data_Nhập[SKU name_NHẬP_GOM]=HH$3)))</f>
        <v>350</v>
      </c>
      <c r="HI10" s="24" cm="1">
        <f t="array" ref="HI10">IF(HI$2="FY",SUMPRODUCT(Data_Nhập[Tổng Nhập-NX]*(Data_Nhập[Year]=HI$1)*(Data_Nhập[Main SKU name_GOM]=$A10)*(Data_Nhập[SKU name_NHẬP_GOM]=HI$3)),SUMPRODUCT(Data_Nhập[Tổng Nhập-NX]*(Data_Nhập[Year]=HI$1)*(Data_Nhập[Month]=HI$2)*(Data_Nhập[Main SKU name_GOM]=$A10)*(Data_Nhập[SKU name_NHẬP_GOM]=HI$3)))</f>
        <v>0</v>
      </c>
      <c r="HJ10" s="25">
        <f t="shared" si="23"/>
        <v>7450</v>
      </c>
      <c r="HL10" s="25" cm="1">
        <f t="array" ref="HL10">IF(HL$2="FY",SUMPRODUCT(Data_Xuất[Xuất-NX]*(Data_Xuất[Year]=HL$1)*(Data_Xuất[Main SKU name_GOM]=$A10)),SUMPRODUCT(Data_Xuất[Xuất-NX]*(Data_Xuất[Year]=HL$1)*(Data_Xuất[Main SKU name_GOM]=$A10)*(Data_Xuất[Month]=HL$2)))</f>
        <v>0</v>
      </c>
      <c r="HM10" s="24" cm="1">
        <f t="array" ref="HM10">IF(HM$2="FY",SUMPRODUCT(Data_Nhập[Tổng Nhập-NX]*(Data_Nhập[Year]=HM$1)*(Data_Nhập[Main SKU name_GOM]=$A10)*(Data_Nhập[SKU name_NHẬP_GOM]=HM$3)),SUMPRODUCT(Data_Nhập[Tổng Nhập-NX]*(Data_Nhập[Year]=HM$1)*(Data_Nhập[Month]=HM$2)*(Data_Nhập[Main SKU name_GOM]=$A10)*(Data_Nhập[SKU name_NHẬP_GOM]=HM$3)))</f>
        <v>0</v>
      </c>
      <c r="HN10" s="24" cm="1">
        <f t="array" ref="HN10">IF(HN$2="FY",SUMPRODUCT(Data_Nhập[Tổng Nhập-NX]*(Data_Nhập[Year]=HN$1)*(Data_Nhập[Main SKU name_GOM]=$A10)*(Data_Nhập[SKU name_NHẬP_GOM]=HN$3)),SUMPRODUCT(Data_Nhập[Tổng Nhập-NX]*(Data_Nhập[Year]=HN$1)*(Data_Nhập[Month]=HN$2)*(Data_Nhập[Main SKU name_GOM]=$A10)*(Data_Nhập[SKU name_NHẬP_GOM]=HN$3)))</f>
        <v>0</v>
      </c>
      <c r="HO10" s="24" cm="1">
        <f t="array" ref="HO10">IF(HO$2="FY",SUMPRODUCT(Data_Nhập[Tổng Nhập-NX]*(Data_Nhập[Year]=HO$1)*(Data_Nhập[Main SKU name_GOM]=$A10)*(Data_Nhập[SKU name_NHẬP_GOM]=HO$3)),SUMPRODUCT(Data_Nhập[Tổng Nhập-NX]*(Data_Nhập[Year]=HO$1)*(Data_Nhập[Month]=HO$2)*(Data_Nhập[Main SKU name_GOM]=$A10)*(Data_Nhập[SKU name_NHẬP_GOM]=HO$3)))</f>
        <v>0</v>
      </c>
      <c r="HP10" s="24" cm="1">
        <f t="array" ref="HP10">IF(HP$2="FY",SUMPRODUCT(Data_Nhập[Tổng Nhập-NX]*(Data_Nhập[Year]=HP$1)*(Data_Nhập[Main SKU name_GOM]=$A10)*(Data_Nhập[SKU name_NHẬP_GOM]=HP$3)),SUMPRODUCT(Data_Nhập[Tổng Nhập-NX]*(Data_Nhập[Year]=HP$1)*(Data_Nhập[Month]=HP$2)*(Data_Nhập[Main SKU name_GOM]=$A10)*(Data_Nhập[SKU name_NHẬP_GOM]=HP$3)))</f>
        <v>0</v>
      </c>
      <c r="HQ10" s="24" cm="1">
        <f t="array" ref="HQ10">IF(HQ$2="FY",SUMPRODUCT(Data_Nhập[Tổng Nhập-NX]*(Data_Nhập[Year]=HQ$1)*(Data_Nhập[Main SKU name_GOM]=$A10)*(Data_Nhập[SKU name_NHẬP_GOM]=HQ$3)),SUMPRODUCT(Data_Nhập[Tổng Nhập-NX]*(Data_Nhập[Year]=HQ$1)*(Data_Nhập[Month]=HQ$2)*(Data_Nhập[Main SKU name_GOM]=$A10)*(Data_Nhập[SKU name_NHẬP_GOM]=HQ$3)))</f>
        <v>0</v>
      </c>
      <c r="HR10" s="24" cm="1">
        <f t="array" ref="HR10">IF(HR$2="FY",SUMPRODUCT(Data_Nhập[Tổng Nhập-NX]*(Data_Nhập[Year]=HR$1)*(Data_Nhập[Main SKU name_GOM]=$A10)*(Data_Nhập[SKU name_NHẬP_GOM]=HR$3)),SUMPRODUCT(Data_Nhập[Tổng Nhập-NX]*(Data_Nhập[Year]=HR$1)*(Data_Nhập[Month]=HR$2)*(Data_Nhập[Main SKU name_GOM]=$A10)*(Data_Nhập[SKU name_NHẬP_GOM]=HR$3)))</f>
        <v>0</v>
      </c>
      <c r="HS10" s="24" cm="1">
        <f t="array" ref="HS10">IF(HS$2="FY",SUMPRODUCT(Data_Nhập[Tổng Nhập-NX]*(Data_Nhập[Year]=HS$1)*(Data_Nhập[Main SKU name_GOM]=$A10)*(Data_Nhập[SKU name_NHẬP_GOM]=HS$3)),SUMPRODUCT(Data_Nhập[Tổng Nhập-NX]*(Data_Nhập[Year]=HS$1)*(Data_Nhập[Month]=HS$2)*(Data_Nhập[Main SKU name_GOM]=$A10)*(Data_Nhập[SKU name_NHẬP_GOM]=HS$3)))</f>
        <v>0</v>
      </c>
      <c r="HT10" s="24" cm="1">
        <f t="array" ref="HT10">IF(HT$2="FY",SUMPRODUCT(Data_Nhập[Tổng Nhập-NX]*(Data_Nhập[Year]=HT$1)*(Data_Nhập[Main SKU name_GOM]=$A10)*(Data_Nhập[SKU name_NHẬP_GOM]=HT$3)),SUMPRODUCT(Data_Nhập[Tổng Nhập-NX]*(Data_Nhập[Year]=HT$1)*(Data_Nhập[Month]=HT$2)*(Data_Nhập[Main SKU name_GOM]=$A10)*(Data_Nhập[SKU name_NHẬP_GOM]=HT$3)))</f>
        <v>0</v>
      </c>
      <c r="HU10" s="24" cm="1">
        <f t="array" ref="HU10">IF(HU$2="FY",SUMPRODUCT(Data_Nhập[Tổng Nhập-NX]*(Data_Nhập[Year]=HU$1)*(Data_Nhập[Main SKU name_GOM]=$A10)*(Data_Nhập[SKU name_NHẬP_GOM]=HU$3)),SUMPRODUCT(Data_Nhập[Tổng Nhập-NX]*(Data_Nhập[Year]=HU$1)*(Data_Nhập[Month]=HU$2)*(Data_Nhập[Main SKU name_GOM]=$A10)*(Data_Nhập[SKU name_NHẬP_GOM]=HU$3)))</f>
        <v>0</v>
      </c>
      <c r="HV10" s="24" cm="1">
        <f t="array" ref="HV10">IF(HV$2="FY",SUMPRODUCT(Data_Nhập[Tổng Nhập-NX]*(Data_Nhập[Year]=HV$1)*(Data_Nhập[Main SKU name_GOM]=$A10)*(Data_Nhập[SKU name_NHẬP_GOM]=HV$3)),SUMPRODUCT(Data_Nhập[Tổng Nhập-NX]*(Data_Nhập[Year]=HV$1)*(Data_Nhập[Month]=HV$2)*(Data_Nhập[Main SKU name_GOM]=$A10)*(Data_Nhập[SKU name_NHẬP_GOM]=HV$3)))</f>
        <v>0</v>
      </c>
      <c r="HW10" s="24" cm="1">
        <f t="array" ref="HW10">IF(HW$2="FY",SUMPRODUCT(Data_Nhập[Tổng Nhập-NX]*(Data_Nhập[Year]=HW$1)*(Data_Nhập[Main SKU name_GOM]=$A10)*(Data_Nhập[SKU name_NHẬP_GOM]=HW$3)),SUMPRODUCT(Data_Nhập[Tổng Nhập-NX]*(Data_Nhập[Year]=HW$1)*(Data_Nhập[Month]=HW$2)*(Data_Nhập[Main SKU name_GOM]=$A10)*(Data_Nhập[SKU name_NHẬP_GOM]=HW$3)))</f>
        <v>0</v>
      </c>
      <c r="HX10" s="24" cm="1">
        <f t="array" ref="HX10">IF(HX$2="FY",SUMPRODUCT(Data_Nhập[Tổng Nhập-NX]*(Data_Nhập[Year]=HX$1)*(Data_Nhập[Main SKU name_GOM]=$A10)*(Data_Nhập[SKU name_NHẬP_GOM]=HX$3)),SUMPRODUCT(Data_Nhập[Tổng Nhập-NX]*(Data_Nhập[Year]=HX$1)*(Data_Nhập[Month]=HX$2)*(Data_Nhập[Main SKU name_GOM]=$A10)*(Data_Nhập[SKU name_NHẬP_GOM]=HX$3)))</f>
        <v>0</v>
      </c>
      <c r="HY10" s="24" cm="1">
        <f t="array" ref="HY10">IF(HY$2="FY",SUMPRODUCT(Data_Nhập[Tổng Nhập-NX]*(Data_Nhập[Year]=HY$1)*(Data_Nhập[Main SKU name_GOM]=$A10)*(Data_Nhập[SKU name_NHẬP_GOM]=HY$3)),SUMPRODUCT(Data_Nhập[Tổng Nhập-NX]*(Data_Nhập[Year]=HY$1)*(Data_Nhập[Month]=HY$2)*(Data_Nhập[Main SKU name_GOM]=$A10)*(Data_Nhập[SKU name_NHẬP_GOM]=HY$3)))</f>
        <v>0</v>
      </c>
      <c r="HZ10" s="24" cm="1">
        <f t="array" ref="HZ10">IF(HZ$2="FY",SUMPRODUCT(Data_Nhập[Tổng Nhập-NX]*(Data_Nhập[Year]=HZ$1)*(Data_Nhập[Main SKU name_GOM]=$A10)*(Data_Nhập[SKU name_NHẬP_GOM]=HZ$3)),SUMPRODUCT(Data_Nhập[Tổng Nhập-NX]*(Data_Nhập[Year]=HZ$1)*(Data_Nhập[Month]=HZ$2)*(Data_Nhập[Main SKU name_GOM]=$A10)*(Data_Nhập[SKU name_NHẬP_GOM]=HZ$3)))</f>
        <v>0</v>
      </c>
      <c r="IA10" s="24" cm="1">
        <f t="array" ref="IA10">IF(IA$2="FY",SUMPRODUCT(Data_Nhập[Tổng Nhập-NX]*(Data_Nhập[Year]=IA$1)*(Data_Nhập[Main SKU name_GOM]=$A10)*(Data_Nhập[SKU name_NHẬP_GOM]=IA$3)),SUMPRODUCT(Data_Nhập[Tổng Nhập-NX]*(Data_Nhập[Year]=IA$1)*(Data_Nhập[Month]=IA$2)*(Data_Nhập[Main SKU name_GOM]=$A10)*(Data_Nhập[SKU name_NHẬP_GOM]=IA$3)))</f>
        <v>0</v>
      </c>
      <c r="IB10" s="25">
        <f t="shared" si="24"/>
        <v>0</v>
      </c>
    </row>
    <row r="11" spans="1:236" x14ac:dyDescent="0.35">
      <c r="A11" s="5" t="s">
        <v>147</v>
      </c>
      <c r="B11" s="22" t="s">
        <v>147</v>
      </c>
      <c r="D11" s="25" cm="1">
        <f t="array" ref="D11">IF(D$2="FY",SUMPRODUCT(Data_Xuất[Xuất-NX]*(Data_Xuất[Year]=D$1)*(Data_Xuất[Main SKU name_GOM]=$A11)),SUMPRODUCT(Data_Xuất[Xuất-NX]*(Data_Xuất[Year]=D$1)*(Data_Xuất[Main SKU name_GOM]=$A11)*Data_Xuất[Month]=D$2))</f>
        <v>2310461</v>
      </c>
      <c r="E11" s="24" cm="1">
        <f t="array" ref="E11">IF(E$2="FY",SUMPRODUCT(Data_Nhập[Tổng Nhập-NX]*(Data_Nhập[Year]=E$1)*(Data_Nhập[Main SKU name_GOM]=$A11)*(Data_Nhập[SKU name_NHẬP_GOM]=E$3)),SUMPRODUCT(Data_Nhập[Tổng Nhập-NX]*(Data_Nhập[Year]=E$1)*(Data_Nhập[Month]=E$2)*(Data_Nhập[Main SKU name_GOM]=$A11)*(Data_Nhập[SKU name_NHẬP_GOM]=E$3)))</f>
        <v>0</v>
      </c>
      <c r="F11" s="24" cm="1">
        <f t="array" ref="F11">IF(F$2="FY",SUMPRODUCT(Data_Nhập[Tổng Nhập-NX]*(Data_Nhập[Year]=F$1)*(Data_Nhập[Main SKU name_GOM]=$A11)*(Data_Nhập[SKU name_NHẬP_GOM]=F$3)),SUMPRODUCT(Data_Nhập[Tổng Nhập-NX]*(Data_Nhập[Year]=F$1)*(Data_Nhập[Month]=F$2)*(Data_Nhập[Main SKU name_GOM]=$A11)*(Data_Nhập[SKU name_NHẬP_GOM]=F$3)))</f>
        <v>0</v>
      </c>
      <c r="G11" s="24" cm="1">
        <f t="array" ref="G11">IF(G$2="FY",SUMPRODUCT(Data_Nhập[Tổng Nhập-NX]*(Data_Nhập[Year]=G$1)*(Data_Nhập[Main SKU name_GOM]=$A11)*(Data_Nhập[SKU name_NHẬP_GOM]=G$3)),SUMPRODUCT(Data_Nhập[Tổng Nhập-NX]*(Data_Nhập[Year]=G$1)*(Data_Nhập[Month]=G$2)*(Data_Nhập[Main SKU name_GOM]=$A11)*(Data_Nhập[SKU name_NHẬP_GOM]=G$3)))</f>
        <v>0</v>
      </c>
      <c r="H11" s="24" cm="1">
        <f t="array" ref="H11">IF(H$2="FY",SUMPRODUCT(Data_Nhập[Tổng Nhập-NX]*(Data_Nhập[Year]=H$1)*(Data_Nhập[Main SKU name_GOM]=$A11)*(Data_Nhập[SKU name_NHẬP_GOM]=H$3)),SUMPRODUCT(Data_Nhập[Tổng Nhập-NX]*(Data_Nhập[Year]=H$1)*(Data_Nhập[Month]=H$2)*(Data_Nhập[Main SKU name_GOM]=$A11)*(Data_Nhập[SKU name_NHẬP_GOM]=H$3)))</f>
        <v>0</v>
      </c>
      <c r="I11" s="24" cm="1">
        <f t="array" ref="I11">IF(I$2="FY",SUMPRODUCT(Data_Nhập[Tổng Nhập-NX]*(Data_Nhập[Year]=I$1)*(Data_Nhập[Main SKU name_GOM]=$A11)*(Data_Nhập[SKU name_NHẬP_GOM]=I$3)),SUMPRODUCT(Data_Nhập[Tổng Nhập-NX]*(Data_Nhập[Year]=I$1)*(Data_Nhập[Month]=I$2)*(Data_Nhập[Main SKU name_GOM]=$A11)*(Data_Nhập[SKU name_NHẬP_GOM]=I$3)))</f>
        <v>0</v>
      </c>
      <c r="J11" s="24" cm="1">
        <f t="array" ref="J11">IF(J$2="FY",SUMPRODUCT(Data_Nhập[Tổng Nhập-NX]*(Data_Nhập[Year]=J$1)*(Data_Nhập[Main SKU name_GOM]=$A11)*(Data_Nhập[SKU name_NHẬP_GOM]=J$3)),SUMPRODUCT(Data_Nhập[Tổng Nhập-NX]*(Data_Nhập[Year]=J$1)*(Data_Nhập[Month]=J$2)*(Data_Nhập[Main SKU name_GOM]=$A11)*(Data_Nhập[SKU name_NHẬP_GOM]=J$3)))</f>
        <v>0</v>
      </c>
      <c r="K11" s="24" cm="1">
        <f t="array" ref="K11">IF(K$2="FY",SUMPRODUCT(Data_Nhập[Tổng Nhập-NX]*(Data_Nhập[Year]=K$1)*(Data_Nhập[Main SKU name_GOM]=$A11)*(Data_Nhập[SKU name_NHẬP_GOM]=K$3)),SUMPRODUCT(Data_Nhập[Tổng Nhập-NX]*(Data_Nhập[Year]=K$1)*(Data_Nhập[Month]=K$2)*(Data_Nhập[Main SKU name_GOM]=$A11)*(Data_Nhập[SKU name_NHẬP_GOM]=K$3)))</f>
        <v>1997104</v>
      </c>
      <c r="L11" s="24" cm="1">
        <f t="array" ref="L11">IF(L$2="FY",SUMPRODUCT(Data_Nhập[Tổng Nhập-NX]*(Data_Nhập[Year]=L$1)*(Data_Nhập[Main SKU name_GOM]=$A11)*(Data_Nhập[SKU name_NHẬP_GOM]=L$3)),SUMPRODUCT(Data_Nhập[Tổng Nhập-NX]*(Data_Nhập[Year]=L$1)*(Data_Nhập[Month]=L$2)*(Data_Nhập[Main SKU name_GOM]=$A11)*(Data_Nhập[SKU name_NHẬP_GOM]=L$3)))</f>
        <v>92180</v>
      </c>
      <c r="M11" s="24" cm="1">
        <f t="array" ref="M11">IF(M$2="FY",SUMPRODUCT(Data_Nhập[Tổng Nhập-NX]*(Data_Nhập[Year]=M$1)*(Data_Nhập[Main SKU name_GOM]=$A11)*(Data_Nhập[SKU name_NHẬP_GOM]=M$3)),SUMPRODUCT(Data_Nhập[Tổng Nhập-NX]*(Data_Nhập[Year]=M$1)*(Data_Nhập[Month]=M$2)*(Data_Nhập[Main SKU name_GOM]=$A11)*(Data_Nhập[SKU name_NHẬP_GOM]=M$3)))</f>
        <v>0</v>
      </c>
      <c r="N11" s="24" cm="1">
        <f t="array" ref="N11">IF(N$2="FY",SUMPRODUCT(Data_Nhập[Tổng Nhập-NX]*(Data_Nhập[Year]=N$1)*(Data_Nhập[Main SKU name_GOM]=$A11)*(Data_Nhập[SKU name_NHẬP_GOM]=N$3)),SUMPRODUCT(Data_Nhập[Tổng Nhập-NX]*(Data_Nhập[Year]=N$1)*(Data_Nhập[Month]=N$2)*(Data_Nhập[Main SKU name_GOM]=$A11)*(Data_Nhập[SKU name_NHẬP_GOM]=N$3)))</f>
        <v>0</v>
      </c>
      <c r="O11" s="24" cm="1">
        <f t="array" ref="O11">IF(O$2="FY",SUMPRODUCT(Data_Nhập[Tổng Nhập-NX]*(Data_Nhập[Year]=O$1)*(Data_Nhập[Main SKU name_GOM]=$A11)*(Data_Nhập[SKU name_NHẬP_GOM]=O$3)),SUMPRODUCT(Data_Nhập[Tổng Nhập-NX]*(Data_Nhập[Year]=O$1)*(Data_Nhập[Month]=O$2)*(Data_Nhập[Main SKU name_GOM]=$A11)*(Data_Nhập[SKU name_NHẬP_GOM]=O$3)))</f>
        <v>0</v>
      </c>
      <c r="P11" s="24" cm="1">
        <f t="array" ref="P11">IF(P$2="FY",SUMPRODUCT(Data_Nhập[Tổng Nhập-NX]*(Data_Nhập[Year]=P$1)*(Data_Nhập[Main SKU name_GOM]=$A11)*(Data_Nhập[SKU name_NHẬP_GOM]=P$3)),SUMPRODUCT(Data_Nhập[Tổng Nhập-NX]*(Data_Nhập[Year]=P$1)*(Data_Nhập[Month]=P$2)*(Data_Nhập[Main SKU name_GOM]=$A11)*(Data_Nhập[SKU name_NHẬP_GOM]=P$3)))</f>
        <v>0</v>
      </c>
      <c r="Q11" s="24" cm="1">
        <f t="array" ref="Q11">IF(Q$2="FY",SUMPRODUCT(Data_Nhập[Tổng Nhập-NX]*(Data_Nhập[Year]=Q$1)*(Data_Nhập[Main SKU name_GOM]=$A11)*(Data_Nhập[SKU name_NHẬP_GOM]=Q$3)),SUMPRODUCT(Data_Nhập[Tổng Nhập-NX]*(Data_Nhập[Year]=Q$1)*(Data_Nhập[Month]=Q$2)*(Data_Nhập[Main SKU name_GOM]=$A11)*(Data_Nhập[SKU name_NHẬP_GOM]=Q$3)))</f>
        <v>0</v>
      </c>
      <c r="R11" s="24" cm="1">
        <f t="array" ref="R11">IF(R$2="FY",SUMPRODUCT(Data_Nhập[Tổng Nhập-NX]*(Data_Nhập[Year]=R$1)*(Data_Nhập[Main SKU name_GOM]=$A11)*(Data_Nhập[SKU name_NHẬP_GOM]=R$3)),SUMPRODUCT(Data_Nhập[Tổng Nhập-NX]*(Data_Nhập[Year]=R$1)*(Data_Nhập[Month]=R$2)*(Data_Nhập[Main SKU name_GOM]=$A11)*(Data_Nhập[SKU name_NHẬP_GOM]=R$3)))</f>
        <v>196130</v>
      </c>
      <c r="S11" s="24" cm="1">
        <f t="array" ref="S11">IF(S$2="FY",SUMPRODUCT(Data_Nhập[Tổng Nhập-NX]*(Data_Nhập[Year]=S$1)*(Data_Nhập[Main SKU name_GOM]=$A11)*(Data_Nhập[SKU name_NHẬP_GOM]=S$3)),SUMPRODUCT(Data_Nhập[Tổng Nhập-NX]*(Data_Nhập[Year]=S$1)*(Data_Nhập[Month]=S$2)*(Data_Nhập[Main SKU name_GOM]=$A11)*(Data_Nhập[SKU name_NHẬP_GOM]=S$3)))</f>
        <v>0</v>
      </c>
      <c r="T11" s="25">
        <f t="shared" si="12"/>
        <v>2285414</v>
      </c>
      <c r="V11" s="25" cm="1">
        <f t="array" ref="V11">IF(V$2="FY",SUMPRODUCT(Data_Xuất[Xuất-NX]*(Data_Xuất[Year]=V$1)*(Data_Xuất[Main SKU name_GOM]=$A11)),SUMPRODUCT(Data_Xuất[Xuất-NX]*(Data_Xuất[Year]=V$1)*(Data_Xuất[Main SKU name_GOM]=$A11)*(Data_Xuất[Month]=V$2)))</f>
        <v>115200</v>
      </c>
      <c r="W11" s="24" cm="1">
        <f t="array" ref="W11">IF(W$2="FY",SUMPRODUCT(Data_Nhập[Tổng Nhập-NX]*(Data_Nhập[Year]=W$1)*(Data_Nhập[Main SKU name_GOM]=$A11)*(Data_Nhập[SKU name_NHẬP_GOM]=W$3)),SUMPRODUCT(Data_Nhập[Tổng Nhập-NX]*(Data_Nhập[Year]=W$1)*(Data_Nhập[Month]=W$2)*(Data_Nhập[Main SKU name_GOM]=$A11)*(Data_Nhập[SKU name_NHẬP_GOM]=W$3)))</f>
        <v>0</v>
      </c>
      <c r="X11" s="24" cm="1">
        <f t="array" ref="X11">IF(X$2="FY",SUMPRODUCT(Data_Nhập[Tổng Nhập-NX]*(Data_Nhập[Year]=X$1)*(Data_Nhập[Main SKU name_GOM]=$A11)*(Data_Nhập[SKU name_NHẬP_GOM]=X$3)),SUMPRODUCT(Data_Nhập[Tổng Nhập-NX]*(Data_Nhập[Year]=X$1)*(Data_Nhập[Month]=X$2)*(Data_Nhập[Main SKU name_GOM]=$A11)*(Data_Nhập[SKU name_NHẬP_GOM]=X$3)))</f>
        <v>0</v>
      </c>
      <c r="Y11" s="24" cm="1">
        <f t="array" ref="Y11">IF(Y$2="FY",SUMPRODUCT(Data_Nhập[Tổng Nhập-NX]*(Data_Nhập[Year]=Y$1)*(Data_Nhập[Main SKU name_GOM]=$A11)*(Data_Nhập[SKU name_NHẬP_GOM]=Y$3)),SUMPRODUCT(Data_Nhập[Tổng Nhập-NX]*(Data_Nhập[Year]=Y$1)*(Data_Nhập[Month]=Y$2)*(Data_Nhập[Main SKU name_GOM]=$A11)*(Data_Nhập[SKU name_NHẬP_GOM]=Y$3)))</f>
        <v>0</v>
      </c>
      <c r="Z11" s="24" cm="1">
        <f t="array" ref="Z11">IF(Z$2="FY",SUMPRODUCT(Data_Nhập[Tổng Nhập-NX]*(Data_Nhập[Year]=Z$1)*(Data_Nhập[Main SKU name_GOM]=$A11)*(Data_Nhập[SKU name_NHẬP_GOM]=Z$3)),SUMPRODUCT(Data_Nhập[Tổng Nhập-NX]*(Data_Nhập[Year]=Z$1)*(Data_Nhập[Month]=Z$2)*(Data_Nhập[Main SKU name_GOM]=$A11)*(Data_Nhập[SKU name_NHẬP_GOM]=Z$3)))</f>
        <v>0</v>
      </c>
      <c r="AA11" s="24" cm="1">
        <f t="array" ref="AA11">IF(AA$2="FY",SUMPRODUCT(Data_Nhập[Tổng Nhập-NX]*(Data_Nhập[Year]=AA$1)*(Data_Nhập[Main SKU name_GOM]=$A11)*(Data_Nhập[SKU name_NHẬP_GOM]=AA$3)),SUMPRODUCT(Data_Nhập[Tổng Nhập-NX]*(Data_Nhập[Year]=AA$1)*(Data_Nhập[Month]=AA$2)*(Data_Nhập[Main SKU name_GOM]=$A11)*(Data_Nhập[SKU name_NHẬP_GOM]=AA$3)))</f>
        <v>0</v>
      </c>
      <c r="AB11" s="24" cm="1">
        <f t="array" ref="AB11">IF(AB$2="FY",SUMPRODUCT(Data_Nhập[Tổng Nhập-NX]*(Data_Nhập[Year]=AB$1)*(Data_Nhập[Main SKU name_GOM]=$A11)*(Data_Nhập[SKU name_NHẬP_GOM]=AB$3)),SUMPRODUCT(Data_Nhập[Tổng Nhập-NX]*(Data_Nhập[Year]=AB$1)*(Data_Nhập[Month]=AB$2)*(Data_Nhập[Main SKU name_GOM]=$A11)*(Data_Nhập[SKU name_NHẬP_GOM]=AB$3)))</f>
        <v>0</v>
      </c>
      <c r="AC11" s="24" cm="1">
        <f t="array" ref="AC11">IF(AC$2="FY",SUMPRODUCT(Data_Nhập[Tổng Nhập-NX]*(Data_Nhập[Year]=AC$1)*(Data_Nhập[Main SKU name_GOM]=$A11)*(Data_Nhập[SKU name_NHẬP_GOM]=AC$3)),SUMPRODUCT(Data_Nhập[Tổng Nhập-NX]*(Data_Nhập[Year]=AC$1)*(Data_Nhập[Month]=AC$2)*(Data_Nhập[Main SKU name_GOM]=$A11)*(Data_Nhập[SKU name_NHẬP_GOM]=AC$3)))</f>
        <v>104500</v>
      </c>
      <c r="AD11" s="24" cm="1">
        <f t="array" ref="AD11">IF(AD$2="FY",SUMPRODUCT(Data_Nhập[Tổng Nhập-NX]*(Data_Nhập[Year]=AD$1)*(Data_Nhập[Main SKU name_GOM]=$A11)*(Data_Nhập[SKU name_NHẬP_GOM]=AD$3)),SUMPRODUCT(Data_Nhập[Tổng Nhập-NX]*(Data_Nhập[Year]=AD$1)*(Data_Nhập[Month]=AD$2)*(Data_Nhập[Main SKU name_GOM]=$A11)*(Data_Nhập[SKU name_NHẬP_GOM]=AD$3)))</f>
        <v>0</v>
      </c>
      <c r="AE11" s="24" cm="1">
        <f t="array" ref="AE11">IF(AE$2="FY",SUMPRODUCT(Data_Nhập[Tổng Nhập-NX]*(Data_Nhập[Year]=AE$1)*(Data_Nhập[Main SKU name_GOM]=$A11)*(Data_Nhập[SKU name_NHẬP_GOM]=AE$3)),SUMPRODUCT(Data_Nhập[Tổng Nhập-NX]*(Data_Nhập[Year]=AE$1)*(Data_Nhập[Month]=AE$2)*(Data_Nhập[Main SKU name_GOM]=$A11)*(Data_Nhập[SKU name_NHẬP_GOM]=AE$3)))</f>
        <v>0</v>
      </c>
      <c r="AF11" s="24" cm="1">
        <f t="array" ref="AF11">IF(AF$2="FY",SUMPRODUCT(Data_Nhập[Tổng Nhập-NX]*(Data_Nhập[Year]=AF$1)*(Data_Nhập[Main SKU name_GOM]=$A11)*(Data_Nhập[SKU name_NHẬP_GOM]=AF$3)),SUMPRODUCT(Data_Nhập[Tổng Nhập-NX]*(Data_Nhập[Year]=AF$1)*(Data_Nhập[Month]=AF$2)*(Data_Nhập[Main SKU name_GOM]=$A11)*(Data_Nhập[SKU name_NHẬP_GOM]=AF$3)))</f>
        <v>0</v>
      </c>
      <c r="AG11" s="24" cm="1">
        <f t="array" ref="AG11">IF(AG$2="FY",SUMPRODUCT(Data_Nhập[Tổng Nhập-NX]*(Data_Nhập[Year]=AG$1)*(Data_Nhập[Main SKU name_GOM]=$A11)*(Data_Nhập[SKU name_NHẬP_GOM]=AG$3)),SUMPRODUCT(Data_Nhập[Tổng Nhập-NX]*(Data_Nhập[Year]=AG$1)*(Data_Nhập[Month]=AG$2)*(Data_Nhập[Main SKU name_GOM]=$A11)*(Data_Nhập[SKU name_NHẬP_GOM]=AG$3)))</f>
        <v>0</v>
      </c>
      <c r="AH11" s="24" cm="1">
        <f t="array" ref="AH11">IF(AH$2="FY",SUMPRODUCT(Data_Nhập[Tổng Nhập-NX]*(Data_Nhập[Year]=AH$1)*(Data_Nhập[Main SKU name_GOM]=$A11)*(Data_Nhập[SKU name_NHẬP_GOM]=AH$3)),SUMPRODUCT(Data_Nhập[Tổng Nhập-NX]*(Data_Nhập[Year]=AH$1)*(Data_Nhập[Month]=AH$2)*(Data_Nhập[Main SKU name_GOM]=$A11)*(Data_Nhập[SKU name_NHẬP_GOM]=AH$3)))</f>
        <v>0</v>
      </c>
      <c r="AI11" s="24" cm="1">
        <f t="array" ref="AI11">IF(AI$2="FY",SUMPRODUCT(Data_Nhập[Tổng Nhập-NX]*(Data_Nhập[Year]=AI$1)*(Data_Nhập[Main SKU name_GOM]=$A11)*(Data_Nhập[SKU name_NHẬP_GOM]=AI$3)),SUMPRODUCT(Data_Nhập[Tổng Nhập-NX]*(Data_Nhập[Year]=AI$1)*(Data_Nhập[Month]=AI$2)*(Data_Nhập[Main SKU name_GOM]=$A11)*(Data_Nhập[SKU name_NHẬP_GOM]=AI$3)))</f>
        <v>0</v>
      </c>
      <c r="AJ11" s="24" cm="1">
        <f t="array" ref="AJ11">IF(AJ$2="FY",SUMPRODUCT(Data_Nhập[Tổng Nhập-NX]*(Data_Nhập[Year]=AJ$1)*(Data_Nhập[Main SKU name_GOM]=$A11)*(Data_Nhập[SKU name_NHẬP_GOM]=AJ$3)),SUMPRODUCT(Data_Nhập[Tổng Nhập-NX]*(Data_Nhập[Year]=AJ$1)*(Data_Nhập[Month]=AJ$2)*(Data_Nhập[Main SKU name_GOM]=$A11)*(Data_Nhập[SKU name_NHẬP_GOM]=AJ$3)))</f>
        <v>10650</v>
      </c>
      <c r="AK11" s="24" cm="1">
        <f t="array" ref="AK11">IF(AK$2="FY",SUMPRODUCT(Data_Nhập[Tổng Nhập-NX]*(Data_Nhập[Year]=AK$1)*(Data_Nhập[Main SKU name_GOM]=$A11)*(Data_Nhập[SKU name_NHẬP_GOM]=AK$3)),SUMPRODUCT(Data_Nhập[Tổng Nhập-NX]*(Data_Nhập[Year]=AK$1)*(Data_Nhập[Month]=AK$2)*(Data_Nhập[Main SKU name_GOM]=$A11)*(Data_Nhập[SKU name_NHẬP_GOM]=AK$3)))</f>
        <v>0</v>
      </c>
      <c r="AL11" s="25">
        <f t="shared" si="13"/>
        <v>115150</v>
      </c>
      <c r="AN11" s="25" cm="1">
        <f t="array" ref="AN11">IF(AN$2="FY",SUMPRODUCT(Data_Xuất[Xuất-NX]*(Data_Xuất[Year]=AN$1)*(Data_Xuất[Main SKU name_GOM]=$A11)),SUMPRODUCT(Data_Xuất[Xuất-NX]*(Data_Xuất[Year]=AN$1)*(Data_Xuất[Main SKU name_GOM]=$A11)*(Data_Xuất[Month]=AN$2)))</f>
        <v>253700</v>
      </c>
      <c r="AO11" s="24" cm="1">
        <f t="array" ref="AO11">IF(AO$2="FY",SUMPRODUCT(Data_Nhập[Tổng Nhập-NX]*(Data_Nhập[Year]=AO$1)*(Data_Nhập[Main SKU name_GOM]=$A11)*(Data_Nhập[SKU name_NHẬP_GOM]=AO$3)),SUMPRODUCT(Data_Nhập[Tổng Nhập-NX]*(Data_Nhập[Year]=AO$1)*(Data_Nhập[Month]=AO$2)*(Data_Nhập[Main SKU name_GOM]=$A11)*(Data_Nhập[SKU name_NHẬP_GOM]=AO$3)))</f>
        <v>0</v>
      </c>
      <c r="AP11" s="24" cm="1">
        <f t="array" ref="AP11">IF(AP$2="FY",SUMPRODUCT(Data_Nhập[Tổng Nhập-NX]*(Data_Nhập[Year]=AP$1)*(Data_Nhập[Main SKU name_GOM]=$A11)*(Data_Nhập[SKU name_NHẬP_GOM]=AP$3)),SUMPRODUCT(Data_Nhập[Tổng Nhập-NX]*(Data_Nhập[Year]=AP$1)*(Data_Nhập[Month]=AP$2)*(Data_Nhập[Main SKU name_GOM]=$A11)*(Data_Nhập[SKU name_NHẬP_GOM]=AP$3)))</f>
        <v>0</v>
      </c>
      <c r="AQ11" s="24" cm="1">
        <f t="array" ref="AQ11">IF(AQ$2="FY",SUMPRODUCT(Data_Nhập[Tổng Nhập-NX]*(Data_Nhập[Year]=AQ$1)*(Data_Nhập[Main SKU name_GOM]=$A11)*(Data_Nhập[SKU name_NHẬP_GOM]=AQ$3)),SUMPRODUCT(Data_Nhập[Tổng Nhập-NX]*(Data_Nhập[Year]=AQ$1)*(Data_Nhập[Month]=AQ$2)*(Data_Nhập[Main SKU name_GOM]=$A11)*(Data_Nhập[SKU name_NHẬP_GOM]=AQ$3)))</f>
        <v>0</v>
      </c>
      <c r="AR11" s="24" cm="1">
        <f t="array" ref="AR11">IF(AR$2="FY",SUMPRODUCT(Data_Nhập[Tổng Nhập-NX]*(Data_Nhập[Year]=AR$1)*(Data_Nhập[Main SKU name_GOM]=$A11)*(Data_Nhập[SKU name_NHẬP_GOM]=AR$3)),SUMPRODUCT(Data_Nhập[Tổng Nhập-NX]*(Data_Nhập[Year]=AR$1)*(Data_Nhập[Month]=AR$2)*(Data_Nhập[Main SKU name_GOM]=$A11)*(Data_Nhập[SKU name_NHẬP_GOM]=AR$3)))</f>
        <v>0</v>
      </c>
      <c r="AS11" s="24" cm="1">
        <f t="array" ref="AS11">IF(AS$2="FY",SUMPRODUCT(Data_Nhập[Tổng Nhập-NX]*(Data_Nhập[Year]=AS$1)*(Data_Nhập[Main SKU name_GOM]=$A11)*(Data_Nhập[SKU name_NHẬP_GOM]=AS$3)),SUMPRODUCT(Data_Nhập[Tổng Nhập-NX]*(Data_Nhập[Year]=AS$1)*(Data_Nhập[Month]=AS$2)*(Data_Nhập[Main SKU name_GOM]=$A11)*(Data_Nhập[SKU name_NHẬP_GOM]=AS$3)))</f>
        <v>0</v>
      </c>
      <c r="AT11" s="24" cm="1">
        <f t="array" ref="AT11">IF(AT$2="FY",SUMPRODUCT(Data_Nhập[Tổng Nhập-NX]*(Data_Nhập[Year]=AT$1)*(Data_Nhập[Main SKU name_GOM]=$A11)*(Data_Nhập[SKU name_NHẬP_GOM]=AT$3)),SUMPRODUCT(Data_Nhập[Tổng Nhập-NX]*(Data_Nhập[Year]=AT$1)*(Data_Nhập[Month]=AT$2)*(Data_Nhập[Main SKU name_GOM]=$A11)*(Data_Nhập[SKU name_NHẬP_GOM]=AT$3)))</f>
        <v>0</v>
      </c>
      <c r="AU11" s="24" cm="1">
        <f t="array" ref="AU11">IF(AU$2="FY",SUMPRODUCT(Data_Nhập[Tổng Nhập-NX]*(Data_Nhập[Year]=AU$1)*(Data_Nhập[Main SKU name_GOM]=$A11)*(Data_Nhập[SKU name_NHẬP_GOM]=AU$3)),SUMPRODUCT(Data_Nhập[Tổng Nhập-NX]*(Data_Nhập[Year]=AU$1)*(Data_Nhập[Month]=AU$2)*(Data_Nhập[Main SKU name_GOM]=$A11)*(Data_Nhập[SKU name_NHẬP_GOM]=AU$3)))</f>
        <v>222420</v>
      </c>
      <c r="AV11" s="24" cm="1">
        <f t="array" ref="AV11">IF(AV$2="FY",SUMPRODUCT(Data_Nhập[Tổng Nhập-NX]*(Data_Nhập[Year]=AV$1)*(Data_Nhập[Main SKU name_GOM]=$A11)*(Data_Nhập[SKU name_NHẬP_GOM]=AV$3)),SUMPRODUCT(Data_Nhập[Tổng Nhập-NX]*(Data_Nhập[Year]=AV$1)*(Data_Nhập[Month]=AV$2)*(Data_Nhập[Main SKU name_GOM]=$A11)*(Data_Nhập[SKU name_NHẬP_GOM]=AV$3)))</f>
        <v>2100</v>
      </c>
      <c r="AW11" s="24" cm="1">
        <f t="array" ref="AW11">IF(AW$2="FY",SUMPRODUCT(Data_Nhập[Tổng Nhập-NX]*(Data_Nhập[Year]=AW$1)*(Data_Nhập[Main SKU name_GOM]=$A11)*(Data_Nhập[SKU name_NHẬP_GOM]=AW$3)),SUMPRODUCT(Data_Nhập[Tổng Nhập-NX]*(Data_Nhập[Year]=AW$1)*(Data_Nhập[Month]=AW$2)*(Data_Nhập[Main SKU name_GOM]=$A11)*(Data_Nhập[SKU name_NHẬP_GOM]=AW$3)))</f>
        <v>0</v>
      </c>
      <c r="AX11" s="24" cm="1">
        <f t="array" ref="AX11">IF(AX$2="FY",SUMPRODUCT(Data_Nhập[Tổng Nhập-NX]*(Data_Nhập[Year]=AX$1)*(Data_Nhập[Main SKU name_GOM]=$A11)*(Data_Nhập[SKU name_NHẬP_GOM]=AX$3)),SUMPRODUCT(Data_Nhập[Tổng Nhập-NX]*(Data_Nhập[Year]=AX$1)*(Data_Nhập[Month]=AX$2)*(Data_Nhập[Main SKU name_GOM]=$A11)*(Data_Nhập[SKU name_NHẬP_GOM]=AX$3)))</f>
        <v>0</v>
      </c>
      <c r="AY11" s="24" cm="1">
        <f t="array" ref="AY11">IF(AY$2="FY",SUMPRODUCT(Data_Nhập[Tổng Nhập-NX]*(Data_Nhập[Year]=AY$1)*(Data_Nhập[Main SKU name_GOM]=$A11)*(Data_Nhập[SKU name_NHẬP_GOM]=AY$3)),SUMPRODUCT(Data_Nhập[Tổng Nhập-NX]*(Data_Nhập[Year]=AY$1)*(Data_Nhập[Month]=AY$2)*(Data_Nhập[Main SKU name_GOM]=$A11)*(Data_Nhập[SKU name_NHẬP_GOM]=AY$3)))</f>
        <v>0</v>
      </c>
      <c r="AZ11" s="24" cm="1">
        <f t="array" ref="AZ11">IF(AZ$2="FY",SUMPRODUCT(Data_Nhập[Tổng Nhập-NX]*(Data_Nhập[Year]=AZ$1)*(Data_Nhập[Main SKU name_GOM]=$A11)*(Data_Nhập[SKU name_NHẬP_GOM]=AZ$3)),SUMPRODUCT(Data_Nhập[Tổng Nhập-NX]*(Data_Nhập[Year]=AZ$1)*(Data_Nhập[Month]=AZ$2)*(Data_Nhập[Main SKU name_GOM]=$A11)*(Data_Nhập[SKU name_NHẬP_GOM]=AZ$3)))</f>
        <v>0</v>
      </c>
      <c r="BA11" s="24" cm="1">
        <f t="array" ref="BA11">IF(BA$2="FY",SUMPRODUCT(Data_Nhập[Tổng Nhập-NX]*(Data_Nhập[Year]=BA$1)*(Data_Nhập[Main SKU name_GOM]=$A11)*(Data_Nhập[SKU name_NHẬP_GOM]=BA$3)),SUMPRODUCT(Data_Nhập[Tổng Nhập-NX]*(Data_Nhập[Year]=BA$1)*(Data_Nhập[Month]=BA$2)*(Data_Nhập[Main SKU name_GOM]=$A11)*(Data_Nhập[SKU name_NHẬP_GOM]=BA$3)))</f>
        <v>0</v>
      </c>
      <c r="BB11" s="24" cm="1">
        <f t="array" ref="BB11">IF(BB$2="FY",SUMPRODUCT(Data_Nhập[Tổng Nhập-NX]*(Data_Nhập[Year]=BB$1)*(Data_Nhập[Main SKU name_GOM]=$A11)*(Data_Nhập[SKU name_NHẬP_GOM]=BB$3)),SUMPRODUCT(Data_Nhập[Tổng Nhập-NX]*(Data_Nhập[Year]=BB$1)*(Data_Nhập[Month]=BB$2)*(Data_Nhập[Main SKU name_GOM]=$A11)*(Data_Nhập[SKU name_NHẬP_GOM]=BB$3)))</f>
        <v>27134</v>
      </c>
      <c r="BC11" s="24" cm="1">
        <f t="array" ref="BC11">IF(BC$2="FY",SUMPRODUCT(Data_Nhập[Tổng Nhập-NX]*(Data_Nhập[Year]=BC$1)*(Data_Nhập[Main SKU name_GOM]=$A11)*(Data_Nhập[SKU name_NHẬP_GOM]=BC$3)),SUMPRODUCT(Data_Nhập[Tổng Nhập-NX]*(Data_Nhập[Year]=BC$1)*(Data_Nhập[Month]=BC$2)*(Data_Nhập[Main SKU name_GOM]=$A11)*(Data_Nhập[SKU name_NHẬP_GOM]=BC$3)))</f>
        <v>0</v>
      </c>
      <c r="BD11" s="25">
        <f t="shared" si="14"/>
        <v>251654</v>
      </c>
      <c r="BF11" s="25" cm="1">
        <f t="array" ref="BF11">IF(BF$2="FY",SUMPRODUCT(Data_Xuất[Xuất-NX]*(Data_Xuất[Year]=BF$1)*(Data_Xuất[Main SKU name_GOM]=$A11)),SUMPRODUCT(Data_Xuất[Xuất-NX]*(Data_Xuất[Year]=BF$1)*(Data_Xuất[Main SKU name_GOM]=$A11)*(Data_Xuất[Month]=BF$2)))</f>
        <v>394648.00000000006</v>
      </c>
      <c r="BG11" s="24" cm="1">
        <f t="array" ref="BG11">IF(BG$2="FY",SUMPRODUCT(Data_Nhập[Tổng Nhập-NX]*(Data_Nhập[Year]=BG$1)*(Data_Nhập[Main SKU name_GOM]=$A11)*(Data_Nhập[SKU name_NHẬP_GOM]=BG$3)),SUMPRODUCT(Data_Nhập[Tổng Nhập-NX]*(Data_Nhập[Year]=BG$1)*(Data_Nhập[Month]=BG$2)*(Data_Nhập[Main SKU name_GOM]=$A11)*(Data_Nhập[SKU name_NHẬP_GOM]=BG$3)))</f>
        <v>0</v>
      </c>
      <c r="BH11" s="24" cm="1">
        <f t="array" ref="BH11">IF(BH$2="FY",SUMPRODUCT(Data_Nhập[Tổng Nhập-NX]*(Data_Nhập[Year]=BH$1)*(Data_Nhập[Main SKU name_GOM]=$A11)*(Data_Nhập[SKU name_NHẬP_GOM]=BH$3)),SUMPRODUCT(Data_Nhập[Tổng Nhập-NX]*(Data_Nhập[Year]=BH$1)*(Data_Nhập[Month]=BH$2)*(Data_Nhập[Main SKU name_GOM]=$A11)*(Data_Nhập[SKU name_NHẬP_GOM]=BH$3)))</f>
        <v>0</v>
      </c>
      <c r="BI11" s="24" cm="1">
        <f t="array" ref="BI11">IF(BI$2="FY",SUMPRODUCT(Data_Nhập[Tổng Nhập-NX]*(Data_Nhập[Year]=BI$1)*(Data_Nhập[Main SKU name_GOM]=$A11)*(Data_Nhập[SKU name_NHẬP_GOM]=BI$3)),SUMPRODUCT(Data_Nhập[Tổng Nhập-NX]*(Data_Nhập[Year]=BI$1)*(Data_Nhập[Month]=BI$2)*(Data_Nhập[Main SKU name_GOM]=$A11)*(Data_Nhập[SKU name_NHẬP_GOM]=BI$3)))</f>
        <v>0</v>
      </c>
      <c r="BJ11" s="24" cm="1">
        <f t="array" ref="BJ11">IF(BJ$2="FY",SUMPRODUCT(Data_Nhập[Tổng Nhập-NX]*(Data_Nhập[Year]=BJ$1)*(Data_Nhập[Main SKU name_GOM]=$A11)*(Data_Nhập[SKU name_NHẬP_GOM]=BJ$3)),SUMPRODUCT(Data_Nhập[Tổng Nhập-NX]*(Data_Nhập[Year]=BJ$1)*(Data_Nhập[Month]=BJ$2)*(Data_Nhập[Main SKU name_GOM]=$A11)*(Data_Nhập[SKU name_NHẬP_GOM]=BJ$3)))</f>
        <v>0</v>
      </c>
      <c r="BK11" s="24" cm="1">
        <f t="array" ref="BK11">IF(BK$2="FY",SUMPRODUCT(Data_Nhập[Tổng Nhập-NX]*(Data_Nhập[Year]=BK$1)*(Data_Nhập[Main SKU name_GOM]=$A11)*(Data_Nhập[SKU name_NHẬP_GOM]=BK$3)),SUMPRODUCT(Data_Nhập[Tổng Nhập-NX]*(Data_Nhập[Year]=BK$1)*(Data_Nhập[Month]=BK$2)*(Data_Nhập[Main SKU name_GOM]=$A11)*(Data_Nhập[SKU name_NHẬP_GOM]=BK$3)))</f>
        <v>0</v>
      </c>
      <c r="BL11" s="24" cm="1">
        <f t="array" ref="BL11">IF(BL$2="FY",SUMPRODUCT(Data_Nhập[Tổng Nhập-NX]*(Data_Nhập[Year]=BL$1)*(Data_Nhập[Main SKU name_GOM]=$A11)*(Data_Nhập[SKU name_NHẬP_GOM]=BL$3)),SUMPRODUCT(Data_Nhập[Tổng Nhập-NX]*(Data_Nhập[Year]=BL$1)*(Data_Nhập[Month]=BL$2)*(Data_Nhập[Main SKU name_GOM]=$A11)*(Data_Nhập[SKU name_NHẬP_GOM]=BL$3)))</f>
        <v>0</v>
      </c>
      <c r="BM11" s="24" cm="1">
        <f t="array" ref="BM11">IF(BM$2="FY",SUMPRODUCT(Data_Nhập[Tổng Nhập-NX]*(Data_Nhập[Year]=BM$1)*(Data_Nhập[Main SKU name_GOM]=$A11)*(Data_Nhập[SKU name_NHẬP_GOM]=BM$3)),SUMPRODUCT(Data_Nhập[Tổng Nhập-NX]*(Data_Nhập[Year]=BM$1)*(Data_Nhập[Month]=BM$2)*(Data_Nhập[Main SKU name_GOM]=$A11)*(Data_Nhập[SKU name_NHẬP_GOM]=BM$3)))</f>
        <v>351750</v>
      </c>
      <c r="BN11" s="24" cm="1">
        <f t="array" ref="BN11">IF(BN$2="FY",SUMPRODUCT(Data_Nhập[Tổng Nhập-NX]*(Data_Nhập[Year]=BN$1)*(Data_Nhập[Main SKU name_GOM]=$A11)*(Data_Nhập[SKU name_NHẬP_GOM]=BN$3)),SUMPRODUCT(Data_Nhập[Tổng Nhập-NX]*(Data_Nhập[Year]=BN$1)*(Data_Nhập[Month]=BN$2)*(Data_Nhập[Main SKU name_GOM]=$A11)*(Data_Nhập[SKU name_NHẬP_GOM]=BN$3)))</f>
        <v>0</v>
      </c>
      <c r="BO11" s="24" cm="1">
        <f t="array" ref="BO11">IF(BO$2="FY",SUMPRODUCT(Data_Nhập[Tổng Nhập-NX]*(Data_Nhập[Year]=BO$1)*(Data_Nhập[Main SKU name_GOM]=$A11)*(Data_Nhập[SKU name_NHẬP_GOM]=BO$3)),SUMPRODUCT(Data_Nhập[Tổng Nhập-NX]*(Data_Nhập[Year]=BO$1)*(Data_Nhập[Month]=BO$2)*(Data_Nhập[Main SKU name_GOM]=$A11)*(Data_Nhập[SKU name_NHẬP_GOM]=BO$3)))</f>
        <v>0</v>
      </c>
      <c r="BP11" s="24" cm="1">
        <f t="array" ref="BP11">IF(BP$2="FY",SUMPRODUCT(Data_Nhập[Tổng Nhập-NX]*(Data_Nhập[Year]=BP$1)*(Data_Nhập[Main SKU name_GOM]=$A11)*(Data_Nhập[SKU name_NHẬP_GOM]=BP$3)),SUMPRODUCT(Data_Nhập[Tổng Nhập-NX]*(Data_Nhập[Year]=BP$1)*(Data_Nhập[Month]=BP$2)*(Data_Nhập[Main SKU name_GOM]=$A11)*(Data_Nhập[SKU name_NHẬP_GOM]=BP$3)))</f>
        <v>0</v>
      </c>
      <c r="BQ11" s="24" cm="1">
        <f t="array" ref="BQ11">IF(BQ$2="FY",SUMPRODUCT(Data_Nhập[Tổng Nhập-NX]*(Data_Nhập[Year]=BQ$1)*(Data_Nhập[Main SKU name_GOM]=$A11)*(Data_Nhập[SKU name_NHẬP_GOM]=BQ$3)),SUMPRODUCT(Data_Nhập[Tổng Nhập-NX]*(Data_Nhập[Year]=BQ$1)*(Data_Nhập[Month]=BQ$2)*(Data_Nhập[Main SKU name_GOM]=$A11)*(Data_Nhập[SKU name_NHẬP_GOM]=BQ$3)))</f>
        <v>0</v>
      </c>
      <c r="BR11" s="24" cm="1">
        <f t="array" ref="BR11">IF(BR$2="FY",SUMPRODUCT(Data_Nhập[Tổng Nhập-NX]*(Data_Nhập[Year]=BR$1)*(Data_Nhập[Main SKU name_GOM]=$A11)*(Data_Nhập[SKU name_NHẬP_GOM]=BR$3)),SUMPRODUCT(Data_Nhập[Tổng Nhập-NX]*(Data_Nhập[Year]=BR$1)*(Data_Nhập[Month]=BR$2)*(Data_Nhập[Main SKU name_GOM]=$A11)*(Data_Nhập[SKU name_NHẬP_GOM]=BR$3)))</f>
        <v>0</v>
      </c>
      <c r="BS11" s="24" cm="1">
        <f t="array" ref="BS11">IF(BS$2="FY",SUMPRODUCT(Data_Nhập[Tổng Nhập-NX]*(Data_Nhập[Year]=BS$1)*(Data_Nhập[Main SKU name_GOM]=$A11)*(Data_Nhập[SKU name_NHẬP_GOM]=BS$3)),SUMPRODUCT(Data_Nhập[Tổng Nhập-NX]*(Data_Nhập[Year]=BS$1)*(Data_Nhập[Month]=BS$2)*(Data_Nhập[Main SKU name_GOM]=$A11)*(Data_Nhập[SKU name_NHẬP_GOM]=BS$3)))</f>
        <v>0</v>
      </c>
      <c r="BT11" s="24" cm="1">
        <f t="array" ref="BT11">IF(BT$2="FY",SUMPRODUCT(Data_Nhập[Tổng Nhập-NX]*(Data_Nhập[Year]=BT$1)*(Data_Nhập[Main SKU name_GOM]=$A11)*(Data_Nhập[SKU name_NHẬP_GOM]=BT$3)),SUMPRODUCT(Data_Nhập[Tổng Nhập-NX]*(Data_Nhập[Year]=BT$1)*(Data_Nhập[Month]=BT$2)*(Data_Nhập[Main SKU name_GOM]=$A11)*(Data_Nhập[SKU name_NHẬP_GOM]=BT$3)))</f>
        <v>41688</v>
      </c>
      <c r="BU11" s="24" cm="1">
        <f t="array" ref="BU11">IF(BU$2="FY",SUMPRODUCT(Data_Nhập[Tổng Nhập-NX]*(Data_Nhập[Year]=BU$1)*(Data_Nhập[Main SKU name_GOM]=$A11)*(Data_Nhập[SKU name_NHẬP_GOM]=BU$3)),SUMPRODUCT(Data_Nhập[Tổng Nhập-NX]*(Data_Nhập[Year]=BU$1)*(Data_Nhập[Month]=BU$2)*(Data_Nhập[Main SKU name_GOM]=$A11)*(Data_Nhập[SKU name_NHẬP_GOM]=BU$3)))</f>
        <v>0</v>
      </c>
      <c r="BV11" s="25">
        <f t="shared" si="15"/>
        <v>393438</v>
      </c>
      <c r="BX11" s="25" cm="1">
        <f t="array" ref="BX11">IF(BX$2="FY",SUMPRODUCT(Data_Xuất[Xuất-NX]*(Data_Xuất[Year]=BX$1)*(Data_Xuất[Main SKU name_GOM]=$A11)),SUMPRODUCT(Data_Xuất[Xuất-NX]*(Data_Xuất[Year]=BX$1)*(Data_Xuất[Main SKU name_GOM]=$A11)*(Data_Xuất[Month]=BX$2)))</f>
        <v>155973</v>
      </c>
      <c r="BY11" s="24" cm="1">
        <f t="array" ref="BY11">IF(BY$2="FY",SUMPRODUCT(Data_Nhập[Tổng Nhập-NX]*(Data_Nhập[Year]=BY$1)*(Data_Nhập[Main SKU name_GOM]=$A11)*(Data_Nhập[SKU name_NHẬP_GOM]=BY$3)),SUMPRODUCT(Data_Nhập[Tổng Nhập-NX]*(Data_Nhập[Year]=BY$1)*(Data_Nhập[Month]=BY$2)*(Data_Nhập[Main SKU name_GOM]=$A11)*(Data_Nhập[SKU name_NHẬP_GOM]=BY$3)))</f>
        <v>0</v>
      </c>
      <c r="BZ11" s="24" cm="1">
        <f t="array" ref="BZ11">IF(BZ$2="FY",SUMPRODUCT(Data_Nhập[Tổng Nhập-NX]*(Data_Nhập[Year]=BZ$1)*(Data_Nhập[Main SKU name_GOM]=$A11)*(Data_Nhập[SKU name_NHẬP_GOM]=BZ$3)),SUMPRODUCT(Data_Nhập[Tổng Nhập-NX]*(Data_Nhập[Year]=BZ$1)*(Data_Nhập[Month]=BZ$2)*(Data_Nhập[Main SKU name_GOM]=$A11)*(Data_Nhập[SKU name_NHẬP_GOM]=BZ$3)))</f>
        <v>0</v>
      </c>
      <c r="CA11" s="24" cm="1">
        <f t="array" ref="CA11">IF(CA$2="FY",SUMPRODUCT(Data_Nhập[Tổng Nhập-NX]*(Data_Nhập[Year]=CA$1)*(Data_Nhập[Main SKU name_GOM]=$A11)*(Data_Nhập[SKU name_NHẬP_GOM]=CA$3)),SUMPRODUCT(Data_Nhập[Tổng Nhập-NX]*(Data_Nhập[Year]=CA$1)*(Data_Nhập[Month]=CA$2)*(Data_Nhập[Main SKU name_GOM]=$A11)*(Data_Nhập[SKU name_NHẬP_GOM]=CA$3)))</f>
        <v>0</v>
      </c>
      <c r="CB11" s="24" cm="1">
        <f t="array" ref="CB11">IF(CB$2="FY",SUMPRODUCT(Data_Nhập[Tổng Nhập-NX]*(Data_Nhập[Year]=CB$1)*(Data_Nhập[Main SKU name_GOM]=$A11)*(Data_Nhập[SKU name_NHẬP_GOM]=CB$3)),SUMPRODUCT(Data_Nhập[Tổng Nhập-NX]*(Data_Nhập[Year]=CB$1)*(Data_Nhập[Month]=CB$2)*(Data_Nhập[Main SKU name_GOM]=$A11)*(Data_Nhập[SKU name_NHẬP_GOM]=CB$3)))</f>
        <v>0</v>
      </c>
      <c r="CC11" s="24" cm="1">
        <f t="array" ref="CC11">IF(CC$2="FY",SUMPRODUCT(Data_Nhập[Tổng Nhập-NX]*(Data_Nhập[Year]=CC$1)*(Data_Nhập[Main SKU name_GOM]=$A11)*(Data_Nhập[SKU name_NHẬP_GOM]=CC$3)),SUMPRODUCT(Data_Nhập[Tổng Nhập-NX]*(Data_Nhập[Year]=CC$1)*(Data_Nhập[Month]=CC$2)*(Data_Nhập[Main SKU name_GOM]=$A11)*(Data_Nhập[SKU name_NHẬP_GOM]=CC$3)))</f>
        <v>0</v>
      </c>
      <c r="CD11" s="24" cm="1">
        <f t="array" ref="CD11">IF(CD$2="FY",SUMPRODUCT(Data_Nhập[Tổng Nhập-NX]*(Data_Nhập[Year]=CD$1)*(Data_Nhập[Main SKU name_GOM]=$A11)*(Data_Nhập[SKU name_NHẬP_GOM]=CD$3)),SUMPRODUCT(Data_Nhập[Tổng Nhập-NX]*(Data_Nhập[Year]=CD$1)*(Data_Nhập[Month]=CD$2)*(Data_Nhập[Main SKU name_GOM]=$A11)*(Data_Nhập[SKU name_NHẬP_GOM]=CD$3)))</f>
        <v>0</v>
      </c>
      <c r="CE11" s="24" cm="1">
        <f t="array" ref="CE11">IF(CE$2="FY",SUMPRODUCT(Data_Nhập[Tổng Nhập-NX]*(Data_Nhập[Year]=CE$1)*(Data_Nhập[Main SKU name_GOM]=$A11)*(Data_Nhập[SKU name_NHẬP_GOM]=CE$3)),SUMPRODUCT(Data_Nhập[Tổng Nhập-NX]*(Data_Nhập[Year]=CE$1)*(Data_Nhập[Month]=CE$2)*(Data_Nhập[Main SKU name_GOM]=$A11)*(Data_Nhập[SKU name_NHẬP_GOM]=CE$3)))</f>
        <v>140628</v>
      </c>
      <c r="CF11" s="24" cm="1">
        <f t="array" ref="CF11">IF(CF$2="FY",SUMPRODUCT(Data_Nhập[Tổng Nhập-NX]*(Data_Nhập[Year]=CF$1)*(Data_Nhập[Main SKU name_GOM]=$A11)*(Data_Nhập[SKU name_NHẬP_GOM]=CF$3)),SUMPRODUCT(Data_Nhập[Tổng Nhập-NX]*(Data_Nhập[Year]=CF$1)*(Data_Nhập[Month]=CF$2)*(Data_Nhập[Main SKU name_GOM]=$A11)*(Data_Nhập[SKU name_NHẬP_GOM]=CF$3)))</f>
        <v>3150</v>
      </c>
      <c r="CG11" s="24" cm="1">
        <f t="array" ref="CG11">IF(CG$2="FY",SUMPRODUCT(Data_Nhập[Tổng Nhập-NX]*(Data_Nhập[Year]=CG$1)*(Data_Nhập[Main SKU name_GOM]=$A11)*(Data_Nhập[SKU name_NHẬP_GOM]=CG$3)),SUMPRODUCT(Data_Nhập[Tổng Nhập-NX]*(Data_Nhập[Year]=CG$1)*(Data_Nhập[Month]=CG$2)*(Data_Nhập[Main SKU name_GOM]=$A11)*(Data_Nhập[SKU name_NHẬP_GOM]=CG$3)))</f>
        <v>0</v>
      </c>
      <c r="CH11" s="24" cm="1">
        <f t="array" ref="CH11">IF(CH$2="FY",SUMPRODUCT(Data_Nhập[Tổng Nhập-NX]*(Data_Nhập[Year]=CH$1)*(Data_Nhập[Main SKU name_GOM]=$A11)*(Data_Nhập[SKU name_NHẬP_GOM]=CH$3)),SUMPRODUCT(Data_Nhập[Tổng Nhập-NX]*(Data_Nhập[Year]=CH$1)*(Data_Nhập[Month]=CH$2)*(Data_Nhập[Main SKU name_GOM]=$A11)*(Data_Nhập[SKU name_NHẬP_GOM]=CH$3)))</f>
        <v>0</v>
      </c>
      <c r="CI11" s="24" cm="1">
        <f t="array" ref="CI11">IF(CI$2="FY",SUMPRODUCT(Data_Nhập[Tổng Nhập-NX]*(Data_Nhập[Year]=CI$1)*(Data_Nhập[Main SKU name_GOM]=$A11)*(Data_Nhập[SKU name_NHẬP_GOM]=CI$3)),SUMPRODUCT(Data_Nhập[Tổng Nhập-NX]*(Data_Nhập[Year]=CI$1)*(Data_Nhập[Month]=CI$2)*(Data_Nhập[Main SKU name_GOM]=$A11)*(Data_Nhập[SKU name_NHẬP_GOM]=CI$3)))</f>
        <v>0</v>
      </c>
      <c r="CJ11" s="24" cm="1">
        <f t="array" ref="CJ11">IF(CJ$2="FY",SUMPRODUCT(Data_Nhập[Tổng Nhập-NX]*(Data_Nhập[Year]=CJ$1)*(Data_Nhập[Main SKU name_GOM]=$A11)*(Data_Nhập[SKU name_NHẬP_GOM]=CJ$3)),SUMPRODUCT(Data_Nhập[Tổng Nhập-NX]*(Data_Nhập[Year]=CJ$1)*(Data_Nhập[Month]=CJ$2)*(Data_Nhập[Main SKU name_GOM]=$A11)*(Data_Nhập[SKU name_NHẬP_GOM]=CJ$3)))</f>
        <v>0</v>
      </c>
      <c r="CK11" s="24" cm="1">
        <f t="array" ref="CK11">IF(CK$2="FY",SUMPRODUCT(Data_Nhập[Tổng Nhập-NX]*(Data_Nhập[Year]=CK$1)*(Data_Nhập[Main SKU name_GOM]=$A11)*(Data_Nhập[SKU name_NHẬP_GOM]=CK$3)),SUMPRODUCT(Data_Nhập[Tổng Nhập-NX]*(Data_Nhập[Year]=CK$1)*(Data_Nhập[Month]=CK$2)*(Data_Nhập[Main SKU name_GOM]=$A11)*(Data_Nhập[SKU name_NHẬP_GOM]=CK$3)))</f>
        <v>0</v>
      </c>
      <c r="CL11" s="24" cm="1">
        <f t="array" ref="CL11">IF(CL$2="FY",SUMPRODUCT(Data_Nhập[Tổng Nhập-NX]*(Data_Nhập[Year]=CL$1)*(Data_Nhập[Main SKU name_GOM]=$A11)*(Data_Nhập[SKU name_NHẬP_GOM]=CL$3)),SUMPRODUCT(Data_Nhập[Tổng Nhập-NX]*(Data_Nhập[Year]=CL$1)*(Data_Nhập[Month]=CL$2)*(Data_Nhập[Main SKU name_GOM]=$A11)*(Data_Nhập[SKU name_NHẬP_GOM]=CL$3)))</f>
        <v>10580</v>
      </c>
      <c r="CM11" s="24" cm="1">
        <f t="array" ref="CM11">IF(CM$2="FY",SUMPRODUCT(Data_Nhập[Tổng Nhập-NX]*(Data_Nhập[Year]=CM$1)*(Data_Nhập[Main SKU name_GOM]=$A11)*(Data_Nhập[SKU name_NHẬP_GOM]=CM$3)),SUMPRODUCT(Data_Nhập[Tổng Nhập-NX]*(Data_Nhập[Year]=CM$1)*(Data_Nhập[Month]=CM$2)*(Data_Nhập[Main SKU name_GOM]=$A11)*(Data_Nhập[SKU name_NHẬP_GOM]=CM$3)))</f>
        <v>0</v>
      </c>
      <c r="CN11" s="25">
        <f t="shared" si="16"/>
        <v>154358</v>
      </c>
      <c r="CP11" s="25" cm="1">
        <f t="array" ref="CP11">IF(CP$2="FY",SUMPRODUCT(Data_Xuất[Xuất-NX]*(Data_Xuất[Year]=CP$1)*(Data_Xuất[Main SKU name_GOM]=$A11)),SUMPRODUCT(Data_Xuất[Xuất-NX]*(Data_Xuất[Year]=CP$1)*(Data_Xuất[Main SKU name_GOM]=$A11)*(Data_Xuất[Month]=CP$2)))</f>
        <v>86210</v>
      </c>
      <c r="CQ11" s="24" cm="1">
        <f t="array" ref="CQ11">IF(CQ$2="FY",SUMPRODUCT(Data_Nhập[Tổng Nhập-NX]*(Data_Nhập[Year]=CQ$1)*(Data_Nhập[Main SKU name_GOM]=$A11)*(Data_Nhập[SKU name_NHẬP_GOM]=CQ$3)),SUMPRODUCT(Data_Nhập[Tổng Nhập-NX]*(Data_Nhập[Year]=CQ$1)*(Data_Nhập[Month]=CQ$2)*(Data_Nhập[Main SKU name_GOM]=$A11)*(Data_Nhập[SKU name_NHẬP_GOM]=CQ$3)))</f>
        <v>0</v>
      </c>
      <c r="CR11" s="24" cm="1">
        <f t="array" ref="CR11">IF(CR$2="FY",SUMPRODUCT(Data_Nhập[Tổng Nhập-NX]*(Data_Nhập[Year]=CR$1)*(Data_Nhập[Main SKU name_GOM]=$A11)*(Data_Nhập[SKU name_NHẬP_GOM]=CR$3)),SUMPRODUCT(Data_Nhập[Tổng Nhập-NX]*(Data_Nhập[Year]=CR$1)*(Data_Nhập[Month]=CR$2)*(Data_Nhập[Main SKU name_GOM]=$A11)*(Data_Nhập[SKU name_NHẬP_GOM]=CR$3)))</f>
        <v>0</v>
      </c>
      <c r="CS11" s="24" cm="1">
        <f t="array" ref="CS11">IF(CS$2="FY",SUMPRODUCT(Data_Nhập[Tổng Nhập-NX]*(Data_Nhập[Year]=CS$1)*(Data_Nhập[Main SKU name_GOM]=$A11)*(Data_Nhập[SKU name_NHẬP_GOM]=CS$3)),SUMPRODUCT(Data_Nhập[Tổng Nhập-NX]*(Data_Nhập[Year]=CS$1)*(Data_Nhập[Month]=CS$2)*(Data_Nhập[Main SKU name_GOM]=$A11)*(Data_Nhập[SKU name_NHẬP_GOM]=CS$3)))</f>
        <v>0</v>
      </c>
      <c r="CT11" s="24" cm="1">
        <f t="array" ref="CT11">IF(CT$2="FY",SUMPRODUCT(Data_Nhập[Tổng Nhập-NX]*(Data_Nhập[Year]=CT$1)*(Data_Nhập[Main SKU name_GOM]=$A11)*(Data_Nhập[SKU name_NHẬP_GOM]=CT$3)),SUMPRODUCT(Data_Nhập[Tổng Nhập-NX]*(Data_Nhập[Year]=CT$1)*(Data_Nhập[Month]=CT$2)*(Data_Nhập[Main SKU name_GOM]=$A11)*(Data_Nhập[SKU name_NHẬP_GOM]=CT$3)))</f>
        <v>0</v>
      </c>
      <c r="CU11" s="24" cm="1">
        <f t="array" ref="CU11">IF(CU$2="FY",SUMPRODUCT(Data_Nhập[Tổng Nhập-NX]*(Data_Nhập[Year]=CU$1)*(Data_Nhập[Main SKU name_GOM]=$A11)*(Data_Nhập[SKU name_NHẬP_GOM]=CU$3)),SUMPRODUCT(Data_Nhập[Tổng Nhập-NX]*(Data_Nhập[Year]=CU$1)*(Data_Nhập[Month]=CU$2)*(Data_Nhập[Main SKU name_GOM]=$A11)*(Data_Nhập[SKU name_NHẬP_GOM]=CU$3)))</f>
        <v>0</v>
      </c>
      <c r="CV11" s="24" cm="1">
        <f t="array" ref="CV11">IF(CV$2="FY",SUMPRODUCT(Data_Nhập[Tổng Nhập-NX]*(Data_Nhập[Year]=CV$1)*(Data_Nhập[Main SKU name_GOM]=$A11)*(Data_Nhập[SKU name_NHẬP_GOM]=CV$3)),SUMPRODUCT(Data_Nhập[Tổng Nhập-NX]*(Data_Nhập[Year]=CV$1)*(Data_Nhập[Month]=CV$2)*(Data_Nhập[Main SKU name_GOM]=$A11)*(Data_Nhập[SKU name_NHẬP_GOM]=CV$3)))</f>
        <v>0</v>
      </c>
      <c r="CW11" s="24" cm="1">
        <f t="array" ref="CW11">IF(CW$2="FY",SUMPRODUCT(Data_Nhập[Tổng Nhập-NX]*(Data_Nhập[Year]=CW$1)*(Data_Nhập[Main SKU name_GOM]=$A11)*(Data_Nhập[SKU name_NHẬP_GOM]=CW$3)),SUMPRODUCT(Data_Nhập[Tổng Nhập-NX]*(Data_Nhập[Year]=CW$1)*(Data_Nhập[Month]=CW$2)*(Data_Nhập[Main SKU name_GOM]=$A11)*(Data_Nhập[SKU name_NHẬP_GOM]=CW$3)))</f>
        <v>75150</v>
      </c>
      <c r="CX11" s="24" cm="1">
        <f t="array" ref="CX11">IF(CX$2="FY",SUMPRODUCT(Data_Nhập[Tổng Nhập-NX]*(Data_Nhập[Year]=CX$1)*(Data_Nhập[Main SKU name_GOM]=$A11)*(Data_Nhập[SKU name_NHẬP_GOM]=CX$3)),SUMPRODUCT(Data_Nhập[Tổng Nhập-NX]*(Data_Nhập[Year]=CX$1)*(Data_Nhập[Month]=CX$2)*(Data_Nhập[Main SKU name_GOM]=$A11)*(Data_Nhập[SKU name_NHẬP_GOM]=CX$3)))</f>
        <v>1050</v>
      </c>
      <c r="CY11" s="24" cm="1">
        <f t="array" ref="CY11">IF(CY$2="FY",SUMPRODUCT(Data_Nhập[Tổng Nhập-NX]*(Data_Nhập[Year]=CY$1)*(Data_Nhập[Main SKU name_GOM]=$A11)*(Data_Nhập[SKU name_NHẬP_GOM]=CY$3)),SUMPRODUCT(Data_Nhập[Tổng Nhập-NX]*(Data_Nhập[Year]=CY$1)*(Data_Nhập[Month]=CY$2)*(Data_Nhập[Main SKU name_GOM]=$A11)*(Data_Nhập[SKU name_NHẬP_GOM]=CY$3)))</f>
        <v>0</v>
      </c>
      <c r="CZ11" s="24" cm="1">
        <f t="array" ref="CZ11">IF(CZ$2="FY",SUMPRODUCT(Data_Nhập[Tổng Nhập-NX]*(Data_Nhập[Year]=CZ$1)*(Data_Nhập[Main SKU name_GOM]=$A11)*(Data_Nhập[SKU name_NHẬP_GOM]=CZ$3)),SUMPRODUCT(Data_Nhập[Tổng Nhập-NX]*(Data_Nhập[Year]=CZ$1)*(Data_Nhập[Month]=CZ$2)*(Data_Nhập[Main SKU name_GOM]=$A11)*(Data_Nhập[SKU name_NHẬP_GOM]=CZ$3)))</f>
        <v>0</v>
      </c>
      <c r="DA11" s="24" cm="1">
        <f t="array" ref="DA11">IF(DA$2="FY",SUMPRODUCT(Data_Nhập[Tổng Nhập-NX]*(Data_Nhập[Year]=DA$1)*(Data_Nhập[Main SKU name_GOM]=$A11)*(Data_Nhập[SKU name_NHẬP_GOM]=DA$3)),SUMPRODUCT(Data_Nhập[Tổng Nhập-NX]*(Data_Nhập[Year]=DA$1)*(Data_Nhập[Month]=DA$2)*(Data_Nhập[Main SKU name_GOM]=$A11)*(Data_Nhập[SKU name_NHẬP_GOM]=DA$3)))</f>
        <v>0</v>
      </c>
      <c r="DB11" s="24" cm="1">
        <f t="array" ref="DB11">IF(DB$2="FY",SUMPRODUCT(Data_Nhập[Tổng Nhập-NX]*(Data_Nhập[Year]=DB$1)*(Data_Nhập[Main SKU name_GOM]=$A11)*(Data_Nhập[SKU name_NHẬP_GOM]=DB$3)),SUMPRODUCT(Data_Nhập[Tổng Nhập-NX]*(Data_Nhập[Year]=DB$1)*(Data_Nhập[Month]=DB$2)*(Data_Nhập[Main SKU name_GOM]=$A11)*(Data_Nhập[SKU name_NHẬP_GOM]=DB$3)))</f>
        <v>0</v>
      </c>
      <c r="DC11" s="24" cm="1">
        <f t="array" ref="DC11">IF(DC$2="FY",SUMPRODUCT(Data_Nhập[Tổng Nhập-NX]*(Data_Nhập[Year]=DC$1)*(Data_Nhập[Main SKU name_GOM]=$A11)*(Data_Nhập[SKU name_NHẬP_GOM]=DC$3)),SUMPRODUCT(Data_Nhập[Tổng Nhập-NX]*(Data_Nhập[Year]=DC$1)*(Data_Nhập[Month]=DC$2)*(Data_Nhập[Main SKU name_GOM]=$A11)*(Data_Nhập[SKU name_NHẬP_GOM]=DC$3)))</f>
        <v>0</v>
      </c>
      <c r="DD11" s="24" cm="1">
        <f t="array" ref="DD11">IF(DD$2="FY",SUMPRODUCT(Data_Nhập[Tổng Nhập-NX]*(Data_Nhập[Year]=DD$1)*(Data_Nhập[Main SKU name_GOM]=$A11)*(Data_Nhập[SKU name_NHẬP_GOM]=DD$3)),SUMPRODUCT(Data_Nhập[Tổng Nhập-NX]*(Data_Nhập[Year]=DD$1)*(Data_Nhập[Month]=DD$2)*(Data_Nhập[Main SKU name_GOM]=$A11)*(Data_Nhập[SKU name_NHẬP_GOM]=DD$3)))</f>
        <v>9904</v>
      </c>
      <c r="DE11" s="24" cm="1">
        <f t="array" ref="DE11">IF(DE$2="FY",SUMPRODUCT(Data_Nhập[Tổng Nhập-NX]*(Data_Nhập[Year]=DE$1)*(Data_Nhập[Main SKU name_GOM]=$A11)*(Data_Nhập[SKU name_NHẬP_GOM]=DE$3)),SUMPRODUCT(Data_Nhập[Tổng Nhập-NX]*(Data_Nhập[Year]=DE$1)*(Data_Nhập[Month]=DE$2)*(Data_Nhập[Main SKU name_GOM]=$A11)*(Data_Nhập[SKU name_NHẬP_GOM]=DE$3)))</f>
        <v>0</v>
      </c>
      <c r="DF11" s="25">
        <f t="shared" si="17"/>
        <v>86104</v>
      </c>
      <c r="DH11" s="25" cm="1">
        <f t="array" ref="DH11">IF(DH$2="FY",SUMPRODUCT(Data_Xuất[Xuất-NX]*(Data_Xuất[Year]=DH$1)*(Data_Xuất[Main SKU name_GOM]=$A11)),SUMPRODUCT(Data_Xuất[Xuất-NX]*(Data_Xuất[Year]=DH$1)*(Data_Xuất[Main SKU name_GOM]=$A11)*(Data_Xuất[Month]=DH$2)))</f>
        <v>68950</v>
      </c>
      <c r="DI11" s="24" cm="1">
        <f t="array" ref="DI11">IF(DI$2="FY",SUMPRODUCT(Data_Nhập[Tổng Nhập-NX]*(Data_Nhập[Year]=DI$1)*(Data_Nhập[Main SKU name_GOM]=$A11)*(Data_Nhập[SKU name_NHẬP_GOM]=DI$3)),SUMPRODUCT(Data_Nhập[Tổng Nhập-NX]*(Data_Nhập[Year]=DI$1)*(Data_Nhập[Month]=DI$2)*(Data_Nhập[Main SKU name_GOM]=$A11)*(Data_Nhập[SKU name_NHẬP_GOM]=DI$3)))</f>
        <v>0</v>
      </c>
      <c r="DJ11" s="24" cm="1">
        <f t="array" ref="DJ11">IF(DJ$2="FY",SUMPRODUCT(Data_Nhập[Tổng Nhập-NX]*(Data_Nhập[Year]=DJ$1)*(Data_Nhập[Main SKU name_GOM]=$A11)*(Data_Nhập[SKU name_NHẬP_GOM]=DJ$3)),SUMPRODUCT(Data_Nhập[Tổng Nhập-NX]*(Data_Nhập[Year]=DJ$1)*(Data_Nhập[Month]=DJ$2)*(Data_Nhập[Main SKU name_GOM]=$A11)*(Data_Nhập[SKU name_NHẬP_GOM]=DJ$3)))</f>
        <v>0</v>
      </c>
      <c r="DK11" s="24" cm="1">
        <f t="array" ref="DK11">IF(DK$2="FY",SUMPRODUCT(Data_Nhập[Tổng Nhập-NX]*(Data_Nhập[Year]=DK$1)*(Data_Nhập[Main SKU name_GOM]=$A11)*(Data_Nhập[SKU name_NHẬP_GOM]=DK$3)),SUMPRODUCT(Data_Nhập[Tổng Nhập-NX]*(Data_Nhập[Year]=DK$1)*(Data_Nhập[Month]=DK$2)*(Data_Nhập[Main SKU name_GOM]=$A11)*(Data_Nhập[SKU name_NHẬP_GOM]=DK$3)))</f>
        <v>0</v>
      </c>
      <c r="DL11" s="24" cm="1">
        <f t="array" ref="DL11">IF(DL$2="FY",SUMPRODUCT(Data_Nhập[Tổng Nhập-NX]*(Data_Nhập[Year]=DL$1)*(Data_Nhập[Main SKU name_GOM]=$A11)*(Data_Nhập[SKU name_NHẬP_GOM]=DL$3)),SUMPRODUCT(Data_Nhập[Tổng Nhập-NX]*(Data_Nhập[Year]=DL$1)*(Data_Nhập[Month]=DL$2)*(Data_Nhập[Main SKU name_GOM]=$A11)*(Data_Nhập[SKU name_NHẬP_GOM]=DL$3)))</f>
        <v>0</v>
      </c>
      <c r="DM11" s="24" cm="1">
        <f t="array" ref="DM11">IF(DM$2="FY",SUMPRODUCT(Data_Nhập[Tổng Nhập-NX]*(Data_Nhập[Year]=DM$1)*(Data_Nhập[Main SKU name_GOM]=$A11)*(Data_Nhập[SKU name_NHẬP_GOM]=DM$3)),SUMPRODUCT(Data_Nhập[Tổng Nhập-NX]*(Data_Nhập[Year]=DM$1)*(Data_Nhập[Month]=DM$2)*(Data_Nhập[Main SKU name_GOM]=$A11)*(Data_Nhập[SKU name_NHẬP_GOM]=DM$3)))</f>
        <v>0</v>
      </c>
      <c r="DN11" s="24" cm="1">
        <f t="array" ref="DN11">IF(DN$2="FY",SUMPRODUCT(Data_Nhập[Tổng Nhập-NX]*(Data_Nhập[Year]=DN$1)*(Data_Nhập[Main SKU name_GOM]=$A11)*(Data_Nhập[SKU name_NHẬP_GOM]=DN$3)),SUMPRODUCT(Data_Nhập[Tổng Nhập-NX]*(Data_Nhập[Year]=DN$1)*(Data_Nhập[Month]=DN$2)*(Data_Nhập[Main SKU name_GOM]=$A11)*(Data_Nhập[SKU name_NHẬP_GOM]=DN$3)))</f>
        <v>0</v>
      </c>
      <c r="DO11" s="24" cm="1">
        <f t="array" ref="DO11">IF(DO$2="FY",SUMPRODUCT(Data_Nhập[Tổng Nhập-NX]*(Data_Nhập[Year]=DO$1)*(Data_Nhập[Main SKU name_GOM]=$A11)*(Data_Nhập[SKU name_NHẬP_GOM]=DO$3)),SUMPRODUCT(Data_Nhập[Tổng Nhập-NX]*(Data_Nhập[Year]=DO$1)*(Data_Nhập[Month]=DO$2)*(Data_Nhập[Main SKU name_GOM]=$A11)*(Data_Nhập[SKU name_NHẬP_GOM]=DO$3)))</f>
        <v>64408</v>
      </c>
      <c r="DP11" s="24" cm="1">
        <f t="array" ref="DP11">IF(DP$2="FY",SUMPRODUCT(Data_Nhập[Tổng Nhập-NX]*(Data_Nhập[Year]=DP$1)*(Data_Nhập[Main SKU name_GOM]=$A11)*(Data_Nhập[SKU name_NHẬP_GOM]=DP$3)),SUMPRODUCT(Data_Nhập[Tổng Nhập-NX]*(Data_Nhập[Year]=DP$1)*(Data_Nhập[Month]=DP$2)*(Data_Nhập[Main SKU name_GOM]=$A11)*(Data_Nhập[SKU name_NHẬP_GOM]=DP$3)))</f>
        <v>0</v>
      </c>
      <c r="DQ11" s="24" cm="1">
        <f t="array" ref="DQ11">IF(DQ$2="FY",SUMPRODUCT(Data_Nhập[Tổng Nhập-NX]*(Data_Nhập[Year]=DQ$1)*(Data_Nhập[Main SKU name_GOM]=$A11)*(Data_Nhập[SKU name_NHẬP_GOM]=DQ$3)),SUMPRODUCT(Data_Nhập[Tổng Nhập-NX]*(Data_Nhập[Year]=DQ$1)*(Data_Nhập[Month]=DQ$2)*(Data_Nhập[Main SKU name_GOM]=$A11)*(Data_Nhập[SKU name_NHẬP_GOM]=DQ$3)))</f>
        <v>0</v>
      </c>
      <c r="DR11" s="24" cm="1">
        <f t="array" ref="DR11">IF(DR$2="FY",SUMPRODUCT(Data_Nhập[Tổng Nhập-NX]*(Data_Nhập[Year]=DR$1)*(Data_Nhập[Main SKU name_GOM]=$A11)*(Data_Nhập[SKU name_NHẬP_GOM]=DR$3)),SUMPRODUCT(Data_Nhập[Tổng Nhập-NX]*(Data_Nhập[Year]=DR$1)*(Data_Nhập[Month]=DR$2)*(Data_Nhập[Main SKU name_GOM]=$A11)*(Data_Nhập[SKU name_NHẬP_GOM]=DR$3)))</f>
        <v>0</v>
      </c>
      <c r="DS11" s="24" cm="1">
        <f t="array" ref="DS11">IF(DS$2="FY",SUMPRODUCT(Data_Nhập[Tổng Nhập-NX]*(Data_Nhập[Year]=DS$1)*(Data_Nhập[Main SKU name_GOM]=$A11)*(Data_Nhập[SKU name_NHẬP_GOM]=DS$3)),SUMPRODUCT(Data_Nhập[Tổng Nhập-NX]*(Data_Nhập[Year]=DS$1)*(Data_Nhập[Month]=DS$2)*(Data_Nhập[Main SKU name_GOM]=$A11)*(Data_Nhập[SKU name_NHẬP_GOM]=DS$3)))</f>
        <v>0</v>
      </c>
      <c r="DT11" s="24" cm="1">
        <f t="array" ref="DT11">IF(DT$2="FY",SUMPRODUCT(Data_Nhập[Tổng Nhập-NX]*(Data_Nhập[Year]=DT$1)*(Data_Nhập[Main SKU name_GOM]=$A11)*(Data_Nhập[SKU name_NHẬP_GOM]=DT$3)),SUMPRODUCT(Data_Nhập[Tổng Nhập-NX]*(Data_Nhập[Year]=DT$1)*(Data_Nhập[Month]=DT$2)*(Data_Nhập[Main SKU name_GOM]=$A11)*(Data_Nhập[SKU name_NHẬP_GOM]=DT$3)))</f>
        <v>0</v>
      </c>
      <c r="DU11" s="24" cm="1">
        <f t="array" ref="DU11">IF(DU$2="FY",SUMPRODUCT(Data_Nhập[Tổng Nhập-NX]*(Data_Nhập[Year]=DU$1)*(Data_Nhập[Main SKU name_GOM]=$A11)*(Data_Nhập[SKU name_NHẬP_GOM]=DU$3)),SUMPRODUCT(Data_Nhập[Tổng Nhập-NX]*(Data_Nhập[Year]=DU$1)*(Data_Nhập[Month]=DU$2)*(Data_Nhập[Main SKU name_GOM]=$A11)*(Data_Nhập[SKU name_NHẬP_GOM]=DU$3)))</f>
        <v>0</v>
      </c>
      <c r="DV11" s="24" cm="1">
        <f t="array" ref="DV11">IF(DV$2="FY",SUMPRODUCT(Data_Nhập[Tổng Nhập-NX]*(Data_Nhập[Year]=DV$1)*(Data_Nhập[Main SKU name_GOM]=$A11)*(Data_Nhập[SKU name_NHẬP_GOM]=DV$3)),SUMPRODUCT(Data_Nhập[Tổng Nhập-NX]*(Data_Nhập[Year]=DV$1)*(Data_Nhập[Month]=DV$2)*(Data_Nhập[Main SKU name_GOM]=$A11)*(Data_Nhập[SKU name_NHẬP_GOM]=DV$3)))</f>
        <v>3710</v>
      </c>
      <c r="DW11" s="24" cm="1">
        <f t="array" ref="DW11">IF(DW$2="FY",SUMPRODUCT(Data_Nhập[Tổng Nhập-NX]*(Data_Nhập[Year]=DW$1)*(Data_Nhập[Main SKU name_GOM]=$A11)*(Data_Nhập[SKU name_NHẬP_GOM]=DW$3)),SUMPRODUCT(Data_Nhập[Tổng Nhập-NX]*(Data_Nhập[Year]=DW$1)*(Data_Nhập[Month]=DW$2)*(Data_Nhập[Main SKU name_GOM]=$A11)*(Data_Nhập[SKU name_NHẬP_GOM]=DW$3)))</f>
        <v>0</v>
      </c>
      <c r="DX11" s="25">
        <f t="shared" si="18"/>
        <v>68118</v>
      </c>
      <c r="DZ11" s="25" cm="1">
        <f t="array" ref="DZ11">IF(DZ$2="FY",SUMPRODUCT(Data_Xuất[Xuất-NX]*(Data_Xuất[Year]=DZ$1)*(Data_Xuất[Main SKU name_GOM]=$A11)),SUMPRODUCT(Data_Xuất[Xuất-NX]*(Data_Xuất[Year]=DZ$1)*(Data_Xuất[Main SKU name_GOM]=$A11)*(Data_Xuất[Month]=DZ$2)))</f>
        <v>243950.00000000003</v>
      </c>
      <c r="EA11" s="24" cm="1">
        <f t="array" ref="EA11">IF(EA$2="FY",SUMPRODUCT(Data_Nhập[Tổng Nhập-NX]*(Data_Nhập[Year]=EA$1)*(Data_Nhập[Main SKU name_GOM]=$A11)*(Data_Nhập[SKU name_NHẬP_GOM]=EA$3)),SUMPRODUCT(Data_Nhập[Tổng Nhập-NX]*(Data_Nhập[Year]=EA$1)*(Data_Nhập[Month]=EA$2)*(Data_Nhập[Main SKU name_GOM]=$A11)*(Data_Nhập[SKU name_NHẬP_GOM]=EA$3)))</f>
        <v>0</v>
      </c>
      <c r="EB11" s="24" cm="1">
        <f t="array" ref="EB11">IF(EB$2="FY",SUMPRODUCT(Data_Nhập[Tổng Nhập-NX]*(Data_Nhập[Year]=EB$1)*(Data_Nhập[Main SKU name_GOM]=$A11)*(Data_Nhập[SKU name_NHẬP_GOM]=EB$3)),SUMPRODUCT(Data_Nhập[Tổng Nhập-NX]*(Data_Nhập[Year]=EB$1)*(Data_Nhập[Month]=EB$2)*(Data_Nhập[Main SKU name_GOM]=$A11)*(Data_Nhập[SKU name_NHẬP_GOM]=EB$3)))</f>
        <v>0</v>
      </c>
      <c r="EC11" s="24" cm="1">
        <f t="array" ref="EC11">IF(EC$2="FY",SUMPRODUCT(Data_Nhập[Tổng Nhập-NX]*(Data_Nhập[Year]=EC$1)*(Data_Nhập[Main SKU name_GOM]=$A11)*(Data_Nhập[SKU name_NHẬP_GOM]=EC$3)),SUMPRODUCT(Data_Nhập[Tổng Nhập-NX]*(Data_Nhập[Year]=EC$1)*(Data_Nhập[Month]=EC$2)*(Data_Nhập[Main SKU name_GOM]=$A11)*(Data_Nhập[SKU name_NHẬP_GOM]=EC$3)))</f>
        <v>0</v>
      </c>
      <c r="ED11" s="24" cm="1">
        <f t="array" ref="ED11">IF(ED$2="FY",SUMPRODUCT(Data_Nhập[Tổng Nhập-NX]*(Data_Nhập[Year]=ED$1)*(Data_Nhập[Main SKU name_GOM]=$A11)*(Data_Nhập[SKU name_NHẬP_GOM]=ED$3)),SUMPRODUCT(Data_Nhập[Tổng Nhập-NX]*(Data_Nhập[Year]=ED$1)*(Data_Nhập[Month]=ED$2)*(Data_Nhập[Main SKU name_GOM]=$A11)*(Data_Nhập[SKU name_NHẬP_GOM]=ED$3)))</f>
        <v>0</v>
      </c>
      <c r="EE11" s="24" cm="1">
        <f t="array" ref="EE11">IF(EE$2="FY",SUMPRODUCT(Data_Nhập[Tổng Nhập-NX]*(Data_Nhập[Year]=EE$1)*(Data_Nhập[Main SKU name_GOM]=$A11)*(Data_Nhập[SKU name_NHẬP_GOM]=EE$3)),SUMPRODUCT(Data_Nhập[Tổng Nhập-NX]*(Data_Nhập[Year]=EE$1)*(Data_Nhập[Month]=EE$2)*(Data_Nhập[Main SKU name_GOM]=$A11)*(Data_Nhập[SKU name_NHẬP_GOM]=EE$3)))</f>
        <v>0</v>
      </c>
      <c r="EF11" s="24" cm="1">
        <f t="array" ref="EF11">IF(EF$2="FY",SUMPRODUCT(Data_Nhập[Tổng Nhập-NX]*(Data_Nhập[Year]=EF$1)*(Data_Nhập[Main SKU name_GOM]=$A11)*(Data_Nhập[SKU name_NHẬP_GOM]=EF$3)),SUMPRODUCT(Data_Nhập[Tổng Nhập-NX]*(Data_Nhập[Year]=EF$1)*(Data_Nhập[Month]=EF$2)*(Data_Nhập[Main SKU name_GOM]=$A11)*(Data_Nhập[SKU name_NHẬP_GOM]=EF$3)))</f>
        <v>0</v>
      </c>
      <c r="EG11" s="24" cm="1">
        <f t="array" ref="EG11">IF(EG$2="FY",SUMPRODUCT(Data_Nhập[Tổng Nhập-NX]*(Data_Nhập[Year]=EG$1)*(Data_Nhập[Main SKU name_GOM]=$A11)*(Data_Nhập[SKU name_NHẬP_GOM]=EG$3)),SUMPRODUCT(Data_Nhập[Tổng Nhập-NX]*(Data_Nhập[Year]=EG$1)*(Data_Nhập[Month]=EG$2)*(Data_Nhập[Main SKU name_GOM]=$A11)*(Data_Nhập[SKU name_NHẬP_GOM]=EG$3)))</f>
        <v>194700</v>
      </c>
      <c r="EH11" s="24" cm="1">
        <f t="array" ref="EH11">IF(EH$2="FY",SUMPRODUCT(Data_Nhập[Tổng Nhập-NX]*(Data_Nhập[Year]=EH$1)*(Data_Nhập[Main SKU name_GOM]=$A11)*(Data_Nhập[SKU name_NHẬP_GOM]=EH$3)),SUMPRODUCT(Data_Nhập[Tổng Nhập-NX]*(Data_Nhập[Year]=EH$1)*(Data_Nhập[Month]=EH$2)*(Data_Nhập[Main SKU name_GOM]=$A11)*(Data_Nhập[SKU name_NHẬP_GOM]=EH$3)))</f>
        <v>17850</v>
      </c>
      <c r="EI11" s="24" cm="1">
        <f t="array" ref="EI11">IF(EI$2="FY",SUMPRODUCT(Data_Nhập[Tổng Nhập-NX]*(Data_Nhập[Year]=EI$1)*(Data_Nhập[Main SKU name_GOM]=$A11)*(Data_Nhập[SKU name_NHẬP_GOM]=EI$3)),SUMPRODUCT(Data_Nhập[Tổng Nhập-NX]*(Data_Nhập[Year]=EI$1)*(Data_Nhập[Month]=EI$2)*(Data_Nhập[Main SKU name_GOM]=$A11)*(Data_Nhập[SKU name_NHẬP_GOM]=EI$3)))</f>
        <v>0</v>
      </c>
      <c r="EJ11" s="24" cm="1">
        <f t="array" ref="EJ11">IF(EJ$2="FY",SUMPRODUCT(Data_Nhập[Tổng Nhập-NX]*(Data_Nhập[Year]=EJ$1)*(Data_Nhập[Main SKU name_GOM]=$A11)*(Data_Nhập[SKU name_NHẬP_GOM]=EJ$3)),SUMPRODUCT(Data_Nhập[Tổng Nhập-NX]*(Data_Nhập[Year]=EJ$1)*(Data_Nhập[Month]=EJ$2)*(Data_Nhập[Main SKU name_GOM]=$A11)*(Data_Nhập[SKU name_NHẬP_GOM]=EJ$3)))</f>
        <v>0</v>
      </c>
      <c r="EK11" s="24" cm="1">
        <f t="array" ref="EK11">IF(EK$2="FY",SUMPRODUCT(Data_Nhập[Tổng Nhập-NX]*(Data_Nhập[Year]=EK$1)*(Data_Nhập[Main SKU name_GOM]=$A11)*(Data_Nhập[SKU name_NHẬP_GOM]=EK$3)),SUMPRODUCT(Data_Nhập[Tổng Nhập-NX]*(Data_Nhập[Year]=EK$1)*(Data_Nhập[Month]=EK$2)*(Data_Nhập[Main SKU name_GOM]=$A11)*(Data_Nhập[SKU name_NHẬP_GOM]=EK$3)))</f>
        <v>0</v>
      </c>
      <c r="EL11" s="24" cm="1">
        <f t="array" ref="EL11">IF(EL$2="FY",SUMPRODUCT(Data_Nhập[Tổng Nhập-NX]*(Data_Nhập[Year]=EL$1)*(Data_Nhập[Main SKU name_GOM]=$A11)*(Data_Nhập[SKU name_NHẬP_GOM]=EL$3)),SUMPRODUCT(Data_Nhập[Tổng Nhập-NX]*(Data_Nhập[Year]=EL$1)*(Data_Nhập[Month]=EL$2)*(Data_Nhập[Main SKU name_GOM]=$A11)*(Data_Nhập[SKU name_NHẬP_GOM]=EL$3)))</f>
        <v>0</v>
      </c>
      <c r="EM11" s="24" cm="1">
        <f t="array" ref="EM11">IF(EM$2="FY",SUMPRODUCT(Data_Nhập[Tổng Nhập-NX]*(Data_Nhập[Year]=EM$1)*(Data_Nhập[Main SKU name_GOM]=$A11)*(Data_Nhập[SKU name_NHẬP_GOM]=EM$3)),SUMPRODUCT(Data_Nhập[Tổng Nhập-NX]*(Data_Nhập[Year]=EM$1)*(Data_Nhập[Month]=EM$2)*(Data_Nhập[Main SKU name_GOM]=$A11)*(Data_Nhập[SKU name_NHẬP_GOM]=EM$3)))</f>
        <v>0</v>
      </c>
      <c r="EN11" s="24" cm="1">
        <f t="array" ref="EN11">IF(EN$2="FY",SUMPRODUCT(Data_Nhập[Tổng Nhập-NX]*(Data_Nhập[Year]=EN$1)*(Data_Nhập[Main SKU name_GOM]=$A11)*(Data_Nhập[SKU name_NHẬP_GOM]=EN$3)),SUMPRODUCT(Data_Nhập[Tổng Nhập-NX]*(Data_Nhập[Year]=EN$1)*(Data_Nhập[Month]=EN$2)*(Data_Nhập[Main SKU name_GOM]=$A11)*(Data_Nhập[SKU name_NHẬP_GOM]=EN$3)))</f>
        <v>27790</v>
      </c>
      <c r="EO11" s="24" cm="1">
        <f t="array" ref="EO11">IF(EO$2="FY",SUMPRODUCT(Data_Nhập[Tổng Nhập-NX]*(Data_Nhập[Year]=EO$1)*(Data_Nhập[Main SKU name_GOM]=$A11)*(Data_Nhập[SKU name_NHẬP_GOM]=EO$3)),SUMPRODUCT(Data_Nhập[Tổng Nhập-NX]*(Data_Nhập[Year]=EO$1)*(Data_Nhập[Month]=EO$2)*(Data_Nhập[Main SKU name_GOM]=$A11)*(Data_Nhập[SKU name_NHẬP_GOM]=EO$3)))</f>
        <v>0</v>
      </c>
      <c r="EP11" s="25">
        <f t="shared" si="19"/>
        <v>240340</v>
      </c>
      <c r="ER11" s="25" cm="1">
        <f t="array" ref="ER11">IF(ER$2="FY",SUMPRODUCT(Data_Xuất[Xuất-NX]*(Data_Xuất[Year]=ER$1)*(Data_Xuất[Main SKU name_GOM]=$A11)),SUMPRODUCT(Data_Xuất[Xuất-NX]*(Data_Xuất[Year]=ER$1)*(Data_Xuất[Main SKU name_GOM]=$A11)*(Data_Xuất[Month]=ER$2)))</f>
        <v>291965.00000000006</v>
      </c>
      <c r="ES11" s="24" cm="1">
        <f t="array" ref="ES11">IF(ES$2="FY",SUMPRODUCT(Data_Nhập[Tổng Nhập-NX]*(Data_Nhập[Year]=ES$1)*(Data_Nhập[Main SKU name_GOM]=$A11)*(Data_Nhập[SKU name_NHẬP_GOM]=ES$3)),SUMPRODUCT(Data_Nhập[Tổng Nhập-NX]*(Data_Nhập[Year]=ES$1)*(Data_Nhập[Month]=ES$2)*(Data_Nhập[Main SKU name_GOM]=$A11)*(Data_Nhập[SKU name_NHẬP_GOM]=ES$3)))</f>
        <v>0</v>
      </c>
      <c r="ET11" s="24" cm="1">
        <f t="array" ref="ET11">IF(ET$2="FY",SUMPRODUCT(Data_Nhập[Tổng Nhập-NX]*(Data_Nhập[Year]=ET$1)*(Data_Nhập[Main SKU name_GOM]=$A11)*(Data_Nhập[SKU name_NHẬP_GOM]=ET$3)),SUMPRODUCT(Data_Nhập[Tổng Nhập-NX]*(Data_Nhập[Year]=ET$1)*(Data_Nhập[Month]=ET$2)*(Data_Nhập[Main SKU name_GOM]=$A11)*(Data_Nhập[SKU name_NHẬP_GOM]=ET$3)))</f>
        <v>0</v>
      </c>
      <c r="EU11" s="24" cm="1">
        <f t="array" ref="EU11">IF(EU$2="FY",SUMPRODUCT(Data_Nhập[Tổng Nhập-NX]*(Data_Nhập[Year]=EU$1)*(Data_Nhập[Main SKU name_GOM]=$A11)*(Data_Nhập[SKU name_NHẬP_GOM]=EU$3)),SUMPRODUCT(Data_Nhập[Tổng Nhập-NX]*(Data_Nhập[Year]=EU$1)*(Data_Nhập[Month]=EU$2)*(Data_Nhập[Main SKU name_GOM]=$A11)*(Data_Nhập[SKU name_NHẬP_GOM]=EU$3)))</f>
        <v>0</v>
      </c>
      <c r="EV11" s="24" cm="1">
        <f t="array" ref="EV11">IF(EV$2="FY",SUMPRODUCT(Data_Nhập[Tổng Nhập-NX]*(Data_Nhập[Year]=EV$1)*(Data_Nhập[Main SKU name_GOM]=$A11)*(Data_Nhập[SKU name_NHẬP_GOM]=EV$3)),SUMPRODUCT(Data_Nhập[Tổng Nhập-NX]*(Data_Nhập[Year]=EV$1)*(Data_Nhập[Month]=EV$2)*(Data_Nhập[Main SKU name_GOM]=$A11)*(Data_Nhập[SKU name_NHẬP_GOM]=EV$3)))</f>
        <v>0</v>
      </c>
      <c r="EW11" s="24" cm="1">
        <f t="array" ref="EW11">IF(EW$2="FY",SUMPRODUCT(Data_Nhập[Tổng Nhập-NX]*(Data_Nhập[Year]=EW$1)*(Data_Nhập[Main SKU name_GOM]=$A11)*(Data_Nhập[SKU name_NHẬP_GOM]=EW$3)),SUMPRODUCT(Data_Nhập[Tổng Nhập-NX]*(Data_Nhập[Year]=EW$1)*(Data_Nhập[Month]=EW$2)*(Data_Nhập[Main SKU name_GOM]=$A11)*(Data_Nhập[SKU name_NHẬP_GOM]=EW$3)))</f>
        <v>0</v>
      </c>
      <c r="EX11" s="24" cm="1">
        <f t="array" ref="EX11">IF(EX$2="FY",SUMPRODUCT(Data_Nhập[Tổng Nhập-NX]*(Data_Nhập[Year]=EX$1)*(Data_Nhập[Main SKU name_GOM]=$A11)*(Data_Nhập[SKU name_NHẬP_GOM]=EX$3)),SUMPRODUCT(Data_Nhập[Tổng Nhập-NX]*(Data_Nhập[Year]=EX$1)*(Data_Nhập[Month]=EX$2)*(Data_Nhập[Main SKU name_GOM]=$A11)*(Data_Nhập[SKU name_NHẬP_GOM]=EX$3)))</f>
        <v>0</v>
      </c>
      <c r="EY11" s="24" cm="1">
        <f t="array" ref="EY11">IF(EY$2="FY",SUMPRODUCT(Data_Nhập[Tổng Nhập-NX]*(Data_Nhập[Year]=EY$1)*(Data_Nhập[Main SKU name_GOM]=$A11)*(Data_Nhập[SKU name_NHẬP_GOM]=EY$3)),SUMPRODUCT(Data_Nhập[Tổng Nhập-NX]*(Data_Nhập[Year]=EY$1)*(Data_Nhập[Month]=EY$2)*(Data_Nhập[Main SKU name_GOM]=$A11)*(Data_Nhập[SKU name_NHẬP_GOM]=EY$3)))</f>
        <v>259850</v>
      </c>
      <c r="EZ11" s="24" cm="1">
        <f t="array" ref="EZ11">IF(EZ$2="FY",SUMPRODUCT(Data_Nhập[Tổng Nhập-NX]*(Data_Nhập[Year]=EZ$1)*(Data_Nhập[Main SKU name_GOM]=$A11)*(Data_Nhập[SKU name_NHẬP_GOM]=EZ$3)),SUMPRODUCT(Data_Nhập[Tổng Nhập-NX]*(Data_Nhập[Year]=EZ$1)*(Data_Nhập[Month]=EZ$2)*(Data_Nhập[Main SKU name_GOM]=$A11)*(Data_Nhập[SKU name_NHẬP_GOM]=EZ$3)))</f>
        <v>2100</v>
      </c>
      <c r="FA11" s="24" cm="1">
        <f t="array" ref="FA11">IF(FA$2="FY",SUMPRODUCT(Data_Nhập[Tổng Nhập-NX]*(Data_Nhập[Year]=FA$1)*(Data_Nhập[Main SKU name_GOM]=$A11)*(Data_Nhập[SKU name_NHẬP_GOM]=FA$3)),SUMPRODUCT(Data_Nhập[Tổng Nhập-NX]*(Data_Nhập[Year]=FA$1)*(Data_Nhập[Month]=FA$2)*(Data_Nhập[Main SKU name_GOM]=$A11)*(Data_Nhập[SKU name_NHẬP_GOM]=FA$3)))</f>
        <v>0</v>
      </c>
      <c r="FB11" s="24" cm="1">
        <f t="array" ref="FB11">IF(FB$2="FY",SUMPRODUCT(Data_Nhập[Tổng Nhập-NX]*(Data_Nhập[Year]=FB$1)*(Data_Nhập[Main SKU name_GOM]=$A11)*(Data_Nhập[SKU name_NHẬP_GOM]=FB$3)),SUMPRODUCT(Data_Nhập[Tổng Nhập-NX]*(Data_Nhập[Year]=FB$1)*(Data_Nhập[Month]=FB$2)*(Data_Nhập[Main SKU name_GOM]=$A11)*(Data_Nhập[SKU name_NHẬP_GOM]=FB$3)))</f>
        <v>0</v>
      </c>
      <c r="FC11" s="24" cm="1">
        <f t="array" ref="FC11">IF(FC$2="FY",SUMPRODUCT(Data_Nhập[Tổng Nhập-NX]*(Data_Nhập[Year]=FC$1)*(Data_Nhập[Main SKU name_GOM]=$A11)*(Data_Nhập[SKU name_NHẬP_GOM]=FC$3)),SUMPRODUCT(Data_Nhập[Tổng Nhập-NX]*(Data_Nhập[Year]=FC$1)*(Data_Nhập[Month]=FC$2)*(Data_Nhập[Main SKU name_GOM]=$A11)*(Data_Nhập[SKU name_NHẬP_GOM]=FC$3)))</f>
        <v>0</v>
      </c>
      <c r="FD11" s="24" cm="1">
        <f t="array" ref="FD11">IF(FD$2="FY",SUMPRODUCT(Data_Nhập[Tổng Nhập-NX]*(Data_Nhập[Year]=FD$1)*(Data_Nhập[Main SKU name_GOM]=$A11)*(Data_Nhập[SKU name_NHẬP_GOM]=FD$3)),SUMPRODUCT(Data_Nhập[Tổng Nhập-NX]*(Data_Nhập[Year]=FD$1)*(Data_Nhập[Month]=FD$2)*(Data_Nhập[Main SKU name_GOM]=$A11)*(Data_Nhập[SKU name_NHẬP_GOM]=FD$3)))</f>
        <v>0</v>
      </c>
      <c r="FE11" s="24" cm="1">
        <f t="array" ref="FE11">IF(FE$2="FY",SUMPRODUCT(Data_Nhập[Tổng Nhập-NX]*(Data_Nhập[Year]=FE$1)*(Data_Nhập[Main SKU name_GOM]=$A11)*(Data_Nhập[SKU name_NHẬP_GOM]=FE$3)),SUMPRODUCT(Data_Nhập[Tổng Nhập-NX]*(Data_Nhập[Year]=FE$1)*(Data_Nhập[Month]=FE$2)*(Data_Nhập[Main SKU name_GOM]=$A11)*(Data_Nhập[SKU name_NHẬP_GOM]=FE$3)))</f>
        <v>0</v>
      </c>
      <c r="FF11" s="24" cm="1">
        <f t="array" ref="FF11">IF(FF$2="FY",SUMPRODUCT(Data_Nhập[Tổng Nhập-NX]*(Data_Nhập[Year]=FF$1)*(Data_Nhập[Main SKU name_GOM]=$A11)*(Data_Nhập[SKU name_NHẬP_GOM]=FF$3)),SUMPRODUCT(Data_Nhập[Tổng Nhập-NX]*(Data_Nhập[Year]=FF$1)*(Data_Nhập[Month]=FF$2)*(Data_Nhập[Main SKU name_GOM]=$A11)*(Data_Nhập[SKU name_NHẬP_GOM]=FF$3)))</f>
        <v>25073</v>
      </c>
      <c r="FG11" s="24" cm="1">
        <f t="array" ref="FG11">IF(FG$2="FY",SUMPRODUCT(Data_Nhập[Tổng Nhập-NX]*(Data_Nhập[Year]=FG$1)*(Data_Nhập[Main SKU name_GOM]=$A11)*(Data_Nhập[SKU name_NHẬP_GOM]=FG$3)),SUMPRODUCT(Data_Nhập[Tổng Nhập-NX]*(Data_Nhập[Year]=FG$1)*(Data_Nhập[Month]=FG$2)*(Data_Nhập[Main SKU name_GOM]=$A11)*(Data_Nhập[SKU name_NHẬP_GOM]=FG$3)))</f>
        <v>0</v>
      </c>
      <c r="FH11" s="25">
        <f t="shared" si="20"/>
        <v>287023</v>
      </c>
      <c r="FJ11" s="25" cm="1">
        <f t="array" ref="FJ11">IF(FJ$2="FY",SUMPRODUCT(Data_Xuất[Xuất-NX]*(Data_Xuất[Year]=FJ$1)*(Data_Xuất[Main SKU name_GOM]=$A11)),SUMPRODUCT(Data_Xuất[Xuất-NX]*(Data_Xuất[Year]=FJ$1)*(Data_Xuất[Main SKU name_GOM]=$A11)*(Data_Xuất[Month]=FJ$2)))</f>
        <v>345947</v>
      </c>
      <c r="FK11" s="24" cm="1">
        <f t="array" ref="FK11">IF(FK$2="FY",SUMPRODUCT(Data_Nhập[Tổng Nhập-NX]*(Data_Nhập[Year]=FK$1)*(Data_Nhập[Main SKU name_GOM]=$A11)*(Data_Nhập[SKU name_NHẬP_GOM]=FK$3)),SUMPRODUCT(Data_Nhập[Tổng Nhập-NX]*(Data_Nhập[Year]=FK$1)*(Data_Nhập[Month]=FK$2)*(Data_Nhập[Main SKU name_GOM]=$A11)*(Data_Nhập[SKU name_NHẬP_GOM]=FK$3)))</f>
        <v>0</v>
      </c>
      <c r="FL11" s="24" cm="1">
        <f t="array" ref="FL11">IF(FL$2="FY",SUMPRODUCT(Data_Nhập[Tổng Nhập-NX]*(Data_Nhập[Year]=FL$1)*(Data_Nhập[Main SKU name_GOM]=$A11)*(Data_Nhập[SKU name_NHẬP_GOM]=FL$3)),SUMPRODUCT(Data_Nhập[Tổng Nhập-NX]*(Data_Nhập[Year]=FL$1)*(Data_Nhập[Month]=FL$2)*(Data_Nhập[Main SKU name_GOM]=$A11)*(Data_Nhập[SKU name_NHẬP_GOM]=FL$3)))</f>
        <v>0</v>
      </c>
      <c r="FM11" s="24" cm="1">
        <f t="array" ref="FM11">IF(FM$2="FY",SUMPRODUCT(Data_Nhập[Tổng Nhập-NX]*(Data_Nhập[Year]=FM$1)*(Data_Nhập[Main SKU name_GOM]=$A11)*(Data_Nhập[SKU name_NHẬP_GOM]=FM$3)),SUMPRODUCT(Data_Nhập[Tổng Nhập-NX]*(Data_Nhập[Year]=FM$1)*(Data_Nhập[Month]=FM$2)*(Data_Nhập[Main SKU name_GOM]=$A11)*(Data_Nhập[SKU name_NHẬP_GOM]=FM$3)))</f>
        <v>0</v>
      </c>
      <c r="FN11" s="24" cm="1">
        <f t="array" ref="FN11">IF(FN$2="FY",SUMPRODUCT(Data_Nhập[Tổng Nhập-NX]*(Data_Nhập[Year]=FN$1)*(Data_Nhập[Main SKU name_GOM]=$A11)*(Data_Nhập[SKU name_NHẬP_GOM]=FN$3)),SUMPRODUCT(Data_Nhập[Tổng Nhập-NX]*(Data_Nhập[Year]=FN$1)*(Data_Nhập[Month]=FN$2)*(Data_Nhập[Main SKU name_GOM]=$A11)*(Data_Nhập[SKU name_NHẬP_GOM]=FN$3)))</f>
        <v>0</v>
      </c>
      <c r="FO11" s="24" cm="1">
        <f t="array" ref="FO11">IF(FO$2="FY",SUMPRODUCT(Data_Nhập[Tổng Nhập-NX]*(Data_Nhập[Year]=FO$1)*(Data_Nhập[Main SKU name_GOM]=$A11)*(Data_Nhập[SKU name_NHẬP_GOM]=FO$3)),SUMPRODUCT(Data_Nhập[Tổng Nhập-NX]*(Data_Nhập[Year]=FO$1)*(Data_Nhập[Month]=FO$2)*(Data_Nhập[Main SKU name_GOM]=$A11)*(Data_Nhập[SKU name_NHẬP_GOM]=FO$3)))</f>
        <v>0</v>
      </c>
      <c r="FP11" s="24" cm="1">
        <f t="array" ref="FP11">IF(FP$2="FY",SUMPRODUCT(Data_Nhập[Tổng Nhập-NX]*(Data_Nhập[Year]=FP$1)*(Data_Nhập[Main SKU name_GOM]=$A11)*(Data_Nhập[SKU name_NHẬP_GOM]=FP$3)),SUMPRODUCT(Data_Nhập[Tổng Nhập-NX]*(Data_Nhập[Year]=FP$1)*(Data_Nhập[Month]=FP$2)*(Data_Nhập[Main SKU name_GOM]=$A11)*(Data_Nhập[SKU name_NHẬP_GOM]=FP$3)))</f>
        <v>0</v>
      </c>
      <c r="FQ11" s="24" cm="1">
        <f t="array" ref="FQ11">IF(FQ$2="FY",SUMPRODUCT(Data_Nhập[Tổng Nhập-NX]*(Data_Nhập[Year]=FQ$1)*(Data_Nhập[Main SKU name_GOM]=$A11)*(Data_Nhập[SKU name_NHẬP_GOM]=FQ$3)),SUMPRODUCT(Data_Nhập[Tổng Nhập-NX]*(Data_Nhập[Year]=FQ$1)*(Data_Nhập[Month]=FQ$2)*(Data_Nhập[Main SKU name_GOM]=$A11)*(Data_Nhập[SKU name_NHẬP_GOM]=FQ$3)))</f>
        <v>305448</v>
      </c>
      <c r="FR11" s="24" cm="1">
        <f t="array" ref="FR11">IF(FR$2="FY",SUMPRODUCT(Data_Nhập[Tổng Nhập-NX]*(Data_Nhập[Year]=FR$1)*(Data_Nhập[Main SKU name_GOM]=$A11)*(Data_Nhập[SKU name_NHẬP_GOM]=FR$3)),SUMPRODUCT(Data_Nhập[Tổng Nhập-NX]*(Data_Nhập[Year]=FR$1)*(Data_Nhập[Month]=FR$2)*(Data_Nhập[Main SKU name_GOM]=$A11)*(Data_Nhập[SKU name_NHẬP_GOM]=FR$3)))</f>
        <v>11550</v>
      </c>
      <c r="FS11" s="24" cm="1">
        <f t="array" ref="FS11">IF(FS$2="FY",SUMPRODUCT(Data_Nhập[Tổng Nhập-NX]*(Data_Nhập[Year]=FS$1)*(Data_Nhập[Main SKU name_GOM]=$A11)*(Data_Nhập[SKU name_NHẬP_GOM]=FS$3)),SUMPRODUCT(Data_Nhập[Tổng Nhập-NX]*(Data_Nhập[Year]=FS$1)*(Data_Nhập[Month]=FS$2)*(Data_Nhập[Main SKU name_GOM]=$A11)*(Data_Nhập[SKU name_NHẬP_GOM]=FS$3)))</f>
        <v>0</v>
      </c>
      <c r="FT11" s="24" cm="1">
        <f t="array" ref="FT11">IF(FT$2="FY",SUMPRODUCT(Data_Nhập[Tổng Nhập-NX]*(Data_Nhập[Year]=FT$1)*(Data_Nhập[Main SKU name_GOM]=$A11)*(Data_Nhập[SKU name_NHẬP_GOM]=FT$3)),SUMPRODUCT(Data_Nhập[Tổng Nhập-NX]*(Data_Nhập[Year]=FT$1)*(Data_Nhập[Month]=FT$2)*(Data_Nhập[Main SKU name_GOM]=$A11)*(Data_Nhập[SKU name_NHẬP_GOM]=FT$3)))</f>
        <v>0</v>
      </c>
      <c r="FU11" s="24" cm="1">
        <f t="array" ref="FU11">IF(FU$2="FY",SUMPRODUCT(Data_Nhập[Tổng Nhập-NX]*(Data_Nhập[Year]=FU$1)*(Data_Nhập[Main SKU name_GOM]=$A11)*(Data_Nhập[SKU name_NHẬP_GOM]=FU$3)),SUMPRODUCT(Data_Nhập[Tổng Nhập-NX]*(Data_Nhập[Year]=FU$1)*(Data_Nhập[Month]=FU$2)*(Data_Nhập[Main SKU name_GOM]=$A11)*(Data_Nhập[SKU name_NHẬP_GOM]=FU$3)))</f>
        <v>0</v>
      </c>
      <c r="FV11" s="24" cm="1">
        <f t="array" ref="FV11">IF(FV$2="FY",SUMPRODUCT(Data_Nhập[Tổng Nhập-NX]*(Data_Nhập[Year]=FV$1)*(Data_Nhập[Main SKU name_GOM]=$A11)*(Data_Nhập[SKU name_NHẬP_GOM]=FV$3)),SUMPRODUCT(Data_Nhập[Tổng Nhập-NX]*(Data_Nhập[Year]=FV$1)*(Data_Nhập[Month]=FV$2)*(Data_Nhập[Main SKU name_GOM]=$A11)*(Data_Nhập[SKU name_NHẬP_GOM]=FV$3)))</f>
        <v>0</v>
      </c>
      <c r="FW11" s="24" cm="1">
        <f t="array" ref="FW11">IF(FW$2="FY",SUMPRODUCT(Data_Nhập[Tổng Nhập-NX]*(Data_Nhập[Year]=FW$1)*(Data_Nhập[Main SKU name_GOM]=$A11)*(Data_Nhập[SKU name_NHẬP_GOM]=FW$3)),SUMPRODUCT(Data_Nhập[Tổng Nhập-NX]*(Data_Nhập[Year]=FW$1)*(Data_Nhập[Month]=FW$2)*(Data_Nhập[Main SKU name_GOM]=$A11)*(Data_Nhập[SKU name_NHẬP_GOM]=FW$3)))</f>
        <v>0</v>
      </c>
      <c r="FX11" s="24" cm="1">
        <f t="array" ref="FX11">IF(FX$2="FY",SUMPRODUCT(Data_Nhập[Tổng Nhập-NX]*(Data_Nhập[Year]=FX$1)*(Data_Nhập[Main SKU name_GOM]=$A11)*(Data_Nhập[SKU name_NHẬP_GOM]=FX$3)),SUMPRODUCT(Data_Nhập[Tổng Nhập-NX]*(Data_Nhập[Year]=FX$1)*(Data_Nhập[Month]=FX$2)*(Data_Nhập[Main SKU name_GOM]=$A11)*(Data_Nhập[SKU name_NHẬP_GOM]=FX$3)))</f>
        <v>24405</v>
      </c>
      <c r="FY11" s="24" cm="1">
        <f t="array" ref="FY11">IF(FY$2="FY",SUMPRODUCT(Data_Nhập[Tổng Nhập-NX]*(Data_Nhập[Year]=FY$1)*(Data_Nhập[Main SKU name_GOM]=$A11)*(Data_Nhập[SKU name_NHẬP_GOM]=FY$3)),SUMPRODUCT(Data_Nhập[Tổng Nhập-NX]*(Data_Nhập[Year]=FY$1)*(Data_Nhập[Month]=FY$2)*(Data_Nhập[Main SKU name_GOM]=$A11)*(Data_Nhập[SKU name_NHẬP_GOM]=FY$3)))</f>
        <v>0</v>
      </c>
      <c r="FZ11" s="25">
        <f t="shared" si="21"/>
        <v>341403</v>
      </c>
      <c r="GB11" s="25" cm="1">
        <f t="array" ref="GB11">IF(GB$2="FY",SUMPRODUCT(Data_Xuất[Xuất-NX]*(Data_Xuất[Year]=GB$1)*(Data_Xuất[Main SKU name_GOM]=$A11)),SUMPRODUCT(Data_Xuất[Xuất-NX]*(Data_Xuất[Year]=GB$1)*(Data_Xuất[Main SKU name_GOM]=$A11)*(Data_Xuất[Month]=GB$2)))</f>
        <v>317567.99999999994</v>
      </c>
      <c r="GC11" s="24" cm="1">
        <f t="array" ref="GC11">IF(GC$2="FY",SUMPRODUCT(Data_Nhập[Tổng Nhập-NX]*(Data_Nhập[Year]=GC$1)*(Data_Nhập[Main SKU name_GOM]=$A11)*(Data_Nhập[SKU name_NHẬP_GOM]=GC$3)),SUMPRODUCT(Data_Nhập[Tổng Nhập-NX]*(Data_Nhập[Year]=GC$1)*(Data_Nhập[Month]=GC$2)*(Data_Nhập[Main SKU name_GOM]=$A11)*(Data_Nhập[SKU name_NHẬP_GOM]=GC$3)))</f>
        <v>0</v>
      </c>
      <c r="GD11" s="24" cm="1">
        <f t="array" ref="GD11">IF(GD$2="FY",SUMPRODUCT(Data_Nhập[Tổng Nhập-NX]*(Data_Nhập[Year]=GD$1)*(Data_Nhập[Main SKU name_GOM]=$A11)*(Data_Nhập[SKU name_NHẬP_GOM]=GD$3)),SUMPRODUCT(Data_Nhập[Tổng Nhập-NX]*(Data_Nhập[Year]=GD$1)*(Data_Nhập[Month]=GD$2)*(Data_Nhập[Main SKU name_GOM]=$A11)*(Data_Nhập[SKU name_NHẬP_GOM]=GD$3)))</f>
        <v>0</v>
      </c>
      <c r="GE11" s="24" cm="1">
        <f t="array" ref="GE11">IF(GE$2="FY",SUMPRODUCT(Data_Nhập[Tổng Nhập-NX]*(Data_Nhập[Year]=GE$1)*(Data_Nhập[Main SKU name_GOM]=$A11)*(Data_Nhập[SKU name_NHẬP_GOM]=GE$3)),SUMPRODUCT(Data_Nhập[Tổng Nhập-NX]*(Data_Nhập[Year]=GE$1)*(Data_Nhập[Month]=GE$2)*(Data_Nhập[Main SKU name_GOM]=$A11)*(Data_Nhập[SKU name_NHẬP_GOM]=GE$3)))</f>
        <v>0</v>
      </c>
      <c r="GF11" s="24" cm="1">
        <f t="array" ref="GF11">IF(GF$2="FY",SUMPRODUCT(Data_Nhập[Tổng Nhập-NX]*(Data_Nhập[Year]=GF$1)*(Data_Nhập[Main SKU name_GOM]=$A11)*(Data_Nhập[SKU name_NHẬP_GOM]=GF$3)),SUMPRODUCT(Data_Nhập[Tổng Nhập-NX]*(Data_Nhập[Year]=GF$1)*(Data_Nhập[Month]=GF$2)*(Data_Nhập[Main SKU name_GOM]=$A11)*(Data_Nhập[SKU name_NHẬP_GOM]=GF$3)))</f>
        <v>0</v>
      </c>
      <c r="GG11" s="24" cm="1">
        <f t="array" ref="GG11">IF(GG$2="FY",SUMPRODUCT(Data_Nhập[Tổng Nhập-NX]*(Data_Nhập[Year]=GG$1)*(Data_Nhập[Main SKU name_GOM]=$A11)*(Data_Nhập[SKU name_NHẬP_GOM]=GG$3)),SUMPRODUCT(Data_Nhập[Tổng Nhập-NX]*(Data_Nhập[Year]=GG$1)*(Data_Nhập[Month]=GG$2)*(Data_Nhập[Main SKU name_GOM]=$A11)*(Data_Nhập[SKU name_NHẬP_GOM]=GG$3)))</f>
        <v>0</v>
      </c>
      <c r="GH11" s="24" cm="1">
        <f t="array" ref="GH11">IF(GH$2="FY",SUMPRODUCT(Data_Nhập[Tổng Nhập-NX]*(Data_Nhập[Year]=GH$1)*(Data_Nhập[Main SKU name_GOM]=$A11)*(Data_Nhập[SKU name_NHẬP_GOM]=GH$3)),SUMPRODUCT(Data_Nhập[Tổng Nhập-NX]*(Data_Nhập[Year]=GH$1)*(Data_Nhập[Month]=GH$2)*(Data_Nhập[Main SKU name_GOM]=$A11)*(Data_Nhập[SKU name_NHẬP_GOM]=GH$3)))</f>
        <v>0</v>
      </c>
      <c r="GI11" s="24" cm="1">
        <f t="array" ref="GI11">IF(GI$2="FY",SUMPRODUCT(Data_Nhập[Tổng Nhập-NX]*(Data_Nhập[Year]=GI$1)*(Data_Nhập[Main SKU name_GOM]=$A11)*(Data_Nhập[SKU name_NHẬP_GOM]=GI$3)),SUMPRODUCT(Data_Nhập[Tổng Nhập-NX]*(Data_Nhập[Year]=GI$1)*(Data_Nhập[Month]=GI$2)*(Data_Nhập[Main SKU name_GOM]=$A11)*(Data_Nhập[SKU name_NHẬP_GOM]=GI$3)))</f>
        <v>258300</v>
      </c>
      <c r="GJ11" s="24" cm="1">
        <f t="array" ref="GJ11">IF(GJ$2="FY",SUMPRODUCT(Data_Nhập[Tổng Nhập-NX]*(Data_Nhập[Year]=GJ$1)*(Data_Nhập[Main SKU name_GOM]=$A11)*(Data_Nhập[SKU name_NHẬP_GOM]=GJ$3)),SUMPRODUCT(Data_Nhập[Tổng Nhập-NX]*(Data_Nhập[Year]=GJ$1)*(Data_Nhập[Month]=GJ$2)*(Data_Nhập[Main SKU name_GOM]=$A11)*(Data_Nhập[SKU name_NHẬP_GOM]=GJ$3)))</f>
        <v>44050</v>
      </c>
      <c r="GK11" s="24" cm="1">
        <f t="array" ref="GK11">IF(GK$2="FY",SUMPRODUCT(Data_Nhập[Tổng Nhập-NX]*(Data_Nhập[Year]=GK$1)*(Data_Nhập[Main SKU name_GOM]=$A11)*(Data_Nhập[SKU name_NHẬP_GOM]=GK$3)),SUMPRODUCT(Data_Nhập[Tổng Nhập-NX]*(Data_Nhập[Year]=GK$1)*(Data_Nhập[Month]=GK$2)*(Data_Nhập[Main SKU name_GOM]=$A11)*(Data_Nhập[SKU name_NHẬP_GOM]=GK$3)))</f>
        <v>0</v>
      </c>
      <c r="GL11" s="24" cm="1">
        <f t="array" ref="GL11">IF(GL$2="FY",SUMPRODUCT(Data_Nhập[Tổng Nhập-NX]*(Data_Nhập[Year]=GL$1)*(Data_Nhập[Main SKU name_GOM]=$A11)*(Data_Nhập[SKU name_NHẬP_GOM]=GL$3)),SUMPRODUCT(Data_Nhập[Tổng Nhập-NX]*(Data_Nhập[Year]=GL$1)*(Data_Nhập[Month]=GL$2)*(Data_Nhập[Main SKU name_GOM]=$A11)*(Data_Nhập[SKU name_NHẬP_GOM]=GL$3)))</f>
        <v>0</v>
      </c>
      <c r="GM11" s="24" cm="1">
        <f t="array" ref="GM11">IF(GM$2="FY",SUMPRODUCT(Data_Nhập[Tổng Nhập-NX]*(Data_Nhập[Year]=GM$1)*(Data_Nhập[Main SKU name_GOM]=$A11)*(Data_Nhập[SKU name_NHẬP_GOM]=GM$3)),SUMPRODUCT(Data_Nhập[Tổng Nhập-NX]*(Data_Nhập[Year]=GM$1)*(Data_Nhập[Month]=GM$2)*(Data_Nhập[Main SKU name_GOM]=$A11)*(Data_Nhập[SKU name_NHẬP_GOM]=GM$3)))</f>
        <v>0</v>
      </c>
      <c r="GN11" s="24" cm="1">
        <f t="array" ref="GN11">IF(GN$2="FY",SUMPRODUCT(Data_Nhập[Tổng Nhập-NX]*(Data_Nhập[Year]=GN$1)*(Data_Nhập[Main SKU name_GOM]=$A11)*(Data_Nhập[SKU name_NHẬP_GOM]=GN$3)),SUMPRODUCT(Data_Nhập[Tổng Nhập-NX]*(Data_Nhập[Year]=GN$1)*(Data_Nhập[Month]=GN$2)*(Data_Nhập[Main SKU name_GOM]=$A11)*(Data_Nhập[SKU name_NHẬP_GOM]=GN$3)))</f>
        <v>0</v>
      </c>
      <c r="GO11" s="24" cm="1">
        <f t="array" ref="GO11">IF(GO$2="FY",SUMPRODUCT(Data_Nhập[Tổng Nhập-NX]*(Data_Nhập[Year]=GO$1)*(Data_Nhập[Main SKU name_GOM]=$A11)*(Data_Nhập[SKU name_NHẬP_GOM]=GO$3)),SUMPRODUCT(Data_Nhập[Tổng Nhập-NX]*(Data_Nhập[Year]=GO$1)*(Data_Nhập[Month]=GO$2)*(Data_Nhập[Main SKU name_GOM]=$A11)*(Data_Nhập[SKU name_NHẬP_GOM]=GO$3)))</f>
        <v>0</v>
      </c>
      <c r="GP11" s="24" cm="1">
        <f t="array" ref="GP11">IF(GP$2="FY",SUMPRODUCT(Data_Nhập[Tổng Nhập-NX]*(Data_Nhập[Year]=GP$1)*(Data_Nhập[Main SKU name_GOM]=$A11)*(Data_Nhập[SKU name_NHẬP_GOM]=GP$3)),SUMPRODUCT(Data_Nhập[Tổng Nhập-NX]*(Data_Nhập[Year]=GP$1)*(Data_Nhập[Month]=GP$2)*(Data_Nhập[Main SKU name_GOM]=$A11)*(Data_Nhập[SKU name_NHẬP_GOM]=GP$3)))</f>
        <v>10881</v>
      </c>
      <c r="GQ11" s="24" cm="1">
        <f t="array" ref="GQ11">IF(GQ$2="FY",SUMPRODUCT(Data_Nhập[Tổng Nhập-NX]*(Data_Nhập[Year]=GQ$1)*(Data_Nhập[Main SKU name_GOM]=$A11)*(Data_Nhập[SKU name_NHẬP_GOM]=GQ$3)),SUMPRODUCT(Data_Nhập[Tổng Nhập-NX]*(Data_Nhập[Year]=GQ$1)*(Data_Nhập[Month]=GQ$2)*(Data_Nhập[Main SKU name_GOM]=$A11)*(Data_Nhập[SKU name_NHẬP_GOM]=GQ$3)))</f>
        <v>0</v>
      </c>
      <c r="GR11" s="25">
        <f t="shared" si="22"/>
        <v>313231</v>
      </c>
      <c r="GT11" s="25" cm="1">
        <f t="array" ref="GT11">IF(GT$2="FY",SUMPRODUCT(Data_Xuất[Xuất-NX]*(Data_Xuất[Year]=GT$1)*(Data_Xuất[Main SKU name_GOM]=$A11)),SUMPRODUCT(Data_Xuất[Xuất-NX]*(Data_Xuất[Year]=GT$1)*(Data_Xuất[Main SKU name_GOM]=$A11)*(Data_Xuất[Month]=GT$2)))</f>
        <v>26350</v>
      </c>
      <c r="GU11" s="24" cm="1">
        <f t="array" ref="GU11">IF(GU$2="FY",SUMPRODUCT(Data_Nhập[Tổng Nhập-NX]*(Data_Nhập[Year]=GU$1)*(Data_Nhập[Main SKU name_GOM]=$A11)*(Data_Nhập[SKU name_NHẬP_GOM]=GU$3)),SUMPRODUCT(Data_Nhập[Tổng Nhập-NX]*(Data_Nhập[Year]=GU$1)*(Data_Nhập[Month]=GU$2)*(Data_Nhập[Main SKU name_GOM]=$A11)*(Data_Nhập[SKU name_NHẬP_GOM]=GU$3)))</f>
        <v>0</v>
      </c>
      <c r="GV11" s="24" cm="1">
        <f t="array" ref="GV11">IF(GV$2="FY",SUMPRODUCT(Data_Nhập[Tổng Nhập-NX]*(Data_Nhập[Year]=GV$1)*(Data_Nhập[Main SKU name_GOM]=$A11)*(Data_Nhập[SKU name_NHẬP_GOM]=GV$3)),SUMPRODUCT(Data_Nhập[Tổng Nhập-NX]*(Data_Nhập[Year]=GV$1)*(Data_Nhập[Month]=GV$2)*(Data_Nhập[Main SKU name_GOM]=$A11)*(Data_Nhập[SKU name_NHẬP_GOM]=GV$3)))</f>
        <v>0</v>
      </c>
      <c r="GW11" s="24" cm="1">
        <f t="array" ref="GW11">IF(GW$2="FY",SUMPRODUCT(Data_Nhập[Tổng Nhập-NX]*(Data_Nhập[Year]=GW$1)*(Data_Nhập[Main SKU name_GOM]=$A11)*(Data_Nhập[SKU name_NHẬP_GOM]=GW$3)),SUMPRODUCT(Data_Nhập[Tổng Nhập-NX]*(Data_Nhập[Year]=GW$1)*(Data_Nhập[Month]=GW$2)*(Data_Nhập[Main SKU name_GOM]=$A11)*(Data_Nhập[SKU name_NHẬP_GOM]=GW$3)))</f>
        <v>0</v>
      </c>
      <c r="GX11" s="24" cm="1">
        <f t="array" ref="GX11">IF(GX$2="FY",SUMPRODUCT(Data_Nhập[Tổng Nhập-NX]*(Data_Nhập[Year]=GX$1)*(Data_Nhập[Main SKU name_GOM]=$A11)*(Data_Nhập[SKU name_NHẬP_GOM]=GX$3)),SUMPRODUCT(Data_Nhập[Tổng Nhập-NX]*(Data_Nhập[Year]=GX$1)*(Data_Nhập[Month]=GX$2)*(Data_Nhập[Main SKU name_GOM]=$A11)*(Data_Nhập[SKU name_NHẬP_GOM]=GX$3)))</f>
        <v>0</v>
      </c>
      <c r="GY11" s="24" cm="1">
        <f t="array" ref="GY11">IF(GY$2="FY",SUMPRODUCT(Data_Nhập[Tổng Nhập-NX]*(Data_Nhập[Year]=GY$1)*(Data_Nhập[Main SKU name_GOM]=$A11)*(Data_Nhập[SKU name_NHẬP_GOM]=GY$3)),SUMPRODUCT(Data_Nhập[Tổng Nhập-NX]*(Data_Nhập[Year]=GY$1)*(Data_Nhập[Month]=GY$2)*(Data_Nhập[Main SKU name_GOM]=$A11)*(Data_Nhập[SKU name_NHẬP_GOM]=GY$3)))</f>
        <v>0</v>
      </c>
      <c r="GZ11" s="24" cm="1">
        <f t="array" ref="GZ11">IF(GZ$2="FY",SUMPRODUCT(Data_Nhập[Tổng Nhập-NX]*(Data_Nhập[Year]=GZ$1)*(Data_Nhập[Main SKU name_GOM]=$A11)*(Data_Nhập[SKU name_NHẬP_GOM]=GZ$3)),SUMPRODUCT(Data_Nhập[Tổng Nhập-NX]*(Data_Nhập[Year]=GZ$1)*(Data_Nhập[Month]=GZ$2)*(Data_Nhập[Main SKU name_GOM]=$A11)*(Data_Nhập[SKU name_NHẬP_GOM]=GZ$3)))</f>
        <v>0</v>
      </c>
      <c r="HA11" s="24" cm="1">
        <f t="array" ref="HA11">IF(HA$2="FY",SUMPRODUCT(Data_Nhập[Tổng Nhập-NX]*(Data_Nhập[Year]=HA$1)*(Data_Nhập[Main SKU name_GOM]=$A11)*(Data_Nhập[SKU name_NHẬP_GOM]=HA$3)),SUMPRODUCT(Data_Nhập[Tổng Nhập-NX]*(Data_Nhập[Year]=HA$1)*(Data_Nhập[Month]=HA$2)*(Data_Nhập[Main SKU name_GOM]=$A11)*(Data_Nhập[SKU name_NHẬP_GOM]=HA$3)))</f>
        <v>11550</v>
      </c>
      <c r="HB11" s="24" cm="1">
        <f t="array" ref="HB11">IF(HB$2="FY",SUMPRODUCT(Data_Nhập[Tổng Nhập-NX]*(Data_Nhập[Year]=HB$1)*(Data_Nhập[Main SKU name_GOM]=$A11)*(Data_Nhập[SKU name_NHẬP_GOM]=HB$3)),SUMPRODUCT(Data_Nhập[Tổng Nhập-NX]*(Data_Nhập[Year]=HB$1)*(Data_Nhập[Month]=HB$2)*(Data_Nhập[Main SKU name_GOM]=$A11)*(Data_Nhập[SKU name_NHẬP_GOM]=HB$3)))</f>
        <v>10330</v>
      </c>
      <c r="HC11" s="24" cm="1">
        <f t="array" ref="HC11">IF(HC$2="FY",SUMPRODUCT(Data_Nhập[Tổng Nhập-NX]*(Data_Nhập[Year]=HC$1)*(Data_Nhập[Main SKU name_GOM]=$A11)*(Data_Nhập[SKU name_NHẬP_GOM]=HC$3)),SUMPRODUCT(Data_Nhập[Tổng Nhập-NX]*(Data_Nhập[Year]=HC$1)*(Data_Nhập[Month]=HC$2)*(Data_Nhập[Main SKU name_GOM]=$A11)*(Data_Nhập[SKU name_NHẬP_GOM]=HC$3)))</f>
        <v>0</v>
      </c>
      <c r="HD11" s="24" cm="1">
        <f t="array" ref="HD11">IF(HD$2="FY",SUMPRODUCT(Data_Nhập[Tổng Nhập-NX]*(Data_Nhập[Year]=HD$1)*(Data_Nhập[Main SKU name_GOM]=$A11)*(Data_Nhập[SKU name_NHẬP_GOM]=HD$3)),SUMPRODUCT(Data_Nhập[Tổng Nhập-NX]*(Data_Nhập[Year]=HD$1)*(Data_Nhập[Month]=HD$2)*(Data_Nhập[Main SKU name_GOM]=$A11)*(Data_Nhập[SKU name_NHẬP_GOM]=HD$3)))</f>
        <v>0</v>
      </c>
      <c r="HE11" s="24" cm="1">
        <f t="array" ref="HE11">IF(HE$2="FY",SUMPRODUCT(Data_Nhập[Tổng Nhập-NX]*(Data_Nhập[Year]=HE$1)*(Data_Nhập[Main SKU name_GOM]=$A11)*(Data_Nhập[SKU name_NHẬP_GOM]=HE$3)),SUMPRODUCT(Data_Nhập[Tổng Nhập-NX]*(Data_Nhập[Year]=HE$1)*(Data_Nhập[Month]=HE$2)*(Data_Nhập[Main SKU name_GOM]=$A11)*(Data_Nhập[SKU name_NHẬP_GOM]=HE$3)))</f>
        <v>0</v>
      </c>
      <c r="HF11" s="24" cm="1">
        <f t="array" ref="HF11">IF(HF$2="FY",SUMPRODUCT(Data_Nhập[Tổng Nhập-NX]*(Data_Nhập[Year]=HF$1)*(Data_Nhập[Main SKU name_GOM]=$A11)*(Data_Nhập[SKU name_NHẬP_GOM]=HF$3)),SUMPRODUCT(Data_Nhập[Tổng Nhập-NX]*(Data_Nhập[Year]=HF$1)*(Data_Nhập[Month]=HF$2)*(Data_Nhập[Main SKU name_GOM]=$A11)*(Data_Nhập[SKU name_NHẬP_GOM]=HF$3)))</f>
        <v>0</v>
      </c>
      <c r="HG11" s="24" cm="1">
        <f t="array" ref="HG11">IF(HG$2="FY",SUMPRODUCT(Data_Nhập[Tổng Nhập-NX]*(Data_Nhập[Year]=HG$1)*(Data_Nhập[Main SKU name_GOM]=$A11)*(Data_Nhập[SKU name_NHẬP_GOM]=HG$3)),SUMPRODUCT(Data_Nhập[Tổng Nhập-NX]*(Data_Nhập[Year]=HG$1)*(Data_Nhập[Month]=HG$2)*(Data_Nhập[Main SKU name_GOM]=$A11)*(Data_Nhập[SKU name_NHẬP_GOM]=HG$3)))</f>
        <v>0</v>
      </c>
      <c r="HH11" s="24" cm="1">
        <f t="array" ref="HH11">IF(HH$2="FY",SUMPRODUCT(Data_Nhập[Tổng Nhập-NX]*(Data_Nhập[Year]=HH$1)*(Data_Nhập[Main SKU name_GOM]=$A11)*(Data_Nhập[SKU name_NHẬP_GOM]=HH$3)),SUMPRODUCT(Data_Nhập[Tổng Nhập-NX]*(Data_Nhập[Year]=HH$1)*(Data_Nhập[Month]=HH$2)*(Data_Nhập[Main SKU name_GOM]=$A11)*(Data_Nhập[SKU name_NHẬP_GOM]=HH$3)))</f>
        <v>3995</v>
      </c>
      <c r="HI11" s="24" cm="1">
        <f t="array" ref="HI11">IF(HI$2="FY",SUMPRODUCT(Data_Nhập[Tổng Nhập-NX]*(Data_Nhập[Year]=HI$1)*(Data_Nhập[Main SKU name_GOM]=$A11)*(Data_Nhập[SKU name_NHẬP_GOM]=HI$3)),SUMPRODUCT(Data_Nhập[Tổng Nhập-NX]*(Data_Nhập[Year]=HI$1)*(Data_Nhập[Month]=HI$2)*(Data_Nhập[Main SKU name_GOM]=$A11)*(Data_Nhập[SKU name_NHẬP_GOM]=HI$3)))</f>
        <v>0</v>
      </c>
      <c r="HJ11" s="25">
        <f t="shared" si="23"/>
        <v>25875</v>
      </c>
      <c r="HL11" s="25" cm="1">
        <f t="array" ref="HL11">IF(HL$2="FY",SUMPRODUCT(Data_Xuất[Xuất-NX]*(Data_Xuất[Year]=HL$1)*(Data_Xuất[Main SKU name_GOM]=$A11)),SUMPRODUCT(Data_Xuất[Xuất-NX]*(Data_Xuất[Year]=HL$1)*(Data_Xuất[Main SKU name_GOM]=$A11)*(Data_Xuất[Month]=HL$2)))</f>
        <v>10000</v>
      </c>
      <c r="HM11" s="24" cm="1">
        <f t="array" ref="HM11">IF(HM$2="FY",SUMPRODUCT(Data_Nhập[Tổng Nhập-NX]*(Data_Nhập[Year]=HM$1)*(Data_Nhập[Main SKU name_GOM]=$A11)*(Data_Nhập[SKU name_NHẬP_GOM]=HM$3)),SUMPRODUCT(Data_Nhập[Tổng Nhập-NX]*(Data_Nhập[Year]=HM$1)*(Data_Nhập[Month]=HM$2)*(Data_Nhập[Main SKU name_GOM]=$A11)*(Data_Nhập[SKU name_NHẬP_GOM]=HM$3)))</f>
        <v>0</v>
      </c>
      <c r="HN11" s="24" cm="1">
        <f t="array" ref="HN11">IF(HN$2="FY",SUMPRODUCT(Data_Nhập[Tổng Nhập-NX]*(Data_Nhập[Year]=HN$1)*(Data_Nhập[Main SKU name_GOM]=$A11)*(Data_Nhập[SKU name_NHẬP_GOM]=HN$3)),SUMPRODUCT(Data_Nhập[Tổng Nhập-NX]*(Data_Nhập[Year]=HN$1)*(Data_Nhập[Month]=HN$2)*(Data_Nhập[Main SKU name_GOM]=$A11)*(Data_Nhập[SKU name_NHẬP_GOM]=HN$3)))</f>
        <v>0</v>
      </c>
      <c r="HO11" s="24" cm="1">
        <f t="array" ref="HO11">IF(HO$2="FY",SUMPRODUCT(Data_Nhập[Tổng Nhập-NX]*(Data_Nhập[Year]=HO$1)*(Data_Nhập[Main SKU name_GOM]=$A11)*(Data_Nhập[SKU name_NHẬP_GOM]=HO$3)),SUMPRODUCT(Data_Nhập[Tổng Nhập-NX]*(Data_Nhập[Year]=HO$1)*(Data_Nhập[Month]=HO$2)*(Data_Nhập[Main SKU name_GOM]=$A11)*(Data_Nhập[SKU name_NHẬP_GOM]=HO$3)))</f>
        <v>0</v>
      </c>
      <c r="HP11" s="24" cm="1">
        <f t="array" ref="HP11">IF(HP$2="FY",SUMPRODUCT(Data_Nhập[Tổng Nhập-NX]*(Data_Nhập[Year]=HP$1)*(Data_Nhập[Main SKU name_GOM]=$A11)*(Data_Nhập[SKU name_NHẬP_GOM]=HP$3)),SUMPRODUCT(Data_Nhập[Tổng Nhập-NX]*(Data_Nhập[Year]=HP$1)*(Data_Nhập[Month]=HP$2)*(Data_Nhập[Main SKU name_GOM]=$A11)*(Data_Nhập[SKU name_NHẬP_GOM]=HP$3)))</f>
        <v>0</v>
      </c>
      <c r="HQ11" s="24" cm="1">
        <f t="array" ref="HQ11">IF(HQ$2="FY",SUMPRODUCT(Data_Nhập[Tổng Nhập-NX]*(Data_Nhập[Year]=HQ$1)*(Data_Nhập[Main SKU name_GOM]=$A11)*(Data_Nhập[SKU name_NHẬP_GOM]=HQ$3)),SUMPRODUCT(Data_Nhập[Tổng Nhập-NX]*(Data_Nhập[Year]=HQ$1)*(Data_Nhập[Month]=HQ$2)*(Data_Nhập[Main SKU name_GOM]=$A11)*(Data_Nhập[SKU name_NHẬP_GOM]=HQ$3)))</f>
        <v>0</v>
      </c>
      <c r="HR11" s="24" cm="1">
        <f t="array" ref="HR11">IF(HR$2="FY",SUMPRODUCT(Data_Nhập[Tổng Nhập-NX]*(Data_Nhập[Year]=HR$1)*(Data_Nhập[Main SKU name_GOM]=$A11)*(Data_Nhập[SKU name_NHẬP_GOM]=HR$3)),SUMPRODUCT(Data_Nhập[Tổng Nhập-NX]*(Data_Nhập[Year]=HR$1)*(Data_Nhập[Month]=HR$2)*(Data_Nhập[Main SKU name_GOM]=$A11)*(Data_Nhập[SKU name_NHẬP_GOM]=HR$3)))</f>
        <v>0</v>
      </c>
      <c r="HS11" s="24" cm="1">
        <f t="array" ref="HS11">IF(HS$2="FY",SUMPRODUCT(Data_Nhập[Tổng Nhập-NX]*(Data_Nhập[Year]=HS$1)*(Data_Nhập[Main SKU name_GOM]=$A11)*(Data_Nhập[SKU name_NHẬP_GOM]=HS$3)),SUMPRODUCT(Data_Nhập[Tổng Nhập-NX]*(Data_Nhập[Year]=HS$1)*(Data_Nhập[Month]=HS$2)*(Data_Nhập[Main SKU name_GOM]=$A11)*(Data_Nhập[SKU name_NHẬP_GOM]=HS$3)))</f>
        <v>8400</v>
      </c>
      <c r="HT11" s="24" cm="1">
        <f t="array" ref="HT11">IF(HT$2="FY",SUMPRODUCT(Data_Nhập[Tổng Nhập-NX]*(Data_Nhập[Year]=HT$1)*(Data_Nhập[Main SKU name_GOM]=$A11)*(Data_Nhập[SKU name_NHẬP_GOM]=HT$3)),SUMPRODUCT(Data_Nhập[Tổng Nhập-NX]*(Data_Nhập[Year]=HT$1)*(Data_Nhập[Month]=HT$2)*(Data_Nhập[Main SKU name_GOM]=$A11)*(Data_Nhập[SKU name_NHẬP_GOM]=HT$3)))</f>
        <v>0</v>
      </c>
      <c r="HU11" s="24" cm="1">
        <f t="array" ref="HU11">IF(HU$2="FY",SUMPRODUCT(Data_Nhập[Tổng Nhập-NX]*(Data_Nhập[Year]=HU$1)*(Data_Nhập[Main SKU name_GOM]=$A11)*(Data_Nhập[SKU name_NHẬP_GOM]=HU$3)),SUMPRODUCT(Data_Nhập[Tổng Nhập-NX]*(Data_Nhập[Year]=HU$1)*(Data_Nhập[Month]=HU$2)*(Data_Nhập[Main SKU name_GOM]=$A11)*(Data_Nhập[SKU name_NHẬP_GOM]=HU$3)))</f>
        <v>0</v>
      </c>
      <c r="HV11" s="24" cm="1">
        <f t="array" ref="HV11">IF(HV$2="FY",SUMPRODUCT(Data_Nhập[Tổng Nhập-NX]*(Data_Nhập[Year]=HV$1)*(Data_Nhập[Main SKU name_GOM]=$A11)*(Data_Nhập[SKU name_NHẬP_GOM]=HV$3)),SUMPRODUCT(Data_Nhập[Tổng Nhập-NX]*(Data_Nhập[Year]=HV$1)*(Data_Nhập[Month]=HV$2)*(Data_Nhập[Main SKU name_GOM]=$A11)*(Data_Nhập[SKU name_NHẬP_GOM]=HV$3)))</f>
        <v>0</v>
      </c>
      <c r="HW11" s="24" cm="1">
        <f t="array" ref="HW11">IF(HW$2="FY",SUMPRODUCT(Data_Nhập[Tổng Nhập-NX]*(Data_Nhập[Year]=HW$1)*(Data_Nhập[Main SKU name_GOM]=$A11)*(Data_Nhập[SKU name_NHẬP_GOM]=HW$3)),SUMPRODUCT(Data_Nhập[Tổng Nhập-NX]*(Data_Nhập[Year]=HW$1)*(Data_Nhập[Month]=HW$2)*(Data_Nhập[Main SKU name_GOM]=$A11)*(Data_Nhập[SKU name_NHẬP_GOM]=HW$3)))</f>
        <v>0</v>
      </c>
      <c r="HX11" s="24" cm="1">
        <f t="array" ref="HX11">IF(HX$2="FY",SUMPRODUCT(Data_Nhập[Tổng Nhập-NX]*(Data_Nhập[Year]=HX$1)*(Data_Nhập[Main SKU name_GOM]=$A11)*(Data_Nhập[SKU name_NHẬP_GOM]=HX$3)),SUMPRODUCT(Data_Nhập[Tổng Nhập-NX]*(Data_Nhập[Year]=HX$1)*(Data_Nhập[Month]=HX$2)*(Data_Nhập[Main SKU name_GOM]=$A11)*(Data_Nhập[SKU name_NHẬP_GOM]=HX$3)))</f>
        <v>0</v>
      </c>
      <c r="HY11" s="24" cm="1">
        <f t="array" ref="HY11">IF(HY$2="FY",SUMPRODUCT(Data_Nhập[Tổng Nhập-NX]*(Data_Nhập[Year]=HY$1)*(Data_Nhập[Main SKU name_GOM]=$A11)*(Data_Nhập[SKU name_NHẬP_GOM]=HY$3)),SUMPRODUCT(Data_Nhập[Tổng Nhập-NX]*(Data_Nhập[Year]=HY$1)*(Data_Nhập[Month]=HY$2)*(Data_Nhập[Main SKU name_GOM]=$A11)*(Data_Nhập[SKU name_NHẬP_GOM]=HY$3)))</f>
        <v>0</v>
      </c>
      <c r="HZ11" s="24" cm="1">
        <f t="array" ref="HZ11">IF(HZ$2="FY",SUMPRODUCT(Data_Nhập[Tổng Nhập-NX]*(Data_Nhập[Year]=HZ$1)*(Data_Nhập[Main SKU name_GOM]=$A11)*(Data_Nhập[SKU name_NHẬP_GOM]=HZ$3)),SUMPRODUCT(Data_Nhập[Tổng Nhập-NX]*(Data_Nhập[Year]=HZ$1)*(Data_Nhập[Month]=HZ$2)*(Data_Nhập[Main SKU name_GOM]=$A11)*(Data_Nhập[SKU name_NHẬP_GOM]=HZ$3)))</f>
        <v>320</v>
      </c>
      <c r="IA11" s="24" cm="1">
        <f t="array" ref="IA11">IF(IA$2="FY",SUMPRODUCT(Data_Nhập[Tổng Nhập-NX]*(Data_Nhập[Year]=IA$1)*(Data_Nhập[Main SKU name_GOM]=$A11)*(Data_Nhập[SKU name_NHẬP_GOM]=IA$3)),SUMPRODUCT(Data_Nhập[Tổng Nhập-NX]*(Data_Nhập[Year]=IA$1)*(Data_Nhập[Month]=IA$2)*(Data_Nhập[Main SKU name_GOM]=$A11)*(Data_Nhập[SKU name_NHẬP_GOM]=IA$3)))</f>
        <v>0</v>
      </c>
      <c r="IB11" s="25">
        <f t="shared" si="24"/>
        <v>8720</v>
      </c>
    </row>
    <row r="12" spans="1:236" ht="15" thickBot="1" x14ac:dyDescent="0.4">
      <c r="A12" s="5" t="s">
        <v>76</v>
      </c>
      <c r="B12" s="23" t="s">
        <v>76</v>
      </c>
      <c r="D12" s="27" cm="1">
        <f t="array" ref="D12">IF(D$2="FY",SUMPRODUCT(Data_Xuất[Xuất-NX]*(Data_Xuất[Year]=D$1)*(Data_Xuất[Main SKU name_GOM]=$A12)),SUMPRODUCT(Data_Xuất[Xuất-NX]*(Data_Xuất[Year]=D$1)*(Data_Xuất[Main SKU name_GOM]=$A12)*Data_Xuất[Month]=D$2))</f>
        <v>24000</v>
      </c>
      <c r="E12" s="26" cm="1">
        <f t="array" ref="E12">IF(E$2="FY",SUMPRODUCT(Data_Nhập[Tổng Nhập-NX]*(Data_Nhập[Year]=E$1)*(Data_Nhập[Main SKU name_GOM]=$A12)*(Data_Nhập[SKU name_NHẬP_GOM]=E$3)),SUMPRODUCT(Data_Nhập[Tổng Nhập-NX]*(Data_Nhập[Year]=E$1)*(Data_Nhập[Month]=E$2)*(Data_Nhập[Main SKU name_GOM]=$A12)*(Data_Nhập[SKU name_NHẬP_GOM]=E$3)))</f>
        <v>0</v>
      </c>
      <c r="F12" s="26" cm="1">
        <f t="array" ref="F12">IF(F$2="FY",SUMPRODUCT(Data_Nhập[Tổng Nhập-NX]*(Data_Nhập[Year]=F$1)*(Data_Nhập[Main SKU name_GOM]=$A12)*(Data_Nhập[SKU name_NHẬP_GOM]=F$3)),SUMPRODUCT(Data_Nhập[Tổng Nhập-NX]*(Data_Nhập[Year]=F$1)*(Data_Nhập[Month]=F$2)*(Data_Nhập[Main SKU name_GOM]=$A12)*(Data_Nhập[SKU name_NHẬP_GOM]=F$3)))</f>
        <v>0</v>
      </c>
      <c r="G12" s="26" cm="1">
        <f t="array" ref="G12">IF(G$2="FY",SUMPRODUCT(Data_Nhập[Tổng Nhập-NX]*(Data_Nhập[Year]=G$1)*(Data_Nhập[Main SKU name_GOM]=$A12)*(Data_Nhập[SKU name_NHẬP_GOM]=G$3)),SUMPRODUCT(Data_Nhập[Tổng Nhập-NX]*(Data_Nhập[Year]=G$1)*(Data_Nhập[Month]=G$2)*(Data_Nhập[Main SKU name_GOM]=$A12)*(Data_Nhập[SKU name_NHẬP_GOM]=G$3)))</f>
        <v>0</v>
      </c>
      <c r="H12" s="26" cm="1">
        <f t="array" ref="H12">IF(H$2="FY",SUMPRODUCT(Data_Nhập[Tổng Nhập-NX]*(Data_Nhập[Year]=H$1)*(Data_Nhập[Main SKU name_GOM]=$A12)*(Data_Nhập[SKU name_NHẬP_GOM]=H$3)),SUMPRODUCT(Data_Nhập[Tổng Nhập-NX]*(Data_Nhập[Year]=H$1)*(Data_Nhập[Month]=H$2)*(Data_Nhập[Main SKU name_GOM]=$A12)*(Data_Nhập[SKU name_NHẬP_GOM]=H$3)))</f>
        <v>0</v>
      </c>
      <c r="I12" s="26" cm="1">
        <f t="array" ref="I12">IF(I$2="FY",SUMPRODUCT(Data_Nhập[Tổng Nhập-NX]*(Data_Nhập[Year]=I$1)*(Data_Nhập[Main SKU name_GOM]=$A12)*(Data_Nhập[SKU name_NHẬP_GOM]=I$3)),SUMPRODUCT(Data_Nhập[Tổng Nhập-NX]*(Data_Nhập[Year]=I$1)*(Data_Nhập[Month]=I$2)*(Data_Nhập[Main SKU name_GOM]=$A12)*(Data_Nhập[SKU name_NHẬP_GOM]=I$3)))</f>
        <v>0</v>
      </c>
      <c r="J12" s="26" cm="1">
        <f t="array" ref="J12">IF(J$2="FY",SUMPRODUCT(Data_Nhập[Tổng Nhập-NX]*(Data_Nhập[Year]=J$1)*(Data_Nhập[Main SKU name_GOM]=$A12)*(Data_Nhập[SKU name_NHẬP_GOM]=J$3)),SUMPRODUCT(Data_Nhập[Tổng Nhập-NX]*(Data_Nhập[Year]=J$1)*(Data_Nhập[Month]=J$2)*(Data_Nhập[Main SKU name_GOM]=$A12)*(Data_Nhập[SKU name_NHẬP_GOM]=J$3)))</f>
        <v>0</v>
      </c>
      <c r="K12" s="26" cm="1">
        <f t="array" ref="K12">IF(K$2="FY",SUMPRODUCT(Data_Nhập[Tổng Nhập-NX]*(Data_Nhập[Year]=K$1)*(Data_Nhập[Main SKU name_GOM]=$A12)*(Data_Nhập[SKU name_NHẬP_GOM]=K$3)),SUMPRODUCT(Data_Nhập[Tổng Nhập-NX]*(Data_Nhập[Year]=K$1)*(Data_Nhập[Month]=K$2)*(Data_Nhập[Main SKU name_GOM]=$A12)*(Data_Nhập[SKU name_NHẬP_GOM]=K$3)))</f>
        <v>0</v>
      </c>
      <c r="L12" s="26" cm="1">
        <f t="array" ref="L12">IF(L$2="FY",SUMPRODUCT(Data_Nhập[Tổng Nhập-NX]*(Data_Nhập[Year]=L$1)*(Data_Nhập[Main SKU name_GOM]=$A12)*(Data_Nhập[SKU name_NHẬP_GOM]=L$3)),SUMPRODUCT(Data_Nhập[Tổng Nhập-NX]*(Data_Nhập[Year]=L$1)*(Data_Nhập[Month]=L$2)*(Data_Nhập[Main SKU name_GOM]=$A12)*(Data_Nhập[SKU name_NHẬP_GOM]=L$3)))</f>
        <v>0</v>
      </c>
      <c r="M12" s="26" cm="1">
        <f t="array" ref="M12">IF(M$2="FY",SUMPRODUCT(Data_Nhập[Tổng Nhập-NX]*(Data_Nhập[Year]=M$1)*(Data_Nhập[Main SKU name_GOM]=$A12)*(Data_Nhập[SKU name_NHẬP_GOM]=M$3)),SUMPRODUCT(Data_Nhập[Tổng Nhập-NX]*(Data_Nhập[Year]=M$1)*(Data_Nhập[Month]=M$2)*(Data_Nhập[Main SKU name_GOM]=$A12)*(Data_Nhập[SKU name_NHẬP_GOM]=M$3)))</f>
        <v>0</v>
      </c>
      <c r="N12" s="26" cm="1">
        <f t="array" ref="N12">IF(N$2="FY",SUMPRODUCT(Data_Nhập[Tổng Nhập-NX]*(Data_Nhập[Year]=N$1)*(Data_Nhập[Main SKU name_GOM]=$A12)*(Data_Nhập[SKU name_NHẬP_GOM]=N$3)),SUMPRODUCT(Data_Nhập[Tổng Nhập-NX]*(Data_Nhập[Year]=N$1)*(Data_Nhập[Month]=N$2)*(Data_Nhập[Main SKU name_GOM]=$A12)*(Data_Nhập[SKU name_NHẬP_GOM]=N$3)))</f>
        <v>0</v>
      </c>
      <c r="O12" s="26" cm="1">
        <f t="array" ref="O12">IF(O$2="FY",SUMPRODUCT(Data_Nhập[Tổng Nhập-NX]*(Data_Nhập[Year]=O$1)*(Data_Nhập[Main SKU name_GOM]=$A12)*(Data_Nhập[SKU name_NHẬP_GOM]=O$3)),SUMPRODUCT(Data_Nhập[Tổng Nhập-NX]*(Data_Nhập[Year]=O$1)*(Data_Nhập[Month]=O$2)*(Data_Nhập[Main SKU name_GOM]=$A12)*(Data_Nhập[SKU name_NHẬP_GOM]=O$3)))</f>
        <v>0</v>
      </c>
      <c r="P12" s="26" cm="1">
        <f t="array" ref="P12">IF(P$2="FY",SUMPRODUCT(Data_Nhập[Tổng Nhập-NX]*(Data_Nhập[Year]=P$1)*(Data_Nhập[Main SKU name_GOM]=$A12)*(Data_Nhập[SKU name_NHẬP_GOM]=P$3)),SUMPRODUCT(Data_Nhập[Tổng Nhập-NX]*(Data_Nhập[Year]=P$1)*(Data_Nhập[Month]=P$2)*(Data_Nhập[Main SKU name_GOM]=$A12)*(Data_Nhập[SKU name_NHẬP_GOM]=P$3)))</f>
        <v>0</v>
      </c>
      <c r="Q12" s="26" cm="1">
        <f t="array" ref="Q12">IF(Q$2="FY",SUMPRODUCT(Data_Nhập[Tổng Nhập-NX]*(Data_Nhập[Year]=Q$1)*(Data_Nhập[Main SKU name_GOM]=$A12)*(Data_Nhập[SKU name_NHẬP_GOM]=Q$3)),SUMPRODUCT(Data_Nhập[Tổng Nhập-NX]*(Data_Nhập[Year]=Q$1)*(Data_Nhập[Month]=Q$2)*(Data_Nhập[Main SKU name_GOM]=$A12)*(Data_Nhập[SKU name_NHẬP_GOM]=Q$3)))</f>
        <v>0</v>
      </c>
      <c r="R12" s="26" cm="1">
        <f t="array" ref="R12">IF(R$2="FY",SUMPRODUCT(Data_Nhập[Tổng Nhập-NX]*(Data_Nhập[Year]=R$1)*(Data_Nhập[Main SKU name_GOM]=$A12)*(Data_Nhập[SKU name_NHẬP_GOM]=R$3)),SUMPRODUCT(Data_Nhập[Tổng Nhập-NX]*(Data_Nhập[Year]=R$1)*(Data_Nhập[Month]=R$2)*(Data_Nhập[Main SKU name_GOM]=$A12)*(Data_Nhập[SKU name_NHẬP_GOM]=R$3)))</f>
        <v>755</v>
      </c>
      <c r="S12" s="26" cm="1">
        <f t="array" ref="S12">IF(S$2="FY",SUMPRODUCT(Data_Nhập[Tổng Nhập-NX]*(Data_Nhập[Year]=S$1)*(Data_Nhập[Main SKU name_GOM]=$A12)*(Data_Nhập[SKU name_NHẬP_GOM]=S$3)),SUMPRODUCT(Data_Nhập[Tổng Nhập-NX]*(Data_Nhập[Year]=S$1)*(Data_Nhập[Month]=S$2)*(Data_Nhập[Main SKU name_GOM]=$A12)*(Data_Nhập[SKU name_NHẬP_GOM]=S$3)))</f>
        <v>22925</v>
      </c>
      <c r="T12" s="27">
        <f t="shared" si="12"/>
        <v>23680</v>
      </c>
      <c r="V12" s="27" cm="1">
        <f t="array" ref="V12">IF(V$2="FY",SUMPRODUCT(Data_Xuất[Xuất-NX]*(Data_Xuất[Year]=V$1)*(Data_Xuất[Main SKU name_GOM]=$A12)),SUMPRODUCT(Data_Xuất[Xuất-NX]*(Data_Xuất[Year]=V$1)*(Data_Xuất[Main SKU name_GOM]=$A12)*(Data_Xuất[Month]=V$2)))</f>
        <v>0</v>
      </c>
      <c r="W12" s="26" cm="1">
        <f t="array" ref="W12">IF(W$2="FY",SUMPRODUCT(Data_Nhập[Tổng Nhập-NX]*(Data_Nhập[Year]=W$1)*(Data_Nhập[Main SKU name_GOM]=$A12)*(Data_Nhập[SKU name_NHẬP_GOM]=W$3)),SUMPRODUCT(Data_Nhập[Tổng Nhập-NX]*(Data_Nhập[Year]=W$1)*(Data_Nhập[Month]=W$2)*(Data_Nhập[Main SKU name_GOM]=$A12)*(Data_Nhập[SKU name_NHẬP_GOM]=W$3)))</f>
        <v>0</v>
      </c>
      <c r="X12" s="26" cm="1">
        <f t="array" ref="X12">IF(X$2="FY",SUMPRODUCT(Data_Nhập[Tổng Nhập-NX]*(Data_Nhập[Year]=X$1)*(Data_Nhập[Main SKU name_GOM]=$A12)*(Data_Nhập[SKU name_NHẬP_GOM]=X$3)),SUMPRODUCT(Data_Nhập[Tổng Nhập-NX]*(Data_Nhập[Year]=X$1)*(Data_Nhập[Month]=X$2)*(Data_Nhập[Main SKU name_GOM]=$A12)*(Data_Nhập[SKU name_NHẬP_GOM]=X$3)))</f>
        <v>0</v>
      </c>
      <c r="Y12" s="26" cm="1">
        <f t="array" ref="Y12">IF(Y$2="FY",SUMPRODUCT(Data_Nhập[Tổng Nhập-NX]*(Data_Nhập[Year]=Y$1)*(Data_Nhập[Main SKU name_GOM]=$A12)*(Data_Nhập[SKU name_NHẬP_GOM]=Y$3)),SUMPRODUCT(Data_Nhập[Tổng Nhập-NX]*(Data_Nhập[Year]=Y$1)*(Data_Nhập[Month]=Y$2)*(Data_Nhập[Main SKU name_GOM]=$A12)*(Data_Nhập[SKU name_NHẬP_GOM]=Y$3)))</f>
        <v>0</v>
      </c>
      <c r="Z12" s="26" cm="1">
        <f t="array" ref="Z12">IF(Z$2="FY",SUMPRODUCT(Data_Nhập[Tổng Nhập-NX]*(Data_Nhập[Year]=Z$1)*(Data_Nhập[Main SKU name_GOM]=$A12)*(Data_Nhập[SKU name_NHẬP_GOM]=Z$3)),SUMPRODUCT(Data_Nhập[Tổng Nhập-NX]*(Data_Nhập[Year]=Z$1)*(Data_Nhập[Month]=Z$2)*(Data_Nhập[Main SKU name_GOM]=$A12)*(Data_Nhập[SKU name_NHẬP_GOM]=Z$3)))</f>
        <v>0</v>
      </c>
      <c r="AA12" s="26" cm="1">
        <f t="array" ref="AA12">IF(AA$2="FY",SUMPRODUCT(Data_Nhập[Tổng Nhập-NX]*(Data_Nhập[Year]=AA$1)*(Data_Nhập[Main SKU name_GOM]=$A12)*(Data_Nhập[SKU name_NHẬP_GOM]=AA$3)),SUMPRODUCT(Data_Nhập[Tổng Nhập-NX]*(Data_Nhập[Year]=AA$1)*(Data_Nhập[Month]=AA$2)*(Data_Nhập[Main SKU name_GOM]=$A12)*(Data_Nhập[SKU name_NHẬP_GOM]=AA$3)))</f>
        <v>0</v>
      </c>
      <c r="AB12" s="26" cm="1">
        <f t="array" ref="AB12">IF(AB$2="FY",SUMPRODUCT(Data_Nhập[Tổng Nhập-NX]*(Data_Nhập[Year]=AB$1)*(Data_Nhập[Main SKU name_GOM]=$A12)*(Data_Nhập[SKU name_NHẬP_GOM]=AB$3)),SUMPRODUCT(Data_Nhập[Tổng Nhập-NX]*(Data_Nhập[Year]=AB$1)*(Data_Nhập[Month]=AB$2)*(Data_Nhập[Main SKU name_GOM]=$A12)*(Data_Nhập[SKU name_NHẬP_GOM]=AB$3)))</f>
        <v>0</v>
      </c>
      <c r="AC12" s="26" cm="1">
        <f t="array" ref="AC12">IF(AC$2="FY",SUMPRODUCT(Data_Nhập[Tổng Nhập-NX]*(Data_Nhập[Year]=AC$1)*(Data_Nhập[Main SKU name_GOM]=$A12)*(Data_Nhập[SKU name_NHẬP_GOM]=AC$3)),SUMPRODUCT(Data_Nhập[Tổng Nhập-NX]*(Data_Nhập[Year]=AC$1)*(Data_Nhập[Month]=AC$2)*(Data_Nhập[Main SKU name_GOM]=$A12)*(Data_Nhập[SKU name_NHẬP_GOM]=AC$3)))</f>
        <v>0</v>
      </c>
      <c r="AD12" s="26" cm="1">
        <f t="array" ref="AD12">IF(AD$2="FY",SUMPRODUCT(Data_Nhập[Tổng Nhập-NX]*(Data_Nhập[Year]=AD$1)*(Data_Nhập[Main SKU name_GOM]=$A12)*(Data_Nhập[SKU name_NHẬP_GOM]=AD$3)),SUMPRODUCT(Data_Nhập[Tổng Nhập-NX]*(Data_Nhập[Year]=AD$1)*(Data_Nhập[Month]=AD$2)*(Data_Nhập[Main SKU name_GOM]=$A12)*(Data_Nhập[SKU name_NHẬP_GOM]=AD$3)))</f>
        <v>0</v>
      </c>
      <c r="AE12" s="26" cm="1">
        <f t="array" ref="AE12">IF(AE$2="FY",SUMPRODUCT(Data_Nhập[Tổng Nhập-NX]*(Data_Nhập[Year]=AE$1)*(Data_Nhập[Main SKU name_GOM]=$A12)*(Data_Nhập[SKU name_NHẬP_GOM]=AE$3)),SUMPRODUCT(Data_Nhập[Tổng Nhập-NX]*(Data_Nhập[Year]=AE$1)*(Data_Nhập[Month]=AE$2)*(Data_Nhập[Main SKU name_GOM]=$A12)*(Data_Nhập[SKU name_NHẬP_GOM]=AE$3)))</f>
        <v>0</v>
      </c>
      <c r="AF12" s="26" cm="1">
        <f t="array" ref="AF12">IF(AF$2="FY",SUMPRODUCT(Data_Nhập[Tổng Nhập-NX]*(Data_Nhập[Year]=AF$1)*(Data_Nhập[Main SKU name_GOM]=$A12)*(Data_Nhập[SKU name_NHẬP_GOM]=AF$3)),SUMPRODUCT(Data_Nhập[Tổng Nhập-NX]*(Data_Nhập[Year]=AF$1)*(Data_Nhập[Month]=AF$2)*(Data_Nhập[Main SKU name_GOM]=$A12)*(Data_Nhập[SKU name_NHẬP_GOM]=AF$3)))</f>
        <v>0</v>
      </c>
      <c r="AG12" s="26" cm="1">
        <f t="array" ref="AG12">IF(AG$2="FY",SUMPRODUCT(Data_Nhập[Tổng Nhập-NX]*(Data_Nhập[Year]=AG$1)*(Data_Nhập[Main SKU name_GOM]=$A12)*(Data_Nhập[SKU name_NHẬP_GOM]=AG$3)),SUMPRODUCT(Data_Nhập[Tổng Nhập-NX]*(Data_Nhập[Year]=AG$1)*(Data_Nhập[Month]=AG$2)*(Data_Nhập[Main SKU name_GOM]=$A12)*(Data_Nhập[SKU name_NHẬP_GOM]=AG$3)))</f>
        <v>0</v>
      </c>
      <c r="AH12" s="26" cm="1">
        <f t="array" ref="AH12">IF(AH$2="FY",SUMPRODUCT(Data_Nhập[Tổng Nhập-NX]*(Data_Nhập[Year]=AH$1)*(Data_Nhập[Main SKU name_GOM]=$A12)*(Data_Nhập[SKU name_NHẬP_GOM]=AH$3)),SUMPRODUCT(Data_Nhập[Tổng Nhập-NX]*(Data_Nhập[Year]=AH$1)*(Data_Nhập[Month]=AH$2)*(Data_Nhập[Main SKU name_GOM]=$A12)*(Data_Nhập[SKU name_NHẬP_GOM]=AH$3)))</f>
        <v>0</v>
      </c>
      <c r="AI12" s="26" cm="1">
        <f t="array" ref="AI12">IF(AI$2="FY",SUMPRODUCT(Data_Nhập[Tổng Nhập-NX]*(Data_Nhập[Year]=AI$1)*(Data_Nhập[Main SKU name_GOM]=$A12)*(Data_Nhập[SKU name_NHẬP_GOM]=AI$3)),SUMPRODUCT(Data_Nhập[Tổng Nhập-NX]*(Data_Nhập[Year]=AI$1)*(Data_Nhập[Month]=AI$2)*(Data_Nhập[Main SKU name_GOM]=$A12)*(Data_Nhập[SKU name_NHẬP_GOM]=AI$3)))</f>
        <v>0</v>
      </c>
      <c r="AJ12" s="26" cm="1">
        <f t="array" ref="AJ12">IF(AJ$2="FY",SUMPRODUCT(Data_Nhập[Tổng Nhập-NX]*(Data_Nhập[Year]=AJ$1)*(Data_Nhập[Main SKU name_GOM]=$A12)*(Data_Nhập[SKU name_NHẬP_GOM]=AJ$3)),SUMPRODUCT(Data_Nhập[Tổng Nhập-NX]*(Data_Nhập[Year]=AJ$1)*(Data_Nhập[Month]=AJ$2)*(Data_Nhập[Main SKU name_GOM]=$A12)*(Data_Nhập[SKU name_NHẬP_GOM]=AJ$3)))</f>
        <v>0</v>
      </c>
      <c r="AK12" s="26" cm="1">
        <f t="array" ref="AK12">IF(AK$2="FY",SUMPRODUCT(Data_Nhập[Tổng Nhập-NX]*(Data_Nhập[Year]=AK$1)*(Data_Nhập[Main SKU name_GOM]=$A12)*(Data_Nhập[SKU name_NHẬP_GOM]=AK$3)),SUMPRODUCT(Data_Nhập[Tổng Nhập-NX]*(Data_Nhập[Year]=AK$1)*(Data_Nhập[Month]=AK$2)*(Data_Nhập[Main SKU name_GOM]=$A12)*(Data_Nhập[SKU name_NHẬP_GOM]=AK$3)))</f>
        <v>0</v>
      </c>
      <c r="AL12" s="27">
        <f t="shared" si="13"/>
        <v>0</v>
      </c>
      <c r="AN12" s="27" cm="1">
        <f t="array" ref="AN12">IF(AN$2="FY",SUMPRODUCT(Data_Xuất[Xuất-NX]*(Data_Xuất[Year]=AN$1)*(Data_Xuất[Main SKU name_GOM]=$A12)),SUMPRODUCT(Data_Xuất[Xuất-NX]*(Data_Xuất[Year]=AN$1)*(Data_Xuất[Main SKU name_GOM]=$A12)*(Data_Xuất[Month]=AN$2)))</f>
        <v>0</v>
      </c>
      <c r="AO12" s="26" cm="1">
        <f t="array" ref="AO12">IF(AO$2="FY",SUMPRODUCT(Data_Nhập[Tổng Nhập-NX]*(Data_Nhập[Year]=AO$1)*(Data_Nhập[Main SKU name_GOM]=$A12)*(Data_Nhập[SKU name_NHẬP_GOM]=AO$3)),SUMPRODUCT(Data_Nhập[Tổng Nhập-NX]*(Data_Nhập[Year]=AO$1)*(Data_Nhập[Month]=AO$2)*(Data_Nhập[Main SKU name_GOM]=$A12)*(Data_Nhập[SKU name_NHẬP_GOM]=AO$3)))</f>
        <v>0</v>
      </c>
      <c r="AP12" s="26" cm="1">
        <f t="array" ref="AP12">IF(AP$2="FY",SUMPRODUCT(Data_Nhập[Tổng Nhập-NX]*(Data_Nhập[Year]=AP$1)*(Data_Nhập[Main SKU name_GOM]=$A12)*(Data_Nhập[SKU name_NHẬP_GOM]=AP$3)),SUMPRODUCT(Data_Nhập[Tổng Nhập-NX]*(Data_Nhập[Year]=AP$1)*(Data_Nhập[Month]=AP$2)*(Data_Nhập[Main SKU name_GOM]=$A12)*(Data_Nhập[SKU name_NHẬP_GOM]=AP$3)))</f>
        <v>0</v>
      </c>
      <c r="AQ12" s="26" cm="1">
        <f t="array" ref="AQ12">IF(AQ$2="FY",SUMPRODUCT(Data_Nhập[Tổng Nhập-NX]*(Data_Nhập[Year]=AQ$1)*(Data_Nhập[Main SKU name_GOM]=$A12)*(Data_Nhập[SKU name_NHẬP_GOM]=AQ$3)),SUMPRODUCT(Data_Nhập[Tổng Nhập-NX]*(Data_Nhập[Year]=AQ$1)*(Data_Nhập[Month]=AQ$2)*(Data_Nhập[Main SKU name_GOM]=$A12)*(Data_Nhập[SKU name_NHẬP_GOM]=AQ$3)))</f>
        <v>0</v>
      </c>
      <c r="AR12" s="26" cm="1">
        <f t="array" ref="AR12">IF(AR$2="FY",SUMPRODUCT(Data_Nhập[Tổng Nhập-NX]*(Data_Nhập[Year]=AR$1)*(Data_Nhập[Main SKU name_GOM]=$A12)*(Data_Nhập[SKU name_NHẬP_GOM]=AR$3)),SUMPRODUCT(Data_Nhập[Tổng Nhập-NX]*(Data_Nhập[Year]=AR$1)*(Data_Nhập[Month]=AR$2)*(Data_Nhập[Main SKU name_GOM]=$A12)*(Data_Nhập[SKU name_NHẬP_GOM]=AR$3)))</f>
        <v>0</v>
      </c>
      <c r="AS12" s="26" cm="1">
        <f t="array" ref="AS12">IF(AS$2="FY",SUMPRODUCT(Data_Nhập[Tổng Nhập-NX]*(Data_Nhập[Year]=AS$1)*(Data_Nhập[Main SKU name_GOM]=$A12)*(Data_Nhập[SKU name_NHẬP_GOM]=AS$3)),SUMPRODUCT(Data_Nhập[Tổng Nhập-NX]*(Data_Nhập[Year]=AS$1)*(Data_Nhập[Month]=AS$2)*(Data_Nhập[Main SKU name_GOM]=$A12)*(Data_Nhập[SKU name_NHẬP_GOM]=AS$3)))</f>
        <v>0</v>
      </c>
      <c r="AT12" s="26" cm="1">
        <f t="array" ref="AT12">IF(AT$2="FY",SUMPRODUCT(Data_Nhập[Tổng Nhập-NX]*(Data_Nhập[Year]=AT$1)*(Data_Nhập[Main SKU name_GOM]=$A12)*(Data_Nhập[SKU name_NHẬP_GOM]=AT$3)),SUMPRODUCT(Data_Nhập[Tổng Nhập-NX]*(Data_Nhập[Year]=AT$1)*(Data_Nhập[Month]=AT$2)*(Data_Nhập[Main SKU name_GOM]=$A12)*(Data_Nhập[SKU name_NHẬP_GOM]=AT$3)))</f>
        <v>0</v>
      </c>
      <c r="AU12" s="26" cm="1">
        <f t="array" ref="AU12">IF(AU$2="FY",SUMPRODUCT(Data_Nhập[Tổng Nhập-NX]*(Data_Nhập[Year]=AU$1)*(Data_Nhập[Main SKU name_GOM]=$A12)*(Data_Nhập[SKU name_NHẬP_GOM]=AU$3)),SUMPRODUCT(Data_Nhập[Tổng Nhập-NX]*(Data_Nhập[Year]=AU$1)*(Data_Nhập[Month]=AU$2)*(Data_Nhập[Main SKU name_GOM]=$A12)*(Data_Nhập[SKU name_NHẬP_GOM]=AU$3)))</f>
        <v>0</v>
      </c>
      <c r="AV12" s="26" cm="1">
        <f t="array" ref="AV12">IF(AV$2="FY",SUMPRODUCT(Data_Nhập[Tổng Nhập-NX]*(Data_Nhập[Year]=AV$1)*(Data_Nhập[Main SKU name_GOM]=$A12)*(Data_Nhập[SKU name_NHẬP_GOM]=AV$3)),SUMPRODUCT(Data_Nhập[Tổng Nhập-NX]*(Data_Nhập[Year]=AV$1)*(Data_Nhập[Month]=AV$2)*(Data_Nhập[Main SKU name_GOM]=$A12)*(Data_Nhập[SKU name_NHẬP_GOM]=AV$3)))</f>
        <v>0</v>
      </c>
      <c r="AW12" s="26" cm="1">
        <f t="array" ref="AW12">IF(AW$2="FY",SUMPRODUCT(Data_Nhập[Tổng Nhập-NX]*(Data_Nhập[Year]=AW$1)*(Data_Nhập[Main SKU name_GOM]=$A12)*(Data_Nhập[SKU name_NHẬP_GOM]=AW$3)),SUMPRODUCT(Data_Nhập[Tổng Nhập-NX]*(Data_Nhập[Year]=AW$1)*(Data_Nhập[Month]=AW$2)*(Data_Nhập[Main SKU name_GOM]=$A12)*(Data_Nhập[SKU name_NHẬP_GOM]=AW$3)))</f>
        <v>0</v>
      </c>
      <c r="AX12" s="26" cm="1">
        <f t="array" ref="AX12">IF(AX$2="FY",SUMPRODUCT(Data_Nhập[Tổng Nhập-NX]*(Data_Nhập[Year]=AX$1)*(Data_Nhập[Main SKU name_GOM]=$A12)*(Data_Nhập[SKU name_NHẬP_GOM]=AX$3)),SUMPRODUCT(Data_Nhập[Tổng Nhập-NX]*(Data_Nhập[Year]=AX$1)*(Data_Nhập[Month]=AX$2)*(Data_Nhập[Main SKU name_GOM]=$A12)*(Data_Nhập[SKU name_NHẬP_GOM]=AX$3)))</f>
        <v>0</v>
      </c>
      <c r="AY12" s="26" cm="1">
        <f t="array" ref="AY12">IF(AY$2="FY",SUMPRODUCT(Data_Nhập[Tổng Nhập-NX]*(Data_Nhập[Year]=AY$1)*(Data_Nhập[Main SKU name_GOM]=$A12)*(Data_Nhập[SKU name_NHẬP_GOM]=AY$3)),SUMPRODUCT(Data_Nhập[Tổng Nhập-NX]*(Data_Nhập[Year]=AY$1)*(Data_Nhập[Month]=AY$2)*(Data_Nhập[Main SKU name_GOM]=$A12)*(Data_Nhập[SKU name_NHẬP_GOM]=AY$3)))</f>
        <v>0</v>
      </c>
      <c r="AZ12" s="26" cm="1">
        <f t="array" ref="AZ12">IF(AZ$2="FY",SUMPRODUCT(Data_Nhập[Tổng Nhập-NX]*(Data_Nhập[Year]=AZ$1)*(Data_Nhập[Main SKU name_GOM]=$A12)*(Data_Nhập[SKU name_NHẬP_GOM]=AZ$3)),SUMPRODUCT(Data_Nhập[Tổng Nhập-NX]*(Data_Nhập[Year]=AZ$1)*(Data_Nhập[Month]=AZ$2)*(Data_Nhập[Main SKU name_GOM]=$A12)*(Data_Nhập[SKU name_NHẬP_GOM]=AZ$3)))</f>
        <v>0</v>
      </c>
      <c r="BA12" s="26" cm="1">
        <f t="array" ref="BA12">IF(BA$2="FY",SUMPRODUCT(Data_Nhập[Tổng Nhập-NX]*(Data_Nhập[Year]=BA$1)*(Data_Nhập[Main SKU name_GOM]=$A12)*(Data_Nhập[SKU name_NHẬP_GOM]=BA$3)),SUMPRODUCT(Data_Nhập[Tổng Nhập-NX]*(Data_Nhập[Year]=BA$1)*(Data_Nhập[Month]=BA$2)*(Data_Nhập[Main SKU name_GOM]=$A12)*(Data_Nhập[SKU name_NHẬP_GOM]=BA$3)))</f>
        <v>0</v>
      </c>
      <c r="BB12" s="26" cm="1">
        <f t="array" ref="BB12">IF(BB$2="FY",SUMPRODUCT(Data_Nhập[Tổng Nhập-NX]*(Data_Nhập[Year]=BB$1)*(Data_Nhập[Main SKU name_GOM]=$A12)*(Data_Nhập[SKU name_NHẬP_GOM]=BB$3)),SUMPRODUCT(Data_Nhập[Tổng Nhập-NX]*(Data_Nhập[Year]=BB$1)*(Data_Nhập[Month]=BB$2)*(Data_Nhập[Main SKU name_GOM]=$A12)*(Data_Nhập[SKU name_NHẬP_GOM]=BB$3)))</f>
        <v>0</v>
      </c>
      <c r="BC12" s="26" cm="1">
        <f t="array" ref="BC12">IF(BC$2="FY",SUMPRODUCT(Data_Nhập[Tổng Nhập-NX]*(Data_Nhập[Year]=BC$1)*(Data_Nhập[Main SKU name_GOM]=$A12)*(Data_Nhập[SKU name_NHẬP_GOM]=BC$3)),SUMPRODUCT(Data_Nhập[Tổng Nhập-NX]*(Data_Nhập[Year]=BC$1)*(Data_Nhập[Month]=BC$2)*(Data_Nhập[Main SKU name_GOM]=$A12)*(Data_Nhập[SKU name_NHẬP_GOM]=BC$3)))</f>
        <v>0</v>
      </c>
      <c r="BD12" s="27">
        <f t="shared" si="14"/>
        <v>0</v>
      </c>
      <c r="BF12" s="27" cm="1">
        <f t="array" ref="BF12">IF(BF$2="FY",SUMPRODUCT(Data_Xuất[Xuất-NX]*(Data_Xuất[Year]=BF$1)*(Data_Xuất[Main SKU name_GOM]=$A12)),SUMPRODUCT(Data_Xuất[Xuất-NX]*(Data_Xuất[Year]=BF$1)*(Data_Xuất[Main SKU name_GOM]=$A12)*(Data_Xuất[Month]=BF$2)))</f>
        <v>0</v>
      </c>
      <c r="BG12" s="26" cm="1">
        <f t="array" ref="BG12">IF(BG$2="FY",SUMPRODUCT(Data_Nhập[Tổng Nhập-NX]*(Data_Nhập[Year]=BG$1)*(Data_Nhập[Main SKU name_GOM]=$A12)*(Data_Nhập[SKU name_NHẬP_GOM]=BG$3)),SUMPRODUCT(Data_Nhập[Tổng Nhập-NX]*(Data_Nhập[Year]=BG$1)*(Data_Nhập[Month]=BG$2)*(Data_Nhập[Main SKU name_GOM]=$A12)*(Data_Nhập[SKU name_NHẬP_GOM]=BG$3)))</f>
        <v>0</v>
      </c>
      <c r="BH12" s="26" cm="1">
        <f t="array" ref="BH12">IF(BH$2="FY",SUMPRODUCT(Data_Nhập[Tổng Nhập-NX]*(Data_Nhập[Year]=BH$1)*(Data_Nhập[Main SKU name_GOM]=$A12)*(Data_Nhập[SKU name_NHẬP_GOM]=BH$3)),SUMPRODUCT(Data_Nhập[Tổng Nhập-NX]*(Data_Nhập[Year]=BH$1)*(Data_Nhập[Month]=BH$2)*(Data_Nhập[Main SKU name_GOM]=$A12)*(Data_Nhập[SKU name_NHẬP_GOM]=BH$3)))</f>
        <v>0</v>
      </c>
      <c r="BI12" s="26" cm="1">
        <f t="array" ref="BI12">IF(BI$2="FY",SUMPRODUCT(Data_Nhập[Tổng Nhập-NX]*(Data_Nhập[Year]=BI$1)*(Data_Nhập[Main SKU name_GOM]=$A12)*(Data_Nhập[SKU name_NHẬP_GOM]=BI$3)),SUMPRODUCT(Data_Nhập[Tổng Nhập-NX]*(Data_Nhập[Year]=BI$1)*(Data_Nhập[Month]=BI$2)*(Data_Nhập[Main SKU name_GOM]=$A12)*(Data_Nhập[SKU name_NHẬP_GOM]=BI$3)))</f>
        <v>0</v>
      </c>
      <c r="BJ12" s="26" cm="1">
        <f t="array" ref="BJ12">IF(BJ$2="FY",SUMPRODUCT(Data_Nhập[Tổng Nhập-NX]*(Data_Nhập[Year]=BJ$1)*(Data_Nhập[Main SKU name_GOM]=$A12)*(Data_Nhập[SKU name_NHẬP_GOM]=BJ$3)),SUMPRODUCT(Data_Nhập[Tổng Nhập-NX]*(Data_Nhập[Year]=BJ$1)*(Data_Nhập[Month]=BJ$2)*(Data_Nhập[Main SKU name_GOM]=$A12)*(Data_Nhập[SKU name_NHẬP_GOM]=BJ$3)))</f>
        <v>0</v>
      </c>
      <c r="BK12" s="26" cm="1">
        <f t="array" ref="BK12">IF(BK$2="FY",SUMPRODUCT(Data_Nhập[Tổng Nhập-NX]*(Data_Nhập[Year]=BK$1)*(Data_Nhập[Main SKU name_GOM]=$A12)*(Data_Nhập[SKU name_NHẬP_GOM]=BK$3)),SUMPRODUCT(Data_Nhập[Tổng Nhập-NX]*(Data_Nhập[Year]=BK$1)*(Data_Nhập[Month]=BK$2)*(Data_Nhập[Main SKU name_GOM]=$A12)*(Data_Nhập[SKU name_NHẬP_GOM]=BK$3)))</f>
        <v>0</v>
      </c>
      <c r="BL12" s="26" cm="1">
        <f t="array" ref="BL12">IF(BL$2="FY",SUMPRODUCT(Data_Nhập[Tổng Nhập-NX]*(Data_Nhập[Year]=BL$1)*(Data_Nhập[Main SKU name_GOM]=$A12)*(Data_Nhập[SKU name_NHẬP_GOM]=BL$3)),SUMPRODUCT(Data_Nhập[Tổng Nhập-NX]*(Data_Nhập[Year]=BL$1)*(Data_Nhập[Month]=BL$2)*(Data_Nhập[Main SKU name_GOM]=$A12)*(Data_Nhập[SKU name_NHẬP_GOM]=BL$3)))</f>
        <v>0</v>
      </c>
      <c r="BM12" s="26" cm="1">
        <f t="array" ref="BM12">IF(BM$2="FY",SUMPRODUCT(Data_Nhập[Tổng Nhập-NX]*(Data_Nhập[Year]=BM$1)*(Data_Nhập[Main SKU name_GOM]=$A12)*(Data_Nhập[SKU name_NHẬP_GOM]=BM$3)),SUMPRODUCT(Data_Nhập[Tổng Nhập-NX]*(Data_Nhập[Year]=BM$1)*(Data_Nhập[Month]=BM$2)*(Data_Nhập[Main SKU name_GOM]=$A12)*(Data_Nhập[SKU name_NHẬP_GOM]=BM$3)))</f>
        <v>0</v>
      </c>
      <c r="BN12" s="26" cm="1">
        <f t="array" ref="BN12">IF(BN$2="FY",SUMPRODUCT(Data_Nhập[Tổng Nhập-NX]*(Data_Nhập[Year]=BN$1)*(Data_Nhập[Main SKU name_GOM]=$A12)*(Data_Nhập[SKU name_NHẬP_GOM]=BN$3)),SUMPRODUCT(Data_Nhập[Tổng Nhập-NX]*(Data_Nhập[Year]=BN$1)*(Data_Nhập[Month]=BN$2)*(Data_Nhập[Main SKU name_GOM]=$A12)*(Data_Nhập[SKU name_NHẬP_GOM]=BN$3)))</f>
        <v>0</v>
      </c>
      <c r="BO12" s="26" cm="1">
        <f t="array" ref="BO12">IF(BO$2="FY",SUMPRODUCT(Data_Nhập[Tổng Nhập-NX]*(Data_Nhập[Year]=BO$1)*(Data_Nhập[Main SKU name_GOM]=$A12)*(Data_Nhập[SKU name_NHẬP_GOM]=BO$3)),SUMPRODUCT(Data_Nhập[Tổng Nhập-NX]*(Data_Nhập[Year]=BO$1)*(Data_Nhập[Month]=BO$2)*(Data_Nhập[Main SKU name_GOM]=$A12)*(Data_Nhập[SKU name_NHẬP_GOM]=BO$3)))</f>
        <v>0</v>
      </c>
      <c r="BP12" s="26" cm="1">
        <f t="array" ref="BP12">IF(BP$2="FY",SUMPRODUCT(Data_Nhập[Tổng Nhập-NX]*(Data_Nhập[Year]=BP$1)*(Data_Nhập[Main SKU name_GOM]=$A12)*(Data_Nhập[SKU name_NHẬP_GOM]=BP$3)),SUMPRODUCT(Data_Nhập[Tổng Nhập-NX]*(Data_Nhập[Year]=BP$1)*(Data_Nhập[Month]=BP$2)*(Data_Nhập[Main SKU name_GOM]=$A12)*(Data_Nhập[SKU name_NHẬP_GOM]=BP$3)))</f>
        <v>0</v>
      </c>
      <c r="BQ12" s="26" cm="1">
        <f t="array" ref="BQ12">IF(BQ$2="FY",SUMPRODUCT(Data_Nhập[Tổng Nhập-NX]*(Data_Nhập[Year]=BQ$1)*(Data_Nhập[Main SKU name_GOM]=$A12)*(Data_Nhập[SKU name_NHẬP_GOM]=BQ$3)),SUMPRODUCT(Data_Nhập[Tổng Nhập-NX]*(Data_Nhập[Year]=BQ$1)*(Data_Nhập[Month]=BQ$2)*(Data_Nhập[Main SKU name_GOM]=$A12)*(Data_Nhập[SKU name_NHẬP_GOM]=BQ$3)))</f>
        <v>0</v>
      </c>
      <c r="BR12" s="26" cm="1">
        <f t="array" ref="BR12">IF(BR$2="FY",SUMPRODUCT(Data_Nhập[Tổng Nhập-NX]*(Data_Nhập[Year]=BR$1)*(Data_Nhập[Main SKU name_GOM]=$A12)*(Data_Nhập[SKU name_NHẬP_GOM]=BR$3)),SUMPRODUCT(Data_Nhập[Tổng Nhập-NX]*(Data_Nhập[Year]=BR$1)*(Data_Nhập[Month]=BR$2)*(Data_Nhập[Main SKU name_GOM]=$A12)*(Data_Nhập[SKU name_NHẬP_GOM]=BR$3)))</f>
        <v>0</v>
      </c>
      <c r="BS12" s="26" cm="1">
        <f t="array" ref="BS12">IF(BS$2="FY",SUMPRODUCT(Data_Nhập[Tổng Nhập-NX]*(Data_Nhập[Year]=BS$1)*(Data_Nhập[Main SKU name_GOM]=$A12)*(Data_Nhập[SKU name_NHẬP_GOM]=BS$3)),SUMPRODUCT(Data_Nhập[Tổng Nhập-NX]*(Data_Nhập[Year]=BS$1)*(Data_Nhập[Month]=BS$2)*(Data_Nhập[Main SKU name_GOM]=$A12)*(Data_Nhập[SKU name_NHẬP_GOM]=BS$3)))</f>
        <v>0</v>
      </c>
      <c r="BT12" s="26" cm="1">
        <f t="array" ref="BT12">IF(BT$2="FY",SUMPRODUCT(Data_Nhập[Tổng Nhập-NX]*(Data_Nhập[Year]=BT$1)*(Data_Nhập[Main SKU name_GOM]=$A12)*(Data_Nhập[SKU name_NHẬP_GOM]=BT$3)),SUMPRODUCT(Data_Nhập[Tổng Nhập-NX]*(Data_Nhập[Year]=BT$1)*(Data_Nhập[Month]=BT$2)*(Data_Nhập[Main SKU name_GOM]=$A12)*(Data_Nhập[SKU name_NHẬP_GOM]=BT$3)))</f>
        <v>0</v>
      </c>
      <c r="BU12" s="26" cm="1">
        <f t="array" ref="BU12">IF(BU$2="FY",SUMPRODUCT(Data_Nhập[Tổng Nhập-NX]*(Data_Nhập[Year]=BU$1)*(Data_Nhập[Main SKU name_GOM]=$A12)*(Data_Nhập[SKU name_NHẬP_GOM]=BU$3)),SUMPRODUCT(Data_Nhập[Tổng Nhập-NX]*(Data_Nhập[Year]=BU$1)*(Data_Nhập[Month]=BU$2)*(Data_Nhập[Main SKU name_GOM]=$A12)*(Data_Nhập[SKU name_NHẬP_GOM]=BU$3)))</f>
        <v>0</v>
      </c>
      <c r="BV12" s="27">
        <f t="shared" si="15"/>
        <v>0</v>
      </c>
      <c r="BX12" s="27" cm="1">
        <f t="array" ref="BX12">IF(BX$2="FY",SUMPRODUCT(Data_Xuất[Xuất-NX]*(Data_Xuất[Year]=BX$1)*(Data_Xuất[Main SKU name_GOM]=$A12)),SUMPRODUCT(Data_Xuất[Xuất-NX]*(Data_Xuất[Year]=BX$1)*(Data_Xuất[Main SKU name_GOM]=$A12)*(Data_Xuất[Month]=BX$2)))</f>
        <v>0</v>
      </c>
      <c r="BY12" s="26" cm="1">
        <f t="array" ref="BY12">IF(BY$2="FY",SUMPRODUCT(Data_Nhập[Tổng Nhập-NX]*(Data_Nhập[Year]=BY$1)*(Data_Nhập[Main SKU name_GOM]=$A12)*(Data_Nhập[SKU name_NHẬP_GOM]=BY$3)),SUMPRODUCT(Data_Nhập[Tổng Nhập-NX]*(Data_Nhập[Year]=BY$1)*(Data_Nhập[Month]=BY$2)*(Data_Nhập[Main SKU name_GOM]=$A12)*(Data_Nhập[SKU name_NHẬP_GOM]=BY$3)))</f>
        <v>0</v>
      </c>
      <c r="BZ12" s="26" cm="1">
        <f t="array" ref="BZ12">IF(BZ$2="FY",SUMPRODUCT(Data_Nhập[Tổng Nhập-NX]*(Data_Nhập[Year]=BZ$1)*(Data_Nhập[Main SKU name_GOM]=$A12)*(Data_Nhập[SKU name_NHẬP_GOM]=BZ$3)),SUMPRODUCT(Data_Nhập[Tổng Nhập-NX]*(Data_Nhập[Year]=BZ$1)*(Data_Nhập[Month]=BZ$2)*(Data_Nhập[Main SKU name_GOM]=$A12)*(Data_Nhập[SKU name_NHẬP_GOM]=BZ$3)))</f>
        <v>0</v>
      </c>
      <c r="CA12" s="26" cm="1">
        <f t="array" ref="CA12">IF(CA$2="FY",SUMPRODUCT(Data_Nhập[Tổng Nhập-NX]*(Data_Nhập[Year]=CA$1)*(Data_Nhập[Main SKU name_GOM]=$A12)*(Data_Nhập[SKU name_NHẬP_GOM]=CA$3)),SUMPRODUCT(Data_Nhập[Tổng Nhập-NX]*(Data_Nhập[Year]=CA$1)*(Data_Nhập[Month]=CA$2)*(Data_Nhập[Main SKU name_GOM]=$A12)*(Data_Nhập[SKU name_NHẬP_GOM]=CA$3)))</f>
        <v>0</v>
      </c>
      <c r="CB12" s="26" cm="1">
        <f t="array" ref="CB12">IF(CB$2="FY",SUMPRODUCT(Data_Nhập[Tổng Nhập-NX]*(Data_Nhập[Year]=CB$1)*(Data_Nhập[Main SKU name_GOM]=$A12)*(Data_Nhập[SKU name_NHẬP_GOM]=CB$3)),SUMPRODUCT(Data_Nhập[Tổng Nhập-NX]*(Data_Nhập[Year]=CB$1)*(Data_Nhập[Month]=CB$2)*(Data_Nhập[Main SKU name_GOM]=$A12)*(Data_Nhập[SKU name_NHẬP_GOM]=CB$3)))</f>
        <v>0</v>
      </c>
      <c r="CC12" s="26" cm="1">
        <f t="array" ref="CC12">IF(CC$2="FY",SUMPRODUCT(Data_Nhập[Tổng Nhập-NX]*(Data_Nhập[Year]=CC$1)*(Data_Nhập[Main SKU name_GOM]=$A12)*(Data_Nhập[SKU name_NHẬP_GOM]=CC$3)),SUMPRODUCT(Data_Nhập[Tổng Nhập-NX]*(Data_Nhập[Year]=CC$1)*(Data_Nhập[Month]=CC$2)*(Data_Nhập[Main SKU name_GOM]=$A12)*(Data_Nhập[SKU name_NHẬP_GOM]=CC$3)))</f>
        <v>0</v>
      </c>
      <c r="CD12" s="26" cm="1">
        <f t="array" ref="CD12">IF(CD$2="FY",SUMPRODUCT(Data_Nhập[Tổng Nhập-NX]*(Data_Nhập[Year]=CD$1)*(Data_Nhập[Main SKU name_GOM]=$A12)*(Data_Nhập[SKU name_NHẬP_GOM]=CD$3)),SUMPRODUCT(Data_Nhập[Tổng Nhập-NX]*(Data_Nhập[Year]=CD$1)*(Data_Nhập[Month]=CD$2)*(Data_Nhập[Main SKU name_GOM]=$A12)*(Data_Nhập[SKU name_NHẬP_GOM]=CD$3)))</f>
        <v>0</v>
      </c>
      <c r="CE12" s="26" cm="1">
        <f t="array" ref="CE12">IF(CE$2="FY",SUMPRODUCT(Data_Nhập[Tổng Nhập-NX]*(Data_Nhập[Year]=CE$1)*(Data_Nhập[Main SKU name_GOM]=$A12)*(Data_Nhập[SKU name_NHẬP_GOM]=CE$3)),SUMPRODUCT(Data_Nhập[Tổng Nhập-NX]*(Data_Nhập[Year]=CE$1)*(Data_Nhập[Month]=CE$2)*(Data_Nhập[Main SKU name_GOM]=$A12)*(Data_Nhập[SKU name_NHẬP_GOM]=CE$3)))</f>
        <v>0</v>
      </c>
      <c r="CF12" s="26" cm="1">
        <f t="array" ref="CF12">IF(CF$2="FY",SUMPRODUCT(Data_Nhập[Tổng Nhập-NX]*(Data_Nhập[Year]=CF$1)*(Data_Nhập[Main SKU name_GOM]=$A12)*(Data_Nhập[SKU name_NHẬP_GOM]=CF$3)),SUMPRODUCT(Data_Nhập[Tổng Nhập-NX]*(Data_Nhập[Year]=CF$1)*(Data_Nhập[Month]=CF$2)*(Data_Nhập[Main SKU name_GOM]=$A12)*(Data_Nhập[SKU name_NHẬP_GOM]=CF$3)))</f>
        <v>0</v>
      </c>
      <c r="CG12" s="26" cm="1">
        <f t="array" ref="CG12">IF(CG$2="FY",SUMPRODUCT(Data_Nhập[Tổng Nhập-NX]*(Data_Nhập[Year]=CG$1)*(Data_Nhập[Main SKU name_GOM]=$A12)*(Data_Nhập[SKU name_NHẬP_GOM]=CG$3)),SUMPRODUCT(Data_Nhập[Tổng Nhập-NX]*(Data_Nhập[Year]=CG$1)*(Data_Nhập[Month]=CG$2)*(Data_Nhập[Main SKU name_GOM]=$A12)*(Data_Nhập[SKU name_NHẬP_GOM]=CG$3)))</f>
        <v>0</v>
      </c>
      <c r="CH12" s="26" cm="1">
        <f t="array" ref="CH12">IF(CH$2="FY",SUMPRODUCT(Data_Nhập[Tổng Nhập-NX]*(Data_Nhập[Year]=CH$1)*(Data_Nhập[Main SKU name_GOM]=$A12)*(Data_Nhập[SKU name_NHẬP_GOM]=CH$3)),SUMPRODUCT(Data_Nhập[Tổng Nhập-NX]*(Data_Nhập[Year]=CH$1)*(Data_Nhập[Month]=CH$2)*(Data_Nhập[Main SKU name_GOM]=$A12)*(Data_Nhập[SKU name_NHẬP_GOM]=CH$3)))</f>
        <v>0</v>
      </c>
      <c r="CI12" s="26" cm="1">
        <f t="array" ref="CI12">IF(CI$2="FY",SUMPRODUCT(Data_Nhập[Tổng Nhập-NX]*(Data_Nhập[Year]=CI$1)*(Data_Nhập[Main SKU name_GOM]=$A12)*(Data_Nhập[SKU name_NHẬP_GOM]=CI$3)),SUMPRODUCT(Data_Nhập[Tổng Nhập-NX]*(Data_Nhập[Year]=CI$1)*(Data_Nhập[Month]=CI$2)*(Data_Nhập[Main SKU name_GOM]=$A12)*(Data_Nhập[SKU name_NHẬP_GOM]=CI$3)))</f>
        <v>0</v>
      </c>
      <c r="CJ12" s="26" cm="1">
        <f t="array" ref="CJ12">IF(CJ$2="FY",SUMPRODUCT(Data_Nhập[Tổng Nhập-NX]*(Data_Nhập[Year]=CJ$1)*(Data_Nhập[Main SKU name_GOM]=$A12)*(Data_Nhập[SKU name_NHẬP_GOM]=CJ$3)),SUMPRODUCT(Data_Nhập[Tổng Nhập-NX]*(Data_Nhập[Year]=CJ$1)*(Data_Nhập[Month]=CJ$2)*(Data_Nhập[Main SKU name_GOM]=$A12)*(Data_Nhập[SKU name_NHẬP_GOM]=CJ$3)))</f>
        <v>0</v>
      </c>
      <c r="CK12" s="26" cm="1">
        <f t="array" ref="CK12">IF(CK$2="FY",SUMPRODUCT(Data_Nhập[Tổng Nhập-NX]*(Data_Nhập[Year]=CK$1)*(Data_Nhập[Main SKU name_GOM]=$A12)*(Data_Nhập[SKU name_NHẬP_GOM]=CK$3)),SUMPRODUCT(Data_Nhập[Tổng Nhập-NX]*(Data_Nhập[Year]=CK$1)*(Data_Nhập[Month]=CK$2)*(Data_Nhập[Main SKU name_GOM]=$A12)*(Data_Nhập[SKU name_NHẬP_GOM]=CK$3)))</f>
        <v>0</v>
      </c>
      <c r="CL12" s="26" cm="1">
        <f t="array" ref="CL12">IF(CL$2="FY",SUMPRODUCT(Data_Nhập[Tổng Nhập-NX]*(Data_Nhập[Year]=CL$1)*(Data_Nhập[Main SKU name_GOM]=$A12)*(Data_Nhập[SKU name_NHẬP_GOM]=CL$3)),SUMPRODUCT(Data_Nhập[Tổng Nhập-NX]*(Data_Nhập[Year]=CL$1)*(Data_Nhập[Month]=CL$2)*(Data_Nhập[Main SKU name_GOM]=$A12)*(Data_Nhập[SKU name_NHẬP_GOM]=CL$3)))</f>
        <v>0</v>
      </c>
      <c r="CM12" s="26" cm="1">
        <f t="array" ref="CM12">IF(CM$2="FY",SUMPRODUCT(Data_Nhập[Tổng Nhập-NX]*(Data_Nhập[Year]=CM$1)*(Data_Nhập[Main SKU name_GOM]=$A12)*(Data_Nhập[SKU name_NHẬP_GOM]=CM$3)),SUMPRODUCT(Data_Nhập[Tổng Nhập-NX]*(Data_Nhập[Year]=CM$1)*(Data_Nhập[Month]=CM$2)*(Data_Nhập[Main SKU name_GOM]=$A12)*(Data_Nhập[SKU name_NHẬP_GOM]=CM$3)))</f>
        <v>0</v>
      </c>
      <c r="CN12" s="27">
        <f t="shared" si="16"/>
        <v>0</v>
      </c>
      <c r="CP12" s="27" cm="1">
        <f t="array" ref="CP12">IF(CP$2="FY",SUMPRODUCT(Data_Xuất[Xuất-NX]*(Data_Xuất[Year]=CP$1)*(Data_Xuất[Main SKU name_GOM]=$A12)),SUMPRODUCT(Data_Xuất[Xuất-NX]*(Data_Xuất[Year]=CP$1)*(Data_Xuất[Main SKU name_GOM]=$A12)*(Data_Xuất[Month]=CP$2)))</f>
        <v>0</v>
      </c>
      <c r="CQ12" s="26" cm="1">
        <f t="array" ref="CQ12">IF(CQ$2="FY",SUMPRODUCT(Data_Nhập[Tổng Nhập-NX]*(Data_Nhập[Year]=CQ$1)*(Data_Nhập[Main SKU name_GOM]=$A12)*(Data_Nhập[SKU name_NHẬP_GOM]=CQ$3)),SUMPRODUCT(Data_Nhập[Tổng Nhập-NX]*(Data_Nhập[Year]=CQ$1)*(Data_Nhập[Month]=CQ$2)*(Data_Nhập[Main SKU name_GOM]=$A12)*(Data_Nhập[SKU name_NHẬP_GOM]=CQ$3)))</f>
        <v>0</v>
      </c>
      <c r="CR12" s="26" cm="1">
        <f t="array" ref="CR12">IF(CR$2="FY",SUMPRODUCT(Data_Nhập[Tổng Nhập-NX]*(Data_Nhập[Year]=CR$1)*(Data_Nhập[Main SKU name_GOM]=$A12)*(Data_Nhập[SKU name_NHẬP_GOM]=CR$3)),SUMPRODUCT(Data_Nhập[Tổng Nhập-NX]*(Data_Nhập[Year]=CR$1)*(Data_Nhập[Month]=CR$2)*(Data_Nhập[Main SKU name_GOM]=$A12)*(Data_Nhập[SKU name_NHẬP_GOM]=CR$3)))</f>
        <v>0</v>
      </c>
      <c r="CS12" s="26" cm="1">
        <f t="array" ref="CS12">IF(CS$2="FY",SUMPRODUCT(Data_Nhập[Tổng Nhập-NX]*(Data_Nhập[Year]=CS$1)*(Data_Nhập[Main SKU name_GOM]=$A12)*(Data_Nhập[SKU name_NHẬP_GOM]=CS$3)),SUMPRODUCT(Data_Nhập[Tổng Nhập-NX]*(Data_Nhập[Year]=CS$1)*(Data_Nhập[Month]=CS$2)*(Data_Nhập[Main SKU name_GOM]=$A12)*(Data_Nhập[SKU name_NHẬP_GOM]=CS$3)))</f>
        <v>0</v>
      </c>
      <c r="CT12" s="26" cm="1">
        <f t="array" ref="CT12">IF(CT$2="FY",SUMPRODUCT(Data_Nhập[Tổng Nhập-NX]*(Data_Nhập[Year]=CT$1)*(Data_Nhập[Main SKU name_GOM]=$A12)*(Data_Nhập[SKU name_NHẬP_GOM]=CT$3)),SUMPRODUCT(Data_Nhập[Tổng Nhập-NX]*(Data_Nhập[Year]=CT$1)*(Data_Nhập[Month]=CT$2)*(Data_Nhập[Main SKU name_GOM]=$A12)*(Data_Nhập[SKU name_NHẬP_GOM]=CT$3)))</f>
        <v>0</v>
      </c>
      <c r="CU12" s="26" cm="1">
        <f t="array" ref="CU12">IF(CU$2="FY",SUMPRODUCT(Data_Nhập[Tổng Nhập-NX]*(Data_Nhập[Year]=CU$1)*(Data_Nhập[Main SKU name_GOM]=$A12)*(Data_Nhập[SKU name_NHẬP_GOM]=CU$3)),SUMPRODUCT(Data_Nhập[Tổng Nhập-NX]*(Data_Nhập[Year]=CU$1)*(Data_Nhập[Month]=CU$2)*(Data_Nhập[Main SKU name_GOM]=$A12)*(Data_Nhập[SKU name_NHẬP_GOM]=CU$3)))</f>
        <v>0</v>
      </c>
      <c r="CV12" s="26" cm="1">
        <f t="array" ref="CV12">IF(CV$2="FY",SUMPRODUCT(Data_Nhập[Tổng Nhập-NX]*(Data_Nhập[Year]=CV$1)*(Data_Nhập[Main SKU name_GOM]=$A12)*(Data_Nhập[SKU name_NHẬP_GOM]=CV$3)),SUMPRODUCT(Data_Nhập[Tổng Nhập-NX]*(Data_Nhập[Year]=CV$1)*(Data_Nhập[Month]=CV$2)*(Data_Nhập[Main SKU name_GOM]=$A12)*(Data_Nhập[SKU name_NHẬP_GOM]=CV$3)))</f>
        <v>0</v>
      </c>
      <c r="CW12" s="26" cm="1">
        <f t="array" ref="CW12">IF(CW$2="FY",SUMPRODUCT(Data_Nhập[Tổng Nhập-NX]*(Data_Nhập[Year]=CW$1)*(Data_Nhập[Main SKU name_GOM]=$A12)*(Data_Nhập[SKU name_NHẬP_GOM]=CW$3)),SUMPRODUCT(Data_Nhập[Tổng Nhập-NX]*(Data_Nhập[Year]=CW$1)*(Data_Nhập[Month]=CW$2)*(Data_Nhập[Main SKU name_GOM]=$A12)*(Data_Nhập[SKU name_NHẬP_GOM]=CW$3)))</f>
        <v>0</v>
      </c>
      <c r="CX12" s="26" cm="1">
        <f t="array" ref="CX12">IF(CX$2="FY",SUMPRODUCT(Data_Nhập[Tổng Nhập-NX]*(Data_Nhập[Year]=CX$1)*(Data_Nhập[Main SKU name_GOM]=$A12)*(Data_Nhập[SKU name_NHẬP_GOM]=CX$3)),SUMPRODUCT(Data_Nhập[Tổng Nhập-NX]*(Data_Nhập[Year]=CX$1)*(Data_Nhập[Month]=CX$2)*(Data_Nhập[Main SKU name_GOM]=$A12)*(Data_Nhập[SKU name_NHẬP_GOM]=CX$3)))</f>
        <v>0</v>
      </c>
      <c r="CY12" s="26" cm="1">
        <f t="array" ref="CY12">IF(CY$2="FY",SUMPRODUCT(Data_Nhập[Tổng Nhập-NX]*(Data_Nhập[Year]=CY$1)*(Data_Nhập[Main SKU name_GOM]=$A12)*(Data_Nhập[SKU name_NHẬP_GOM]=CY$3)),SUMPRODUCT(Data_Nhập[Tổng Nhập-NX]*(Data_Nhập[Year]=CY$1)*(Data_Nhập[Month]=CY$2)*(Data_Nhập[Main SKU name_GOM]=$A12)*(Data_Nhập[SKU name_NHẬP_GOM]=CY$3)))</f>
        <v>0</v>
      </c>
      <c r="CZ12" s="26" cm="1">
        <f t="array" ref="CZ12">IF(CZ$2="FY",SUMPRODUCT(Data_Nhập[Tổng Nhập-NX]*(Data_Nhập[Year]=CZ$1)*(Data_Nhập[Main SKU name_GOM]=$A12)*(Data_Nhập[SKU name_NHẬP_GOM]=CZ$3)),SUMPRODUCT(Data_Nhập[Tổng Nhập-NX]*(Data_Nhập[Year]=CZ$1)*(Data_Nhập[Month]=CZ$2)*(Data_Nhập[Main SKU name_GOM]=$A12)*(Data_Nhập[SKU name_NHẬP_GOM]=CZ$3)))</f>
        <v>0</v>
      </c>
      <c r="DA12" s="26" cm="1">
        <f t="array" ref="DA12">IF(DA$2="FY",SUMPRODUCT(Data_Nhập[Tổng Nhập-NX]*(Data_Nhập[Year]=DA$1)*(Data_Nhập[Main SKU name_GOM]=$A12)*(Data_Nhập[SKU name_NHẬP_GOM]=DA$3)),SUMPRODUCT(Data_Nhập[Tổng Nhập-NX]*(Data_Nhập[Year]=DA$1)*(Data_Nhập[Month]=DA$2)*(Data_Nhập[Main SKU name_GOM]=$A12)*(Data_Nhập[SKU name_NHẬP_GOM]=DA$3)))</f>
        <v>0</v>
      </c>
      <c r="DB12" s="26" cm="1">
        <f t="array" ref="DB12">IF(DB$2="FY",SUMPRODUCT(Data_Nhập[Tổng Nhập-NX]*(Data_Nhập[Year]=DB$1)*(Data_Nhập[Main SKU name_GOM]=$A12)*(Data_Nhập[SKU name_NHẬP_GOM]=DB$3)),SUMPRODUCT(Data_Nhập[Tổng Nhập-NX]*(Data_Nhập[Year]=DB$1)*(Data_Nhập[Month]=DB$2)*(Data_Nhập[Main SKU name_GOM]=$A12)*(Data_Nhập[SKU name_NHẬP_GOM]=DB$3)))</f>
        <v>0</v>
      </c>
      <c r="DC12" s="26" cm="1">
        <f t="array" ref="DC12">IF(DC$2="FY",SUMPRODUCT(Data_Nhập[Tổng Nhập-NX]*(Data_Nhập[Year]=DC$1)*(Data_Nhập[Main SKU name_GOM]=$A12)*(Data_Nhập[SKU name_NHẬP_GOM]=DC$3)),SUMPRODUCT(Data_Nhập[Tổng Nhập-NX]*(Data_Nhập[Year]=DC$1)*(Data_Nhập[Month]=DC$2)*(Data_Nhập[Main SKU name_GOM]=$A12)*(Data_Nhập[SKU name_NHẬP_GOM]=DC$3)))</f>
        <v>0</v>
      </c>
      <c r="DD12" s="26" cm="1">
        <f t="array" ref="DD12">IF(DD$2="FY",SUMPRODUCT(Data_Nhập[Tổng Nhập-NX]*(Data_Nhập[Year]=DD$1)*(Data_Nhập[Main SKU name_GOM]=$A12)*(Data_Nhập[SKU name_NHẬP_GOM]=DD$3)),SUMPRODUCT(Data_Nhập[Tổng Nhập-NX]*(Data_Nhập[Year]=DD$1)*(Data_Nhập[Month]=DD$2)*(Data_Nhập[Main SKU name_GOM]=$A12)*(Data_Nhập[SKU name_NHẬP_GOM]=DD$3)))</f>
        <v>0</v>
      </c>
      <c r="DE12" s="26" cm="1">
        <f t="array" ref="DE12">IF(DE$2="FY",SUMPRODUCT(Data_Nhập[Tổng Nhập-NX]*(Data_Nhập[Year]=DE$1)*(Data_Nhập[Main SKU name_GOM]=$A12)*(Data_Nhập[SKU name_NHẬP_GOM]=DE$3)),SUMPRODUCT(Data_Nhập[Tổng Nhập-NX]*(Data_Nhập[Year]=DE$1)*(Data_Nhập[Month]=DE$2)*(Data_Nhập[Main SKU name_GOM]=$A12)*(Data_Nhập[SKU name_NHẬP_GOM]=DE$3)))</f>
        <v>0</v>
      </c>
      <c r="DF12" s="27">
        <f t="shared" si="17"/>
        <v>0</v>
      </c>
      <c r="DH12" s="27" cm="1">
        <f t="array" ref="DH12">IF(DH$2="FY",SUMPRODUCT(Data_Xuất[Xuất-NX]*(Data_Xuất[Year]=DH$1)*(Data_Xuất[Main SKU name_GOM]=$A12)),SUMPRODUCT(Data_Xuất[Xuất-NX]*(Data_Xuất[Year]=DH$1)*(Data_Xuất[Main SKU name_GOM]=$A12)*(Data_Xuất[Month]=DH$2)))</f>
        <v>0</v>
      </c>
      <c r="DI12" s="26" cm="1">
        <f t="array" ref="DI12">IF(DI$2="FY",SUMPRODUCT(Data_Nhập[Tổng Nhập-NX]*(Data_Nhập[Year]=DI$1)*(Data_Nhập[Main SKU name_GOM]=$A12)*(Data_Nhập[SKU name_NHẬP_GOM]=DI$3)),SUMPRODUCT(Data_Nhập[Tổng Nhập-NX]*(Data_Nhập[Year]=DI$1)*(Data_Nhập[Month]=DI$2)*(Data_Nhập[Main SKU name_GOM]=$A12)*(Data_Nhập[SKU name_NHẬP_GOM]=DI$3)))</f>
        <v>0</v>
      </c>
      <c r="DJ12" s="26" cm="1">
        <f t="array" ref="DJ12">IF(DJ$2="FY",SUMPRODUCT(Data_Nhập[Tổng Nhập-NX]*(Data_Nhập[Year]=DJ$1)*(Data_Nhập[Main SKU name_GOM]=$A12)*(Data_Nhập[SKU name_NHẬP_GOM]=DJ$3)),SUMPRODUCT(Data_Nhập[Tổng Nhập-NX]*(Data_Nhập[Year]=DJ$1)*(Data_Nhập[Month]=DJ$2)*(Data_Nhập[Main SKU name_GOM]=$A12)*(Data_Nhập[SKU name_NHẬP_GOM]=DJ$3)))</f>
        <v>0</v>
      </c>
      <c r="DK12" s="26" cm="1">
        <f t="array" ref="DK12">IF(DK$2="FY",SUMPRODUCT(Data_Nhập[Tổng Nhập-NX]*(Data_Nhập[Year]=DK$1)*(Data_Nhập[Main SKU name_GOM]=$A12)*(Data_Nhập[SKU name_NHẬP_GOM]=DK$3)),SUMPRODUCT(Data_Nhập[Tổng Nhập-NX]*(Data_Nhập[Year]=DK$1)*(Data_Nhập[Month]=DK$2)*(Data_Nhập[Main SKU name_GOM]=$A12)*(Data_Nhập[SKU name_NHẬP_GOM]=DK$3)))</f>
        <v>0</v>
      </c>
      <c r="DL12" s="26" cm="1">
        <f t="array" ref="DL12">IF(DL$2="FY",SUMPRODUCT(Data_Nhập[Tổng Nhập-NX]*(Data_Nhập[Year]=DL$1)*(Data_Nhập[Main SKU name_GOM]=$A12)*(Data_Nhập[SKU name_NHẬP_GOM]=DL$3)),SUMPRODUCT(Data_Nhập[Tổng Nhập-NX]*(Data_Nhập[Year]=DL$1)*(Data_Nhập[Month]=DL$2)*(Data_Nhập[Main SKU name_GOM]=$A12)*(Data_Nhập[SKU name_NHẬP_GOM]=DL$3)))</f>
        <v>0</v>
      </c>
      <c r="DM12" s="26" cm="1">
        <f t="array" ref="DM12">IF(DM$2="FY",SUMPRODUCT(Data_Nhập[Tổng Nhập-NX]*(Data_Nhập[Year]=DM$1)*(Data_Nhập[Main SKU name_GOM]=$A12)*(Data_Nhập[SKU name_NHẬP_GOM]=DM$3)),SUMPRODUCT(Data_Nhập[Tổng Nhập-NX]*(Data_Nhập[Year]=DM$1)*(Data_Nhập[Month]=DM$2)*(Data_Nhập[Main SKU name_GOM]=$A12)*(Data_Nhập[SKU name_NHẬP_GOM]=DM$3)))</f>
        <v>0</v>
      </c>
      <c r="DN12" s="26" cm="1">
        <f t="array" ref="DN12">IF(DN$2="FY",SUMPRODUCT(Data_Nhập[Tổng Nhập-NX]*(Data_Nhập[Year]=DN$1)*(Data_Nhập[Main SKU name_GOM]=$A12)*(Data_Nhập[SKU name_NHẬP_GOM]=DN$3)),SUMPRODUCT(Data_Nhập[Tổng Nhập-NX]*(Data_Nhập[Year]=DN$1)*(Data_Nhập[Month]=DN$2)*(Data_Nhập[Main SKU name_GOM]=$A12)*(Data_Nhập[SKU name_NHẬP_GOM]=DN$3)))</f>
        <v>0</v>
      </c>
      <c r="DO12" s="26" cm="1">
        <f t="array" ref="DO12">IF(DO$2="FY",SUMPRODUCT(Data_Nhập[Tổng Nhập-NX]*(Data_Nhập[Year]=DO$1)*(Data_Nhập[Main SKU name_GOM]=$A12)*(Data_Nhập[SKU name_NHẬP_GOM]=DO$3)),SUMPRODUCT(Data_Nhập[Tổng Nhập-NX]*(Data_Nhập[Year]=DO$1)*(Data_Nhập[Month]=DO$2)*(Data_Nhập[Main SKU name_GOM]=$A12)*(Data_Nhập[SKU name_NHẬP_GOM]=DO$3)))</f>
        <v>0</v>
      </c>
      <c r="DP12" s="26" cm="1">
        <f t="array" ref="DP12">IF(DP$2="FY",SUMPRODUCT(Data_Nhập[Tổng Nhập-NX]*(Data_Nhập[Year]=DP$1)*(Data_Nhập[Main SKU name_GOM]=$A12)*(Data_Nhập[SKU name_NHẬP_GOM]=DP$3)),SUMPRODUCT(Data_Nhập[Tổng Nhập-NX]*(Data_Nhập[Year]=DP$1)*(Data_Nhập[Month]=DP$2)*(Data_Nhập[Main SKU name_GOM]=$A12)*(Data_Nhập[SKU name_NHẬP_GOM]=DP$3)))</f>
        <v>0</v>
      </c>
      <c r="DQ12" s="26" cm="1">
        <f t="array" ref="DQ12">IF(DQ$2="FY",SUMPRODUCT(Data_Nhập[Tổng Nhập-NX]*(Data_Nhập[Year]=DQ$1)*(Data_Nhập[Main SKU name_GOM]=$A12)*(Data_Nhập[SKU name_NHẬP_GOM]=DQ$3)),SUMPRODUCT(Data_Nhập[Tổng Nhập-NX]*(Data_Nhập[Year]=DQ$1)*(Data_Nhập[Month]=DQ$2)*(Data_Nhập[Main SKU name_GOM]=$A12)*(Data_Nhập[SKU name_NHẬP_GOM]=DQ$3)))</f>
        <v>0</v>
      </c>
      <c r="DR12" s="26" cm="1">
        <f t="array" ref="DR12">IF(DR$2="FY",SUMPRODUCT(Data_Nhập[Tổng Nhập-NX]*(Data_Nhập[Year]=DR$1)*(Data_Nhập[Main SKU name_GOM]=$A12)*(Data_Nhập[SKU name_NHẬP_GOM]=DR$3)),SUMPRODUCT(Data_Nhập[Tổng Nhập-NX]*(Data_Nhập[Year]=DR$1)*(Data_Nhập[Month]=DR$2)*(Data_Nhập[Main SKU name_GOM]=$A12)*(Data_Nhập[SKU name_NHẬP_GOM]=DR$3)))</f>
        <v>0</v>
      </c>
      <c r="DS12" s="26" cm="1">
        <f t="array" ref="DS12">IF(DS$2="FY",SUMPRODUCT(Data_Nhập[Tổng Nhập-NX]*(Data_Nhập[Year]=DS$1)*(Data_Nhập[Main SKU name_GOM]=$A12)*(Data_Nhập[SKU name_NHẬP_GOM]=DS$3)),SUMPRODUCT(Data_Nhập[Tổng Nhập-NX]*(Data_Nhập[Year]=DS$1)*(Data_Nhập[Month]=DS$2)*(Data_Nhập[Main SKU name_GOM]=$A12)*(Data_Nhập[SKU name_NHẬP_GOM]=DS$3)))</f>
        <v>0</v>
      </c>
      <c r="DT12" s="26" cm="1">
        <f t="array" ref="DT12">IF(DT$2="FY",SUMPRODUCT(Data_Nhập[Tổng Nhập-NX]*(Data_Nhập[Year]=DT$1)*(Data_Nhập[Main SKU name_GOM]=$A12)*(Data_Nhập[SKU name_NHẬP_GOM]=DT$3)),SUMPRODUCT(Data_Nhập[Tổng Nhập-NX]*(Data_Nhập[Year]=DT$1)*(Data_Nhập[Month]=DT$2)*(Data_Nhập[Main SKU name_GOM]=$A12)*(Data_Nhập[SKU name_NHẬP_GOM]=DT$3)))</f>
        <v>0</v>
      </c>
      <c r="DU12" s="26" cm="1">
        <f t="array" ref="DU12">IF(DU$2="FY",SUMPRODUCT(Data_Nhập[Tổng Nhập-NX]*(Data_Nhập[Year]=DU$1)*(Data_Nhập[Main SKU name_GOM]=$A12)*(Data_Nhập[SKU name_NHẬP_GOM]=DU$3)),SUMPRODUCT(Data_Nhập[Tổng Nhập-NX]*(Data_Nhập[Year]=DU$1)*(Data_Nhập[Month]=DU$2)*(Data_Nhập[Main SKU name_GOM]=$A12)*(Data_Nhập[SKU name_NHẬP_GOM]=DU$3)))</f>
        <v>0</v>
      </c>
      <c r="DV12" s="26" cm="1">
        <f t="array" ref="DV12">IF(DV$2="FY",SUMPRODUCT(Data_Nhập[Tổng Nhập-NX]*(Data_Nhập[Year]=DV$1)*(Data_Nhập[Main SKU name_GOM]=$A12)*(Data_Nhập[SKU name_NHẬP_GOM]=DV$3)),SUMPRODUCT(Data_Nhập[Tổng Nhập-NX]*(Data_Nhập[Year]=DV$1)*(Data_Nhập[Month]=DV$2)*(Data_Nhập[Main SKU name_GOM]=$A12)*(Data_Nhập[SKU name_NHẬP_GOM]=DV$3)))</f>
        <v>0</v>
      </c>
      <c r="DW12" s="26" cm="1">
        <f t="array" ref="DW12">IF(DW$2="FY",SUMPRODUCT(Data_Nhập[Tổng Nhập-NX]*(Data_Nhập[Year]=DW$1)*(Data_Nhập[Main SKU name_GOM]=$A12)*(Data_Nhập[SKU name_NHẬP_GOM]=DW$3)),SUMPRODUCT(Data_Nhập[Tổng Nhập-NX]*(Data_Nhập[Year]=DW$1)*(Data_Nhập[Month]=DW$2)*(Data_Nhập[Main SKU name_GOM]=$A12)*(Data_Nhập[SKU name_NHẬP_GOM]=DW$3)))</f>
        <v>0</v>
      </c>
      <c r="DX12" s="27">
        <f t="shared" si="18"/>
        <v>0</v>
      </c>
      <c r="DZ12" s="27" cm="1">
        <f t="array" ref="DZ12">IF(DZ$2="FY",SUMPRODUCT(Data_Xuất[Xuất-NX]*(Data_Xuất[Year]=DZ$1)*(Data_Xuất[Main SKU name_GOM]=$A12)),SUMPRODUCT(Data_Xuất[Xuất-NX]*(Data_Xuất[Year]=DZ$1)*(Data_Xuất[Main SKU name_GOM]=$A12)*(Data_Xuất[Month]=DZ$2)))</f>
        <v>0</v>
      </c>
      <c r="EA12" s="26" cm="1">
        <f t="array" ref="EA12">IF(EA$2="FY",SUMPRODUCT(Data_Nhập[Tổng Nhập-NX]*(Data_Nhập[Year]=EA$1)*(Data_Nhập[Main SKU name_GOM]=$A12)*(Data_Nhập[SKU name_NHẬP_GOM]=EA$3)),SUMPRODUCT(Data_Nhập[Tổng Nhập-NX]*(Data_Nhập[Year]=EA$1)*(Data_Nhập[Month]=EA$2)*(Data_Nhập[Main SKU name_GOM]=$A12)*(Data_Nhập[SKU name_NHẬP_GOM]=EA$3)))</f>
        <v>0</v>
      </c>
      <c r="EB12" s="26" cm="1">
        <f t="array" ref="EB12">IF(EB$2="FY",SUMPRODUCT(Data_Nhập[Tổng Nhập-NX]*(Data_Nhập[Year]=EB$1)*(Data_Nhập[Main SKU name_GOM]=$A12)*(Data_Nhập[SKU name_NHẬP_GOM]=EB$3)),SUMPRODUCT(Data_Nhập[Tổng Nhập-NX]*(Data_Nhập[Year]=EB$1)*(Data_Nhập[Month]=EB$2)*(Data_Nhập[Main SKU name_GOM]=$A12)*(Data_Nhập[SKU name_NHẬP_GOM]=EB$3)))</f>
        <v>0</v>
      </c>
      <c r="EC12" s="26" cm="1">
        <f t="array" ref="EC12">IF(EC$2="FY",SUMPRODUCT(Data_Nhập[Tổng Nhập-NX]*(Data_Nhập[Year]=EC$1)*(Data_Nhập[Main SKU name_GOM]=$A12)*(Data_Nhập[SKU name_NHẬP_GOM]=EC$3)),SUMPRODUCT(Data_Nhập[Tổng Nhập-NX]*(Data_Nhập[Year]=EC$1)*(Data_Nhập[Month]=EC$2)*(Data_Nhập[Main SKU name_GOM]=$A12)*(Data_Nhập[SKU name_NHẬP_GOM]=EC$3)))</f>
        <v>0</v>
      </c>
      <c r="ED12" s="26" cm="1">
        <f t="array" ref="ED12">IF(ED$2="FY",SUMPRODUCT(Data_Nhập[Tổng Nhập-NX]*(Data_Nhập[Year]=ED$1)*(Data_Nhập[Main SKU name_GOM]=$A12)*(Data_Nhập[SKU name_NHẬP_GOM]=ED$3)),SUMPRODUCT(Data_Nhập[Tổng Nhập-NX]*(Data_Nhập[Year]=ED$1)*(Data_Nhập[Month]=ED$2)*(Data_Nhập[Main SKU name_GOM]=$A12)*(Data_Nhập[SKU name_NHẬP_GOM]=ED$3)))</f>
        <v>0</v>
      </c>
      <c r="EE12" s="26" cm="1">
        <f t="array" ref="EE12">IF(EE$2="FY",SUMPRODUCT(Data_Nhập[Tổng Nhập-NX]*(Data_Nhập[Year]=EE$1)*(Data_Nhập[Main SKU name_GOM]=$A12)*(Data_Nhập[SKU name_NHẬP_GOM]=EE$3)),SUMPRODUCT(Data_Nhập[Tổng Nhập-NX]*(Data_Nhập[Year]=EE$1)*(Data_Nhập[Month]=EE$2)*(Data_Nhập[Main SKU name_GOM]=$A12)*(Data_Nhập[SKU name_NHẬP_GOM]=EE$3)))</f>
        <v>0</v>
      </c>
      <c r="EF12" s="26" cm="1">
        <f t="array" ref="EF12">IF(EF$2="FY",SUMPRODUCT(Data_Nhập[Tổng Nhập-NX]*(Data_Nhập[Year]=EF$1)*(Data_Nhập[Main SKU name_GOM]=$A12)*(Data_Nhập[SKU name_NHẬP_GOM]=EF$3)),SUMPRODUCT(Data_Nhập[Tổng Nhập-NX]*(Data_Nhập[Year]=EF$1)*(Data_Nhập[Month]=EF$2)*(Data_Nhập[Main SKU name_GOM]=$A12)*(Data_Nhập[SKU name_NHẬP_GOM]=EF$3)))</f>
        <v>0</v>
      </c>
      <c r="EG12" s="26" cm="1">
        <f t="array" ref="EG12">IF(EG$2="FY",SUMPRODUCT(Data_Nhập[Tổng Nhập-NX]*(Data_Nhập[Year]=EG$1)*(Data_Nhập[Main SKU name_GOM]=$A12)*(Data_Nhập[SKU name_NHẬP_GOM]=EG$3)),SUMPRODUCT(Data_Nhập[Tổng Nhập-NX]*(Data_Nhập[Year]=EG$1)*(Data_Nhập[Month]=EG$2)*(Data_Nhập[Main SKU name_GOM]=$A12)*(Data_Nhập[SKU name_NHẬP_GOM]=EG$3)))</f>
        <v>0</v>
      </c>
      <c r="EH12" s="26" cm="1">
        <f t="array" ref="EH12">IF(EH$2="FY",SUMPRODUCT(Data_Nhập[Tổng Nhập-NX]*(Data_Nhập[Year]=EH$1)*(Data_Nhập[Main SKU name_GOM]=$A12)*(Data_Nhập[SKU name_NHẬP_GOM]=EH$3)),SUMPRODUCT(Data_Nhập[Tổng Nhập-NX]*(Data_Nhập[Year]=EH$1)*(Data_Nhập[Month]=EH$2)*(Data_Nhập[Main SKU name_GOM]=$A12)*(Data_Nhập[SKU name_NHẬP_GOM]=EH$3)))</f>
        <v>0</v>
      </c>
      <c r="EI12" s="26" cm="1">
        <f t="array" ref="EI12">IF(EI$2="FY",SUMPRODUCT(Data_Nhập[Tổng Nhập-NX]*(Data_Nhập[Year]=EI$1)*(Data_Nhập[Main SKU name_GOM]=$A12)*(Data_Nhập[SKU name_NHẬP_GOM]=EI$3)),SUMPRODUCT(Data_Nhập[Tổng Nhập-NX]*(Data_Nhập[Year]=EI$1)*(Data_Nhập[Month]=EI$2)*(Data_Nhập[Main SKU name_GOM]=$A12)*(Data_Nhập[SKU name_NHẬP_GOM]=EI$3)))</f>
        <v>0</v>
      </c>
      <c r="EJ12" s="26" cm="1">
        <f t="array" ref="EJ12">IF(EJ$2="FY",SUMPRODUCT(Data_Nhập[Tổng Nhập-NX]*(Data_Nhập[Year]=EJ$1)*(Data_Nhập[Main SKU name_GOM]=$A12)*(Data_Nhập[SKU name_NHẬP_GOM]=EJ$3)),SUMPRODUCT(Data_Nhập[Tổng Nhập-NX]*(Data_Nhập[Year]=EJ$1)*(Data_Nhập[Month]=EJ$2)*(Data_Nhập[Main SKU name_GOM]=$A12)*(Data_Nhập[SKU name_NHẬP_GOM]=EJ$3)))</f>
        <v>0</v>
      </c>
      <c r="EK12" s="26" cm="1">
        <f t="array" ref="EK12">IF(EK$2="FY",SUMPRODUCT(Data_Nhập[Tổng Nhập-NX]*(Data_Nhập[Year]=EK$1)*(Data_Nhập[Main SKU name_GOM]=$A12)*(Data_Nhập[SKU name_NHẬP_GOM]=EK$3)),SUMPRODUCT(Data_Nhập[Tổng Nhập-NX]*(Data_Nhập[Year]=EK$1)*(Data_Nhập[Month]=EK$2)*(Data_Nhập[Main SKU name_GOM]=$A12)*(Data_Nhập[SKU name_NHẬP_GOM]=EK$3)))</f>
        <v>0</v>
      </c>
      <c r="EL12" s="26" cm="1">
        <f t="array" ref="EL12">IF(EL$2="FY",SUMPRODUCT(Data_Nhập[Tổng Nhập-NX]*(Data_Nhập[Year]=EL$1)*(Data_Nhập[Main SKU name_GOM]=$A12)*(Data_Nhập[SKU name_NHẬP_GOM]=EL$3)),SUMPRODUCT(Data_Nhập[Tổng Nhập-NX]*(Data_Nhập[Year]=EL$1)*(Data_Nhập[Month]=EL$2)*(Data_Nhập[Main SKU name_GOM]=$A12)*(Data_Nhập[SKU name_NHẬP_GOM]=EL$3)))</f>
        <v>0</v>
      </c>
      <c r="EM12" s="26" cm="1">
        <f t="array" ref="EM12">IF(EM$2="FY",SUMPRODUCT(Data_Nhập[Tổng Nhập-NX]*(Data_Nhập[Year]=EM$1)*(Data_Nhập[Main SKU name_GOM]=$A12)*(Data_Nhập[SKU name_NHẬP_GOM]=EM$3)),SUMPRODUCT(Data_Nhập[Tổng Nhập-NX]*(Data_Nhập[Year]=EM$1)*(Data_Nhập[Month]=EM$2)*(Data_Nhập[Main SKU name_GOM]=$A12)*(Data_Nhập[SKU name_NHẬP_GOM]=EM$3)))</f>
        <v>0</v>
      </c>
      <c r="EN12" s="26" cm="1">
        <f t="array" ref="EN12">IF(EN$2="FY",SUMPRODUCT(Data_Nhập[Tổng Nhập-NX]*(Data_Nhập[Year]=EN$1)*(Data_Nhập[Main SKU name_GOM]=$A12)*(Data_Nhập[SKU name_NHẬP_GOM]=EN$3)),SUMPRODUCT(Data_Nhập[Tổng Nhập-NX]*(Data_Nhập[Year]=EN$1)*(Data_Nhập[Month]=EN$2)*(Data_Nhập[Main SKU name_GOM]=$A12)*(Data_Nhập[SKU name_NHẬP_GOM]=EN$3)))</f>
        <v>0</v>
      </c>
      <c r="EO12" s="26" cm="1">
        <f t="array" ref="EO12">IF(EO$2="FY",SUMPRODUCT(Data_Nhập[Tổng Nhập-NX]*(Data_Nhập[Year]=EO$1)*(Data_Nhập[Main SKU name_GOM]=$A12)*(Data_Nhập[SKU name_NHẬP_GOM]=EO$3)),SUMPRODUCT(Data_Nhập[Tổng Nhập-NX]*(Data_Nhập[Year]=EO$1)*(Data_Nhập[Month]=EO$2)*(Data_Nhập[Main SKU name_GOM]=$A12)*(Data_Nhập[SKU name_NHẬP_GOM]=EO$3)))</f>
        <v>0</v>
      </c>
      <c r="EP12" s="27">
        <f t="shared" si="19"/>
        <v>0</v>
      </c>
      <c r="ER12" s="27" cm="1">
        <f t="array" ref="ER12">IF(ER$2="FY",SUMPRODUCT(Data_Xuất[Xuất-NX]*(Data_Xuất[Year]=ER$1)*(Data_Xuất[Main SKU name_GOM]=$A12)),SUMPRODUCT(Data_Xuất[Xuất-NX]*(Data_Xuất[Year]=ER$1)*(Data_Xuất[Main SKU name_GOM]=$A12)*(Data_Xuất[Month]=ER$2)))</f>
        <v>0</v>
      </c>
      <c r="ES12" s="26" cm="1">
        <f t="array" ref="ES12">IF(ES$2="FY",SUMPRODUCT(Data_Nhập[Tổng Nhập-NX]*(Data_Nhập[Year]=ES$1)*(Data_Nhập[Main SKU name_GOM]=$A12)*(Data_Nhập[SKU name_NHẬP_GOM]=ES$3)),SUMPRODUCT(Data_Nhập[Tổng Nhập-NX]*(Data_Nhập[Year]=ES$1)*(Data_Nhập[Month]=ES$2)*(Data_Nhập[Main SKU name_GOM]=$A12)*(Data_Nhập[SKU name_NHẬP_GOM]=ES$3)))</f>
        <v>0</v>
      </c>
      <c r="ET12" s="26" cm="1">
        <f t="array" ref="ET12">IF(ET$2="FY",SUMPRODUCT(Data_Nhập[Tổng Nhập-NX]*(Data_Nhập[Year]=ET$1)*(Data_Nhập[Main SKU name_GOM]=$A12)*(Data_Nhập[SKU name_NHẬP_GOM]=ET$3)),SUMPRODUCT(Data_Nhập[Tổng Nhập-NX]*(Data_Nhập[Year]=ET$1)*(Data_Nhập[Month]=ET$2)*(Data_Nhập[Main SKU name_GOM]=$A12)*(Data_Nhập[SKU name_NHẬP_GOM]=ET$3)))</f>
        <v>0</v>
      </c>
      <c r="EU12" s="26" cm="1">
        <f t="array" ref="EU12">IF(EU$2="FY",SUMPRODUCT(Data_Nhập[Tổng Nhập-NX]*(Data_Nhập[Year]=EU$1)*(Data_Nhập[Main SKU name_GOM]=$A12)*(Data_Nhập[SKU name_NHẬP_GOM]=EU$3)),SUMPRODUCT(Data_Nhập[Tổng Nhập-NX]*(Data_Nhập[Year]=EU$1)*(Data_Nhập[Month]=EU$2)*(Data_Nhập[Main SKU name_GOM]=$A12)*(Data_Nhập[SKU name_NHẬP_GOM]=EU$3)))</f>
        <v>0</v>
      </c>
      <c r="EV12" s="26" cm="1">
        <f t="array" ref="EV12">IF(EV$2="FY",SUMPRODUCT(Data_Nhập[Tổng Nhập-NX]*(Data_Nhập[Year]=EV$1)*(Data_Nhập[Main SKU name_GOM]=$A12)*(Data_Nhập[SKU name_NHẬP_GOM]=EV$3)),SUMPRODUCT(Data_Nhập[Tổng Nhập-NX]*(Data_Nhập[Year]=EV$1)*(Data_Nhập[Month]=EV$2)*(Data_Nhập[Main SKU name_GOM]=$A12)*(Data_Nhập[SKU name_NHẬP_GOM]=EV$3)))</f>
        <v>0</v>
      </c>
      <c r="EW12" s="26" cm="1">
        <f t="array" ref="EW12">IF(EW$2="FY",SUMPRODUCT(Data_Nhập[Tổng Nhập-NX]*(Data_Nhập[Year]=EW$1)*(Data_Nhập[Main SKU name_GOM]=$A12)*(Data_Nhập[SKU name_NHẬP_GOM]=EW$3)),SUMPRODUCT(Data_Nhập[Tổng Nhập-NX]*(Data_Nhập[Year]=EW$1)*(Data_Nhập[Month]=EW$2)*(Data_Nhập[Main SKU name_GOM]=$A12)*(Data_Nhập[SKU name_NHẬP_GOM]=EW$3)))</f>
        <v>0</v>
      </c>
      <c r="EX12" s="26" cm="1">
        <f t="array" ref="EX12">IF(EX$2="FY",SUMPRODUCT(Data_Nhập[Tổng Nhập-NX]*(Data_Nhập[Year]=EX$1)*(Data_Nhập[Main SKU name_GOM]=$A12)*(Data_Nhập[SKU name_NHẬP_GOM]=EX$3)),SUMPRODUCT(Data_Nhập[Tổng Nhập-NX]*(Data_Nhập[Year]=EX$1)*(Data_Nhập[Month]=EX$2)*(Data_Nhập[Main SKU name_GOM]=$A12)*(Data_Nhập[SKU name_NHẬP_GOM]=EX$3)))</f>
        <v>0</v>
      </c>
      <c r="EY12" s="26" cm="1">
        <f t="array" ref="EY12">IF(EY$2="FY",SUMPRODUCT(Data_Nhập[Tổng Nhập-NX]*(Data_Nhập[Year]=EY$1)*(Data_Nhập[Main SKU name_GOM]=$A12)*(Data_Nhập[SKU name_NHẬP_GOM]=EY$3)),SUMPRODUCT(Data_Nhập[Tổng Nhập-NX]*(Data_Nhập[Year]=EY$1)*(Data_Nhập[Month]=EY$2)*(Data_Nhập[Main SKU name_GOM]=$A12)*(Data_Nhập[SKU name_NHẬP_GOM]=EY$3)))</f>
        <v>0</v>
      </c>
      <c r="EZ12" s="26" cm="1">
        <f t="array" ref="EZ12">IF(EZ$2="FY",SUMPRODUCT(Data_Nhập[Tổng Nhập-NX]*(Data_Nhập[Year]=EZ$1)*(Data_Nhập[Main SKU name_GOM]=$A12)*(Data_Nhập[SKU name_NHẬP_GOM]=EZ$3)),SUMPRODUCT(Data_Nhập[Tổng Nhập-NX]*(Data_Nhập[Year]=EZ$1)*(Data_Nhập[Month]=EZ$2)*(Data_Nhập[Main SKU name_GOM]=$A12)*(Data_Nhập[SKU name_NHẬP_GOM]=EZ$3)))</f>
        <v>0</v>
      </c>
      <c r="FA12" s="26" cm="1">
        <f t="array" ref="FA12">IF(FA$2="FY",SUMPRODUCT(Data_Nhập[Tổng Nhập-NX]*(Data_Nhập[Year]=FA$1)*(Data_Nhập[Main SKU name_GOM]=$A12)*(Data_Nhập[SKU name_NHẬP_GOM]=FA$3)),SUMPRODUCT(Data_Nhập[Tổng Nhập-NX]*(Data_Nhập[Year]=FA$1)*(Data_Nhập[Month]=FA$2)*(Data_Nhập[Main SKU name_GOM]=$A12)*(Data_Nhập[SKU name_NHẬP_GOM]=FA$3)))</f>
        <v>0</v>
      </c>
      <c r="FB12" s="26" cm="1">
        <f t="array" ref="FB12">IF(FB$2="FY",SUMPRODUCT(Data_Nhập[Tổng Nhập-NX]*(Data_Nhập[Year]=FB$1)*(Data_Nhập[Main SKU name_GOM]=$A12)*(Data_Nhập[SKU name_NHẬP_GOM]=FB$3)),SUMPRODUCT(Data_Nhập[Tổng Nhập-NX]*(Data_Nhập[Year]=FB$1)*(Data_Nhập[Month]=FB$2)*(Data_Nhập[Main SKU name_GOM]=$A12)*(Data_Nhập[SKU name_NHẬP_GOM]=FB$3)))</f>
        <v>0</v>
      </c>
      <c r="FC12" s="26" cm="1">
        <f t="array" ref="FC12">IF(FC$2="FY",SUMPRODUCT(Data_Nhập[Tổng Nhập-NX]*(Data_Nhập[Year]=FC$1)*(Data_Nhập[Main SKU name_GOM]=$A12)*(Data_Nhập[SKU name_NHẬP_GOM]=FC$3)),SUMPRODUCT(Data_Nhập[Tổng Nhập-NX]*(Data_Nhập[Year]=FC$1)*(Data_Nhập[Month]=FC$2)*(Data_Nhập[Main SKU name_GOM]=$A12)*(Data_Nhập[SKU name_NHẬP_GOM]=FC$3)))</f>
        <v>0</v>
      </c>
      <c r="FD12" s="26" cm="1">
        <f t="array" ref="FD12">IF(FD$2="FY",SUMPRODUCT(Data_Nhập[Tổng Nhập-NX]*(Data_Nhập[Year]=FD$1)*(Data_Nhập[Main SKU name_GOM]=$A12)*(Data_Nhập[SKU name_NHẬP_GOM]=FD$3)),SUMPRODUCT(Data_Nhập[Tổng Nhập-NX]*(Data_Nhập[Year]=FD$1)*(Data_Nhập[Month]=FD$2)*(Data_Nhập[Main SKU name_GOM]=$A12)*(Data_Nhập[SKU name_NHẬP_GOM]=FD$3)))</f>
        <v>0</v>
      </c>
      <c r="FE12" s="26" cm="1">
        <f t="array" ref="FE12">IF(FE$2="FY",SUMPRODUCT(Data_Nhập[Tổng Nhập-NX]*(Data_Nhập[Year]=FE$1)*(Data_Nhập[Main SKU name_GOM]=$A12)*(Data_Nhập[SKU name_NHẬP_GOM]=FE$3)),SUMPRODUCT(Data_Nhập[Tổng Nhập-NX]*(Data_Nhập[Year]=FE$1)*(Data_Nhập[Month]=FE$2)*(Data_Nhập[Main SKU name_GOM]=$A12)*(Data_Nhập[SKU name_NHẬP_GOM]=FE$3)))</f>
        <v>0</v>
      </c>
      <c r="FF12" s="26" cm="1">
        <f t="array" ref="FF12">IF(FF$2="FY",SUMPRODUCT(Data_Nhập[Tổng Nhập-NX]*(Data_Nhập[Year]=FF$1)*(Data_Nhập[Main SKU name_GOM]=$A12)*(Data_Nhập[SKU name_NHẬP_GOM]=FF$3)),SUMPRODUCT(Data_Nhập[Tổng Nhập-NX]*(Data_Nhập[Year]=FF$1)*(Data_Nhập[Month]=FF$2)*(Data_Nhập[Main SKU name_GOM]=$A12)*(Data_Nhập[SKU name_NHẬP_GOM]=FF$3)))</f>
        <v>0</v>
      </c>
      <c r="FG12" s="26" cm="1">
        <f t="array" ref="FG12">IF(FG$2="FY",SUMPRODUCT(Data_Nhập[Tổng Nhập-NX]*(Data_Nhập[Year]=FG$1)*(Data_Nhập[Main SKU name_GOM]=$A12)*(Data_Nhập[SKU name_NHẬP_GOM]=FG$3)),SUMPRODUCT(Data_Nhập[Tổng Nhập-NX]*(Data_Nhập[Year]=FG$1)*(Data_Nhập[Month]=FG$2)*(Data_Nhập[Main SKU name_GOM]=$A12)*(Data_Nhập[SKU name_NHẬP_GOM]=FG$3)))</f>
        <v>0</v>
      </c>
      <c r="FH12" s="27">
        <f t="shared" si="20"/>
        <v>0</v>
      </c>
      <c r="FJ12" s="27" cm="1">
        <f t="array" ref="FJ12">IF(FJ$2="FY",SUMPRODUCT(Data_Xuất[Xuất-NX]*(Data_Xuất[Year]=FJ$1)*(Data_Xuất[Main SKU name_GOM]=$A12)),SUMPRODUCT(Data_Xuất[Xuất-NX]*(Data_Xuất[Year]=FJ$1)*(Data_Xuất[Main SKU name_GOM]=$A12)*(Data_Xuất[Month]=FJ$2)))</f>
        <v>22000</v>
      </c>
      <c r="FK12" s="26" cm="1">
        <f t="array" ref="FK12">IF(FK$2="FY",SUMPRODUCT(Data_Nhập[Tổng Nhập-NX]*(Data_Nhập[Year]=FK$1)*(Data_Nhập[Main SKU name_GOM]=$A12)*(Data_Nhập[SKU name_NHẬP_GOM]=FK$3)),SUMPRODUCT(Data_Nhập[Tổng Nhập-NX]*(Data_Nhập[Year]=FK$1)*(Data_Nhập[Month]=FK$2)*(Data_Nhập[Main SKU name_GOM]=$A12)*(Data_Nhập[SKU name_NHẬP_GOM]=FK$3)))</f>
        <v>0</v>
      </c>
      <c r="FL12" s="26" cm="1">
        <f t="array" ref="FL12">IF(FL$2="FY",SUMPRODUCT(Data_Nhập[Tổng Nhập-NX]*(Data_Nhập[Year]=FL$1)*(Data_Nhập[Main SKU name_GOM]=$A12)*(Data_Nhập[SKU name_NHẬP_GOM]=FL$3)),SUMPRODUCT(Data_Nhập[Tổng Nhập-NX]*(Data_Nhập[Year]=FL$1)*(Data_Nhập[Month]=FL$2)*(Data_Nhập[Main SKU name_GOM]=$A12)*(Data_Nhập[SKU name_NHẬP_GOM]=FL$3)))</f>
        <v>0</v>
      </c>
      <c r="FM12" s="26" cm="1">
        <f t="array" ref="FM12">IF(FM$2="FY",SUMPRODUCT(Data_Nhập[Tổng Nhập-NX]*(Data_Nhập[Year]=FM$1)*(Data_Nhập[Main SKU name_GOM]=$A12)*(Data_Nhập[SKU name_NHẬP_GOM]=FM$3)),SUMPRODUCT(Data_Nhập[Tổng Nhập-NX]*(Data_Nhập[Year]=FM$1)*(Data_Nhập[Month]=FM$2)*(Data_Nhập[Main SKU name_GOM]=$A12)*(Data_Nhập[SKU name_NHẬP_GOM]=FM$3)))</f>
        <v>0</v>
      </c>
      <c r="FN12" s="26" cm="1">
        <f t="array" ref="FN12">IF(FN$2="FY",SUMPRODUCT(Data_Nhập[Tổng Nhập-NX]*(Data_Nhập[Year]=FN$1)*(Data_Nhập[Main SKU name_GOM]=$A12)*(Data_Nhập[SKU name_NHẬP_GOM]=FN$3)),SUMPRODUCT(Data_Nhập[Tổng Nhập-NX]*(Data_Nhập[Year]=FN$1)*(Data_Nhập[Month]=FN$2)*(Data_Nhập[Main SKU name_GOM]=$A12)*(Data_Nhập[SKU name_NHẬP_GOM]=FN$3)))</f>
        <v>0</v>
      </c>
      <c r="FO12" s="26" cm="1">
        <f t="array" ref="FO12">IF(FO$2="FY",SUMPRODUCT(Data_Nhập[Tổng Nhập-NX]*(Data_Nhập[Year]=FO$1)*(Data_Nhập[Main SKU name_GOM]=$A12)*(Data_Nhập[SKU name_NHẬP_GOM]=FO$3)),SUMPRODUCT(Data_Nhập[Tổng Nhập-NX]*(Data_Nhập[Year]=FO$1)*(Data_Nhập[Month]=FO$2)*(Data_Nhập[Main SKU name_GOM]=$A12)*(Data_Nhập[SKU name_NHẬP_GOM]=FO$3)))</f>
        <v>0</v>
      </c>
      <c r="FP12" s="26" cm="1">
        <f t="array" ref="FP12">IF(FP$2="FY",SUMPRODUCT(Data_Nhập[Tổng Nhập-NX]*(Data_Nhập[Year]=FP$1)*(Data_Nhập[Main SKU name_GOM]=$A12)*(Data_Nhập[SKU name_NHẬP_GOM]=FP$3)),SUMPRODUCT(Data_Nhập[Tổng Nhập-NX]*(Data_Nhập[Year]=FP$1)*(Data_Nhập[Month]=FP$2)*(Data_Nhập[Main SKU name_GOM]=$A12)*(Data_Nhập[SKU name_NHẬP_GOM]=FP$3)))</f>
        <v>0</v>
      </c>
      <c r="FQ12" s="26" cm="1">
        <f t="array" ref="FQ12">IF(FQ$2="FY",SUMPRODUCT(Data_Nhập[Tổng Nhập-NX]*(Data_Nhập[Year]=FQ$1)*(Data_Nhập[Main SKU name_GOM]=$A12)*(Data_Nhập[SKU name_NHẬP_GOM]=FQ$3)),SUMPRODUCT(Data_Nhập[Tổng Nhập-NX]*(Data_Nhập[Year]=FQ$1)*(Data_Nhập[Month]=FQ$2)*(Data_Nhập[Main SKU name_GOM]=$A12)*(Data_Nhập[SKU name_NHẬP_GOM]=FQ$3)))</f>
        <v>0</v>
      </c>
      <c r="FR12" s="26" cm="1">
        <f t="array" ref="FR12">IF(FR$2="FY",SUMPRODUCT(Data_Nhập[Tổng Nhập-NX]*(Data_Nhập[Year]=FR$1)*(Data_Nhập[Main SKU name_GOM]=$A12)*(Data_Nhập[SKU name_NHẬP_GOM]=FR$3)),SUMPRODUCT(Data_Nhập[Tổng Nhập-NX]*(Data_Nhập[Year]=FR$1)*(Data_Nhập[Month]=FR$2)*(Data_Nhập[Main SKU name_GOM]=$A12)*(Data_Nhập[SKU name_NHẬP_GOM]=FR$3)))</f>
        <v>0</v>
      </c>
      <c r="FS12" s="26" cm="1">
        <f t="array" ref="FS12">IF(FS$2="FY",SUMPRODUCT(Data_Nhập[Tổng Nhập-NX]*(Data_Nhập[Year]=FS$1)*(Data_Nhập[Main SKU name_GOM]=$A12)*(Data_Nhập[SKU name_NHẬP_GOM]=FS$3)),SUMPRODUCT(Data_Nhập[Tổng Nhập-NX]*(Data_Nhập[Year]=FS$1)*(Data_Nhập[Month]=FS$2)*(Data_Nhập[Main SKU name_GOM]=$A12)*(Data_Nhập[SKU name_NHẬP_GOM]=FS$3)))</f>
        <v>0</v>
      </c>
      <c r="FT12" s="26" cm="1">
        <f t="array" ref="FT12">IF(FT$2="FY",SUMPRODUCT(Data_Nhập[Tổng Nhập-NX]*(Data_Nhập[Year]=FT$1)*(Data_Nhập[Main SKU name_GOM]=$A12)*(Data_Nhập[SKU name_NHẬP_GOM]=FT$3)),SUMPRODUCT(Data_Nhập[Tổng Nhập-NX]*(Data_Nhập[Year]=FT$1)*(Data_Nhập[Month]=FT$2)*(Data_Nhập[Main SKU name_GOM]=$A12)*(Data_Nhập[SKU name_NHẬP_GOM]=FT$3)))</f>
        <v>0</v>
      </c>
      <c r="FU12" s="26" cm="1">
        <f t="array" ref="FU12">IF(FU$2="FY",SUMPRODUCT(Data_Nhập[Tổng Nhập-NX]*(Data_Nhập[Year]=FU$1)*(Data_Nhập[Main SKU name_GOM]=$A12)*(Data_Nhập[SKU name_NHẬP_GOM]=FU$3)),SUMPRODUCT(Data_Nhập[Tổng Nhập-NX]*(Data_Nhập[Year]=FU$1)*(Data_Nhập[Month]=FU$2)*(Data_Nhập[Main SKU name_GOM]=$A12)*(Data_Nhập[SKU name_NHẬP_GOM]=FU$3)))</f>
        <v>0</v>
      </c>
      <c r="FV12" s="26" cm="1">
        <f t="array" ref="FV12">IF(FV$2="FY",SUMPRODUCT(Data_Nhập[Tổng Nhập-NX]*(Data_Nhập[Year]=FV$1)*(Data_Nhập[Main SKU name_GOM]=$A12)*(Data_Nhập[SKU name_NHẬP_GOM]=FV$3)),SUMPRODUCT(Data_Nhập[Tổng Nhập-NX]*(Data_Nhập[Year]=FV$1)*(Data_Nhập[Month]=FV$2)*(Data_Nhập[Main SKU name_GOM]=$A12)*(Data_Nhập[SKU name_NHẬP_GOM]=FV$3)))</f>
        <v>0</v>
      </c>
      <c r="FW12" s="26" cm="1">
        <f t="array" ref="FW12">IF(FW$2="FY",SUMPRODUCT(Data_Nhập[Tổng Nhập-NX]*(Data_Nhập[Year]=FW$1)*(Data_Nhập[Main SKU name_GOM]=$A12)*(Data_Nhập[SKU name_NHẬP_GOM]=FW$3)),SUMPRODUCT(Data_Nhập[Tổng Nhập-NX]*(Data_Nhập[Year]=FW$1)*(Data_Nhập[Month]=FW$2)*(Data_Nhập[Main SKU name_GOM]=$A12)*(Data_Nhập[SKU name_NHẬP_GOM]=FW$3)))</f>
        <v>0</v>
      </c>
      <c r="FX12" s="26" cm="1">
        <f t="array" ref="FX12">IF(FX$2="FY",SUMPRODUCT(Data_Nhập[Tổng Nhập-NX]*(Data_Nhập[Year]=FX$1)*(Data_Nhập[Main SKU name_GOM]=$A12)*(Data_Nhập[SKU name_NHẬP_GOM]=FX$3)),SUMPRODUCT(Data_Nhập[Tổng Nhập-NX]*(Data_Nhập[Year]=FX$1)*(Data_Nhập[Month]=FX$2)*(Data_Nhập[Main SKU name_GOM]=$A12)*(Data_Nhập[SKU name_NHẬP_GOM]=FX$3)))</f>
        <v>700</v>
      </c>
      <c r="FY12" s="26" cm="1">
        <f t="array" ref="FY12">IF(FY$2="FY",SUMPRODUCT(Data_Nhập[Tổng Nhập-NX]*(Data_Nhập[Year]=FY$1)*(Data_Nhập[Main SKU name_GOM]=$A12)*(Data_Nhập[SKU name_NHẬP_GOM]=FY$3)),SUMPRODUCT(Data_Nhập[Tổng Nhập-NX]*(Data_Nhập[Year]=FY$1)*(Data_Nhập[Month]=FY$2)*(Data_Nhập[Main SKU name_GOM]=$A12)*(Data_Nhập[SKU name_NHẬP_GOM]=FY$3)))</f>
        <v>21000</v>
      </c>
      <c r="FZ12" s="27">
        <f t="shared" si="21"/>
        <v>21700</v>
      </c>
      <c r="GB12" s="27" cm="1">
        <f t="array" ref="GB12">IF(GB$2="FY",SUMPRODUCT(Data_Xuất[Xuất-NX]*(Data_Xuất[Year]=GB$1)*(Data_Xuất[Main SKU name_GOM]=$A12)),SUMPRODUCT(Data_Xuất[Xuất-NX]*(Data_Xuất[Year]=GB$1)*(Data_Xuất[Main SKU name_GOM]=$A12)*(Data_Xuất[Month]=GB$2)))</f>
        <v>2000</v>
      </c>
      <c r="GC12" s="26" cm="1">
        <f t="array" ref="GC12">IF(GC$2="FY",SUMPRODUCT(Data_Nhập[Tổng Nhập-NX]*(Data_Nhập[Year]=GC$1)*(Data_Nhập[Main SKU name_GOM]=$A12)*(Data_Nhập[SKU name_NHẬP_GOM]=GC$3)),SUMPRODUCT(Data_Nhập[Tổng Nhập-NX]*(Data_Nhập[Year]=GC$1)*(Data_Nhập[Month]=GC$2)*(Data_Nhập[Main SKU name_GOM]=$A12)*(Data_Nhập[SKU name_NHẬP_GOM]=GC$3)))</f>
        <v>0</v>
      </c>
      <c r="GD12" s="26" cm="1">
        <f t="array" ref="GD12">IF(GD$2="FY",SUMPRODUCT(Data_Nhập[Tổng Nhập-NX]*(Data_Nhập[Year]=GD$1)*(Data_Nhập[Main SKU name_GOM]=$A12)*(Data_Nhập[SKU name_NHẬP_GOM]=GD$3)),SUMPRODUCT(Data_Nhập[Tổng Nhập-NX]*(Data_Nhập[Year]=GD$1)*(Data_Nhập[Month]=GD$2)*(Data_Nhập[Main SKU name_GOM]=$A12)*(Data_Nhập[SKU name_NHẬP_GOM]=GD$3)))</f>
        <v>0</v>
      </c>
      <c r="GE12" s="26" cm="1">
        <f t="array" ref="GE12">IF(GE$2="FY",SUMPRODUCT(Data_Nhập[Tổng Nhập-NX]*(Data_Nhập[Year]=GE$1)*(Data_Nhập[Main SKU name_GOM]=$A12)*(Data_Nhập[SKU name_NHẬP_GOM]=GE$3)),SUMPRODUCT(Data_Nhập[Tổng Nhập-NX]*(Data_Nhập[Year]=GE$1)*(Data_Nhập[Month]=GE$2)*(Data_Nhập[Main SKU name_GOM]=$A12)*(Data_Nhập[SKU name_NHẬP_GOM]=GE$3)))</f>
        <v>0</v>
      </c>
      <c r="GF12" s="26" cm="1">
        <f t="array" ref="GF12">IF(GF$2="FY",SUMPRODUCT(Data_Nhập[Tổng Nhập-NX]*(Data_Nhập[Year]=GF$1)*(Data_Nhập[Main SKU name_GOM]=$A12)*(Data_Nhập[SKU name_NHẬP_GOM]=GF$3)),SUMPRODUCT(Data_Nhập[Tổng Nhập-NX]*(Data_Nhập[Year]=GF$1)*(Data_Nhập[Month]=GF$2)*(Data_Nhập[Main SKU name_GOM]=$A12)*(Data_Nhập[SKU name_NHẬP_GOM]=GF$3)))</f>
        <v>0</v>
      </c>
      <c r="GG12" s="26" cm="1">
        <f t="array" ref="GG12">IF(GG$2="FY",SUMPRODUCT(Data_Nhập[Tổng Nhập-NX]*(Data_Nhập[Year]=GG$1)*(Data_Nhập[Main SKU name_GOM]=$A12)*(Data_Nhập[SKU name_NHẬP_GOM]=GG$3)),SUMPRODUCT(Data_Nhập[Tổng Nhập-NX]*(Data_Nhập[Year]=GG$1)*(Data_Nhập[Month]=GG$2)*(Data_Nhập[Main SKU name_GOM]=$A12)*(Data_Nhập[SKU name_NHẬP_GOM]=GG$3)))</f>
        <v>0</v>
      </c>
      <c r="GH12" s="26" cm="1">
        <f t="array" ref="GH12">IF(GH$2="FY",SUMPRODUCT(Data_Nhập[Tổng Nhập-NX]*(Data_Nhập[Year]=GH$1)*(Data_Nhập[Main SKU name_GOM]=$A12)*(Data_Nhập[SKU name_NHẬP_GOM]=GH$3)),SUMPRODUCT(Data_Nhập[Tổng Nhập-NX]*(Data_Nhập[Year]=GH$1)*(Data_Nhập[Month]=GH$2)*(Data_Nhập[Main SKU name_GOM]=$A12)*(Data_Nhập[SKU name_NHẬP_GOM]=GH$3)))</f>
        <v>0</v>
      </c>
      <c r="GI12" s="26" cm="1">
        <f t="array" ref="GI12">IF(GI$2="FY",SUMPRODUCT(Data_Nhập[Tổng Nhập-NX]*(Data_Nhập[Year]=GI$1)*(Data_Nhập[Main SKU name_GOM]=$A12)*(Data_Nhập[SKU name_NHẬP_GOM]=GI$3)),SUMPRODUCT(Data_Nhập[Tổng Nhập-NX]*(Data_Nhập[Year]=GI$1)*(Data_Nhập[Month]=GI$2)*(Data_Nhập[Main SKU name_GOM]=$A12)*(Data_Nhập[SKU name_NHẬP_GOM]=GI$3)))</f>
        <v>0</v>
      </c>
      <c r="GJ12" s="26" cm="1">
        <f t="array" ref="GJ12">IF(GJ$2="FY",SUMPRODUCT(Data_Nhập[Tổng Nhập-NX]*(Data_Nhập[Year]=GJ$1)*(Data_Nhập[Main SKU name_GOM]=$A12)*(Data_Nhập[SKU name_NHẬP_GOM]=GJ$3)),SUMPRODUCT(Data_Nhập[Tổng Nhập-NX]*(Data_Nhập[Year]=GJ$1)*(Data_Nhập[Month]=GJ$2)*(Data_Nhập[Main SKU name_GOM]=$A12)*(Data_Nhập[SKU name_NHẬP_GOM]=GJ$3)))</f>
        <v>0</v>
      </c>
      <c r="GK12" s="26" cm="1">
        <f t="array" ref="GK12">IF(GK$2="FY",SUMPRODUCT(Data_Nhập[Tổng Nhập-NX]*(Data_Nhập[Year]=GK$1)*(Data_Nhập[Main SKU name_GOM]=$A12)*(Data_Nhập[SKU name_NHẬP_GOM]=GK$3)),SUMPRODUCT(Data_Nhập[Tổng Nhập-NX]*(Data_Nhập[Year]=GK$1)*(Data_Nhập[Month]=GK$2)*(Data_Nhập[Main SKU name_GOM]=$A12)*(Data_Nhập[SKU name_NHẬP_GOM]=GK$3)))</f>
        <v>0</v>
      </c>
      <c r="GL12" s="26" cm="1">
        <f t="array" ref="GL12">IF(GL$2="FY",SUMPRODUCT(Data_Nhập[Tổng Nhập-NX]*(Data_Nhập[Year]=GL$1)*(Data_Nhập[Main SKU name_GOM]=$A12)*(Data_Nhập[SKU name_NHẬP_GOM]=GL$3)),SUMPRODUCT(Data_Nhập[Tổng Nhập-NX]*(Data_Nhập[Year]=GL$1)*(Data_Nhập[Month]=GL$2)*(Data_Nhập[Main SKU name_GOM]=$A12)*(Data_Nhập[SKU name_NHẬP_GOM]=GL$3)))</f>
        <v>0</v>
      </c>
      <c r="GM12" s="26" cm="1">
        <f t="array" ref="GM12">IF(GM$2="FY",SUMPRODUCT(Data_Nhập[Tổng Nhập-NX]*(Data_Nhập[Year]=GM$1)*(Data_Nhập[Main SKU name_GOM]=$A12)*(Data_Nhập[SKU name_NHẬP_GOM]=GM$3)),SUMPRODUCT(Data_Nhập[Tổng Nhập-NX]*(Data_Nhập[Year]=GM$1)*(Data_Nhập[Month]=GM$2)*(Data_Nhập[Main SKU name_GOM]=$A12)*(Data_Nhập[SKU name_NHẬP_GOM]=GM$3)))</f>
        <v>0</v>
      </c>
      <c r="GN12" s="26" cm="1">
        <f t="array" ref="GN12">IF(GN$2="FY",SUMPRODUCT(Data_Nhập[Tổng Nhập-NX]*(Data_Nhập[Year]=GN$1)*(Data_Nhập[Main SKU name_GOM]=$A12)*(Data_Nhập[SKU name_NHẬP_GOM]=GN$3)),SUMPRODUCT(Data_Nhập[Tổng Nhập-NX]*(Data_Nhập[Year]=GN$1)*(Data_Nhập[Month]=GN$2)*(Data_Nhập[Main SKU name_GOM]=$A12)*(Data_Nhập[SKU name_NHẬP_GOM]=GN$3)))</f>
        <v>0</v>
      </c>
      <c r="GO12" s="26" cm="1">
        <f t="array" ref="GO12">IF(GO$2="FY",SUMPRODUCT(Data_Nhập[Tổng Nhập-NX]*(Data_Nhập[Year]=GO$1)*(Data_Nhập[Main SKU name_GOM]=$A12)*(Data_Nhập[SKU name_NHẬP_GOM]=GO$3)),SUMPRODUCT(Data_Nhập[Tổng Nhập-NX]*(Data_Nhập[Year]=GO$1)*(Data_Nhập[Month]=GO$2)*(Data_Nhập[Main SKU name_GOM]=$A12)*(Data_Nhập[SKU name_NHẬP_GOM]=GO$3)))</f>
        <v>0</v>
      </c>
      <c r="GP12" s="26" cm="1">
        <f t="array" ref="GP12">IF(GP$2="FY",SUMPRODUCT(Data_Nhập[Tổng Nhập-NX]*(Data_Nhập[Year]=GP$1)*(Data_Nhập[Main SKU name_GOM]=$A12)*(Data_Nhập[SKU name_NHẬP_GOM]=GP$3)),SUMPRODUCT(Data_Nhập[Tổng Nhập-NX]*(Data_Nhập[Year]=GP$1)*(Data_Nhập[Month]=GP$2)*(Data_Nhập[Main SKU name_GOM]=$A12)*(Data_Nhập[SKU name_NHẬP_GOM]=GP$3)))</f>
        <v>55</v>
      </c>
      <c r="GQ12" s="26" cm="1">
        <f t="array" ref="GQ12">IF(GQ$2="FY",SUMPRODUCT(Data_Nhập[Tổng Nhập-NX]*(Data_Nhập[Year]=GQ$1)*(Data_Nhập[Main SKU name_GOM]=$A12)*(Data_Nhập[SKU name_NHẬP_GOM]=GQ$3)),SUMPRODUCT(Data_Nhập[Tổng Nhập-NX]*(Data_Nhập[Year]=GQ$1)*(Data_Nhập[Month]=GQ$2)*(Data_Nhập[Main SKU name_GOM]=$A12)*(Data_Nhập[SKU name_NHẬP_GOM]=GQ$3)))</f>
        <v>1925</v>
      </c>
      <c r="GR12" s="27">
        <f t="shared" si="22"/>
        <v>1980</v>
      </c>
      <c r="GT12" s="27" cm="1">
        <f t="array" ref="GT12">IF(GT$2="FY",SUMPRODUCT(Data_Xuất[Xuất-NX]*(Data_Xuất[Year]=GT$1)*(Data_Xuất[Main SKU name_GOM]=$A12)),SUMPRODUCT(Data_Xuất[Xuất-NX]*(Data_Xuất[Year]=GT$1)*(Data_Xuất[Main SKU name_GOM]=$A12)*(Data_Xuất[Month]=GT$2)))</f>
        <v>0</v>
      </c>
      <c r="GU12" s="26" cm="1">
        <f t="array" ref="GU12">IF(GU$2="FY",SUMPRODUCT(Data_Nhập[Tổng Nhập-NX]*(Data_Nhập[Year]=GU$1)*(Data_Nhập[Main SKU name_GOM]=$A12)*(Data_Nhập[SKU name_NHẬP_GOM]=GU$3)),SUMPRODUCT(Data_Nhập[Tổng Nhập-NX]*(Data_Nhập[Year]=GU$1)*(Data_Nhập[Month]=GU$2)*(Data_Nhập[Main SKU name_GOM]=$A12)*(Data_Nhập[SKU name_NHẬP_GOM]=GU$3)))</f>
        <v>0</v>
      </c>
      <c r="GV12" s="26" cm="1">
        <f t="array" ref="GV12">IF(GV$2="FY",SUMPRODUCT(Data_Nhập[Tổng Nhập-NX]*(Data_Nhập[Year]=GV$1)*(Data_Nhập[Main SKU name_GOM]=$A12)*(Data_Nhập[SKU name_NHẬP_GOM]=GV$3)),SUMPRODUCT(Data_Nhập[Tổng Nhập-NX]*(Data_Nhập[Year]=GV$1)*(Data_Nhập[Month]=GV$2)*(Data_Nhập[Main SKU name_GOM]=$A12)*(Data_Nhập[SKU name_NHẬP_GOM]=GV$3)))</f>
        <v>0</v>
      </c>
      <c r="GW12" s="26" cm="1">
        <f t="array" ref="GW12">IF(GW$2="FY",SUMPRODUCT(Data_Nhập[Tổng Nhập-NX]*(Data_Nhập[Year]=GW$1)*(Data_Nhập[Main SKU name_GOM]=$A12)*(Data_Nhập[SKU name_NHẬP_GOM]=GW$3)),SUMPRODUCT(Data_Nhập[Tổng Nhập-NX]*(Data_Nhập[Year]=GW$1)*(Data_Nhập[Month]=GW$2)*(Data_Nhập[Main SKU name_GOM]=$A12)*(Data_Nhập[SKU name_NHẬP_GOM]=GW$3)))</f>
        <v>0</v>
      </c>
      <c r="GX12" s="26" cm="1">
        <f t="array" ref="GX12">IF(GX$2="FY",SUMPRODUCT(Data_Nhập[Tổng Nhập-NX]*(Data_Nhập[Year]=GX$1)*(Data_Nhập[Main SKU name_GOM]=$A12)*(Data_Nhập[SKU name_NHẬP_GOM]=GX$3)),SUMPRODUCT(Data_Nhập[Tổng Nhập-NX]*(Data_Nhập[Year]=GX$1)*(Data_Nhập[Month]=GX$2)*(Data_Nhập[Main SKU name_GOM]=$A12)*(Data_Nhập[SKU name_NHẬP_GOM]=GX$3)))</f>
        <v>0</v>
      </c>
      <c r="GY12" s="26" cm="1">
        <f t="array" ref="GY12">IF(GY$2="FY",SUMPRODUCT(Data_Nhập[Tổng Nhập-NX]*(Data_Nhập[Year]=GY$1)*(Data_Nhập[Main SKU name_GOM]=$A12)*(Data_Nhập[SKU name_NHẬP_GOM]=GY$3)),SUMPRODUCT(Data_Nhập[Tổng Nhập-NX]*(Data_Nhập[Year]=GY$1)*(Data_Nhập[Month]=GY$2)*(Data_Nhập[Main SKU name_GOM]=$A12)*(Data_Nhập[SKU name_NHẬP_GOM]=GY$3)))</f>
        <v>0</v>
      </c>
      <c r="GZ12" s="26" cm="1">
        <f t="array" ref="GZ12">IF(GZ$2="FY",SUMPRODUCT(Data_Nhập[Tổng Nhập-NX]*(Data_Nhập[Year]=GZ$1)*(Data_Nhập[Main SKU name_GOM]=$A12)*(Data_Nhập[SKU name_NHẬP_GOM]=GZ$3)),SUMPRODUCT(Data_Nhập[Tổng Nhập-NX]*(Data_Nhập[Year]=GZ$1)*(Data_Nhập[Month]=GZ$2)*(Data_Nhập[Main SKU name_GOM]=$A12)*(Data_Nhập[SKU name_NHẬP_GOM]=GZ$3)))</f>
        <v>0</v>
      </c>
      <c r="HA12" s="26" cm="1">
        <f t="array" ref="HA12">IF(HA$2="FY",SUMPRODUCT(Data_Nhập[Tổng Nhập-NX]*(Data_Nhập[Year]=HA$1)*(Data_Nhập[Main SKU name_GOM]=$A12)*(Data_Nhập[SKU name_NHẬP_GOM]=HA$3)),SUMPRODUCT(Data_Nhập[Tổng Nhập-NX]*(Data_Nhập[Year]=HA$1)*(Data_Nhập[Month]=HA$2)*(Data_Nhập[Main SKU name_GOM]=$A12)*(Data_Nhập[SKU name_NHẬP_GOM]=HA$3)))</f>
        <v>0</v>
      </c>
      <c r="HB12" s="26" cm="1">
        <f t="array" ref="HB12">IF(HB$2="FY",SUMPRODUCT(Data_Nhập[Tổng Nhập-NX]*(Data_Nhập[Year]=HB$1)*(Data_Nhập[Main SKU name_GOM]=$A12)*(Data_Nhập[SKU name_NHẬP_GOM]=HB$3)),SUMPRODUCT(Data_Nhập[Tổng Nhập-NX]*(Data_Nhập[Year]=HB$1)*(Data_Nhập[Month]=HB$2)*(Data_Nhập[Main SKU name_GOM]=$A12)*(Data_Nhập[SKU name_NHẬP_GOM]=HB$3)))</f>
        <v>0</v>
      </c>
      <c r="HC12" s="26" cm="1">
        <f t="array" ref="HC12">IF(HC$2="FY",SUMPRODUCT(Data_Nhập[Tổng Nhập-NX]*(Data_Nhập[Year]=HC$1)*(Data_Nhập[Main SKU name_GOM]=$A12)*(Data_Nhập[SKU name_NHẬP_GOM]=HC$3)),SUMPRODUCT(Data_Nhập[Tổng Nhập-NX]*(Data_Nhập[Year]=HC$1)*(Data_Nhập[Month]=HC$2)*(Data_Nhập[Main SKU name_GOM]=$A12)*(Data_Nhập[SKU name_NHẬP_GOM]=HC$3)))</f>
        <v>0</v>
      </c>
      <c r="HD12" s="26" cm="1">
        <f t="array" ref="HD12">IF(HD$2="FY",SUMPRODUCT(Data_Nhập[Tổng Nhập-NX]*(Data_Nhập[Year]=HD$1)*(Data_Nhập[Main SKU name_GOM]=$A12)*(Data_Nhập[SKU name_NHẬP_GOM]=HD$3)),SUMPRODUCT(Data_Nhập[Tổng Nhập-NX]*(Data_Nhập[Year]=HD$1)*(Data_Nhập[Month]=HD$2)*(Data_Nhập[Main SKU name_GOM]=$A12)*(Data_Nhập[SKU name_NHẬP_GOM]=HD$3)))</f>
        <v>0</v>
      </c>
      <c r="HE12" s="26" cm="1">
        <f t="array" ref="HE12">IF(HE$2="FY",SUMPRODUCT(Data_Nhập[Tổng Nhập-NX]*(Data_Nhập[Year]=HE$1)*(Data_Nhập[Main SKU name_GOM]=$A12)*(Data_Nhập[SKU name_NHẬP_GOM]=HE$3)),SUMPRODUCT(Data_Nhập[Tổng Nhập-NX]*(Data_Nhập[Year]=HE$1)*(Data_Nhập[Month]=HE$2)*(Data_Nhập[Main SKU name_GOM]=$A12)*(Data_Nhập[SKU name_NHẬP_GOM]=HE$3)))</f>
        <v>0</v>
      </c>
      <c r="HF12" s="26" cm="1">
        <f t="array" ref="HF12">IF(HF$2="FY",SUMPRODUCT(Data_Nhập[Tổng Nhập-NX]*(Data_Nhập[Year]=HF$1)*(Data_Nhập[Main SKU name_GOM]=$A12)*(Data_Nhập[SKU name_NHẬP_GOM]=HF$3)),SUMPRODUCT(Data_Nhập[Tổng Nhập-NX]*(Data_Nhập[Year]=HF$1)*(Data_Nhập[Month]=HF$2)*(Data_Nhập[Main SKU name_GOM]=$A12)*(Data_Nhập[SKU name_NHẬP_GOM]=HF$3)))</f>
        <v>0</v>
      </c>
      <c r="HG12" s="26" cm="1">
        <f t="array" ref="HG12">IF(HG$2="FY",SUMPRODUCT(Data_Nhập[Tổng Nhập-NX]*(Data_Nhập[Year]=HG$1)*(Data_Nhập[Main SKU name_GOM]=$A12)*(Data_Nhập[SKU name_NHẬP_GOM]=HG$3)),SUMPRODUCT(Data_Nhập[Tổng Nhập-NX]*(Data_Nhập[Year]=HG$1)*(Data_Nhập[Month]=HG$2)*(Data_Nhập[Main SKU name_GOM]=$A12)*(Data_Nhập[SKU name_NHẬP_GOM]=HG$3)))</f>
        <v>0</v>
      </c>
      <c r="HH12" s="26" cm="1">
        <f t="array" ref="HH12">IF(HH$2="FY",SUMPRODUCT(Data_Nhập[Tổng Nhập-NX]*(Data_Nhập[Year]=HH$1)*(Data_Nhập[Main SKU name_GOM]=$A12)*(Data_Nhập[SKU name_NHẬP_GOM]=HH$3)),SUMPRODUCT(Data_Nhập[Tổng Nhập-NX]*(Data_Nhập[Year]=HH$1)*(Data_Nhập[Month]=HH$2)*(Data_Nhập[Main SKU name_GOM]=$A12)*(Data_Nhập[SKU name_NHẬP_GOM]=HH$3)))</f>
        <v>0</v>
      </c>
      <c r="HI12" s="26" cm="1">
        <f t="array" ref="HI12">IF(HI$2="FY",SUMPRODUCT(Data_Nhập[Tổng Nhập-NX]*(Data_Nhập[Year]=HI$1)*(Data_Nhập[Main SKU name_GOM]=$A12)*(Data_Nhập[SKU name_NHẬP_GOM]=HI$3)),SUMPRODUCT(Data_Nhập[Tổng Nhập-NX]*(Data_Nhập[Year]=HI$1)*(Data_Nhập[Month]=HI$2)*(Data_Nhập[Main SKU name_GOM]=$A12)*(Data_Nhập[SKU name_NHẬP_GOM]=HI$3)))</f>
        <v>0</v>
      </c>
      <c r="HJ12" s="27">
        <f t="shared" si="23"/>
        <v>0</v>
      </c>
      <c r="HL12" s="27" cm="1">
        <f t="array" ref="HL12">IF(HL$2="FY",SUMPRODUCT(Data_Xuất[Xuất-NX]*(Data_Xuất[Year]=HL$1)*(Data_Xuất[Main SKU name_GOM]=$A12)),SUMPRODUCT(Data_Xuất[Xuất-NX]*(Data_Xuất[Year]=HL$1)*(Data_Xuất[Main SKU name_GOM]=$A12)*(Data_Xuất[Month]=HL$2)))</f>
        <v>0</v>
      </c>
      <c r="HM12" s="26" cm="1">
        <f t="array" ref="HM12">IF(HM$2="FY",SUMPRODUCT(Data_Nhập[Tổng Nhập-NX]*(Data_Nhập[Year]=HM$1)*(Data_Nhập[Main SKU name_GOM]=$A12)*(Data_Nhập[SKU name_NHẬP_GOM]=HM$3)),SUMPRODUCT(Data_Nhập[Tổng Nhập-NX]*(Data_Nhập[Year]=HM$1)*(Data_Nhập[Month]=HM$2)*(Data_Nhập[Main SKU name_GOM]=$A12)*(Data_Nhập[SKU name_NHẬP_GOM]=HM$3)))</f>
        <v>0</v>
      </c>
      <c r="HN12" s="26" cm="1">
        <f t="array" ref="HN12">IF(HN$2="FY",SUMPRODUCT(Data_Nhập[Tổng Nhập-NX]*(Data_Nhập[Year]=HN$1)*(Data_Nhập[Main SKU name_GOM]=$A12)*(Data_Nhập[SKU name_NHẬP_GOM]=HN$3)),SUMPRODUCT(Data_Nhập[Tổng Nhập-NX]*(Data_Nhập[Year]=HN$1)*(Data_Nhập[Month]=HN$2)*(Data_Nhập[Main SKU name_GOM]=$A12)*(Data_Nhập[SKU name_NHẬP_GOM]=HN$3)))</f>
        <v>0</v>
      </c>
      <c r="HO12" s="26" cm="1">
        <f t="array" ref="HO12">IF(HO$2="FY",SUMPRODUCT(Data_Nhập[Tổng Nhập-NX]*(Data_Nhập[Year]=HO$1)*(Data_Nhập[Main SKU name_GOM]=$A12)*(Data_Nhập[SKU name_NHẬP_GOM]=HO$3)),SUMPRODUCT(Data_Nhập[Tổng Nhập-NX]*(Data_Nhập[Year]=HO$1)*(Data_Nhập[Month]=HO$2)*(Data_Nhập[Main SKU name_GOM]=$A12)*(Data_Nhập[SKU name_NHẬP_GOM]=HO$3)))</f>
        <v>0</v>
      </c>
      <c r="HP12" s="26" cm="1">
        <f t="array" ref="HP12">IF(HP$2="FY",SUMPRODUCT(Data_Nhập[Tổng Nhập-NX]*(Data_Nhập[Year]=HP$1)*(Data_Nhập[Main SKU name_GOM]=$A12)*(Data_Nhập[SKU name_NHẬP_GOM]=HP$3)),SUMPRODUCT(Data_Nhập[Tổng Nhập-NX]*(Data_Nhập[Year]=HP$1)*(Data_Nhập[Month]=HP$2)*(Data_Nhập[Main SKU name_GOM]=$A12)*(Data_Nhập[SKU name_NHẬP_GOM]=HP$3)))</f>
        <v>0</v>
      </c>
      <c r="HQ12" s="26" cm="1">
        <f t="array" ref="HQ12">IF(HQ$2="FY",SUMPRODUCT(Data_Nhập[Tổng Nhập-NX]*(Data_Nhập[Year]=HQ$1)*(Data_Nhập[Main SKU name_GOM]=$A12)*(Data_Nhập[SKU name_NHẬP_GOM]=HQ$3)),SUMPRODUCT(Data_Nhập[Tổng Nhập-NX]*(Data_Nhập[Year]=HQ$1)*(Data_Nhập[Month]=HQ$2)*(Data_Nhập[Main SKU name_GOM]=$A12)*(Data_Nhập[SKU name_NHẬP_GOM]=HQ$3)))</f>
        <v>0</v>
      </c>
      <c r="HR12" s="26" cm="1">
        <f t="array" ref="HR12">IF(HR$2="FY",SUMPRODUCT(Data_Nhập[Tổng Nhập-NX]*(Data_Nhập[Year]=HR$1)*(Data_Nhập[Main SKU name_GOM]=$A12)*(Data_Nhập[SKU name_NHẬP_GOM]=HR$3)),SUMPRODUCT(Data_Nhập[Tổng Nhập-NX]*(Data_Nhập[Year]=HR$1)*(Data_Nhập[Month]=HR$2)*(Data_Nhập[Main SKU name_GOM]=$A12)*(Data_Nhập[SKU name_NHẬP_GOM]=HR$3)))</f>
        <v>0</v>
      </c>
      <c r="HS12" s="26" cm="1">
        <f t="array" ref="HS12">IF(HS$2="FY",SUMPRODUCT(Data_Nhập[Tổng Nhập-NX]*(Data_Nhập[Year]=HS$1)*(Data_Nhập[Main SKU name_GOM]=$A12)*(Data_Nhập[SKU name_NHẬP_GOM]=HS$3)),SUMPRODUCT(Data_Nhập[Tổng Nhập-NX]*(Data_Nhập[Year]=HS$1)*(Data_Nhập[Month]=HS$2)*(Data_Nhập[Main SKU name_GOM]=$A12)*(Data_Nhập[SKU name_NHẬP_GOM]=HS$3)))</f>
        <v>0</v>
      </c>
      <c r="HT12" s="26" cm="1">
        <f t="array" ref="HT12">IF(HT$2="FY",SUMPRODUCT(Data_Nhập[Tổng Nhập-NX]*(Data_Nhập[Year]=HT$1)*(Data_Nhập[Main SKU name_GOM]=$A12)*(Data_Nhập[SKU name_NHẬP_GOM]=HT$3)),SUMPRODUCT(Data_Nhập[Tổng Nhập-NX]*(Data_Nhập[Year]=HT$1)*(Data_Nhập[Month]=HT$2)*(Data_Nhập[Main SKU name_GOM]=$A12)*(Data_Nhập[SKU name_NHẬP_GOM]=HT$3)))</f>
        <v>0</v>
      </c>
      <c r="HU12" s="26" cm="1">
        <f t="array" ref="HU12">IF(HU$2="FY",SUMPRODUCT(Data_Nhập[Tổng Nhập-NX]*(Data_Nhập[Year]=HU$1)*(Data_Nhập[Main SKU name_GOM]=$A12)*(Data_Nhập[SKU name_NHẬP_GOM]=HU$3)),SUMPRODUCT(Data_Nhập[Tổng Nhập-NX]*(Data_Nhập[Year]=HU$1)*(Data_Nhập[Month]=HU$2)*(Data_Nhập[Main SKU name_GOM]=$A12)*(Data_Nhập[SKU name_NHẬP_GOM]=HU$3)))</f>
        <v>0</v>
      </c>
      <c r="HV12" s="26" cm="1">
        <f t="array" ref="HV12">IF(HV$2="FY",SUMPRODUCT(Data_Nhập[Tổng Nhập-NX]*(Data_Nhập[Year]=HV$1)*(Data_Nhập[Main SKU name_GOM]=$A12)*(Data_Nhập[SKU name_NHẬP_GOM]=HV$3)),SUMPRODUCT(Data_Nhập[Tổng Nhập-NX]*(Data_Nhập[Year]=HV$1)*(Data_Nhập[Month]=HV$2)*(Data_Nhập[Main SKU name_GOM]=$A12)*(Data_Nhập[SKU name_NHẬP_GOM]=HV$3)))</f>
        <v>0</v>
      </c>
      <c r="HW12" s="26" cm="1">
        <f t="array" ref="HW12">IF(HW$2="FY",SUMPRODUCT(Data_Nhập[Tổng Nhập-NX]*(Data_Nhập[Year]=HW$1)*(Data_Nhập[Main SKU name_GOM]=$A12)*(Data_Nhập[SKU name_NHẬP_GOM]=HW$3)),SUMPRODUCT(Data_Nhập[Tổng Nhập-NX]*(Data_Nhập[Year]=HW$1)*(Data_Nhập[Month]=HW$2)*(Data_Nhập[Main SKU name_GOM]=$A12)*(Data_Nhập[SKU name_NHẬP_GOM]=HW$3)))</f>
        <v>0</v>
      </c>
      <c r="HX12" s="26" cm="1">
        <f t="array" ref="HX12">IF(HX$2="FY",SUMPRODUCT(Data_Nhập[Tổng Nhập-NX]*(Data_Nhập[Year]=HX$1)*(Data_Nhập[Main SKU name_GOM]=$A12)*(Data_Nhập[SKU name_NHẬP_GOM]=HX$3)),SUMPRODUCT(Data_Nhập[Tổng Nhập-NX]*(Data_Nhập[Year]=HX$1)*(Data_Nhập[Month]=HX$2)*(Data_Nhập[Main SKU name_GOM]=$A12)*(Data_Nhập[SKU name_NHẬP_GOM]=HX$3)))</f>
        <v>0</v>
      </c>
      <c r="HY12" s="26" cm="1">
        <f t="array" ref="HY12">IF(HY$2="FY",SUMPRODUCT(Data_Nhập[Tổng Nhập-NX]*(Data_Nhập[Year]=HY$1)*(Data_Nhập[Main SKU name_GOM]=$A12)*(Data_Nhập[SKU name_NHẬP_GOM]=HY$3)),SUMPRODUCT(Data_Nhập[Tổng Nhập-NX]*(Data_Nhập[Year]=HY$1)*(Data_Nhập[Month]=HY$2)*(Data_Nhập[Main SKU name_GOM]=$A12)*(Data_Nhập[SKU name_NHẬP_GOM]=HY$3)))</f>
        <v>0</v>
      </c>
      <c r="HZ12" s="26" cm="1">
        <f t="array" ref="HZ12">IF(HZ$2="FY",SUMPRODUCT(Data_Nhập[Tổng Nhập-NX]*(Data_Nhập[Year]=HZ$1)*(Data_Nhập[Main SKU name_GOM]=$A12)*(Data_Nhập[SKU name_NHẬP_GOM]=HZ$3)),SUMPRODUCT(Data_Nhập[Tổng Nhập-NX]*(Data_Nhập[Year]=HZ$1)*(Data_Nhập[Month]=HZ$2)*(Data_Nhập[Main SKU name_GOM]=$A12)*(Data_Nhập[SKU name_NHẬP_GOM]=HZ$3)))</f>
        <v>0</v>
      </c>
      <c r="IA12" s="26" cm="1">
        <f t="array" ref="IA12">IF(IA$2="FY",SUMPRODUCT(Data_Nhập[Tổng Nhập-NX]*(Data_Nhập[Year]=IA$1)*(Data_Nhập[Main SKU name_GOM]=$A12)*(Data_Nhập[SKU name_NHẬP_GOM]=IA$3)),SUMPRODUCT(Data_Nhập[Tổng Nhập-NX]*(Data_Nhập[Year]=IA$1)*(Data_Nhập[Month]=IA$2)*(Data_Nhập[Main SKU name_GOM]=$A12)*(Data_Nhập[SKU name_NHẬP_GOM]=IA$3)))</f>
        <v>0</v>
      </c>
      <c r="IB12" s="27">
        <f t="shared" si="24"/>
        <v>0</v>
      </c>
    </row>
    <row r="13" spans="1:236" s="1" customFormat="1" ht="15" thickBot="1" x14ac:dyDescent="0.4">
      <c r="A13" s="6"/>
      <c r="B13" s="7" t="s">
        <v>78</v>
      </c>
      <c r="D13" s="8">
        <f>SUM(D6:D12)</f>
        <v>43082051</v>
      </c>
      <c r="E13" s="8">
        <f>SUM(E6:E12)</f>
        <v>5759300</v>
      </c>
      <c r="F13" s="8">
        <f t="shared" ref="F13:T13" si="25">SUM(F6:F12)</f>
        <v>11064576</v>
      </c>
      <c r="G13" s="8">
        <f t="shared" si="25"/>
        <v>18770422</v>
      </c>
      <c r="H13" s="8">
        <f t="shared" si="25"/>
        <v>0</v>
      </c>
      <c r="I13" s="8">
        <f t="shared" si="25"/>
        <v>1732052</v>
      </c>
      <c r="J13" s="8">
        <f t="shared" si="25"/>
        <v>3950</v>
      </c>
      <c r="K13" s="8">
        <f t="shared" si="25"/>
        <v>2002354</v>
      </c>
      <c r="L13" s="8">
        <f t="shared" si="25"/>
        <v>92180</v>
      </c>
      <c r="M13" s="8">
        <f t="shared" si="25"/>
        <v>90200</v>
      </c>
      <c r="N13" s="8">
        <f t="shared" si="25"/>
        <v>140800</v>
      </c>
      <c r="O13" s="8">
        <f t="shared" si="25"/>
        <v>529100</v>
      </c>
      <c r="P13" s="8">
        <f t="shared" si="25"/>
        <v>268950</v>
      </c>
      <c r="Q13" s="8">
        <f t="shared" si="25"/>
        <v>0</v>
      </c>
      <c r="R13" s="8">
        <f t="shared" si="25"/>
        <v>2118022.4</v>
      </c>
      <c r="S13" s="8">
        <f t="shared" si="25"/>
        <v>22925</v>
      </c>
      <c r="T13" s="8">
        <f t="shared" si="25"/>
        <v>42594831.399999999</v>
      </c>
      <c r="V13" s="8">
        <f>SUM(V6:V12)</f>
        <v>2099112.9999999995</v>
      </c>
      <c r="W13" s="8">
        <f>SUM(W6:W12)</f>
        <v>371800</v>
      </c>
      <c r="X13" s="8">
        <f t="shared" ref="X13:AL13" si="26">SUM(X6:X12)</f>
        <v>254100</v>
      </c>
      <c r="Y13" s="8">
        <f t="shared" si="26"/>
        <v>1247742</v>
      </c>
      <c r="Z13" s="8">
        <f t="shared" si="26"/>
        <v>0</v>
      </c>
      <c r="AA13" s="8">
        <f t="shared" si="26"/>
        <v>28392</v>
      </c>
      <c r="AB13" s="8">
        <f t="shared" si="26"/>
        <v>0</v>
      </c>
      <c r="AC13" s="8">
        <f t="shared" si="26"/>
        <v>104500</v>
      </c>
      <c r="AD13" s="8">
        <f t="shared" si="26"/>
        <v>0</v>
      </c>
      <c r="AE13" s="8">
        <f t="shared" si="26"/>
        <v>1100</v>
      </c>
      <c r="AF13" s="8">
        <f t="shared" si="26"/>
        <v>4400</v>
      </c>
      <c r="AG13" s="8">
        <f t="shared" si="26"/>
        <v>5500</v>
      </c>
      <c r="AH13" s="8">
        <f t="shared" si="26"/>
        <v>12100</v>
      </c>
      <c r="AI13" s="8">
        <f t="shared" si="26"/>
        <v>0</v>
      </c>
      <c r="AJ13" s="8">
        <f t="shared" si="26"/>
        <v>65689</v>
      </c>
      <c r="AK13" s="8">
        <f t="shared" si="26"/>
        <v>0</v>
      </c>
      <c r="AL13" s="8">
        <f t="shared" si="26"/>
        <v>2095323</v>
      </c>
      <c r="AN13" s="8">
        <f>SUM(AN6:AN12)</f>
        <v>2430700.0000000005</v>
      </c>
      <c r="AO13" s="8">
        <f>SUM(AO6:AO12)</f>
        <v>535700</v>
      </c>
      <c r="AP13" s="8">
        <f t="shared" ref="AP13:BD13" si="27">SUM(AP6:AP12)</f>
        <v>751740</v>
      </c>
      <c r="AQ13" s="8">
        <f t="shared" si="27"/>
        <v>605680</v>
      </c>
      <c r="AR13" s="8">
        <f t="shared" si="27"/>
        <v>0</v>
      </c>
      <c r="AS13" s="8">
        <f t="shared" si="27"/>
        <v>62700</v>
      </c>
      <c r="AT13" s="8">
        <f t="shared" si="27"/>
        <v>0</v>
      </c>
      <c r="AU13" s="8">
        <f t="shared" si="27"/>
        <v>222420</v>
      </c>
      <c r="AV13" s="8">
        <f t="shared" si="27"/>
        <v>2100</v>
      </c>
      <c r="AW13" s="8">
        <f t="shared" si="27"/>
        <v>4400</v>
      </c>
      <c r="AX13" s="8">
        <f t="shared" si="27"/>
        <v>24200</v>
      </c>
      <c r="AY13" s="8">
        <f t="shared" si="27"/>
        <v>19800</v>
      </c>
      <c r="AZ13" s="8">
        <f t="shared" si="27"/>
        <v>11000</v>
      </c>
      <c r="BA13" s="8">
        <f t="shared" si="27"/>
        <v>0</v>
      </c>
      <c r="BB13" s="8">
        <f t="shared" si="27"/>
        <v>185402</v>
      </c>
      <c r="BC13" s="8">
        <f t="shared" si="27"/>
        <v>0</v>
      </c>
      <c r="BD13" s="8">
        <f t="shared" si="27"/>
        <v>2425142</v>
      </c>
      <c r="BF13" s="8">
        <f>SUM(BF6:BF12)</f>
        <v>3673148.9999999991</v>
      </c>
      <c r="BG13" s="8">
        <f>SUM(BG6:BG12)</f>
        <v>11000</v>
      </c>
      <c r="BH13" s="8">
        <f t="shared" ref="BH13:BV13" si="28">SUM(BH6:BH12)</f>
        <v>1238600</v>
      </c>
      <c r="BI13" s="8">
        <f t="shared" si="28"/>
        <v>1381599.9999999995</v>
      </c>
      <c r="BJ13" s="8">
        <f t="shared" si="28"/>
        <v>0</v>
      </c>
      <c r="BK13" s="8">
        <f t="shared" si="28"/>
        <v>416815</v>
      </c>
      <c r="BL13" s="8">
        <f t="shared" si="28"/>
        <v>2100</v>
      </c>
      <c r="BM13" s="8">
        <f t="shared" si="28"/>
        <v>351750</v>
      </c>
      <c r="BN13" s="8">
        <f t="shared" si="28"/>
        <v>0</v>
      </c>
      <c r="BO13" s="8">
        <f t="shared" si="28"/>
        <v>0</v>
      </c>
      <c r="BP13" s="8">
        <f t="shared" si="28"/>
        <v>0</v>
      </c>
      <c r="BQ13" s="8">
        <f t="shared" si="28"/>
        <v>9900</v>
      </c>
      <c r="BR13" s="8">
        <f t="shared" si="28"/>
        <v>4400</v>
      </c>
      <c r="BS13" s="8">
        <f t="shared" si="28"/>
        <v>0</v>
      </c>
      <c r="BT13" s="8">
        <f t="shared" si="28"/>
        <v>249092</v>
      </c>
      <c r="BU13" s="8">
        <f t="shared" si="28"/>
        <v>0</v>
      </c>
      <c r="BV13" s="8">
        <f t="shared" si="28"/>
        <v>3665256.9999999995</v>
      </c>
      <c r="BX13" s="8">
        <f>SUM(BX6:BX12)</f>
        <v>4976333.5</v>
      </c>
      <c r="BY13" s="8">
        <f>SUM(BY6:BY12)</f>
        <v>5500</v>
      </c>
      <c r="BZ13" s="8">
        <f t="shared" ref="BZ13:CN13" si="29">SUM(BZ6:BZ12)</f>
        <v>1634936</v>
      </c>
      <c r="CA13" s="8">
        <f t="shared" si="29"/>
        <v>2667500.0000000005</v>
      </c>
      <c r="CB13" s="8">
        <f t="shared" si="29"/>
        <v>0</v>
      </c>
      <c r="CC13" s="8">
        <f t="shared" si="29"/>
        <v>134845</v>
      </c>
      <c r="CD13" s="8">
        <f t="shared" si="29"/>
        <v>0</v>
      </c>
      <c r="CE13" s="8">
        <f t="shared" si="29"/>
        <v>140628</v>
      </c>
      <c r="CF13" s="8">
        <f t="shared" si="29"/>
        <v>3150</v>
      </c>
      <c r="CG13" s="8">
        <f t="shared" si="29"/>
        <v>0</v>
      </c>
      <c r="CH13" s="8">
        <f t="shared" si="29"/>
        <v>33000.000000000015</v>
      </c>
      <c r="CI13" s="8">
        <f t="shared" si="29"/>
        <v>19800</v>
      </c>
      <c r="CJ13" s="8">
        <f t="shared" si="29"/>
        <v>23150</v>
      </c>
      <c r="CK13" s="8">
        <f t="shared" si="29"/>
        <v>0</v>
      </c>
      <c r="CL13" s="8">
        <f t="shared" si="29"/>
        <v>280531.00000000006</v>
      </c>
      <c r="CM13" s="8">
        <f t="shared" si="29"/>
        <v>0</v>
      </c>
      <c r="CN13" s="8">
        <f t="shared" si="29"/>
        <v>4943040</v>
      </c>
      <c r="CP13" s="8">
        <f>SUM(CP6:CP12)</f>
        <v>3796346.4999999995</v>
      </c>
      <c r="CQ13" s="8">
        <f>SUM(CQ6:CQ12)</f>
        <v>332199.99999999994</v>
      </c>
      <c r="CR13" s="8">
        <f t="shared" ref="CR13:DF13" si="30">SUM(CR6:CR12)</f>
        <v>1563100</v>
      </c>
      <c r="CS13" s="8">
        <f t="shared" si="30"/>
        <v>1504800</v>
      </c>
      <c r="CT13" s="8">
        <f t="shared" si="30"/>
        <v>0</v>
      </c>
      <c r="CU13" s="8">
        <f t="shared" si="30"/>
        <v>41800</v>
      </c>
      <c r="CV13" s="8">
        <f t="shared" si="30"/>
        <v>0</v>
      </c>
      <c r="CW13" s="8">
        <f t="shared" si="30"/>
        <v>75150</v>
      </c>
      <c r="CX13" s="8">
        <f t="shared" si="30"/>
        <v>1050</v>
      </c>
      <c r="CY13" s="8">
        <f t="shared" si="30"/>
        <v>1100</v>
      </c>
      <c r="CZ13" s="8">
        <f t="shared" si="30"/>
        <v>11000</v>
      </c>
      <c r="DA13" s="8">
        <f t="shared" si="30"/>
        <v>35200</v>
      </c>
      <c r="DB13" s="8">
        <f t="shared" si="30"/>
        <v>7699.9999999999991</v>
      </c>
      <c r="DC13" s="8">
        <f t="shared" si="30"/>
        <v>0</v>
      </c>
      <c r="DD13" s="8">
        <f t="shared" si="30"/>
        <v>176466</v>
      </c>
      <c r="DE13" s="8">
        <f t="shared" si="30"/>
        <v>0</v>
      </c>
      <c r="DF13" s="8">
        <f t="shared" si="30"/>
        <v>3749566</v>
      </c>
      <c r="DH13" s="8">
        <f>SUM(DH6:DH12)</f>
        <v>4306580.2500000009</v>
      </c>
      <c r="DI13" s="8">
        <f>SUM(DI6:DI12)</f>
        <v>515899.99999999994</v>
      </c>
      <c r="DJ13" s="8">
        <f t="shared" ref="DJ13:DX13" si="31">SUM(DJ6:DJ12)</f>
        <v>2005300</v>
      </c>
      <c r="DK13" s="8">
        <f t="shared" si="31"/>
        <v>1354099.9999999998</v>
      </c>
      <c r="DL13" s="8">
        <f t="shared" si="31"/>
        <v>0</v>
      </c>
      <c r="DM13" s="8">
        <f t="shared" si="31"/>
        <v>23400</v>
      </c>
      <c r="DN13" s="8">
        <f t="shared" si="31"/>
        <v>0</v>
      </c>
      <c r="DO13" s="8">
        <f t="shared" si="31"/>
        <v>64408</v>
      </c>
      <c r="DP13" s="8">
        <f t="shared" si="31"/>
        <v>0</v>
      </c>
      <c r="DQ13" s="8">
        <f t="shared" si="31"/>
        <v>8800</v>
      </c>
      <c r="DR13" s="8">
        <f t="shared" si="31"/>
        <v>16500</v>
      </c>
      <c r="DS13" s="8">
        <f t="shared" si="31"/>
        <v>31900.000000000004</v>
      </c>
      <c r="DT13" s="8">
        <f t="shared" si="31"/>
        <v>18700</v>
      </c>
      <c r="DU13" s="8">
        <f t="shared" si="31"/>
        <v>0</v>
      </c>
      <c r="DV13" s="8">
        <f t="shared" si="31"/>
        <v>201776</v>
      </c>
      <c r="DW13" s="8">
        <f t="shared" si="31"/>
        <v>0</v>
      </c>
      <c r="DX13" s="8">
        <f t="shared" si="31"/>
        <v>4240784</v>
      </c>
      <c r="DZ13" s="8">
        <f>SUM(DZ6:DZ12)</f>
        <v>4243220.5</v>
      </c>
      <c r="EA13" s="8">
        <f>SUM(EA6:EA12)</f>
        <v>324500</v>
      </c>
      <c r="EB13" s="8">
        <f t="shared" ref="EB13:EP13" si="32">SUM(EB6:EB12)</f>
        <v>1169300</v>
      </c>
      <c r="EC13" s="8">
        <f t="shared" si="32"/>
        <v>2067000</v>
      </c>
      <c r="ED13" s="8">
        <f t="shared" si="32"/>
        <v>0</v>
      </c>
      <c r="EE13" s="8">
        <f t="shared" si="32"/>
        <v>48400.000000000007</v>
      </c>
      <c r="EF13" s="8">
        <f t="shared" si="32"/>
        <v>0</v>
      </c>
      <c r="EG13" s="8">
        <f t="shared" si="32"/>
        <v>194700</v>
      </c>
      <c r="EH13" s="8">
        <f t="shared" si="32"/>
        <v>17850</v>
      </c>
      <c r="EI13" s="8">
        <f t="shared" si="32"/>
        <v>11000</v>
      </c>
      <c r="EJ13" s="8">
        <f t="shared" si="32"/>
        <v>12100</v>
      </c>
      <c r="EK13" s="8">
        <f t="shared" si="32"/>
        <v>113300.00000000001</v>
      </c>
      <c r="EL13" s="8">
        <f t="shared" si="32"/>
        <v>16500</v>
      </c>
      <c r="EM13" s="8">
        <f t="shared" si="32"/>
        <v>0</v>
      </c>
      <c r="EN13" s="8">
        <f t="shared" si="32"/>
        <v>209899</v>
      </c>
      <c r="EO13" s="8">
        <f t="shared" si="32"/>
        <v>0</v>
      </c>
      <c r="EP13" s="8">
        <f t="shared" si="32"/>
        <v>4184549</v>
      </c>
      <c r="ER13" s="8">
        <f>SUM(ER6:ER12)</f>
        <v>4491399.2499999991</v>
      </c>
      <c r="ES13" s="8">
        <f>SUM(ES6:ES12)</f>
        <v>627000</v>
      </c>
      <c r="ET13" s="8">
        <f t="shared" ref="ET13:FH13" si="33">SUM(ET6:ET12)</f>
        <v>1236400</v>
      </c>
      <c r="EU13" s="8">
        <f t="shared" si="33"/>
        <v>1873299.9999999998</v>
      </c>
      <c r="EV13" s="8">
        <f t="shared" si="33"/>
        <v>0</v>
      </c>
      <c r="EW13" s="8">
        <f t="shared" si="33"/>
        <v>63799.999999999993</v>
      </c>
      <c r="EX13" s="8">
        <f t="shared" si="33"/>
        <v>0</v>
      </c>
      <c r="EY13" s="8">
        <f t="shared" si="33"/>
        <v>259850</v>
      </c>
      <c r="EZ13" s="8">
        <f t="shared" si="33"/>
        <v>2100</v>
      </c>
      <c r="FA13" s="8">
        <f t="shared" si="33"/>
        <v>0</v>
      </c>
      <c r="FB13" s="8">
        <f t="shared" si="33"/>
        <v>15399.999999999998</v>
      </c>
      <c r="FC13" s="8">
        <f t="shared" si="33"/>
        <v>104500.00000000001</v>
      </c>
      <c r="FD13" s="8">
        <f t="shared" si="33"/>
        <v>28000</v>
      </c>
      <c r="FE13" s="8">
        <f t="shared" si="33"/>
        <v>0</v>
      </c>
      <c r="FF13" s="8">
        <f t="shared" si="33"/>
        <v>209010</v>
      </c>
      <c r="FG13" s="8">
        <f t="shared" si="33"/>
        <v>0</v>
      </c>
      <c r="FH13" s="8">
        <f t="shared" si="33"/>
        <v>4419360</v>
      </c>
      <c r="FJ13" s="8">
        <f>SUM(FJ6:FJ12)</f>
        <v>3576774</v>
      </c>
      <c r="FK13" s="8">
        <f>SUM(FK6:FK12)</f>
        <v>367400</v>
      </c>
      <c r="FL13" s="8">
        <f t="shared" ref="FL13:FZ13" si="34">SUM(FL6:FL12)</f>
        <v>837100</v>
      </c>
      <c r="FM13" s="8">
        <f t="shared" si="34"/>
        <v>1603800</v>
      </c>
      <c r="FN13" s="8">
        <f t="shared" si="34"/>
        <v>0</v>
      </c>
      <c r="FO13" s="8">
        <f t="shared" si="34"/>
        <v>187000</v>
      </c>
      <c r="FP13" s="8">
        <f t="shared" si="34"/>
        <v>0</v>
      </c>
      <c r="FQ13" s="8">
        <f t="shared" si="34"/>
        <v>305448</v>
      </c>
      <c r="FR13" s="8">
        <f t="shared" si="34"/>
        <v>11550</v>
      </c>
      <c r="FS13" s="8">
        <f t="shared" si="34"/>
        <v>0</v>
      </c>
      <c r="FT13" s="8">
        <f t="shared" si="34"/>
        <v>9900</v>
      </c>
      <c r="FU13" s="8">
        <f t="shared" si="34"/>
        <v>24200</v>
      </c>
      <c r="FV13" s="8">
        <f t="shared" si="34"/>
        <v>8800</v>
      </c>
      <c r="FW13" s="8">
        <f t="shared" si="34"/>
        <v>0</v>
      </c>
      <c r="FX13" s="8">
        <f t="shared" si="34"/>
        <v>148259</v>
      </c>
      <c r="FY13" s="8">
        <f t="shared" si="34"/>
        <v>21000</v>
      </c>
      <c r="FZ13" s="8">
        <f t="shared" si="34"/>
        <v>3524457</v>
      </c>
      <c r="GB13" s="8">
        <f>SUM(GB6:GB12)</f>
        <v>4369292.0000000009</v>
      </c>
      <c r="GC13" s="8">
        <f>SUM(GC6:GC12)</f>
        <v>743600</v>
      </c>
      <c r="GD13" s="8">
        <f t="shared" ref="GD13:GR13" si="35">SUM(GD6:GD12)</f>
        <v>242000</v>
      </c>
      <c r="GE13" s="8">
        <f t="shared" si="35"/>
        <v>2565199.9999999991</v>
      </c>
      <c r="GF13" s="8">
        <f t="shared" si="35"/>
        <v>0</v>
      </c>
      <c r="GG13" s="8">
        <f t="shared" si="35"/>
        <v>78100</v>
      </c>
      <c r="GH13" s="8">
        <f t="shared" si="35"/>
        <v>0</v>
      </c>
      <c r="GI13" s="8">
        <f t="shared" si="35"/>
        <v>258300</v>
      </c>
      <c r="GJ13" s="8">
        <f t="shared" si="35"/>
        <v>44050</v>
      </c>
      <c r="GK13" s="8">
        <f t="shared" si="35"/>
        <v>59400</v>
      </c>
      <c r="GL13" s="8">
        <f t="shared" si="35"/>
        <v>12100</v>
      </c>
      <c r="GM13" s="8">
        <f t="shared" si="35"/>
        <v>44000</v>
      </c>
      <c r="GN13" s="8">
        <f t="shared" si="35"/>
        <v>86900</v>
      </c>
      <c r="GO13" s="8">
        <f t="shared" si="35"/>
        <v>0</v>
      </c>
      <c r="GP13" s="8">
        <f t="shared" si="35"/>
        <v>173138.4</v>
      </c>
      <c r="GQ13" s="8">
        <f t="shared" si="35"/>
        <v>1925</v>
      </c>
      <c r="GR13" s="8">
        <f t="shared" si="35"/>
        <v>4308713.3999999985</v>
      </c>
      <c r="GT13" s="8">
        <f>SUM(GT6:GT12)</f>
        <v>1819898</v>
      </c>
      <c r="GU13" s="8">
        <f>SUM(GU6:GU12)</f>
        <v>1013900</v>
      </c>
      <c r="GV13" s="8">
        <f t="shared" ref="GV13:HJ13" si="36">SUM(GV6:GV12)</f>
        <v>46200</v>
      </c>
      <c r="GW13" s="8">
        <f t="shared" si="36"/>
        <v>451000</v>
      </c>
      <c r="GX13" s="8">
        <f t="shared" si="36"/>
        <v>0</v>
      </c>
      <c r="GY13" s="8">
        <f t="shared" si="36"/>
        <v>91300</v>
      </c>
      <c r="GZ13" s="8">
        <f t="shared" si="36"/>
        <v>1850</v>
      </c>
      <c r="HA13" s="8">
        <f t="shared" si="36"/>
        <v>16800</v>
      </c>
      <c r="HB13" s="8">
        <f t="shared" si="36"/>
        <v>10330</v>
      </c>
      <c r="HC13" s="8">
        <f t="shared" si="36"/>
        <v>2200</v>
      </c>
      <c r="HD13" s="8">
        <f t="shared" si="36"/>
        <v>0</v>
      </c>
      <c r="HE13" s="8">
        <f t="shared" si="36"/>
        <v>81400</v>
      </c>
      <c r="HF13" s="8">
        <f t="shared" si="36"/>
        <v>18700</v>
      </c>
      <c r="HG13" s="8">
        <f t="shared" si="36"/>
        <v>0</v>
      </c>
      <c r="HH13" s="8">
        <f t="shared" si="36"/>
        <v>59678</v>
      </c>
      <c r="HI13" s="8">
        <f t="shared" si="36"/>
        <v>0</v>
      </c>
      <c r="HJ13" s="8">
        <f t="shared" si="36"/>
        <v>1793358</v>
      </c>
      <c r="HL13" s="8">
        <f>SUM(HL6:HL12)</f>
        <v>3299245</v>
      </c>
      <c r="HM13" s="8">
        <f>SUM(HM6:HM12)</f>
        <v>910800</v>
      </c>
      <c r="HN13" s="8">
        <f t="shared" ref="HN13:IB13" si="37">SUM(HN6:HN12)</f>
        <v>85800</v>
      </c>
      <c r="HO13" s="8">
        <f t="shared" si="37"/>
        <v>1448700</v>
      </c>
      <c r="HP13" s="8">
        <f t="shared" si="37"/>
        <v>0</v>
      </c>
      <c r="HQ13" s="8">
        <f t="shared" si="37"/>
        <v>555500</v>
      </c>
      <c r="HR13" s="8">
        <f t="shared" si="37"/>
        <v>0</v>
      </c>
      <c r="HS13" s="8">
        <f t="shared" si="37"/>
        <v>8400</v>
      </c>
      <c r="HT13" s="8">
        <f t="shared" si="37"/>
        <v>0</v>
      </c>
      <c r="HU13" s="8">
        <f t="shared" si="37"/>
        <v>2200</v>
      </c>
      <c r="HV13" s="8">
        <f t="shared" si="37"/>
        <v>2199.9999999999995</v>
      </c>
      <c r="HW13" s="8">
        <f t="shared" si="37"/>
        <v>39600</v>
      </c>
      <c r="HX13" s="8">
        <f t="shared" si="37"/>
        <v>33000</v>
      </c>
      <c r="HY13" s="8">
        <f t="shared" si="37"/>
        <v>0</v>
      </c>
      <c r="HZ13" s="8">
        <f t="shared" si="37"/>
        <v>159082</v>
      </c>
      <c r="IA13" s="8">
        <f t="shared" si="37"/>
        <v>0</v>
      </c>
      <c r="IB13" s="8">
        <f t="shared" si="37"/>
        <v>3245282</v>
      </c>
    </row>
    <row r="14" spans="1:236" x14ac:dyDescent="0.35">
      <c r="T14" s="33">
        <f>D13-T13</f>
        <v>487219.60000000149</v>
      </c>
      <c r="AL14" s="33">
        <f>V13-AL13</f>
        <v>3789.9999999995343</v>
      </c>
      <c r="BD14" s="33">
        <f>AN13-BD13</f>
        <v>5558.0000000004657</v>
      </c>
      <c r="BV14" s="33">
        <f>BF13-BV13</f>
        <v>7891.9999999995343</v>
      </c>
      <c r="CN14" s="33">
        <f>BX13-CN13</f>
        <v>33293.5</v>
      </c>
    </row>
    <row r="15" spans="1:236" x14ac:dyDescent="0.35">
      <c r="T15" s="34">
        <f>T14/D13</f>
        <v>1.1309108751577344E-2</v>
      </c>
      <c r="AL15" s="34">
        <f>AL14/V13</f>
        <v>1.8055245239296479E-3</v>
      </c>
      <c r="BD15" s="34">
        <f>BD14/AN13</f>
        <v>2.2865841115729891E-3</v>
      </c>
      <c r="BV15" s="34">
        <f>BV14/BF13</f>
        <v>2.1485651684697614E-3</v>
      </c>
      <c r="CN15" s="34">
        <f>CN14/BX13</f>
        <v>6.6903675165661623E-3</v>
      </c>
    </row>
    <row r="16" spans="1:236" s="11" customFormat="1" ht="15" thickBot="1" x14ac:dyDescent="0.4">
      <c r="B16" s="12" t="s">
        <v>82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2:236" s="11" customFormat="1" x14ac:dyDescent="0.35">
      <c r="B17" s="14" t="s">
        <v>68</v>
      </c>
      <c r="C17" s="14"/>
      <c r="D17" s="45">
        <f>IFERROR(D6/T6,0)</f>
        <v>1.0123760367025765</v>
      </c>
      <c r="E17" s="15">
        <f>IFERROR(E6/T6,0)</f>
        <v>0.83355063919826011</v>
      </c>
      <c r="F17" s="16">
        <f t="shared" ref="F17:F24" si="38">IFERROR(F6/T6,0)</f>
        <v>3.3954656782961834E-2</v>
      </c>
      <c r="G17" s="16">
        <f t="shared" ref="G17:G24" si="39">IFERROR(G6/T6,0)</f>
        <v>2.047027155336455E-2</v>
      </c>
      <c r="H17" s="16">
        <f t="shared" ref="H17:H24" si="40">IFERROR(H6/T6,0)</f>
        <v>0</v>
      </c>
      <c r="I17" s="16">
        <f t="shared" ref="I17:I24" si="41">IFERROR(I6/T6,0)</f>
        <v>4.678919212197611E-2</v>
      </c>
      <c r="J17" s="16">
        <f t="shared" ref="J17:J24" si="42">IFERROR(J6/T6,0)</f>
        <v>0</v>
      </c>
      <c r="K17" s="16">
        <f t="shared" ref="K17:K24" si="43">IFERROR(K6/T6,0)</f>
        <v>0</v>
      </c>
      <c r="L17" s="16">
        <f t="shared" ref="L17:L24" si="44">IFERROR(L6/T6,0)</f>
        <v>0</v>
      </c>
      <c r="M17" s="16">
        <f t="shared" ref="M17:M24" si="45">IFERROR(M6/T6,0)</f>
        <v>1.2996997811660031E-2</v>
      </c>
      <c r="N17" s="16">
        <f t="shared" ref="N17:N24" si="46">IFERROR(N6/T6,0)</f>
        <v>1.1372373085202527E-3</v>
      </c>
      <c r="O17" s="16">
        <f t="shared" ref="O17:O24" si="47">IFERROR(O6/T6,0)</f>
        <v>5.8486490152470138E-3</v>
      </c>
      <c r="P17" s="16">
        <f t="shared" ref="P17:P24" si="48">IFERROR(P6/T6,0)</f>
        <v>9.4966699919288647E-3</v>
      </c>
      <c r="Q17" s="16">
        <f t="shared" ref="Q17:Q24" si="49">IFERROR(Q6/T6,0)</f>
        <v>0</v>
      </c>
      <c r="R17" s="16">
        <f t="shared" ref="R17:R24" si="50">IFERROR(R6/T6,0)</f>
        <v>3.5755686216081231E-2</v>
      </c>
      <c r="S17" s="16">
        <f t="shared" ref="S17:S24" si="51">IFERROR(S6/T6,0)</f>
        <v>0</v>
      </c>
      <c r="T17" s="48">
        <f t="shared" ref="T17:T24" si="52">IFERROR(T6/T6,0)</f>
        <v>1</v>
      </c>
      <c r="V17" s="45">
        <f>IFERROR(V6/AL6,0)</f>
        <v>1.0009752055258279</v>
      </c>
      <c r="W17" s="15">
        <f t="shared" ref="W17:W24" si="53">IFERROR(W6/AL6,0)</f>
        <v>0.91709742454789367</v>
      </c>
      <c r="X17" s="16">
        <f t="shared" ref="X17:X24" si="54">IFERROR(X6/AL6,0)</f>
        <v>1.1116332418762347E-2</v>
      </c>
      <c r="Y17" s="16">
        <f t="shared" ref="Y17:Y24" si="55">IFERROR(Y6/AL6,0)</f>
        <v>0</v>
      </c>
      <c r="Z17" s="16">
        <f t="shared" ref="Z17:Z24" si="56">IFERROR(Z6/AL6,0)</f>
        <v>0</v>
      </c>
      <c r="AA17" s="16">
        <f t="shared" ref="AA17:AA24" si="57">IFERROR(AA6/AL6,0)</f>
        <v>4.1686246570358805E-2</v>
      </c>
      <c r="AB17" s="16">
        <f t="shared" ref="AB17:AB24" si="58">IFERROR(AB6/AL6,0)</f>
        <v>0</v>
      </c>
      <c r="AC17" s="16">
        <f t="shared" ref="AC17:AC24" si="59">IFERROR(AC6/AL6,0)</f>
        <v>0</v>
      </c>
      <c r="AD17" s="16">
        <f t="shared" ref="AD17:AD24" si="60">IFERROR(AD6/AL6,0)</f>
        <v>0</v>
      </c>
      <c r="AE17" s="16">
        <f t="shared" ref="AE17:AE24" si="61">IFERROR(AE6/AL6,0)</f>
        <v>2.7790831046905868E-3</v>
      </c>
      <c r="AF17" s="16">
        <f t="shared" ref="AF17:AF24" si="62">IFERROR(AF6/AL6,0)</f>
        <v>0</v>
      </c>
      <c r="AG17" s="16">
        <f t="shared" ref="AG17:AG24" si="63">IFERROR(AG6/AL6,0)</f>
        <v>0</v>
      </c>
      <c r="AH17" s="16">
        <f t="shared" ref="AH17:AH24" si="64">IFERROR(AH6/AL6,0)</f>
        <v>0</v>
      </c>
      <c r="AI17" s="16">
        <f t="shared" ref="AI17:AI24" si="65">IFERROR(AI6/AL6,0)</f>
        <v>0</v>
      </c>
      <c r="AJ17" s="16">
        <f t="shared" ref="AJ17:AJ24" si="66">IFERROR(AJ6/AL6,0)</f>
        <v>2.7320913358294553E-2</v>
      </c>
      <c r="AK17" s="16">
        <f t="shared" ref="AK17:AK24" si="67">IFERROR(AK6/AL6,0)</f>
        <v>0</v>
      </c>
      <c r="AL17" s="48">
        <f t="shared" ref="AL17:AL24" si="68">IFERROR(AL6/AL6,0)</f>
        <v>1</v>
      </c>
      <c r="AN17" s="45">
        <f>IFERROR(AN6/BD6,0)</f>
        <v>1.0005656380679397</v>
      </c>
      <c r="AO17" s="15">
        <f t="shared" ref="AO17:AO24" si="69">IFERROR(AO6/BD6,0)</f>
        <v>0.88677451941498764</v>
      </c>
      <c r="AP17" s="16">
        <f t="shared" ref="AP17:AP24" si="70">IFERROR(AP6/BD6,0)</f>
        <v>1.8246389288374229E-3</v>
      </c>
      <c r="AQ17" s="16">
        <f t="shared" ref="AQ17:AQ24" si="71">IFERROR(AQ6/BD6,0)</f>
        <v>0</v>
      </c>
      <c r="AR17" s="16">
        <f t="shared" ref="AR17:AR24" si="72">IFERROR(AR6/BD6,0)</f>
        <v>0</v>
      </c>
      <c r="AS17" s="16">
        <f t="shared" ref="AS17:AS24" si="73">IFERROR(AS6/BD6,0)</f>
        <v>5.291452893628526E-2</v>
      </c>
      <c r="AT17" s="16">
        <f t="shared" ref="AT17:AT24" si="74">IFERROR(AT6/BD6,0)</f>
        <v>0</v>
      </c>
      <c r="AU17" s="16">
        <f t="shared" ref="AU17:AU24" si="75">IFERROR(AU6/BD6,0)</f>
        <v>0</v>
      </c>
      <c r="AV17" s="16">
        <f t="shared" ref="AV17:AV24" si="76">IFERROR(AV6/BD6,0)</f>
        <v>0</v>
      </c>
      <c r="AW17" s="16">
        <f t="shared" ref="AW17:AW24" si="77">IFERROR(AW6/BD6,0)</f>
        <v>7.2985557153496918E-3</v>
      </c>
      <c r="AX17" s="16">
        <f t="shared" ref="AX17:AX24" si="78">IFERROR(AX6/BD6,0)</f>
        <v>0</v>
      </c>
      <c r="AY17" s="16">
        <f t="shared" ref="AY17:AY24" si="79">IFERROR(AY6/BD6,0)</f>
        <v>0</v>
      </c>
      <c r="AZ17" s="16">
        <f t="shared" ref="AZ17:AZ24" si="80">IFERROR(AZ6/BD6,0)</f>
        <v>3.6492778576748459E-3</v>
      </c>
      <c r="BA17" s="16">
        <f t="shared" ref="BA17:BA24" si="81">IFERROR(BA6/BD6,0)</f>
        <v>0</v>
      </c>
      <c r="BB17" s="16">
        <f t="shared" ref="BB17:BB24" si="82">IFERROR(BB6/BD6,0)</f>
        <v>4.7538479146865188E-2</v>
      </c>
      <c r="BC17" s="16">
        <f t="shared" ref="BC17:BC24" si="83">IFERROR(BC6/BD6,0)</f>
        <v>0</v>
      </c>
      <c r="BD17" s="48">
        <f t="shared" ref="BD17:BD24" si="84">IFERROR(BD6/BD6,0)</f>
        <v>1</v>
      </c>
      <c r="BF17" s="45">
        <f>IFERROR(BF6/BV6,0)</f>
        <v>0</v>
      </c>
      <c r="BG17" s="15">
        <f t="shared" ref="BG17:BG24" si="85">IFERROR(BG6/BV6,0)</f>
        <v>0</v>
      </c>
      <c r="BH17" s="16">
        <f t="shared" ref="BH17:BH24" si="86">IFERROR(BH6/BV6,0)</f>
        <v>0</v>
      </c>
      <c r="BI17" s="16">
        <f t="shared" ref="BI17:BI24" si="87">IFERROR(BI6/BV6,0)</f>
        <v>0</v>
      </c>
      <c r="BJ17" s="16">
        <f t="shared" ref="BJ17:BJ24" si="88">IFERROR(BJ6/BV6,0)</f>
        <v>0</v>
      </c>
      <c r="BK17" s="16">
        <f t="shared" ref="BK17:BK24" si="89">IFERROR(BK6/BV6,0)</f>
        <v>0</v>
      </c>
      <c r="BL17" s="16">
        <f t="shared" ref="BL17:BL24" si="90">IFERROR(BL6/BV6,0)</f>
        <v>0</v>
      </c>
      <c r="BM17" s="16">
        <f t="shared" ref="BM17:BM24" si="91">IFERROR(BM6/BV6,0)</f>
        <v>0</v>
      </c>
      <c r="BN17" s="16">
        <f t="shared" ref="BN17:BN24" si="92">IFERROR(BN6/BV6,0)</f>
        <v>0</v>
      </c>
      <c r="BO17" s="16">
        <f t="shared" ref="BO17:BO24" si="93">IFERROR(BO6/BV6,0)</f>
        <v>0</v>
      </c>
      <c r="BP17" s="16">
        <f t="shared" ref="BP17:BP24" si="94">IFERROR(BP6/BV6,0)</f>
        <v>0</v>
      </c>
      <c r="BQ17" s="16">
        <f t="shared" ref="BQ17:BQ24" si="95">IFERROR(BQ6/BV6,0)</f>
        <v>0</v>
      </c>
      <c r="BR17" s="16">
        <f t="shared" ref="BR17:BR24" si="96">IFERROR(BR6/BV6,0)</f>
        <v>0</v>
      </c>
      <c r="BS17" s="16">
        <f t="shared" ref="BS17:BS24" si="97">IFERROR(BS6/BV6,0)</f>
        <v>0</v>
      </c>
      <c r="BT17" s="16">
        <f t="shared" ref="BT17:BT24" si="98">IFERROR(BT6/BV6,0)</f>
        <v>0</v>
      </c>
      <c r="BU17" s="16">
        <f t="shared" ref="BU17:BU24" si="99">IFERROR(BU6/BV6,0)</f>
        <v>0</v>
      </c>
      <c r="BV17" s="48">
        <f t="shared" ref="BV17:BV24" si="100">IFERROR(BV6/BV6,0)</f>
        <v>0</v>
      </c>
      <c r="BX17" s="45">
        <f>IFERROR(BX6/CN6,0)</f>
        <v>1.0010204081632652</v>
      </c>
      <c r="BY17" s="15">
        <f t="shared" ref="BY17:BY24" si="101">IFERROR(BY6/CN6,0)</f>
        <v>0.67346938775510201</v>
      </c>
      <c r="BZ17" s="16">
        <f t="shared" ref="BZ17:BZ24" si="102">IFERROR(BZ6/CN6,0)</f>
        <v>0</v>
      </c>
      <c r="CA17" s="16">
        <f t="shared" ref="CA17:CA24" si="103">IFERROR(CA6/CN6,0)</f>
        <v>0</v>
      </c>
      <c r="CB17" s="16">
        <f t="shared" ref="CB17:CB24" si="104">IFERROR(CB6/CN6,0)</f>
        <v>0</v>
      </c>
      <c r="CC17" s="16">
        <f t="shared" ref="CC17:CC24" si="105">IFERROR(CC6/CN6,0)</f>
        <v>0.22448979591836735</v>
      </c>
      <c r="CD17" s="16">
        <f t="shared" ref="CD17:CD24" si="106">IFERROR(CD6/CN6,0)</f>
        <v>0</v>
      </c>
      <c r="CE17" s="16">
        <f t="shared" ref="CE17:CE24" si="107">IFERROR(CE6/CN6,0)</f>
        <v>0</v>
      </c>
      <c r="CF17" s="16">
        <f t="shared" ref="CF17:CF24" si="108">IFERROR(CF6/CN6,0)</f>
        <v>0</v>
      </c>
      <c r="CG17" s="16">
        <f t="shared" ref="CG17:CG24" si="109">IFERROR(CG6/CN6,0)</f>
        <v>0</v>
      </c>
      <c r="CH17" s="16">
        <f t="shared" ref="CH17:CH24" si="110">IFERROR(CH6/CN6,0)</f>
        <v>0</v>
      </c>
      <c r="CI17" s="16">
        <f t="shared" ref="CI17:CI24" si="111">IFERROR(CI6/CN6,0)</f>
        <v>0</v>
      </c>
      <c r="CJ17" s="16">
        <f t="shared" ref="CJ17:CJ24" si="112">IFERROR(CJ6/CN6,0)</f>
        <v>0</v>
      </c>
      <c r="CK17" s="16">
        <f t="shared" ref="CK17:CK24" si="113">IFERROR(CK6/CN6,0)</f>
        <v>0</v>
      </c>
      <c r="CL17" s="16">
        <f t="shared" ref="CL17:CL24" si="114">IFERROR(CL6/CN6,0)</f>
        <v>0.10204081632653061</v>
      </c>
      <c r="CM17" s="16">
        <f t="shared" ref="CM17:CM24" si="115">IFERROR(CM6/CN6,0)</f>
        <v>0</v>
      </c>
      <c r="CN17" s="48">
        <f t="shared" ref="CN17:DF24" si="116">IFERROR(CN6/CN6,0)</f>
        <v>1</v>
      </c>
      <c r="CP17" s="45">
        <f>IFERROR(CP6/DF6,0)</f>
        <v>1.0078610837859803</v>
      </c>
      <c r="CQ17" s="15">
        <f t="shared" ref="CQ17:CQ24" si="117">IFERROR(CQ6/DF6,0)</f>
        <v>0.70570121038450018</v>
      </c>
      <c r="CR17" s="16">
        <f t="shared" ref="CR17:CR24" si="118">IFERROR(CR6/DF6,0)</f>
        <v>0.18583465206791841</v>
      </c>
      <c r="CS17" s="16">
        <f t="shared" ref="CS17:CS24" si="119">IFERROR(CS6/DF6,0)</f>
        <v>0</v>
      </c>
      <c r="CT17" s="16">
        <f t="shared" ref="CT17:CT24" si="120">IFERROR(CT6/DF6,0)</f>
        <v>0</v>
      </c>
      <c r="CU17" s="16">
        <f t="shared" ref="CU17:CU24" si="121">IFERROR(CU6/DF6,0)</f>
        <v>2.5875711047431679E-2</v>
      </c>
      <c r="CV17" s="16">
        <f t="shared" ref="CV17:CV24" si="122">IFERROR(CV6/DF6,0)</f>
        <v>0</v>
      </c>
      <c r="CW17" s="16">
        <f t="shared" ref="CW17:CW24" si="123">IFERROR(CW6/DF6,0)</f>
        <v>0</v>
      </c>
      <c r="CX17" s="16">
        <f t="shared" ref="CX17:CX24" si="124">IFERROR(CX6/DF6,0)</f>
        <v>0</v>
      </c>
      <c r="CY17" s="16">
        <f t="shared" ref="CY17:CY24" si="125">IFERROR(CY6/DF6,0)</f>
        <v>2.3523373679483345E-3</v>
      </c>
      <c r="CZ17" s="16">
        <f t="shared" ref="CZ17:CZ24" si="126">IFERROR(CZ6/DF6,0)</f>
        <v>0</v>
      </c>
      <c r="DA17" s="16">
        <f t="shared" ref="DA17:DA24" si="127">IFERROR(DA6/DF6,0)</f>
        <v>3.0580385783328348E-2</v>
      </c>
      <c r="DB17" s="16">
        <f t="shared" ref="DB17:DB24" si="128">IFERROR(DB6/DF6,0)</f>
        <v>0</v>
      </c>
      <c r="DC17" s="16">
        <f t="shared" ref="DC17:DC24" si="129">IFERROR(DC6/DF6,0)</f>
        <v>0</v>
      </c>
      <c r="DD17" s="16">
        <f t="shared" ref="DD17:DD24" si="130">IFERROR(DD6/DF6,0)</f>
        <v>4.9655703348873023E-2</v>
      </c>
      <c r="DE17" s="16">
        <f t="shared" ref="DE17:DE24" si="131">IFERROR(DE6/DF6,0)</f>
        <v>0</v>
      </c>
      <c r="DF17" s="48">
        <f t="shared" ref="DF17:DF23" si="132">IFERROR(DF6/DF6,0)</f>
        <v>1</v>
      </c>
      <c r="DH17" s="45">
        <f>IFERROR(DH6/DX6,0)</f>
        <v>1.0172626987449738</v>
      </c>
      <c r="DI17" s="15">
        <f t="shared" ref="DI17:DI24" si="133">IFERROR(DI6/DX6,0)</f>
        <v>0.8996465674199422</v>
      </c>
      <c r="DJ17" s="16">
        <f t="shared" ref="DJ17:DJ24" si="134">IFERROR(DJ6/DX6,0)</f>
        <v>1.7136125093713185E-2</v>
      </c>
      <c r="DK17" s="16">
        <f t="shared" ref="DK17:DK24" si="135">IFERROR(DK6/DX6,0)</f>
        <v>0</v>
      </c>
      <c r="DL17" s="16">
        <f t="shared" ref="DL17:DL24" si="136">IFERROR(DL6/DX6,0)</f>
        <v>0</v>
      </c>
      <c r="DM17" s="16">
        <f t="shared" ref="DM17:DM24" si="137">IFERROR(DM6/DX6,0)</f>
        <v>1.2852093820284889E-2</v>
      </c>
      <c r="DN17" s="16">
        <f t="shared" ref="DN17:DN24" si="138">IFERROR(DN6/DX6,0)</f>
        <v>0</v>
      </c>
      <c r="DO17" s="16">
        <f t="shared" ref="DO17:DO24" si="139">IFERROR(DO6/DX6,0)</f>
        <v>0</v>
      </c>
      <c r="DP17" s="16">
        <f t="shared" ref="DP17:DP24" si="140">IFERROR(DP6/DX6,0)</f>
        <v>0</v>
      </c>
      <c r="DQ17" s="16">
        <f t="shared" ref="DQ17:DQ24" si="141">IFERROR(DQ6/DX6,0)</f>
        <v>1.2852093820284889E-2</v>
      </c>
      <c r="DR17" s="16">
        <f t="shared" ref="DR17:DR24" si="142">IFERROR(DR6/DX6,0)</f>
        <v>8.5680625468565925E-3</v>
      </c>
      <c r="DS17" s="16">
        <f t="shared" ref="DS17:DS24" si="143">IFERROR(DS6/DX6,0)</f>
        <v>4.2840312734282963E-3</v>
      </c>
      <c r="DT17" s="16">
        <f t="shared" ref="DT17:DT24" si="144">IFERROR(DT6/DX6,0)</f>
        <v>1.2852093820284889E-2</v>
      </c>
      <c r="DU17" s="16">
        <f t="shared" ref="DU17:DU24" si="145">IFERROR(DU6/DX6,0)</f>
        <v>0</v>
      </c>
      <c r="DV17" s="16">
        <f t="shared" ref="DV17:DV24" si="146">IFERROR(DV6/DX6,0)</f>
        <v>3.1808932205205101E-2</v>
      </c>
      <c r="DW17" s="16">
        <f t="shared" ref="DW17:DW24" si="147">IFERROR(DW6/DX6,0)</f>
        <v>0</v>
      </c>
      <c r="DX17" s="48">
        <f t="shared" ref="DX17:EP24" si="148">IFERROR(DX6/DX6,0)</f>
        <v>1</v>
      </c>
      <c r="DZ17" s="45">
        <f>IFERROR(DZ6/EP6,0)</f>
        <v>1.0144098037005089</v>
      </c>
      <c r="EA17" s="15">
        <f t="shared" ref="EA17:EA24" si="149">IFERROR(EA6/EP6,0)</f>
        <v>0.84791312167841704</v>
      </c>
      <c r="EB17" s="16">
        <f t="shared" ref="EB17:EB24" si="150">IFERROR(EB6/EP6,0)</f>
        <v>0</v>
      </c>
      <c r="EC17" s="16">
        <f t="shared" ref="EC17:EC24" si="151">IFERROR(EC6/EP6,0)</f>
        <v>0</v>
      </c>
      <c r="ED17" s="16">
        <f t="shared" ref="ED17:ED24" si="152">IFERROR(ED6/EP6,0)</f>
        <v>0</v>
      </c>
      <c r="EE17" s="16">
        <f t="shared" ref="EE17:EE24" si="153">IFERROR(EE6/EP6,0)</f>
        <v>6.3449281214031206E-2</v>
      </c>
      <c r="EF17" s="16">
        <f t="shared" ref="EF17:EF24" si="154">IFERROR(EF6/EP6,0)</f>
        <v>0</v>
      </c>
      <c r="EG17" s="16">
        <f t="shared" ref="EG17:EG24" si="155">IFERROR(EG6/EP6,0)</f>
        <v>0</v>
      </c>
      <c r="EH17" s="16">
        <f t="shared" ref="EH17:EH24" si="156">IFERROR(EH6/EP6,0)</f>
        <v>0</v>
      </c>
      <c r="EI17" s="16">
        <f t="shared" ref="EI17:EI24" si="157">IFERROR(EI6/EP6,0)</f>
        <v>2.8840582370014186E-2</v>
      </c>
      <c r="EJ17" s="16">
        <f t="shared" ref="EJ17:EJ24" si="158">IFERROR(EJ6/EP6,0)</f>
        <v>0</v>
      </c>
      <c r="EK17" s="16">
        <f t="shared" ref="EK17:EK24" si="159">IFERROR(EK6/EP6,0)</f>
        <v>0</v>
      </c>
      <c r="EL17" s="16">
        <f t="shared" ref="EL17:EL24" si="160">IFERROR(EL6/EP6,0)</f>
        <v>1.7304349422008508E-2</v>
      </c>
      <c r="EM17" s="16">
        <f t="shared" ref="EM17:EM24" si="161">IFERROR(EM6/EP6,0)</f>
        <v>0</v>
      </c>
      <c r="EN17" s="16">
        <f t="shared" ref="EN17:EN24" si="162">IFERROR(EN6/EP6,0)</f>
        <v>4.2492665315529081E-2</v>
      </c>
      <c r="EO17" s="16">
        <f t="shared" ref="EO17:EO24" si="163">IFERROR(EO6/EP6,0)</f>
        <v>0</v>
      </c>
      <c r="EP17" s="48">
        <f t="shared" ref="EP17:EP23" si="164">IFERROR(EP6/EP6,0)</f>
        <v>1</v>
      </c>
      <c r="ER17" s="45">
        <f>IFERROR(ER6/FH6,0)</f>
        <v>1.0149669930967185</v>
      </c>
      <c r="ES17" s="15">
        <f t="shared" ref="ES17:ES24" si="165">IFERROR(ES6/FH6,0)</f>
        <v>0.8420871037217339</v>
      </c>
      <c r="ET17" s="16">
        <f t="shared" ref="ET17:ET24" si="166">IFERROR(ET6/FH6,0)</f>
        <v>4.0028788381138755E-2</v>
      </c>
      <c r="EU17" s="16">
        <f t="shared" ref="EU17:EU24" si="167">IFERROR(EU6/FH6,0)</f>
        <v>1.4825477178199539E-3</v>
      </c>
      <c r="EV17" s="16">
        <f t="shared" ref="EV17:EV24" si="168">IFERROR(EV6/FH6,0)</f>
        <v>0</v>
      </c>
      <c r="EW17" s="16">
        <f t="shared" ref="EW17:EW24" si="169">IFERROR(EW6/FH6,0)</f>
        <v>5.485426555933829E-2</v>
      </c>
      <c r="EX17" s="16">
        <f t="shared" ref="EX17:EX24" si="170">IFERROR(EX6/FH6,0)</f>
        <v>0</v>
      </c>
      <c r="EY17" s="16">
        <f t="shared" ref="EY17:EY24" si="171">IFERROR(EY6/FH6,0)</f>
        <v>0</v>
      </c>
      <c r="EZ17" s="16">
        <f t="shared" ref="EZ17:EZ24" si="172">IFERROR(EZ6/FH6,0)</f>
        <v>0</v>
      </c>
      <c r="FA17" s="16">
        <f t="shared" ref="FA17:FA24" si="173">IFERROR(FA6/FH6,0)</f>
        <v>0</v>
      </c>
      <c r="FB17" s="16">
        <f t="shared" ref="FB17:FB24" si="174">IFERROR(FB6/FH6,0)</f>
        <v>1.4825477178199539E-3</v>
      </c>
      <c r="FC17" s="16">
        <f t="shared" ref="FC17:FC24" si="175">IFERROR(FC6/FH6,0)</f>
        <v>8.8952863069197228E-3</v>
      </c>
      <c r="FD17" s="16">
        <f t="shared" ref="FD17:FD24" si="176">IFERROR(FD6/FH6,0)</f>
        <v>1.4016814786661383E-2</v>
      </c>
      <c r="FE17" s="16">
        <f t="shared" ref="FE17:FE24" si="177">IFERROR(FE6/FH6,0)</f>
        <v>0</v>
      </c>
      <c r="FF17" s="16">
        <f t="shared" ref="FF17:FF24" si="178">IFERROR(FF6/FH6,0)</f>
        <v>3.7152645808568051E-2</v>
      </c>
      <c r="FG17" s="16">
        <f t="shared" ref="FG17:FG24" si="179">IFERROR(FG6/FH6,0)</f>
        <v>0</v>
      </c>
      <c r="FH17" s="48">
        <f t="shared" ref="FH17:FZ24" si="180">IFERROR(FH6/FH6,0)</f>
        <v>1</v>
      </c>
      <c r="FJ17" s="45">
        <f>IFERROR(FJ6/FZ6,0)</f>
        <v>1.0145186587548747</v>
      </c>
      <c r="FK17" s="15">
        <f t="shared" ref="FK17:FK24" si="181">IFERROR(FK6/FZ6,0)</f>
        <v>0.9027901906533774</v>
      </c>
      <c r="FL17" s="16">
        <f t="shared" ref="FL17:FL24" si="182">IFERROR(FL6/FZ6,0)</f>
        <v>8.3078851900617555E-3</v>
      </c>
      <c r="FM17" s="16">
        <f t="shared" ref="FM17:FM24" si="183">IFERROR(FM6/FZ6,0)</f>
        <v>8.3078851900617555E-3</v>
      </c>
      <c r="FN17" s="16">
        <f t="shared" ref="FN17:FN24" si="184">IFERROR(FN6/FZ6,0)</f>
        <v>0</v>
      </c>
      <c r="FO17" s="16">
        <f t="shared" ref="FO17:FO24" si="185">IFERROR(FO6/FZ6,0)</f>
        <v>4.9847311140370533E-2</v>
      </c>
      <c r="FP17" s="16">
        <f t="shared" ref="FP17:FP24" si="186">IFERROR(FP6/FZ6,0)</f>
        <v>0</v>
      </c>
      <c r="FQ17" s="16">
        <f t="shared" ref="FQ17:FQ24" si="187">IFERROR(FQ6/FZ6,0)</f>
        <v>0</v>
      </c>
      <c r="FR17" s="16">
        <f t="shared" ref="FR17:FR24" si="188">IFERROR(FR6/FZ6,0)</f>
        <v>0</v>
      </c>
      <c r="FS17" s="16">
        <f t="shared" ref="FS17:FS24" si="189">IFERROR(FS6/FZ6,0)</f>
        <v>0</v>
      </c>
      <c r="FT17" s="16">
        <f t="shared" ref="FT17:FT24" si="190">IFERROR(FT6/FZ6,0)</f>
        <v>0</v>
      </c>
      <c r="FU17" s="16">
        <f t="shared" ref="FU17:FU24" si="191">IFERROR(FU6/FZ6,0)</f>
        <v>0</v>
      </c>
      <c r="FV17" s="16">
        <f t="shared" ref="FV17:FV24" si="192">IFERROR(FV6/FZ6,0)</f>
        <v>2.7692950633539186E-3</v>
      </c>
      <c r="FW17" s="16">
        <f t="shared" ref="FW17:FW24" si="193">IFERROR(FW6/FZ6,0)</f>
        <v>0</v>
      </c>
      <c r="FX17" s="16">
        <f t="shared" ref="FX17:FX24" si="194">IFERROR(FX6/FZ6,0)</f>
        <v>2.7977432762774632E-2</v>
      </c>
      <c r="FY17" s="16">
        <f t="shared" ref="FY17:FY24" si="195">IFERROR(FY6/FZ6,0)</f>
        <v>0</v>
      </c>
      <c r="FZ17" s="48">
        <f t="shared" ref="FZ17:FZ23" si="196">IFERROR(FZ6/FZ6,0)</f>
        <v>1</v>
      </c>
      <c r="GB17" s="45">
        <f>IFERROR(GB6/GR6,0)</f>
        <v>1.0137146280691076</v>
      </c>
      <c r="GC17" s="15">
        <f t="shared" ref="GC17:GC24" si="197">IFERROR(GC6/GR6,0)</f>
        <v>0.66563937687782648</v>
      </c>
      <c r="GD17" s="16">
        <f t="shared" ref="GD17:GD24" si="198">IFERROR(GD6/GR6,0)</f>
        <v>6.3060572546320401E-2</v>
      </c>
      <c r="GE17" s="16">
        <f t="shared" ref="GE17:GE24" si="199">IFERROR(GE6/GR6,0)</f>
        <v>9.6092301022964427E-2</v>
      </c>
      <c r="GF17" s="16">
        <f t="shared" ref="GF17:GF24" si="200">IFERROR(GF6/GR6,0)</f>
        <v>0</v>
      </c>
      <c r="GG17" s="16">
        <f t="shared" ref="GG17:GG24" si="201">IFERROR(GG6/GR6,0)</f>
        <v>5.2049996387439068E-2</v>
      </c>
      <c r="GH17" s="16">
        <f t="shared" ref="GH17:GH24" si="202">IFERROR(GH6/GR6,0)</f>
        <v>0</v>
      </c>
      <c r="GI17" s="16">
        <f t="shared" ref="GI17:GI24" si="203">IFERROR(GI6/GR6,0)</f>
        <v>0</v>
      </c>
      <c r="GJ17" s="16">
        <f t="shared" ref="GJ17:GJ24" si="204">IFERROR(GJ6/GR6,0)</f>
        <v>0</v>
      </c>
      <c r="GK17" s="16">
        <f t="shared" ref="GK17:GK24" si="205">IFERROR(GK6/GR6,0)</f>
        <v>5.4051919325417495E-2</v>
      </c>
      <c r="GL17" s="16">
        <f t="shared" ref="GL17:GL24" si="206">IFERROR(GL6/GR6,0)</f>
        <v>0</v>
      </c>
      <c r="GM17" s="16">
        <f t="shared" ref="GM17:GM24" si="207">IFERROR(GM6/GR6,0)</f>
        <v>1.5014422034838193E-2</v>
      </c>
      <c r="GN17" s="16">
        <f t="shared" ref="GN17:GN24" si="208">IFERROR(GN6/GR6,0)</f>
        <v>1.9018267910795045E-2</v>
      </c>
      <c r="GO17" s="16">
        <f t="shared" ref="GO17:GO24" si="209">IFERROR(GO6/GR6,0)</f>
        <v>0</v>
      </c>
      <c r="GP17" s="16">
        <f t="shared" ref="GP17:GP24" si="210">IFERROR(GP6/GR6,0)</f>
        <v>3.5073143894398924E-2</v>
      </c>
      <c r="GQ17" s="16">
        <f t="shared" ref="GQ17:GQ24" si="211">IFERROR(GQ6/GR6,0)</f>
        <v>0</v>
      </c>
      <c r="GR17" s="48">
        <f t="shared" ref="GR17:HJ24" si="212">IFERROR(GR6/GR6,0)</f>
        <v>1</v>
      </c>
      <c r="GT17" s="45">
        <f>IFERROR(GT6/HJ6,0)</f>
        <v>1.0149419717136312</v>
      </c>
      <c r="GU17" s="15">
        <f t="shared" ref="GU17:GU24" si="213">IFERROR(GU6/HJ6,0)</f>
        <v>0.87272683452104172</v>
      </c>
      <c r="GV17" s="16">
        <f t="shared" ref="GV17:GV24" si="214">IFERROR(GV6/HJ6,0)</f>
        <v>1.7043092339990757E-2</v>
      </c>
      <c r="GW17" s="16">
        <f t="shared" ref="GW17:GW24" si="215">IFERROR(GW6/HJ6,0)</f>
        <v>1.0415223096661017E-2</v>
      </c>
      <c r="GX17" s="16">
        <f t="shared" ref="GX17:GX24" si="216">IFERROR(GX6/HJ6,0)</f>
        <v>0</v>
      </c>
      <c r="GY17" s="16">
        <f t="shared" ref="GY17:GY24" si="217">IFERROR(GY6/HJ6,0)</f>
        <v>6.8172369359963028E-2</v>
      </c>
      <c r="GZ17" s="16">
        <f t="shared" ref="GZ17:GZ24" si="218">IFERROR(GZ6/HJ6,0)</f>
        <v>0</v>
      </c>
      <c r="HA17" s="16">
        <f t="shared" ref="HA17:HA24" si="219">IFERROR(HA6/HJ6,0)</f>
        <v>0</v>
      </c>
      <c r="HB17" s="16">
        <f t="shared" ref="HB17:HB24" si="220">IFERROR(HB6/HJ6,0)</f>
        <v>0</v>
      </c>
      <c r="HC17" s="16">
        <f t="shared" ref="HC17:HC24" si="221">IFERROR(HC6/HJ6,0)</f>
        <v>1.8936769266656396E-3</v>
      </c>
      <c r="HD17" s="16">
        <f t="shared" ref="HD17:HD24" si="222">IFERROR(HD6/HJ6,0)</f>
        <v>0</v>
      </c>
      <c r="HE17" s="16">
        <f t="shared" ref="HE17:HE24" si="223">IFERROR(HE6/HJ6,0)</f>
        <v>0</v>
      </c>
      <c r="HF17" s="16">
        <f t="shared" ref="HF17:HF24" si="224">IFERROR(HF6/HJ6,0)</f>
        <v>6.6278692433297381E-3</v>
      </c>
      <c r="HG17" s="16">
        <f t="shared" ref="HG17:HG24" si="225">IFERROR(HG6/HJ6,0)</f>
        <v>0</v>
      </c>
      <c r="HH17" s="16">
        <f t="shared" ref="HH17:HH24" si="226">IFERROR(HH6/HJ6,0)</f>
        <v>2.3120934512348069E-2</v>
      </c>
      <c r="HI17" s="16">
        <f t="shared" ref="HI17:HI24" si="227">IFERROR(HI6/HJ6,0)</f>
        <v>0</v>
      </c>
      <c r="HJ17" s="48">
        <f t="shared" ref="HJ17:HJ23" si="228">IFERROR(HJ6/HJ6,0)</f>
        <v>1</v>
      </c>
      <c r="HL17" s="45">
        <f>IFERROR(HL6/IB6,0)</f>
        <v>1.0156492591383555</v>
      </c>
      <c r="HM17" s="15">
        <f t="shared" ref="HM17:HM24" si="229">IFERROR(HM6/IB6,0)</f>
        <v>0.8944282108649092</v>
      </c>
      <c r="HN17" s="16">
        <f t="shared" ref="HN17:HN24" si="230">IFERROR(HN6/IB6,0)</f>
        <v>6.5686282315660406E-3</v>
      </c>
      <c r="HO17" s="16">
        <f t="shared" ref="HO17:HO24" si="231">IFERROR(HO6/IB6,0)</f>
        <v>1.64215705789151E-2</v>
      </c>
      <c r="HP17" s="16">
        <f t="shared" ref="HP17:HP24" si="232">IFERROR(HP6/IB6,0)</f>
        <v>0</v>
      </c>
      <c r="HQ17" s="16">
        <f t="shared" ref="HQ17:HQ24" si="233">IFERROR(HQ6/IB6,0)</f>
        <v>2.7369284298191833E-2</v>
      </c>
      <c r="HR17" s="16">
        <f t="shared" ref="HR17:HR24" si="234">IFERROR(HR6/IB6,0)</f>
        <v>0</v>
      </c>
      <c r="HS17" s="16">
        <f t="shared" ref="HS17:HS24" si="235">IFERROR(HS6/IB6,0)</f>
        <v>0</v>
      </c>
      <c r="HT17" s="16">
        <f t="shared" ref="HT17:HT24" si="236">IFERROR(HT6/IB6,0)</f>
        <v>0</v>
      </c>
      <c r="HU17" s="16">
        <f t="shared" ref="HU17:HU24" si="237">IFERROR(HU6/IB6,0)</f>
        <v>2.1895427438553467E-3</v>
      </c>
      <c r="HV17" s="16">
        <f t="shared" ref="HV17:HV24" si="238">IFERROR(HV6/IB6,0)</f>
        <v>2.1895427438553463E-3</v>
      </c>
      <c r="HW17" s="16">
        <f t="shared" ref="HW17:HW24" si="239">IFERROR(HW6/IB6,0)</f>
        <v>0</v>
      </c>
      <c r="HX17" s="16">
        <f t="shared" ref="HX17:HX24" si="240">IFERROR(HX6/IB6,0)</f>
        <v>8.7581709754213869E-3</v>
      </c>
      <c r="HY17" s="16">
        <f t="shared" ref="HY17:HY24" si="241">IFERROR(HY6/IB6,0)</f>
        <v>0</v>
      </c>
      <c r="HZ17" s="16">
        <f t="shared" ref="HZ17:HZ24" si="242">IFERROR(HZ6/IB6,0)</f>
        <v>4.2075049563285748E-2</v>
      </c>
      <c r="IA17" s="16">
        <f t="shared" ref="IA17:IA24" si="243">IFERROR(IA6/IB6,0)</f>
        <v>0</v>
      </c>
      <c r="IB17" s="48">
        <f t="shared" ref="IB17:IB24" si="244">IFERROR(IB6/IB6,0)</f>
        <v>1</v>
      </c>
    </row>
    <row r="18" spans="2:236" s="11" customFormat="1" x14ac:dyDescent="0.35">
      <c r="B18" s="17" t="s">
        <v>69</v>
      </c>
      <c r="C18" s="17"/>
      <c r="D18" s="45">
        <f t="shared" ref="D18:D24" si="245">IFERROR(D7/T7,0)</f>
        <v>1.010287289270025</v>
      </c>
      <c r="E18" s="18">
        <f t="shared" ref="E18:E24" si="246">IFERROR(E7/T7,0)</f>
        <v>5.4288144240997004E-3</v>
      </c>
      <c r="F18" s="19">
        <f t="shared" si="38"/>
        <v>0.89345507516978728</v>
      </c>
      <c r="G18" s="18">
        <f t="shared" si="39"/>
        <v>2.4873840634056812E-2</v>
      </c>
      <c r="H18" s="18">
        <f t="shared" si="40"/>
        <v>0</v>
      </c>
      <c r="I18" s="18">
        <f t="shared" si="41"/>
        <v>9.5259989960731276E-3</v>
      </c>
      <c r="J18" s="18">
        <f t="shared" si="42"/>
        <v>0</v>
      </c>
      <c r="K18" s="18">
        <f t="shared" si="43"/>
        <v>0</v>
      </c>
      <c r="L18" s="18">
        <f t="shared" si="44"/>
        <v>0</v>
      </c>
      <c r="M18" s="18">
        <f t="shared" si="45"/>
        <v>0</v>
      </c>
      <c r="N18" s="18">
        <f t="shared" si="46"/>
        <v>1.1548568865812093E-2</v>
      </c>
      <c r="O18" s="18">
        <f t="shared" si="47"/>
        <v>1.4805857520271911E-3</v>
      </c>
      <c r="P18" s="18">
        <f t="shared" si="48"/>
        <v>2.5708352603381226E-3</v>
      </c>
      <c r="Q18" s="18">
        <f t="shared" si="49"/>
        <v>0</v>
      </c>
      <c r="R18" s="18">
        <f t="shared" si="50"/>
        <v>5.1116280897805663E-2</v>
      </c>
      <c r="S18" s="18">
        <f t="shared" si="51"/>
        <v>0</v>
      </c>
      <c r="T18" s="49">
        <f t="shared" si="52"/>
        <v>1</v>
      </c>
      <c r="V18" s="45">
        <f t="shared" ref="V18:V24" si="247">IFERROR(V7/AL7,0)</f>
        <v>1.0025914439865755</v>
      </c>
      <c r="W18" s="18">
        <f t="shared" si="53"/>
        <v>3.7384765707973999E-2</v>
      </c>
      <c r="X18" s="19">
        <f t="shared" si="54"/>
        <v>0.90190747270487281</v>
      </c>
      <c r="Y18" s="18">
        <f t="shared" si="55"/>
        <v>0</v>
      </c>
      <c r="Z18" s="18">
        <f t="shared" si="56"/>
        <v>0</v>
      </c>
      <c r="AA18" s="18">
        <f t="shared" si="57"/>
        <v>1.401928714049025E-2</v>
      </c>
      <c r="AB18" s="18">
        <f t="shared" si="58"/>
        <v>0</v>
      </c>
      <c r="AC18" s="18">
        <f t="shared" si="59"/>
        <v>0</v>
      </c>
      <c r="AD18" s="18">
        <f t="shared" si="60"/>
        <v>0</v>
      </c>
      <c r="AE18" s="18">
        <f t="shared" si="61"/>
        <v>0</v>
      </c>
      <c r="AF18" s="18">
        <f t="shared" si="62"/>
        <v>4.6730957134967499E-3</v>
      </c>
      <c r="AG18" s="18">
        <f t="shared" si="63"/>
        <v>0</v>
      </c>
      <c r="AH18" s="18">
        <f t="shared" si="64"/>
        <v>9.3461914269934998E-3</v>
      </c>
      <c r="AI18" s="18">
        <f t="shared" si="65"/>
        <v>0</v>
      </c>
      <c r="AJ18" s="18">
        <f t="shared" si="66"/>
        <v>3.2669187306172735E-2</v>
      </c>
      <c r="AK18" s="18">
        <f t="shared" si="67"/>
        <v>0</v>
      </c>
      <c r="AL18" s="49">
        <f t="shared" si="68"/>
        <v>1</v>
      </c>
      <c r="AN18" s="45">
        <f t="shared" ref="AN18:AN24" si="248">IFERROR(AN7/BD7,0)</f>
        <v>1.0023560099288995</v>
      </c>
      <c r="AO18" s="18">
        <f t="shared" si="69"/>
        <v>1.2855212905698832E-3</v>
      </c>
      <c r="AP18" s="19">
        <f t="shared" si="70"/>
        <v>0.8618134731980498</v>
      </c>
      <c r="AQ18" s="18">
        <f t="shared" si="71"/>
        <v>7.7131277434192994E-3</v>
      </c>
      <c r="AR18" s="18">
        <f t="shared" si="72"/>
        <v>0</v>
      </c>
      <c r="AS18" s="18">
        <f t="shared" si="73"/>
        <v>2.3139383230257899E-2</v>
      </c>
      <c r="AT18" s="18">
        <f t="shared" si="74"/>
        <v>0</v>
      </c>
      <c r="AU18" s="18">
        <f t="shared" si="75"/>
        <v>0</v>
      </c>
      <c r="AV18" s="18">
        <f t="shared" si="76"/>
        <v>0</v>
      </c>
      <c r="AW18" s="18">
        <f t="shared" si="77"/>
        <v>0</v>
      </c>
      <c r="AX18" s="18">
        <f t="shared" si="78"/>
        <v>2.8281468392537434E-2</v>
      </c>
      <c r="AY18" s="18">
        <f t="shared" si="79"/>
        <v>0</v>
      </c>
      <c r="AZ18" s="18">
        <f t="shared" si="80"/>
        <v>6.4276064528494166E-3</v>
      </c>
      <c r="BA18" s="18">
        <f t="shared" si="81"/>
        <v>0</v>
      </c>
      <c r="BB18" s="18">
        <f t="shared" si="82"/>
        <v>7.1339419692316317E-2</v>
      </c>
      <c r="BC18" s="18">
        <f t="shared" si="83"/>
        <v>0</v>
      </c>
      <c r="BD18" s="49">
        <f t="shared" si="84"/>
        <v>1</v>
      </c>
      <c r="BF18" s="45">
        <f t="shared" ref="BF18:BF24" si="249">IFERROR(BF7/BV7,0)</f>
        <v>1.0021987794592822</v>
      </c>
      <c r="BG18" s="18">
        <f t="shared" si="85"/>
        <v>8.4185778113840606E-3</v>
      </c>
      <c r="BH18" s="19">
        <f t="shared" si="86"/>
        <v>0.9209924125654162</v>
      </c>
      <c r="BI18" s="18">
        <f t="shared" si="87"/>
        <v>1.683715562276812E-3</v>
      </c>
      <c r="BJ18" s="18">
        <f t="shared" si="88"/>
        <v>0</v>
      </c>
      <c r="BK18" s="18">
        <f t="shared" si="89"/>
        <v>1.3404671851490168E-2</v>
      </c>
      <c r="BL18" s="18">
        <f t="shared" si="90"/>
        <v>0</v>
      </c>
      <c r="BM18" s="18">
        <f t="shared" si="91"/>
        <v>0</v>
      </c>
      <c r="BN18" s="18">
        <f t="shared" si="92"/>
        <v>0</v>
      </c>
      <c r="BO18" s="18">
        <f t="shared" si="93"/>
        <v>0</v>
      </c>
      <c r="BP18" s="18">
        <f t="shared" si="94"/>
        <v>0</v>
      </c>
      <c r="BQ18" s="18">
        <f t="shared" si="95"/>
        <v>8.4185778113840602E-4</v>
      </c>
      <c r="BR18" s="18">
        <f t="shared" si="96"/>
        <v>8.4185778113840602E-4</v>
      </c>
      <c r="BS18" s="18">
        <f t="shared" si="97"/>
        <v>0</v>
      </c>
      <c r="BT18" s="18">
        <f t="shared" si="98"/>
        <v>5.3816906647155972E-2</v>
      </c>
      <c r="BU18" s="18">
        <f t="shared" si="99"/>
        <v>0</v>
      </c>
      <c r="BV18" s="49">
        <f t="shared" si="100"/>
        <v>1</v>
      </c>
      <c r="BX18" s="45">
        <f t="shared" ref="BX18:BX24" si="250">IFERROR(BX7/CN7,0)</f>
        <v>1.0060154459559458</v>
      </c>
      <c r="BY18" s="18">
        <f t="shared" si="101"/>
        <v>0</v>
      </c>
      <c r="BZ18" s="19">
        <f t="shared" si="102"/>
        <v>0.87023104083601321</v>
      </c>
      <c r="CA18" s="18">
        <f t="shared" si="103"/>
        <v>2.292921935272435E-2</v>
      </c>
      <c r="CB18" s="18">
        <f t="shared" si="104"/>
        <v>0</v>
      </c>
      <c r="CC18" s="18">
        <f t="shared" si="105"/>
        <v>7.3796187032947411E-3</v>
      </c>
      <c r="CD18" s="18">
        <f t="shared" si="106"/>
        <v>0</v>
      </c>
      <c r="CE18" s="18">
        <f t="shared" si="107"/>
        <v>0</v>
      </c>
      <c r="CF18" s="18">
        <f t="shared" si="108"/>
        <v>0</v>
      </c>
      <c r="CG18" s="18">
        <f t="shared" si="109"/>
        <v>0</v>
      </c>
      <c r="CH18" s="18">
        <f t="shared" si="110"/>
        <v>1.9107682793936966E-2</v>
      </c>
      <c r="CI18" s="18">
        <f t="shared" si="111"/>
        <v>4.4584593185852906E-3</v>
      </c>
      <c r="CJ18" s="18">
        <f t="shared" si="112"/>
        <v>7.0351013923131544E-3</v>
      </c>
      <c r="CK18" s="18">
        <f t="shared" si="113"/>
        <v>0</v>
      </c>
      <c r="CL18" s="18">
        <f t="shared" si="114"/>
        <v>6.8858877603132279E-2</v>
      </c>
      <c r="CM18" s="18">
        <f t="shared" si="115"/>
        <v>0</v>
      </c>
      <c r="CN18" s="49">
        <f t="shared" si="116"/>
        <v>1</v>
      </c>
      <c r="CP18" s="45">
        <f t="shared" ref="CP18:CP24" si="251">IFERROR(CP7/DF7,0)</f>
        <v>1.0126124034940556</v>
      </c>
      <c r="CQ18" s="18">
        <f t="shared" si="117"/>
        <v>1.5289446598480369E-3</v>
      </c>
      <c r="CR18" s="19">
        <f t="shared" si="118"/>
        <v>0.91889574056867007</v>
      </c>
      <c r="CS18" s="18">
        <f t="shared" si="119"/>
        <v>1.6053918928404385E-2</v>
      </c>
      <c r="CT18" s="18">
        <f t="shared" si="120"/>
        <v>0</v>
      </c>
      <c r="CU18" s="18">
        <f t="shared" si="121"/>
        <v>1.2996029608708312E-2</v>
      </c>
      <c r="CV18" s="18">
        <f t="shared" si="122"/>
        <v>0</v>
      </c>
      <c r="CW18" s="18">
        <f t="shared" si="123"/>
        <v>0</v>
      </c>
      <c r="CX18" s="18">
        <f t="shared" si="124"/>
        <v>0</v>
      </c>
      <c r="CY18" s="18">
        <f t="shared" si="125"/>
        <v>0</v>
      </c>
      <c r="CZ18" s="18">
        <f t="shared" si="126"/>
        <v>7.6447232992401838E-3</v>
      </c>
      <c r="DA18" s="18">
        <f t="shared" si="127"/>
        <v>1.5289446598480369E-3</v>
      </c>
      <c r="DB18" s="18">
        <f t="shared" si="128"/>
        <v>7.6447232992401843E-4</v>
      </c>
      <c r="DC18" s="18">
        <f t="shared" si="129"/>
        <v>0</v>
      </c>
      <c r="DD18" s="18">
        <f t="shared" si="130"/>
        <v>4.0587225945356908E-2</v>
      </c>
      <c r="DE18" s="18">
        <f t="shared" si="131"/>
        <v>0</v>
      </c>
      <c r="DF18" s="49">
        <f t="shared" si="132"/>
        <v>1</v>
      </c>
      <c r="DH18" s="45">
        <f t="shared" ref="DH18:DH24" si="252">IFERROR(DH7/DX7,0)</f>
        <v>1.0149079603314761</v>
      </c>
      <c r="DI18" s="18">
        <f t="shared" si="133"/>
        <v>1.7943045702472637E-2</v>
      </c>
      <c r="DJ18" s="19">
        <f t="shared" si="134"/>
        <v>0.91403985754948847</v>
      </c>
      <c r="DK18" s="18">
        <f t="shared" si="135"/>
        <v>1.3193415957700469E-2</v>
      </c>
      <c r="DL18" s="18">
        <f t="shared" si="136"/>
        <v>0</v>
      </c>
      <c r="DM18" s="18">
        <f t="shared" si="137"/>
        <v>2.110946553232075E-3</v>
      </c>
      <c r="DN18" s="18">
        <f t="shared" si="138"/>
        <v>0</v>
      </c>
      <c r="DO18" s="18">
        <f t="shared" si="139"/>
        <v>0</v>
      </c>
      <c r="DP18" s="18">
        <f t="shared" si="140"/>
        <v>0</v>
      </c>
      <c r="DQ18" s="18">
        <f t="shared" si="141"/>
        <v>0</v>
      </c>
      <c r="DR18" s="18">
        <f t="shared" si="142"/>
        <v>5.8051030213882061E-3</v>
      </c>
      <c r="DS18" s="18">
        <f t="shared" si="143"/>
        <v>1.0554732766160375E-3</v>
      </c>
      <c r="DT18" s="18">
        <f t="shared" si="144"/>
        <v>2.110946553232075E-3</v>
      </c>
      <c r="DU18" s="18">
        <f t="shared" si="145"/>
        <v>0</v>
      </c>
      <c r="DV18" s="18">
        <f t="shared" si="146"/>
        <v>4.3741211385869998E-2</v>
      </c>
      <c r="DW18" s="18">
        <f t="shared" si="147"/>
        <v>0</v>
      </c>
      <c r="DX18" s="49">
        <f t="shared" si="148"/>
        <v>1</v>
      </c>
      <c r="DZ18" s="45">
        <f t="shared" ref="DZ18:DZ24" si="253">IFERROR(DZ7/EP7,0)</f>
        <v>1.013255265903152</v>
      </c>
      <c r="EA18" s="18">
        <f t="shared" si="149"/>
        <v>0</v>
      </c>
      <c r="EB18" s="19">
        <f t="shared" si="150"/>
        <v>0.87497103342321991</v>
      </c>
      <c r="EC18" s="18">
        <f t="shared" si="151"/>
        <v>5.4685689588951245E-2</v>
      </c>
      <c r="ED18" s="18">
        <f t="shared" si="152"/>
        <v>0</v>
      </c>
      <c r="EE18" s="18">
        <f t="shared" si="153"/>
        <v>1.5876490525824561E-2</v>
      </c>
      <c r="EF18" s="18">
        <f t="shared" si="154"/>
        <v>0</v>
      </c>
      <c r="EG18" s="18">
        <f t="shared" si="155"/>
        <v>0</v>
      </c>
      <c r="EH18" s="18">
        <f t="shared" si="156"/>
        <v>0</v>
      </c>
      <c r="EI18" s="18">
        <f t="shared" si="157"/>
        <v>0</v>
      </c>
      <c r="EJ18" s="18">
        <f t="shared" si="158"/>
        <v>9.7022997657816717E-3</v>
      </c>
      <c r="EK18" s="18">
        <f t="shared" si="159"/>
        <v>0</v>
      </c>
      <c r="EL18" s="18">
        <f t="shared" si="160"/>
        <v>0</v>
      </c>
      <c r="EM18" s="18">
        <f t="shared" si="161"/>
        <v>0</v>
      </c>
      <c r="EN18" s="18">
        <f t="shared" si="162"/>
        <v>4.47644866962226E-2</v>
      </c>
      <c r="EO18" s="18">
        <f t="shared" si="163"/>
        <v>0</v>
      </c>
      <c r="EP18" s="49">
        <f t="shared" si="164"/>
        <v>1</v>
      </c>
      <c r="ER18" s="45">
        <f t="shared" ref="ER18:ER24" si="254">IFERROR(ER7/FH7,0)</f>
        <v>1.0144285908842123</v>
      </c>
      <c r="ES18" s="18">
        <f t="shared" si="165"/>
        <v>0</v>
      </c>
      <c r="ET18" s="19">
        <f t="shared" si="166"/>
        <v>0.86870048677034772</v>
      </c>
      <c r="EU18" s="18">
        <f t="shared" si="167"/>
        <v>5.9358059291249356E-2</v>
      </c>
      <c r="EV18" s="18">
        <f t="shared" si="168"/>
        <v>0</v>
      </c>
      <c r="EW18" s="18">
        <f t="shared" si="169"/>
        <v>6.5953399212499274E-3</v>
      </c>
      <c r="EX18" s="18">
        <f t="shared" si="170"/>
        <v>0</v>
      </c>
      <c r="EY18" s="18">
        <f t="shared" si="171"/>
        <v>0</v>
      </c>
      <c r="EZ18" s="18">
        <f t="shared" si="172"/>
        <v>0</v>
      </c>
      <c r="FA18" s="18">
        <f t="shared" si="173"/>
        <v>0</v>
      </c>
      <c r="FB18" s="18">
        <f t="shared" si="174"/>
        <v>1.2248488425178436E-2</v>
      </c>
      <c r="FC18" s="18">
        <f t="shared" si="175"/>
        <v>2.8265742519642551E-3</v>
      </c>
      <c r="FD18" s="18">
        <f t="shared" si="176"/>
        <v>1.8843828346428366E-3</v>
      </c>
      <c r="FE18" s="18">
        <f t="shared" si="177"/>
        <v>0</v>
      </c>
      <c r="FF18" s="18">
        <f t="shared" si="178"/>
        <v>4.8386668505367492E-2</v>
      </c>
      <c r="FG18" s="18">
        <f t="shared" si="179"/>
        <v>0</v>
      </c>
      <c r="FH18" s="49">
        <f t="shared" si="180"/>
        <v>1</v>
      </c>
      <c r="FJ18" s="45">
        <f t="shared" ref="FJ18:FJ24" si="255">IFERROR(FJ7/FZ7,0)</f>
        <v>1.0151756646771566</v>
      </c>
      <c r="FK18" s="18">
        <f t="shared" si="181"/>
        <v>0</v>
      </c>
      <c r="FL18" s="19">
        <f t="shared" si="182"/>
        <v>0.91144420329173448</v>
      </c>
      <c r="FM18" s="18">
        <f t="shared" si="183"/>
        <v>3.9790197142340396E-2</v>
      </c>
      <c r="FN18" s="18">
        <f t="shared" si="184"/>
        <v>0</v>
      </c>
      <c r="FO18" s="18">
        <f t="shared" si="185"/>
        <v>1.2434436606981372E-3</v>
      </c>
      <c r="FP18" s="18">
        <f t="shared" si="186"/>
        <v>0</v>
      </c>
      <c r="FQ18" s="18">
        <f t="shared" si="187"/>
        <v>0</v>
      </c>
      <c r="FR18" s="18">
        <f t="shared" si="188"/>
        <v>0</v>
      </c>
      <c r="FS18" s="18">
        <f t="shared" si="189"/>
        <v>0</v>
      </c>
      <c r="FT18" s="18">
        <f t="shared" si="190"/>
        <v>9.9475492855850972E-3</v>
      </c>
      <c r="FU18" s="18">
        <f t="shared" si="191"/>
        <v>0</v>
      </c>
      <c r="FV18" s="18">
        <f t="shared" si="192"/>
        <v>0</v>
      </c>
      <c r="FW18" s="18">
        <f t="shared" si="193"/>
        <v>0</v>
      </c>
      <c r="FX18" s="18">
        <f t="shared" si="194"/>
        <v>3.757460661964189E-2</v>
      </c>
      <c r="FY18" s="18">
        <f t="shared" si="195"/>
        <v>0</v>
      </c>
      <c r="FZ18" s="49">
        <f t="shared" si="196"/>
        <v>1</v>
      </c>
      <c r="GB18" s="45">
        <f t="shared" ref="GB18:GB24" si="256">IFERROR(GB7/GR7,0)</f>
        <v>1.0134615384615384</v>
      </c>
      <c r="GC18" s="18">
        <f t="shared" si="197"/>
        <v>0</v>
      </c>
      <c r="GD18" s="19">
        <f t="shared" si="198"/>
        <v>0.8267020335985853</v>
      </c>
      <c r="GE18" s="18">
        <f t="shared" si="199"/>
        <v>0</v>
      </c>
      <c r="GF18" s="18">
        <f t="shared" si="200"/>
        <v>0</v>
      </c>
      <c r="GG18" s="18">
        <f t="shared" si="201"/>
        <v>0</v>
      </c>
      <c r="GH18" s="18">
        <f t="shared" si="202"/>
        <v>0</v>
      </c>
      <c r="GI18" s="18">
        <f t="shared" si="203"/>
        <v>0</v>
      </c>
      <c r="GJ18" s="18">
        <f t="shared" si="204"/>
        <v>0</v>
      </c>
      <c r="GK18" s="18">
        <f t="shared" si="205"/>
        <v>0</v>
      </c>
      <c r="GL18" s="18">
        <f t="shared" si="206"/>
        <v>8.9154140878278804E-2</v>
      </c>
      <c r="GM18" s="18">
        <f t="shared" si="207"/>
        <v>0</v>
      </c>
      <c r="GN18" s="18">
        <f t="shared" si="208"/>
        <v>0</v>
      </c>
      <c r="GO18" s="18">
        <f t="shared" si="209"/>
        <v>0</v>
      </c>
      <c r="GP18" s="18">
        <f t="shared" si="210"/>
        <v>8.4143825523135873E-2</v>
      </c>
      <c r="GQ18" s="18">
        <f t="shared" si="211"/>
        <v>0</v>
      </c>
      <c r="GR18" s="49">
        <f t="shared" si="212"/>
        <v>1</v>
      </c>
      <c r="GT18" s="45">
        <f t="shared" ref="GT18:GT24" si="257">IFERROR(GT7/HJ7,0)</f>
        <v>1.0148198046480297</v>
      </c>
      <c r="GU18" s="18">
        <f t="shared" si="213"/>
        <v>0</v>
      </c>
      <c r="GV18" s="19">
        <f t="shared" si="214"/>
        <v>0.77803974402155607</v>
      </c>
      <c r="GW18" s="18">
        <f t="shared" si="215"/>
        <v>7.4099023240148193E-2</v>
      </c>
      <c r="GX18" s="18">
        <f t="shared" si="216"/>
        <v>0</v>
      </c>
      <c r="GY18" s="18">
        <f t="shared" si="217"/>
        <v>3.7049511620074096E-2</v>
      </c>
      <c r="GZ18" s="18">
        <f t="shared" si="218"/>
        <v>0</v>
      </c>
      <c r="HA18" s="18">
        <f t="shared" si="219"/>
        <v>0</v>
      </c>
      <c r="HB18" s="18">
        <f t="shared" si="220"/>
        <v>0</v>
      </c>
      <c r="HC18" s="18">
        <f t="shared" si="221"/>
        <v>0</v>
      </c>
      <c r="HD18" s="18">
        <f t="shared" si="222"/>
        <v>0</v>
      </c>
      <c r="HE18" s="18">
        <f t="shared" si="223"/>
        <v>0</v>
      </c>
      <c r="HF18" s="18">
        <f t="shared" si="224"/>
        <v>0</v>
      </c>
      <c r="HG18" s="18">
        <f t="shared" si="225"/>
        <v>0</v>
      </c>
      <c r="HH18" s="18">
        <f t="shared" si="226"/>
        <v>0.11081172111822163</v>
      </c>
      <c r="HI18" s="18">
        <f t="shared" si="227"/>
        <v>0</v>
      </c>
      <c r="HJ18" s="49">
        <f t="shared" si="228"/>
        <v>1</v>
      </c>
      <c r="HL18" s="45">
        <f t="shared" ref="HL18:HL24" si="258">IFERROR(HL7/IB7,0)</f>
        <v>1.0147777002600369</v>
      </c>
      <c r="HM18" s="18">
        <f t="shared" si="229"/>
        <v>0</v>
      </c>
      <c r="HN18" s="19">
        <f t="shared" si="230"/>
        <v>0.8371916027145303</v>
      </c>
      <c r="HO18" s="18">
        <f t="shared" si="231"/>
        <v>0.10464895033931629</v>
      </c>
      <c r="HP18" s="18">
        <f t="shared" si="232"/>
        <v>0</v>
      </c>
      <c r="HQ18" s="18">
        <f t="shared" si="233"/>
        <v>0</v>
      </c>
      <c r="HR18" s="18">
        <f t="shared" si="234"/>
        <v>0</v>
      </c>
      <c r="HS18" s="18">
        <f t="shared" si="235"/>
        <v>0</v>
      </c>
      <c r="HT18" s="18">
        <f t="shared" si="236"/>
        <v>0</v>
      </c>
      <c r="HU18" s="18">
        <f t="shared" si="237"/>
        <v>0</v>
      </c>
      <c r="HV18" s="18">
        <f t="shared" si="238"/>
        <v>0</v>
      </c>
      <c r="HW18" s="18">
        <f t="shared" si="239"/>
        <v>0</v>
      </c>
      <c r="HX18" s="18">
        <f t="shared" si="240"/>
        <v>0</v>
      </c>
      <c r="HY18" s="18">
        <f t="shared" si="241"/>
        <v>0</v>
      </c>
      <c r="HZ18" s="18">
        <f t="shared" si="242"/>
        <v>5.8159446946153361E-2</v>
      </c>
      <c r="IA18" s="18">
        <f t="shared" si="243"/>
        <v>0</v>
      </c>
      <c r="IB18" s="49">
        <f t="shared" si="244"/>
        <v>1</v>
      </c>
    </row>
    <row r="19" spans="2:236" s="11" customFormat="1" x14ac:dyDescent="0.35">
      <c r="B19" s="17" t="s">
        <v>70</v>
      </c>
      <c r="C19" s="17"/>
      <c r="D19" s="45">
        <f t="shared" si="245"/>
        <v>1.011901152807517</v>
      </c>
      <c r="E19" s="18">
        <f t="shared" si="246"/>
        <v>2.6122558781575466E-3</v>
      </c>
      <c r="F19" s="18">
        <f t="shared" si="38"/>
        <v>4.169160381539444E-2</v>
      </c>
      <c r="G19" s="19">
        <f t="shared" si="39"/>
        <v>0.87176307656108765</v>
      </c>
      <c r="H19" s="18">
        <f t="shared" si="40"/>
        <v>0</v>
      </c>
      <c r="I19" s="18">
        <f t="shared" si="41"/>
        <v>6.7297410888708924E-3</v>
      </c>
      <c r="J19" s="18">
        <f t="shared" si="42"/>
        <v>0</v>
      </c>
      <c r="K19" s="18">
        <f t="shared" si="43"/>
        <v>0</v>
      </c>
      <c r="L19" s="18">
        <f t="shared" si="44"/>
        <v>0</v>
      </c>
      <c r="M19" s="18">
        <f t="shared" si="45"/>
        <v>1.0449023512630184E-4</v>
      </c>
      <c r="N19" s="18">
        <f t="shared" si="46"/>
        <v>2.0898047025260372E-4</v>
      </c>
      <c r="O19" s="18">
        <f t="shared" si="47"/>
        <v>2.2465400552154898E-2</v>
      </c>
      <c r="P19" s="18">
        <f t="shared" si="48"/>
        <v>6.3739043427044131E-3</v>
      </c>
      <c r="Q19" s="18">
        <f t="shared" si="49"/>
        <v>0</v>
      </c>
      <c r="R19" s="18">
        <f t="shared" si="50"/>
        <v>4.8050547056251225E-2</v>
      </c>
      <c r="S19" s="18">
        <f t="shared" si="51"/>
        <v>0</v>
      </c>
      <c r="T19" s="49">
        <f t="shared" si="52"/>
        <v>1</v>
      </c>
      <c r="V19" s="45">
        <f t="shared" si="247"/>
        <v>1.0020341460774855</v>
      </c>
      <c r="W19" s="18">
        <f t="shared" si="53"/>
        <v>0</v>
      </c>
      <c r="X19" s="18">
        <f t="shared" si="54"/>
        <v>2.7724877295178762E-2</v>
      </c>
      <c r="Y19" s="19">
        <f t="shared" si="55"/>
        <v>0.9249597285037684</v>
      </c>
      <c r="Z19" s="18">
        <f t="shared" si="56"/>
        <v>0</v>
      </c>
      <c r="AA19" s="18">
        <f t="shared" si="57"/>
        <v>6.3693087090956127E-3</v>
      </c>
      <c r="AB19" s="18">
        <f t="shared" si="58"/>
        <v>0</v>
      </c>
      <c r="AC19" s="18">
        <f t="shared" si="59"/>
        <v>0</v>
      </c>
      <c r="AD19" s="18">
        <f t="shared" si="60"/>
        <v>0</v>
      </c>
      <c r="AE19" s="18">
        <f t="shared" si="61"/>
        <v>0</v>
      </c>
      <c r="AF19" s="18">
        <f t="shared" si="62"/>
        <v>2.446312702515773E-3</v>
      </c>
      <c r="AG19" s="18">
        <f t="shared" si="63"/>
        <v>4.0771878375262883E-3</v>
      </c>
      <c r="AH19" s="18">
        <f t="shared" si="64"/>
        <v>7.3389381075473197E-3</v>
      </c>
      <c r="AI19" s="18">
        <f t="shared" si="65"/>
        <v>0</v>
      </c>
      <c r="AJ19" s="18">
        <f t="shared" si="66"/>
        <v>2.7083646844367811E-2</v>
      </c>
      <c r="AK19" s="18">
        <f t="shared" si="67"/>
        <v>0</v>
      </c>
      <c r="AL19" s="49">
        <f t="shared" si="68"/>
        <v>1</v>
      </c>
      <c r="AN19" s="45">
        <f t="shared" si="248"/>
        <v>1.0015651668921168</v>
      </c>
      <c r="AO19" s="18">
        <f t="shared" si="69"/>
        <v>0</v>
      </c>
      <c r="AP19" s="18">
        <f t="shared" si="70"/>
        <v>1.8697016267820592E-2</v>
      </c>
      <c r="AQ19" s="19">
        <f t="shared" si="71"/>
        <v>0.84856125043378494</v>
      </c>
      <c r="AR19" s="18">
        <f t="shared" si="72"/>
        <v>0</v>
      </c>
      <c r="AS19" s="18">
        <f t="shared" si="73"/>
        <v>7.7904234449252471E-3</v>
      </c>
      <c r="AT19" s="18">
        <f t="shared" si="74"/>
        <v>0</v>
      </c>
      <c r="AU19" s="18">
        <f t="shared" si="75"/>
        <v>0</v>
      </c>
      <c r="AV19" s="18">
        <f t="shared" si="76"/>
        <v>0</v>
      </c>
      <c r="AW19" s="18">
        <f t="shared" si="77"/>
        <v>0</v>
      </c>
      <c r="AX19" s="18">
        <f t="shared" si="78"/>
        <v>0</v>
      </c>
      <c r="AY19" s="18">
        <f t="shared" si="79"/>
        <v>2.804552440173089E-2</v>
      </c>
      <c r="AZ19" s="18">
        <f t="shared" si="80"/>
        <v>1.5580846889850495E-3</v>
      </c>
      <c r="BA19" s="18">
        <f t="shared" si="81"/>
        <v>0</v>
      </c>
      <c r="BB19" s="18">
        <f t="shared" si="82"/>
        <v>9.5347700762753271E-2</v>
      </c>
      <c r="BC19" s="18">
        <f t="shared" si="83"/>
        <v>0</v>
      </c>
      <c r="BD19" s="49">
        <f t="shared" si="84"/>
        <v>1</v>
      </c>
      <c r="BF19" s="45">
        <f t="shared" si="249"/>
        <v>1.0017723985070701</v>
      </c>
      <c r="BG19" s="18">
        <f t="shared" si="85"/>
        <v>0</v>
      </c>
      <c r="BH19" s="18">
        <f t="shared" si="86"/>
        <v>2.2920068864388733E-2</v>
      </c>
      <c r="BI19" s="19">
        <f t="shared" si="87"/>
        <v>0.89818019862323306</v>
      </c>
      <c r="BJ19" s="18">
        <f t="shared" si="88"/>
        <v>0</v>
      </c>
      <c r="BK19" s="18">
        <f t="shared" si="89"/>
        <v>5.730017216097184E-3</v>
      </c>
      <c r="BL19" s="18">
        <f t="shared" si="90"/>
        <v>0</v>
      </c>
      <c r="BM19" s="18">
        <f t="shared" si="91"/>
        <v>0</v>
      </c>
      <c r="BN19" s="18">
        <f t="shared" si="92"/>
        <v>0</v>
      </c>
      <c r="BO19" s="18">
        <f t="shared" si="93"/>
        <v>0</v>
      </c>
      <c r="BP19" s="18">
        <f t="shared" si="94"/>
        <v>0</v>
      </c>
      <c r="BQ19" s="18">
        <f t="shared" si="95"/>
        <v>5.7300172160971831E-3</v>
      </c>
      <c r="BR19" s="18">
        <f t="shared" si="96"/>
        <v>2.1487564560364433E-3</v>
      </c>
      <c r="BS19" s="18">
        <f t="shared" si="97"/>
        <v>0</v>
      </c>
      <c r="BT19" s="18">
        <f t="shared" si="98"/>
        <v>6.529094162414735E-2</v>
      </c>
      <c r="BU19" s="18">
        <f t="shared" si="99"/>
        <v>0</v>
      </c>
      <c r="BV19" s="49">
        <f t="shared" si="100"/>
        <v>1</v>
      </c>
      <c r="BX19" s="45">
        <f t="shared" si="250"/>
        <v>1.0071730142804314</v>
      </c>
      <c r="BY19" s="18">
        <f t="shared" si="101"/>
        <v>7.4773775341512212E-4</v>
      </c>
      <c r="BZ19" s="18">
        <f t="shared" si="102"/>
        <v>4.4864265204907348E-2</v>
      </c>
      <c r="CA19" s="19">
        <f t="shared" si="103"/>
        <v>0.89317274645436351</v>
      </c>
      <c r="CB19" s="18">
        <f t="shared" si="104"/>
        <v>0</v>
      </c>
      <c r="CC19" s="18">
        <f t="shared" si="105"/>
        <v>4.8602953971982948E-3</v>
      </c>
      <c r="CD19" s="18">
        <f t="shared" si="106"/>
        <v>0</v>
      </c>
      <c r="CE19" s="18">
        <f t="shared" si="107"/>
        <v>0</v>
      </c>
      <c r="CF19" s="18">
        <f t="shared" si="108"/>
        <v>0</v>
      </c>
      <c r="CG19" s="18">
        <f t="shared" si="109"/>
        <v>0</v>
      </c>
      <c r="CH19" s="18">
        <f t="shared" si="110"/>
        <v>0</v>
      </c>
      <c r="CI19" s="18">
        <f t="shared" si="111"/>
        <v>4.1125576437831719E-3</v>
      </c>
      <c r="CJ19" s="18">
        <f t="shared" si="112"/>
        <v>3.7386887670756105E-3</v>
      </c>
      <c r="CK19" s="18">
        <f t="shared" si="113"/>
        <v>0</v>
      </c>
      <c r="CL19" s="18">
        <f t="shared" si="114"/>
        <v>4.8503708779256943E-2</v>
      </c>
      <c r="CM19" s="18">
        <f t="shared" si="115"/>
        <v>0</v>
      </c>
      <c r="CN19" s="49">
        <f t="shared" si="116"/>
        <v>1</v>
      </c>
      <c r="CP19" s="45">
        <f t="shared" si="251"/>
        <v>1.0141441858320794</v>
      </c>
      <c r="CQ19" s="18">
        <f t="shared" si="117"/>
        <v>0</v>
      </c>
      <c r="CR19" s="18">
        <f t="shared" si="118"/>
        <v>8.7652345753215372E-2</v>
      </c>
      <c r="CS19" s="19">
        <f t="shared" si="119"/>
        <v>0.84334078378272237</v>
      </c>
      <c r="CT19" s="18">
        <f t="shared" si="120"/>
        <v>0</v>
      </c>
      <c r="CU19" s="18">
        <f t="shared" si="121"/>
        <v>6.2608818395153863E-3</v>
      </c>
      <c r="CV19" s="18">
        <f t="shared" si="122"/>
        <v>0</v>
      </c>
      <c r="CW19" s="18">
        <f t="shared" si="123"/>
        <v>0</v>
      </c>
      <c r="CX19" s="18">
        <f t="shared" si="124"/>
        <v>0</v>
      </c>
      <c r="CY19" s="18">
        <f t="shared" si="125"/>
        <v>0</v>
      </c>
      <c r="CZ19" s="18">
        <f t="shared" si="126"/>
        <v>0</v>
      </c>
      <c r="DA19" s="18">
        <f t="shared" si="127"/>
        <v>1.0643499127176154E-2</v>
      </c>
      <c r="DB19" s="18">
        <f t="shared" si="128"/>
        <v>3.7565291037092306E-3</v>
      </c>
      <c r="DC19" s="18">
        <f t="shared" si="129"/>
        <v>0</v>
      </c>
      <c r="DD19" s="18">
        <f t="shared" si="130"/>
        <v>4.8345960393661486E-2</v>
      </c>
      <c r="DE19" s="18">
        <f t="shared" si="131"/>
        <v>0</v>
      </c>
      <c r="DF19" s="49">
        <f t="shared" si="132"/>
        <v>1</v>
      </c>
      <c r="DH19" s="45">
        <f t="shared" si="252"/>
        <v>1.0158946761361694</v>
      </c>
      <c r="DI19" s="18">
        <f t="shared" si="133"/>
        <v>1.0479796857077169E-2</v>
      </c>
      <c r="DJ19" s="18">
        <f t="shared" si="134"/>
        <v>5.7988209275826992E-2</v>
      </c>
      <c r="DK19" s="19">
        <f t="shared" si="135"/>
        <v>0.84257566730900413</v>
      </c>
      <c r="DL19" s="18">
        <f t="shared" si="136"/>
        <v>0</v>
      </c>
      <c r="DM19" s="18">
        <f t="shared" si="137"/>
        <v>7.6851843618565901E-3</v>
      </c>
      <c r="DN19" s="18">
        <f t="shared" si="138"/>
        <v>0</v>
      </c>
      <c r="DO19" s="18">
        <f t="shared" si="139"/>
        <v>0</v>
      </c>
      <c r="DP19" s="18">
        <f t="shared" si="140"/>
        <v>0</v>
      </c>
      <c r="DQ19" s="18">
        <f t="shared" si="141"/>
        <v>1.3973062476102887E-3</v>
      </c>
      <c r="DR19" s="18">
        <f t="shared" si="142"/>
        <v>0</v>
      </c>
      <c r="DS19" s="18">
        <f t="shared" si="143"/>
        <v>1.7466328095128613E-2</v>
      </c>
      <c r="DT19" s="18">
        <f t="shared" si="144"/>
        <v>4.8905718666360128E-3</v>
      </c>
      <c r="DU19" s="18">
        <f t="shared" si="145"/>
        <v>0</v>
      </c>
      <c r="DV19" s="18">
        <f t="shared" si="146"/>
        <v>5.7516935986860251E-2</v>
      </c>
      <c r="DW19" s="18">
        <f t="shared" si="147"/>
        <v>0</v>
      </c>
      <c r="DX19" s="49">
        <f t="shared" si="148"/>
        <v>1</v>
      </c>
      <c r="DZ19" s="45">
        <f t="shared" si="253"/>
        <v>1.0142656029019617</v>
      </c>
      <c r="EA19" s="18">
        <f t="shared" si="149"/>
        <v>4.7502348127435846E-4</v>
      </c>
      <c r="EB19" s="18">
        <f t="shared" si="150"/>
        <v>3.3726667170479459E-2</v>
      </c>
      <c r="EC19" s="19">
        <f t="shared" si="151"/>
        <v>0.86316084942835247</v>
      </c>
      <c r="ED19" s="18">
        <f t="shared" si="152"/>
        <v>0</v>
      </c>
      <c r="EE19" s="18">
        <f t="shared" si="153"/>
        <v>1.9000939250974338E-3</v>
      </c>
      <c r="EF19" s="18">
        <f t="shared" si="154"/>
        <v>0</v>
      </c>
      <c r="EG19" s="18">
        <f t="shared" si="155"/>
        <v>0</v>
      </c>
      <c r="EH19" s="18">
        <f t="shared" si="156"/>
        <v>0</v>
      </c>
      <c r="EI19" s="18">
        <f t="shared" si="157"/>
        <v>0</v>
      </c>
      <c r="EJ19" s="18">
        <f t="shared" si="158"/>
        <v>0</v>
      </c>
      <c r="EK19" s="18">
        <f t="shared" si="159"/>
        <v>4.8927418571258929E-2</v>
      </c>
      <c r="EL19" s="18">
        <f t="shared" si="160"/>
        <v>4.2752113314692263E-3</v>
      </c>
      <c r="EM19" s="18">
        <f t="shared" si="161"/>
        <v>0</v>
      </c>
      <c r="EN19" s="18">
        <f t="shared" si="162"/>
        <v>4.7534736092068187E-2</v>
      </c>
      <c r="EO19" s="18">
        <f t="shared" si="163"/>
        <v>0</v>
      </c>
      <c r="EP19" s="49">
        <f t="shared" si="164"/>
        <v>1</v>
      </c>
      <c r="ER19" s="45">
        <f t="shared" si="254"/>
        <v>1.0176109371625994</v>
      </c>
      <c r="ES19" s="18">
        <f t="shared" si="165"/>
        <v>9.897070467141725E-4</v>
      </c>
      <c r="ET19" s="18">
        <f t="shared" si="166"/>
        <v>8.6599366587490109E-2</v>
      </c>
      <c r="EU19" s="19">
        <f t="shared" si="167"/>
        <v>0.81106492478226433</v>
      </c>
      <c r="EV19" s="18">
        <f t="shared" si="168"/>
        <v>0</v>
      </c>
      <c r="EW19" s="18">
        <f t="shared" si="169"/>
        <v>6.9279493269992082E-3</v>
      </c>
      <c r="EX19" s="18">
        <f t="shared" si="170"/>
        <v>0</v>
      </c>
      <c r="EY19" s="18">
        <f t="shared" si="171"/>
        <v>0</v>
      </c>
      <c r="EZ19" s="18">
        <f t="shared" si="172"/>
        <v>0</v>
      </c>
      <c r="FA19" s="18">
        <f t="shared" si="173"/>
        <v>0</v>
      </c>
      <c r="FB19" s="18">
        <f t="shared" si="174"/>
        <v>0</v>
      </c>
      <c r="FC19" s="18">
        <f t="shared" si="175"/>
        <v>4.255740300870943E-2</v>
      </c>
      <c r="FD19" s="18">
        <f t="shared" si="176"/>
        <v>6.9279493269992082E-3</v>
      </c>
      <c r="FE19" s="18">
        <f t="shared" si="177"/>
        <v>0</v>
      </c>
      <c r="FF19" s="18">
        <f t="shared" si="178"/>
        <v>4.4932699920823438E-2</v>
      </c>
      <c r="FG19" s="18">
        <f t="shared" si="179"/>
        <v>0</v>
      </c>
      <c r="FH19" s="49">
        <f t="shared" si="180"/>
        <v>1</v>
      </c>
      <c r="FJ19" s="45">
        <f t="shared" si="255"/>
        <v>1.0150532590501296</v>
      </c>
      <c r="FK19" s="18">
        <f t="shared" si="181"/>
        <v>5.1342459455501546E-3</v>
      </c>
      <c r="FL19" s="18">
        <f t="shared" si="182"/>
        <v>1.6044518579844232E-2</v>
      </c>
      <c r="FM19" s="19">
        <f t="shared" si="183"/>
        <v>0.9132539975647338</v>
      </c>
      <c r="FN19" s="18">
        <f t="shared" si="184"/>
        <v>0</v>
      </c>
      <c r="FO19" s="18">
        <f t="shared" si="185"/>
        <v>5.1342459455501546E-3</v>
      </c>
      <c r="FP19" s="18">
        <f t="shared" si="186"/>
        <v>0</v>
      </c>
      <c r="FQ19" s="18">
        <f t="shared" si="187"/>
        <v>0</v>
      </c>
      <c r="FR19" s="18">
        <f t="shared" si="188"/>
        <v>0</v>
      </c>
      <c r="FS19" s="18">
        <f t="shared" si="189"/>
        <v>0</v>
      </c>
      <c r="FT19" s="18">
        <f t="shared" si="190"/>
        <v>6.4178074319376933E-4</v>
      </c>
      <c r="FU19" s="18">
        <f t="shared" si="191"/>
        <v>1.4119176350262925E-2</v>
      </c>
      <c r="FV19" s="18">
        <f t="shared" si="192"/>
        <v>4.4924652023563862E-3</v>
      </c>
      <c r="FW19" s="18">
        <f t="shared" si="193"/>
        <v>0</v>
      </c>
      <c r="FX19" s="18">
        <f t="shared" si="194"/>
        <v>4.1179569668508574E-2</v>
      </c>
      <c r="FY19" s="18">
        <f t="shared" si="195"/>
        <v>0</v>
      </c>
      <c r="FZ19" s="49">
        <f t="shared" si="196"/>
        <v>1</v>
      </c>
      <c r="GB19" s="45">
        <f t="shared" si="256"/>
        <v>1.0142393339214453</v>
      </c>
      <c r="GC19" s="18">
        <f t="shared" si="197"/>
        <v>4.4494471102311927E-3</v>
      </c>
      <c r="GD19" s="18">
        <f t="shared" si="198"/>
        <v>2.2247235551155965E-2</v>
      </c>
      <c r="GE19" s="19">
        <f t="shared" si="199"/>
        <v>0.90445124895244933</v>
      </c>
      <c r="GF19" s="18">
        <f t="shared" si="200"/>
        <v>0</v>
      </c>
      <c r="GG19" s="18">
        <f t="shared" si="201"/>
        <v>7.6854086449447872E-3</v>
      </c>
      <c r="GH19" s="18">
        <f t="shared" si="202"/>
        <v>0</v>
      </c>
      <c r="GI19" s="18">
        <f t="shared" si="203"/>
        <v>0</v>
      </c>
      <c r="GJ19" s="18">
        <f t="shared" si="204"/>
        <v>0</v>
      </c>
      <c r="GK19" s="18">
        <f t="shared" si="205"/>
        <v>0</v>
      </c>
      <c r="GL19" s="18">
        <f t="shared" si="206"/>
        <v>0</v>
      </c>
      <c r="GM19" s="18">
        <f t="shared" si="207"/>
        <v>1.0112379795979985E-2</v>
      </c>
      <c r="GN19" s="18">
        <f t="shared" si="208"/>
        <v>1.2134855755175979E-2</v>
      </c>
      <c r="GO19" s="18">
        <f t="shared" si="209"/>
        <v>0</v>
      </c>
      <c r="GP19" s="18">
        <f t="shared" si="210"/>
        <v>3.8919424190062744E-2</v>
      </c>
      <c r="GQ19" s="18">
        <f t="shared" si="211"/>
        <v>0</v>
      </c>
      <c r="GR19" s="49">
        <f t="shared" si="212"/>
        <v>1</v>
      </c>
      <c r="GT19" s="45">
        <f t="shared" si="257"/>
        <v>1.0144499825882634</v>
      </c>
      <c r="GU19" s="18">
        <f t="shared" si="213"/>
        <v>0</v>
      </c>
      <c r="GV19" s="18">
        <f t="shared" si="214"/>
        <v>5.803912188567348E-3</v>
      </c>
      <c r="GW19" s="19">
        <f t="shared" si="215"/>
        <v>0.7680510462870791</v>
      </c>
      <c r="GX19" s="18">
        <f t="shared" si="216"/>
        <v>0</v>
      </c>
      <c r="GY19" s="18">
        <f t="shared" si="217"/>
        <v>1.9346373961891161E-2</v>
      </c>
      <c r="GZ19" s="18">
        <f t="shared" si="218"/>
        <v>0</v>
      </c>
      <c r="HA19" s="18">
        <f t="shared" si="219"/>
        <v>0</v>
      </c>
      <c r="HB19" s="18">
        <f t="shared" si="220"/>
        <v>0</v>
      </c>
      <c r="HC19" s="18">
        <f t="shared" si="221"/>
        <v>0</v>
      </c>
      <c r="HD19" s="18">
        <f t="shared" si="222"/>
        <v>0</v>
      </c>
      <c r="HE19" s="18">
        <f t="shared" si="223"/>
        <v>0.14316316731799458</v>
      </c>
      <c r="HF19" s="18">
        <f t="shared" si="224"/>
        <v>1.9346373961891161E-2</v>
      </c>
      <c r="HG19" s="18">
        <f t="shared" si="225"/>
        <v>0</v>
      </c>
      <c r="HH19" s="18">
        <f t="shared" si="226"/>
        <v>4.4289126282576655E-2</v>
      </c>
      <c r="HI19" s="18">
        <f t="shared" si="227"/>
        <v>0</v>
      </c>
      <c r="HJ19" s="49">
        <f t="shared" si="228"/>
        <v>1</v>
      </c>
      <c r="HL19" s="45">
        <f t="shared" si="258"/>
        <v>1.0170340165084659</v>
      </c>
      <c r="HM19" s="18">
        <f t="shared" si="229"/>
        <v>7.3346713551987359E-3</v>
      </c>
      <c r="HN19" s="18">
        <f t="shared" si="230"/>
        <v>3.2005838640867215E-2</v>
      </c>
      <c r="HO19" s="19">
        <f t="shared" si="231"/>
        <v>0.866158008218469</v>
      </c>
      <c r="HP19" s="18">
        <f t="shared" si="232"/>
        <v>0</v>
      </c>
      <c r="HQ19" s="18">
        <f t="shared" si="233"/>
        <v>1.2668977795343272E-2</v>
      </c>
      <c r="HR19" s="18">
        <f t="shared" si="234"/>
        <v>0</v>
      </c>
      <c r="HS19" s="18">
        <f t="shared" si="235"/>
        <v>0</v>
      </c>
      <c r="HT19" s="18">
        <f t="shared" si="236"/>
        <v>0</v>
      </c>
      <c r="HU19" s="18">
        <f t="shared" si="237"/>
        <v>0</v>
      </c>
      <c r="HV19" s="18">
        <f t="shared" si="238"/>
        <v>0</v>
      </c>
      <c r="HW19" s="18">
        <f t="shared" si="239"/>
        <v>2.4004378980650408E-2</v>
      </c>
      <c r="HX19" s="18">
        <f t="shared" si="240"/>
        <v>1.0668612880289072E-2</v>
      </c>
      <c r="HY19" s="18">
        <f t="shared" si="241"/>
        <v>0</v>
      </c>
      <c r="HZ19" s="18">
        <f t="shared" si="242"/>
        <v>4.7159512129182353E-2</v>
      </c>
      <c r="IA19" s="18">
        <f t="shared" si="243"/>
        <v>0</v>
      </c>
      <c r="IB19" s="49">
        <f t="shared" si="244"/>
        <v>1</v>
      </c>
    </row>
    <row r="20" spans="2:236" s="11" customFormat="1" x14ac:dyDescent="0.35">
      <c r="B20" s="17" t="s">
        <v>71</v>
      </c>
      <c r="C20" s="17"/>
      <c r="D20" s="45">
        <f t="shared" si="245"/>
        <v>1.0097913266102976</v>
      </c>
      <c r="E20" s="18">
        <f t="shared" si="246"/>
        <v>0</v>
      </c>
      <c r="F20" s="18">
        <f t="shared" si="38"/>
        <v>0</v>
      </c>
      <c r="G20" s="18">
        <f t="shared" si="39"/>
        <v>0</v>
      </c>
      <c r="H20" s="18">
        <f t="shared" si="40"/>
        <v>0</v>
      </c>
      <c r="I20" s="19">
        <f t="shared" si="41"/>
        <v>0.89376766634307081</v>
      </c>
      <c r="J20" s="18">
        <f t="shared" si="42"/>
        <v>0</v>
      </c>
      <c r="K20" s="18">
        <f t="shared" si="43"/>
        <v>0</v>
      </c>
      <c r="L20" s="18">
        <f t="shared" si="44"/>
        <v>0</v>
      </c>
      <c r="M20" s="18">
        <f t="shared" si="45"/>
        <v>0</v>
      </c>
      <c r="N20" s="18">
        <f t="shared" si="46"/>
        <v>0</v>
      </c>
      <c r="O20" s="18">
        <f t="shared" si="47"/>
        <v>0</v>
      </c>
      <c r="P20" s="18">
        <f t="shared" si="48"/>
        <v>3.2002302940843205E-2</v>
      </c>
      <c r="Q20" s="18">
        <f t="shared" si="49"/>
        <v>0</v>
      </c>
      <c r="R20" s="18">
        <f t="shared" si="50"/>
        <v>7.4230030716085985E-2</v>
      </c>
      <c r="S20" s="18">
        <f t="shared" si="51"/>
        <v>0</v>
      </c>
      <c r="T20" s="49">
        <f t="shared" si="52"/>
        <v>1</v>
      </c>
      <c r="V20" s="45">
        <f t="shared" si="247"/>
        <v>0</v>
      </c>
      <c r="W20" s="18">
        <f t="shared" si="53"/>
        <v>0</v>
      </c>
      <c r="X20" s="18">
        <f t="shared" si="54"/>
        <v>0</v>
      </c>
      <c r="Y20" s="18">
        <f t="shared" si="55"/>
        <v>0</v>
      </c>
      <c r="Z20" s="18">
        <f t="shared" si="56"/>
        <v>0</v>
      </c>
      <c r="AA20" s="19">
        <f t="shared" si="57"/>
        <v>0</v>
      </c>
      <c r="AB20" s="18">
        <f t="shared" si="58"/>
        <v>0</v>
      </c>
      <c r="AC20" s="18">
        <f t="shared" si="59"/>
        <v>0</v>
      </c>
      <c r="AD20" s="18">
        <f t="shared" si="60"/>
        <v>0</v>
      </c>
      <c r="AE20" s="18">
        <f t="shared" si="61"/>
        <v>0</v>
      </c>
      <c r="AF20" s="18">
        <f t="shared" si="62"/>
        <v>0</v>
      </c>
      <c r="AG20" s="18">
        <f t="shared" si="63"/>
        <v>0</v>
      </c>
      <c r="AH20" s="18">
        <f t="shared" si="64"/>
        <v>0</v>
      </c>
      <c r="AI20" s="18">
        <f t="shared" si="65"/>
        <v>0</v>
      </c>
      <c r="AJ20" s="18">
        <f t="shared" si="66"/>
        <v>0</v>
      </c>
      <c r="AK20" s="18">
        <f t="shared" si="67"/>
        <v>0</v>
      </c>
      <c r="AL20" s="49">
        <f t="shared" si="68"/>
        <v>0</v>
      </c>
      <c r="AN20" s="45">
        <f t="shared" si="248"/>
        <v>1.0055865921787708</v>
      </c>
      <c r="AO20" s="18">
        <f t="shared" si="69"/>
        <v>0</v>
      </c>
      <c r="AP20" s="18">
        <f t="shared" si="70"/>
        <v>0</v>
      </c>
      <c r="AQ20" s="18">
        <f t="shared" si="71"/>
        <v>0</v>
      </c>
      <c r="AR20" s="18">
        <f t="shared" si="72"/>
        <v>0</v>
      </c>
      <c r="AS20" s="19">
        <f t="shared" si="73"/>
        <v>0.61452513966480449</v>
      </c>
      <c r="AT20" s="18">
        <f t="shared" si="74"/>
        <v>0</v>
      </c>
      <c r="AU20" s="18">
        <f t="shared" si="75"/>
        <v>0</v>
      </c>
      <c r="AV20" s="18">
        <f t="shared" si="76"/>
        <v>0</v>
      </c>
      <c r="AW20" s="18">
        <f t="shared" si="77"/>
        <v>0</v>
      </c>
      <c r="AX20" s="18">
        <f t="shared" si="78"/>
        <v>0</v>
      </c>
      <c r="AY20" s="18">
        <f t="shared" si="79"/>
        <v>0</v>
      </c>
      <c r="AZ20" s="18">
        <f t="shared" si="80"/>
        <v>0.24581005586592178</v>
      </c>
      <c r="BA20" s="18">
        <f t="shared" si="81"/>
        <v>0</v>
      </c>
      <c r="BB20" s="18">
        <f t="shared" si="82"/>
        <v>0.13966480446927373</v>
      </c>
      <c r="BC20" s="18">
        <f t="shared" si="83"/>
        <v>0</v>
      </c>
      <c r="BD20" s="49">
        <f t="shared" si="84"/>
        <v>1</v>
      </c>
      <c r="BF20" s="45">
        <f t="shared" si="249"/>
        <v>1.0025461862252965</v>
      </c>
      <c r="BG20" s="18">
        <f t="shared" si="85"/>
        <v>0</v>
      </c>
      <c r="BH20" s="18">
        <f t="shared" si="86"/>
        <v>0</v>
      </c>
      <c r="BI20" s="18">
        <f t="shared" si="87"/>
        <v>0</v>
      </c>
      <c r="BJ20" s="18">
        <f t="shared" si="88"/>
        <v>0</v>
      </c>
      <c r="BK20" s="19">
        <f t="shared" si="89"/>
        <v>0.91470627504901469</v>
      </c>
      <c r="BL20" s="18">
        <f t="shared" si="90"/>
        <v>0</v>
      </c>
      <c r="BM20" s="18">
        <f t="shared" si="91"/>
        <v>0</v>
      </c>
      <c r="BN20" s="18">
        <f t="shared" si="92"/>
        <v>0</v>
      </c>
      <c r="BO20" s="18">
        <f t="shared" si="93"/>
        <v>0</v>
      </c>
      <c r="BP20" s="18">
        <f t="shared" si="94"/>
        <v>0</v>
      </c>
      <c r="BQ20" s="18">
        <f t="shared" si="95"/>
        <v>0</v>
      </c>
      <c r="BR20" s="18">
        <f t="shared" si="96"/>
        <v>0</v>
      </c>
      <c r="BS20" s="18">
        <f t="shared" si="97"/>
        <v>0</v>
      </c>
      <c r="BT20" s="18">
        <f t="shared" si="98"/>
        <v>8.5293724950985333E-2</v>
      </c>
      <c r="BU20" s="18">
        <f t="shared" si="99"/>
        <v>0</v>
      </c>
      <c r="BV20" s="49">
        <f t="shared" si="100"/>
        <v>1</v>
      </c>
      <c r="BX20" s="45">
        <f t="shared" si="250"/>
        <v>1.0015717778553963</v>
      </c>
      <c r="BY20" s="18">
        <f t="shared" si="101"/>
        <v>0</v>
      </c>
      <c r="BZ20" s="18">
        <f t="shared" si="102"/>
        <v>0</v>
      </c>
      <c r="CA20" s="18">
        <f t="shared" si="103"/>
        <v>0</v>
      </c>
      <c r="CB20" s="18">
        <f t="shared" si="104"/>
        <v>0</v>
      </c>
      <c r="CC20" s="19">
        <f t="shared" si="105"/>
        <v>0.93171498428222144</v>
      </c>
      <c r="CD20" s="18">
        <f t="shared" si="106"/>
        <v>0</v>
      </c>
      <c r="CE20" s="18">
        <f t="shared" si="107"/>
        <v>0</v>
      </c>
      <c r="CF20" s="18">
        <f t="shared" si="108"/>
        <v>0</v>
      </c>
      <c r="CG20" s="18">
        <f t="shared" si="109"/>
        <v>0</v>
      </c>
      <c r="CH20" s="18">
        <f t="shared" si="110"/>
        <v>0</v>
      </c>
      <c r="CI20" s="18">
        <f t="shared" si="111"/>
        <v>0</v>
      </c>
      <c r="CJ20" s="18">
        <f t="shared" si="112"/>
        <v>0</v>
      </c>
      <c r="CK20" s="18">
        <f t="shared" si="113"/>
        <v>0</v>
      </c>
      <c r="CL20" s="18">
        <f t="shared" si="114"/>
        <v>6.8285015717778549E-2</v>
      </c>
      <c r="CM20" s="18">
        <f t="shared" si="115"/>
        <v>0</v>
      </c>
      <c r="CN20" s="49">
        <f t="shared" si="116"/>
        <v>1</v>
      </c>
      <c r="CP20" s="45">
        <f t="shared" si="251"/>
        <v>0</v>
      </c>
      <c r="CQ20" s="18">
        <f t="shared" si="117"/>
        <v>0</v>
      </c>
      <c r="CR20" s="18">
        <f t="shared" si="118"/>
        <v>0</v>
      </c>
      <c r="CS20" s="18">
        <f t="shared" si="119"/>
        <v>0</v>
      </c>
      <c r="CT20" s="18">
        <f t="shared" si="120"/>
        <v>0</v>
      </c>
      <c r="CU20" s="19">
        <f t="shared" si="121"/>
        <v>0</v>
      </c>
      <c r="CV20" s="18">
        <f t="shared" si="122"/>
        <v>0</v>
      </c>
      <c r="CW20" s="18">
        <f t="shared" si="123"/>
        <v>0</v>
      </c>
      <c r="CX20" s="18">
        <f t="shared" si="124"/>
        <v>0</v>
      </c>
      <c r="CY20" s="18">
        <f t="shared" si="125"/>
        <v>0</v>
      </c>
      <c r="CZ20" s="18">
        <f t="shared" si="126"/>
        <v>0</v>
      </c>
      <c r="DA20" s="18">
        <f t="shared" si="127"/>
        <v>0</v>
      </c>
      <c r="DB20" s="18">
        <f t="shared" si="128"/>
        <v>0</v>
      </c>
      <c r="DC20" s="18">
        <f t="shared" si="129"/>
        <v>0</v>
      </c>
      <c r="DD20" s="18">
        <f t="shared" si="130"/>
        <v>0</v>
      </c>
      <c r="DE20" s="18">
        <f t="shared" si="131"/>
        <v>0</v>
      </c>
      <c r="DF20" s="49">
        <f t="shared" si="132"/>
        <v>0</v>
      </c>
      <c r="DH20" s="45">
        <f t="shared" si="252"/>
        <v>1</v>
      </c>
      <c r="DI20" s="18">
        <f t="shared" si="133"/>
        <v>0</v>
      </c>
      <c r="DJ20" s="18">
        <f t="shared" si="134"/>
        <v>0</v>
      </c>
      <c r="DK20" s="18">
        <f t="shared" si="135"/>
        <v>0</v>
      </c>
      <c r="DL20" s="18">
        <f t="shared" si="136"/>
        <v>0</v>
      </c>
      <c r="DM20" s="19">
        <f t="shared" si="137"/>
        <v>1</v>
      </c>
      <c r="DN20" s="18">
        <f t="shared" si="138"/>
        <v>0</v>
      </c>
      <c r="DO20" s="18">
        <f t="shared" si="139"/>
        <v>0</v>
      </c>
      <c r="DP20" s="18">
        <f t="shared" si="140"/>
        <v>0</v>
      </c>
      <c r="DQ20" s="18">
        <f t="shared" si="141"/>
        <v>0</v>
      </c>
      <c r="DR20" s="18">
        <f t="shared" si="142"/>
        <v>0</v>
      </c>
      <c r="DS20" s="18">
        <f t="shared" si="143"/>
        <v>0</v>
      </c>
      <c r="DT20" s="18">
        <f t="shared" si="144"/>
        <v>0</v>
      </c>
      <c r="DU20" s="18">
        <f t="shared" si="145"/>
        <v>0</v>
      </c>
      <c r="DV20" s="18">
        <f t="shared" si="146"/>
        <v>0</v>
      </c>
      <c r="DW20" s="18">
        <f t="shared" si="147"/>
        <v>0</v>
      </c>
      <c r="DX20" s="49">
        <f t="shared" si="148"/>
        <v>1</v>
      </c>
      <c r="DZ20" s="45">
        <f t="shared" si="253"/>
        <v>0</v>
      </c>
      <c r="EA20" s="18">
        <f t="shared" si="149"/>
        <v>0</v>
      </c>
      <c r="EB20" s="18">
        <f t="shared" si="150"/>
        <v>0</v>
      </c>
      <c r="EC20" s="18">
        <f t="shared" si="151"/>
        <v>0</v>
      </c>
      <c r="ED20" s="18">
        <f t="shared" si="152"/>
        <v>0</v>
      </c>
      <c r="EE20" s="19">
        <f t="shared" si="153"/>
        <v>0</v>
      </c>
      <c r="EF20" s="18">
        <f t="shared" si="154"/>
        <v>0</v>
      </c>
      <c r="EG20" s="18">
        <f t="shared" si="155"/>
        <v>0</v>
      </c>
      <c r="EH20" s="18">
        <f t="shared" si="156"/>
        <v>0</v>
      </c>
      <c r="EI20" s="18">
        <f t="shared" si="157"/>
        <v>0</v>
      </c>
      <c r="EJ20" s="18">
        <f t="shared" si="158"/>
        <v>0</v>
      </c>
      <c r="EK20" s="18">
        <f t="shared" si="159"/>
        <v>0</v>
      </c>
      <c r="EL20" s="18">
        <f t="shared" si="160"/>
        <v>0</v>
      </c>
      <c r="EM20" s="18">
        <f t="shared" si="161"/>
        <v>0</v>
      </c>
      <c r="EN20" s="18">
        <f t="shared" si="162"/>
        <v>0</v>
      </c>
      <c r="EO20" s="18">
        <f t="shared" si="163"/>
        <v>0</v>
      </c>
      <c r="EP20" s="49">
        <f t="shared" si="164"/>
        <v>0</v>
      </c>
      <c r="ER20" s="45">
        <f t="shared" si="254"/>
        <v>0</v>
      </c>
      <c r="ES20" s="18">
        <f t="shared" si="165"/>
        <v>0</v>
      </c>
      <c r="ET20" s="18">
        <f t="shared" si="166"/>
        <v>0</v>
      </c>
      <c r="EU20" s="18">
        <f t="shared" si="167"/>
        <v>0</v>
      </c>
      <c r="EV20" s="18">
        <f t="shared" si="168"/>
        <v>0</v>
      </c>
      <c r="EW20" s="19">
        <f t="shared" si="169"/>
        <v>0</v>
      </c>
      <c r="EX20" s="18">
        <f t="shared" si="170"/>
        <v>0</v>
      </c>
      <c r="EY20" s="18">
        <f t="shared" si="171"/>
        <v>0</v>
      </c>
      <c r="EZ20" s="18">
        <f t="shared" si="172"/>
        <v>0</v>
      </c>
      <c r="FA20" s="18">
        <f t="shared" si="173"/>
        <v>0</v>
      </c>
      <c r="FB20" s="18">
        <f t="shared" si="174"/>
        <v>0</v>
      </c>
      <c r="FC20" s="18">
        <f t="shared" si="175"/>
        <v>0</v>
      </c>
      <c r="FD20" s="18">
        <f t="shared" si="176"/>
        <v>0</v>
      </c>
      <c r="FE20" s="18">
        <f t="shared" si="177"/>
        <v>0</v>
      </c>
      <c r="FF20" s="18">
        <f t="shared" si="178"/>
        <v>0</v>
      </c>
      <c r="FG20" s="18">
        <f t="shared" si="179"/>
        <v>0</v>
      </c>
      <c r="FH20" s="49">
        <f t="shared" si="180"/>
        <v>0</v>
      </c>
      <c r="FJ20" s="45">
        <f t="shared" si="255"/>
        <v>1.0149830836152731</v>
      </c>
      <c r="FK20" s="18">
        <f t="shared" si="181"/>
        <v>0</v>
      </c>
      <c r="FL20" s="18">
        <f t="shared" si="182"/>
        <v>0</v>
      </c>
      <c r="FM20" s="18">
        <f t="shared" si="183"/>
        <v>0</v>
      </c>
      <c r="FN20" s="18">
        <f t="shared" si="184"/>
        <v>0</v>
      </c>
      <c r="FO20" s="19">
        <f t="shared" si="185"/>
        <v>0.95033832769453841</v>
      </c>
      <c r="FP20" s="18">
        <f t="shared" si="186"/>
        <v>0</v>
      </c>
      <c r="FQ20" s="18">
        <f t="shared" si="187"/>
        <v>0</v>
      </c>
      <c r="FR20" s="18">
        <f t="shared" si="188"/>
        <v>0</v>
      </c>
      <c r="FS20" s="18">
        <f t="shared" si="189"/>
        <v>0</v>
      </c>
      <c r="FT20" s="18">
        <f t="shared" si="190"/>
        <v>0</v>
      </c>
      <c r="FU20" s="18">
        <f t="shared" si="191"/>
        <v>0</v>
      </c>
      <c r="FV20" s="18">
        <f t="shared" si="192"/>
        <v>0</v>
      </c>
      <c r="FW20" s="18">
        <f t="shared" si="193"/>
        <v>0</v>
      </c>
      <c r="FX20" s="18">
        <f t="shared" si="194"/>
        <v>4.9661672305461577E-2</v>
      </c>
      <c r="FY20" s="18">
        <f t="shared" si="195"/>
        <v>0</v>
      </c>
      <c r="FZ20" s="49">
        <f t="shared" si="196"/>
        <v>1</v>
      </c>
      <c r="GB20" s="45">
        <f t="shared" si="256"/>
        <v>1.0152284263959388</v>
      </c>
      <c r="GC20" s="18">
        <f t="shared" si="197"/>
        <v>0</v>
      </c>
      <c r="GD20" s="18">
        <f t="shared" si="198"/>
        <v>0</v>
      </c>
      <c r="GE20" s="18">
        <f t="shared" si="199"/>
        <v>0</v>
      </c>
      <c r="GF20" s="18">
        <f t="shared" si="200"/>
        <v>0</v>
      </c>
      <c r="GG20" s="19">
        <f t="shared" si="201"/>
        <v>0</v>
      </c>
      <c r="GH20" s="18">
        <f t="shared" si="202"/>
        <v>0</v>
      </c>
      <c r="GI20" s="18">
        <f t="shared" si="203"/>
        <v>0</v>
      </c>
      <c r="GJ20" s="18">
        <f t="shared" si="204"/>
        <v>0</v>
      </c>
      <c r="GK20" s="18">
        <f t="shared" si="205"/>
        <v>0</v>
      </c>
      <c r="GL20" s="18">
        <f t="shared" si="206"/>
        <v>0</v>
      </c>
      <c r="GM20" s="18">
        <f t="shared" si="207"/>
        <v>0</v>
      </c>
      <c r="GN20" s="18">
        <f t="shared" si="208"/>
        <v>0.8375634517766497</v>
      </c>
      <c r="GO20" s="18">
        <f t="shared" si="209"/>
        <v>0</v>
      </c>
      <c r="GP20" s="18">
        <f t="shared" si="210"/>
        <v>0.16243654822335024</v>
      </c>
      <c r="GQ20" s="18">
        <f t="shared" si="211"/>
        <v>0</v>
      </c>
      <c r="GR20" s="49">
        <f t="shared" si="212"/>
        <v>1</v>
      </c>
      <c r="GT20" s="45">
        <f t="shared" si="257"/>
        <v>0</v>
      </c>
      <c r="GU20" s="18">
        <f t="shared" si="213"/>
        <v>0</v>
      </c>
      <c r="GV20" s="18">
        <f t="shared" si="214"/>
        <v>0</v>
      </c>
      <c r="GW20" s="18">
        <f t="shared" si="215"/>
        <v>0</v>
      </c>
      <c r="GX20" s="18">
        <f t="shared" si="216"/>
        <v>0</v>
      </c>
      <c r="GY20" s="19">
        <f t="shared" si="217"/>
        <v>0</v>
      </c>
      <c r="GZ20" s="18">
        <f t="shared" si="218"/>
        <v>0</v>
      </c>
      <c r="HA20" s="18">
        <f t="shared" si="219"/>
        <v>0</v>
      </c>
      <c r="HB20" s="18">
        <f t="shared" si="220"/>
        <v>0</v>
      </c>
      <c r="HC20" s="18">
        <f t="shared" si="221"/>
        <v>0</v>
      </c>
      <c r="HD20" s="18">
        <f t="shared" si="222"/>
        <v>0</v>
      </c>
      <c r="HE20" s="18">
        <f t="shared" si="223"/>
        <v>0</v>
      </c>
      <c r="HF20" s="18">
        <f t="shared" si="224"/>
        <v>0</v>
      </c>
      <c r="HG20" s="18">
        <f t="shared" si="225"/>
        <v>0</v>
      </c>
      <c r="HH20" s="18">
        <f t="shared" si="226"/>
        <v>0</v>
      </c>
      <c r="HI20" s="18">
        <f t="shared" si="227"/>
        <v>0</v>
      </c>
      <c r="HJ20" s="49">
        <f t="shared" si="228"/>
        <v>0</v>
      </c>
      <c r="HL20" s="45">
        <f t="shared" si="258"/>
        <v>1.0152428558195123</v>
      </c>
      <c r="HM20" s="18">
        <f t="shared" si="229"/>
        <v>0</v>
      </c>
      <c r="HN20" s="18">
        <f t="shared" si="230"/>
        <v>0</v>
      </c>
      <c r="HO20" s="18">
        <f t="shared" si="231"/>
        <v>0</v>
      </c>
      <c r="HP20" s="18">
        <f t="shared" si="232"/>
        <v>0</v>
      </c>
      <c r="HQ20" s="19">
        <f t="shared" si="233"/>
        <v>0.92107390205847572</v>
      </c>
      <c r="HR20" s="18">
        <f t="shared" si="234"/>
        <v>0</v>
      </c>
      <c r="HS20" s="18">
        <f t="shared" si="235"/>
        <v>0</v>
      </c>
      <c r="HT20" s="18">
        <f t="shared" si="236"/>
        <v>0</v>
      </c>
      <c r="HU20" s="18">
        <f t="shared" si="237"/>
        <v>0</v>
      </c>
      <c r="HV20" s="18">
        <f t="shared" si="238"/>
        <v>0</v>
      </c>
      <c r="HW20" s="18">
        <f t="shared" si="239"/>
        <v>0</v>
      </c>
      <c r="HX20" s="18">
        <f t="shared" si="240"/>
        <v>1.1987946664535476E-2</v>
      </c>
      <c r="HY20" s="18">
        <f t="shared" si="241"/>
        <v>0</v>
      </c>
      <c r="HZ20" s="18">
        <f t="shared" si="242"/>
        <v>6.6938151276988767E-2</v>
      </c>
      <c r="IA20" s="18">
        <f t="shared" si="243"/>
        <v>0</v>
      </c>
      <c r="IB20" s="49">
        <f t="shared" si="244"/>
        <v>1</v>
      </c>
    </row>
    <row r="21" spans="2:236" s="11" customFormat="1" x14ac:dyDescent="0.35">
      <c r="B21" s="17" t="s">
        <v>148</v>
      </c>
      <c r="C21" s="17"/>
      <c r="D21" s="45">
        <f t="shared" si="245"/>
        <v>1.0050251256281408</v>
      </c>
      <c r="E21" s="18">
        <f t="shared" si="246"/>
        <v>0</v>
      </c>
      <c r="F21" s="18">
        <f t="shared" si="38"/>
        <v>0</v>
      </c>
      <c r="G21" s="18">
        <f t="shared" si="39"/>
        <v>0</v>
      </c>
      <c r="H21" s="18">
        <f t="shared" si="40"/>
        <v>0</v>
      </c>
      <c r="I21" s="18">
        <f t="shared" si="41"/>
        <v>0</v>
      </c>
      <c r="J21" s="19">
        <f t="shared" si="42"/>
        <v>0.39698492462311558</v>
      </c>
      <c r="K21" s="18">
        <f t="shared" si="43"/>
        <v>0.52763819095477382</v>
      </c>
      <c r="L21" s="18">
        <f t="shared" si="44"/>
        <v>0</v>
      </c>
      <c r="M21" s="18">
        <f t="shared" si="45"/>
        <v>0</v>
      </c>
      <c r="N21" s="18">
        <f t="shared" si="46"/>
        <v>0</v>
      </c>
      <c r="O21" s="18">
        <f t="shared" si="47"/>
        <v>0</v>
      </c>
      <c r="P21" s="18">
        <f t="shared" si="48"/>
        <v>0</v>
      </c>
      <c r="Q21" s="18">
        <f t="shared" si="49"/>
        <v>0</v>
      </c>
      <c r="R21" s="18">
        <f t="shared" si="50"/>
        <v>7.5376884422110546E-2</v>
      </c>
      <c r="S21" s="18">
        <f t="shared" si="51"/>
        <v>0</v>
      </c>
      <c r="T21" s="49">
        <f t="shared" si="52"/>
        <v>1</v>
      </c>
      <c r="V21" s="45">
        <f t="shared" si="247"/>
        <v>0</v>
      </c>
      <c r="W21" s="18">
        <f t="shared" si="53"/>
        <v>0</v>
      </c>
      <c r="X21" s="18">
        <f t="shared" si="54"/>
        <v>0</v>
      </c>
      <c r="Y21" s="18">
        <f t="shared" si="55"/>
        <v>0</v>
      </c>
      <c r="Z21" s="18">
        <f t="shared" si="56"/>
        <v>0</v>
      </c>
      <c r="AA21" s="18">
        <f t="shared" si="57"/>
        <v>0</v>
      </c>
      <c r="AB21" s="19">
        <f t="shared" si="58"/>
        <v>0</v>
      </c>
      <c r="AC21" s="18">
        <f t="shared" si="59"/>
        <v>0</v>
      </c>
      <c r="AD21" s="18">
        <f t="shared" si="60"/>
        <v>0</v>
      </c>
      <c r="AE21" s="18">
        <f t="shared" si="61"/>
        <v>0</v>
      </c>
      <c r="AF21" s="18">
        <f t="shared" si="62"/>
        <v>0</v>
      </c>
      <c r="AG21" s="18">
        <f t="shared" si="63"/>
        <v>0</v>
      </c>
      <c r="AH21" s="18">
        <f t="shared" si="64"/>
        <v>0</v>
      </c>
      <c r="AI21" s="18">
        <f t="shared" si="65"/>
        <v>0</v>
      </c>
      <c r="AJ21" s="18">
        <f t="shared" si="66"/>
        <v>0</v>
      </c>
      <c r="AK21" s="18">
        <f t="shared" si="67"/>
        <v>0</v>
      </c>
      <c r="AL21" s="49">
        <f t="shared" si="68"/>
        <v>0</v>
      </c>
      <c r="AN21" s="45">
        <f t="shared" si="248"/>
        <v>0</v>
      </c>
      <c r="AO21" s="18">
        <f t="shared" si="69"/>
        <v>0</v>
      </c>
      <c r="AP21" s="18">
        <f t="shared" si="70"/>
        <v>0</v>
      </c>
      <c r="AQ21" s="18">
        <f t="shared" si="71"/>
        <v>0</v>
      </c>
      <c r="AR21" s="18">
        <f t="shared" si="72"/>
        <v>0</v>
      </c>
      <c r="AS21" s="18">
        <f t="shared" si="73"/>
        <v>0</v>
      </c>
      <c r="AT21" s="19">
        <f t="shared" si="74"/>
        <v>0</v>
      </c>
      <c r="AU21" s="18">
        <f t="shared" si="75"/>
        <v>0</v>
      </c>
      <c r="AV21" s="18">
        <f t="shared" si="76"/>
        <v>0</v>
      </c>
      <c r="AW21" s="18">
        <f t="shared" si="77"/>
        <v>0</v>
      </c>
      <c r="AX21" s="18">
        <f t="shared" si="78"/>
        <v>0</v>
      </c>
      <c r="AY21" s="18">
        <f t="shared" si="79"/>
        <v>0</v>
      </c>
      <c r="AZ21" s="18">
        <f t="shared" si="80"/>
        <v>0</v>
      </c>
      <c r="BA21" s="18">
        <f t="shared" si="81"/>
        <v>0</v>
      </c>
      <c r="BB21" s="18">
        <f t="shared" si="82"/>
        <v>0</v>
      </c>
      <c r="BC21" s="18">
        <f t="shared" si="83"/>
        <v>0</v>
      </c>
      <c r="BD21" s="49">
        <f t="shared" si="84"/>
        <v>0</v>
      </c>
      <c r="BF21" s="45">
        <f t="shared" si="249"/>
        <v>1</v>
      </c>
      <c r="BG21" s="18">
        <f t="shared" si="85"/>
        <v>0</v>
      </c>
      <c r="BH21" s="18">
        <f t="shared" si="86"/>
        <v>0</v>
      </c>
      <c r="BI21" s="18">
        <f t="shared" si="87"/>
        <v>0</v>
      </c>
      <c r="BJ21" s="18">
        <f t="shared" si="88"/>
        <v>0</v>
      </c>
      <c r="BK21" s="18">
        <f t="shared" si="89"/>
        <v>0</v>
      </c>
      <c r="BL21" s="19">
        <f t="shared" si="90"/>
        <v>0.84</v>
      </c>
      <c r="BM21" s="18">
        <f t="shared" si="91"/>
        <v>0</v>
      </c>
      <c r="BN21" s="18">
        <f t="shared" si="92"/>
        <v>0</v>
      </c>
      <c r="BO21" s="18">
        <f t="shared" si="93"/>
        <v>0</v>
      </c>
      <c r="BP21" s="18">
        <f t="shared" si="94"/>
        <v>0</v>
      </c>
      <c r="BQ21" s="18">
        <f t="shared" si="95"/>
        <v>0</v>
      </c>
      <c r="BR21" s="18">
        <f t="shared" si="96"/>
        <v>0</v>
      </c>
      <c r="BS21" s="18">
        <f t="shared" si="97"/>
        <v>0</v>
      </c>
      <c r="BT21" s="18">
        <f t="shared" si="98"/>
        <v>0.16</v>
      </c>
      <c r="BU21" s="18">
        <f t="shared" si="99"/>
        <v>0</v>
      </c>
      <c r="BV21" s="49">
        <f t="shared" si="100"/>
        <v>1</v>
      </c>
      <c r="BX21" s="45">
        <f t="shared" si="250"/>
        <v>0</v>
      </c>
      <c r="BY21" s="18">
        <f t="shared" si="101"/>
        <v>0</v>
      </c>
      <c r="BZ21" s="18">
        <f t="shared" si="102"/>
        <v>0</v>
      </c>
      <c r="CA21" s="18">
        <f t="shared" si="103"/>
        <v>0</v>
      </c>
      <c r="CB21" s="18">
        <f t="shared" si="104"/>
        <v>0</v>
      </c>
      <c r="CC21" s="18">
        <f t="shared" si="105"/>
        <v>0</v>
      </c>
      <c r="CD21" s="19">
        <f t="shared" si="106"/>
        <v>0</v>
      </c>
      <c r="CE21" s="18">
        <f t="shared" si="107"/>
        <v>0</v>
      </c>
      <c r="CF21" s="18">
        <f t="shared" si="108"/>
        <v>0</v>
      </c>
      <c r="CG21" s="18">
        <f t="shared" si="109"/>
        <v>0</v>
      </c>
      <c r="CH21" s="18">
        <f t="shared" si="110"/>
        <v>0</v>
      </c>
      <c r="CI21" s="18">
        <f t="shared" si="111"/>
        <v>0</v>
      </c>
      <c r="CJ21" s="18">
        <f t="shared" si="112"/>
        <v>0</v>
      </c>
      <c r="CK21" s="18">
        <f t="shared" si="113"/>
        <v>0</v>
      </c>
      <c r="CL21" s="18">
        <f t="shared" si="114"/>
        <v>0</v>
      </c>
      <c r="CM21" s="18">
        <f t="shared" si="115"/>
        <v>0</v>
      </c>
      <c r="CN21" s="49">
        <f t="shared" si="116"/>
        <v>0</v>
      </c>
      <c r="CP21" s="45">
        <f t="shared" si="251"/>
        <v>0</v>
      </c>
      <c r="CQ21" s="18">
        <f t="shared" si="117"/>
        <v>0</v>
      </c>
      <c r="CR21" s="18">
        <f t="shared" si="118"/>
        <v>0</v>
      </c>
      <c r="CS21" s="18">
        <f t="shared" si="119"/>
        <v>0</v>
      </c>
      <c r="CT21" s="18">
        <f t="shared" si="120"/>
        <v>0</v>
      </c>
      <c r="CU21" s="18">
        <f t="shared" si="121"/>
        <v>0</v>
      </c>
      <c r="CV21" s="19">
        <f t="shared" si="122"/>
        <v>0</v>
      </c>
      <c r="CW21" s="18">
        <f t="shared" si="123"/>
        <v>0</v>
      </c>
      <c r="CX21" s="18">
        <f t="shared" si="124"/>
        <v>0</v>
      </c>
      <c r="CY21" s="18">
        <f t="shared" si="125"/>
        <v>0</v>
      </c>
      <c r="CZ21" s="18">
        <f t="shared" si="126"/>
        <v>0</v>
      </c>
      <c r="DA21" s="18">
        <f t="shared" si="127"/>
        <v>0</v>
      </c>
      <c r="DB21" s="18">
        <f t="shared" si="128"/>
        <v>0</v>
      </c>
      <c r="DC21" s="18">
        <f t="shared" si="129"/>
        <v>0</v>
      </c>
      <c r="DD21" s="18">
        <f t="shared" si="130"/>
        <v>0</v>
      </c>
      <c r="DE21" s="18">
        <f t="shared" si="131"/>
        <v>0</v>
      </c>
      <c r="DF21" s="49">
        <f t="shared" si="132"/>
        <v>0</v>
      </c>
      <c r="DH21" s="45">
        <f t="shared" si="252"/>
        <v>0</v>
      </c>
      <c r="DI21" s="18">
        <f t="shared" si="133"/>
        <v>0</v>
      </c>
      <c r="DJ21" s="18">
        <f t="shared" si="134"/>
        <v>0</v>
      </c>
      <c r="DK21" s="18">
        <f t="shared" si="135"/>
        <v>0</v>
      </c>
      <c r="DL21" s="18">
        <f t="shared" si="136"/>
        <v>0</v>
      </c>
      <c r="DM21" s="18">
        <f t="shared" si="137"/>
        <v>0</v>
      </c>
      <c r="DN21" s="19">
        <f t="shared" si="138"/>
        <v>0</v>
      </c>
      <c r="DO21" s="18">
        <f t="shared" si="139"/>
        <v>0</v>
      </c>
      <c r="DP21" s="18">
        <f t="shared" si="140"/>
        <v>0</v>
      </c>
      <c r="DQ21" s="18">
        <f t="shared" si="141"/>
        <v>0</v>
      </c>
      <c r="DR21" s="18">
        <f t="shared" si="142"/>
        <v>0</v>
      </c>
      <c r="DS21" s="18">
        <f t="shared" si="143"/>
        <v>0</v>
      </c>
      <c r="DT21" s="18">
        <f t="shared" si="144"/>
        <v>0</v>
      </c>
      <c r="DU21" s="18">
        <f t="shared" si="145"/>
        <v>0</v>
      </c>
      <c r="DV21" s="18">
        <f t="shared" si="146"/>
        <v>0</v>
      </c>
      <c r="DW21" s="18">
        <f t="shared" si="147"/>
        <v>0</v>
      </c>
      <c r="DX21" s="49">
        <f t="shared" si="148"/>
        <v>0</v>
      </c>
      <c r="DZ21" s="45">
        <f t="shared" si="253"/>
        <v>0</v>
      </c>
      <c r="EA21" s="18">
        <f t="shared" si="149"/>
        <v>0</v>
      </c>
      <c r="EB21" s="18">
        <f t="shared" si="150"/>
        <v>0</v>
      </c>
      <c r="EC21" s="18">
        <f t="shared" si="151"/>
        <v>0</v>
      </c>
      <c r="ED21" s="18">
        <f t="shared" si="152"/>
        <v>0</v>
      </c>
      <c r="EE21" s="18">
        <f t="shared" si="153"/>
        <v>0</v>
      </c>
      <c r="EF21" s="19">
        <f t="shared" si="154"/>
        <v>0</v>
      </c>
      <c r="EG21" s="18">
        <f t="shared" si="155"/>
        <v>0</v>
      </c>
      <c r="EH21" s="18">
        <f t="shared" si="156"/>
        <v>0</v>
      </c>
      <c r="EI21" s="18">
        <f t="shared" si="157"/>
        <v>0</v>
      </c>
      <c r="EJ21" s="18">
        <f t="shared" si="158"/>
        <v>0</v>
      </c>
      <c r="EK21" s="18">
        <f t="shared" si="159"/>
        <v>0</v>
      </c>
      <c r="EL21" s="18">
        <f t="shared" si="160"/>
        <v>0</v>
      </c>
      <c r="EM21" s="18">
        <f t="shared" si="161"/>
        <v>0</v>
      </c>
      <c r="EN21" s="18">
        <f t="shared" si="162"/>
        <v>0</v>
      </c>
      <c r="EO21" s="18">
        <f t="shared" si="163"/>
        <v>0</v>
      </c>
      <c r="EP21" s="49">
        <f t="shared" si="164"/>
        <v>0</v>
      </c>
      <c r="ER21" s="45">
        <f t="shared" si="254"/>
        <v>0</v>
      </c>
      <c r="ES21" s="18">
        <f t="shared" si="165"/>
        <v>0</v>
      </c>
      <c r="ET21" s="18">
        <f t="shared" si="166"/>
        <v>0</v>
      </c>
      <c r="EU21" s="18">
        <f t="shared" si="167"/>
        <v>0</v>
      </c>
      <c r="EV21" s="18">
        <f t="shared" si="168"/>
        <v>0</v>
      </c>
      <c r="EW21" s="18">
        <f t="shared" si="169"/>
        <v>0</v>
      </c>
      <c r="EX21" s="19">
        <f t="shared" si="170"/>
        <v>0</v>
      </c>
      <c r="EY21" s="18">
        <f t="shared" si="171"/>
        <v>0</v>
      </c>
      <c r="EZ21" s="18">
        <f t="shared" si="172"/>
        <v>0</v>
      </c>
      <c r="FA21" s="18">
        <f t="shared" si="173"/>
        <v>0</v>
      </c>
      <c r="FB21" s="18">
        <f t="shared" si="174"/>
        <v>0</v>
      </c>
      <c r="FC21" s="18">
        <f t="shared" si="175"/>
        <v>0</v>
      </c>
      <c r="FD21" s="18">
        <f t="shared" si="176"/>
        <v>0</v>
      </c>
      <c r="FE21" s="18">
        <f t="shared" si="177"/>
        <v>0</v>
      </c>
      <c r="FF21" s="18">
        <f t="shared" si="178"/>
        <v>0</v>
      </c>
      <c r="FG21" s="18">
        <f t="shared" si="179"/>
        <v>0</v>
      </c>
      <c r="FH21" s="49">
        <f t="shared" si="180"/>
        <v>0</v>
      </c>
      <c r="FJ21" s="45">
        <f t="shared" si="255"/>
        <v>0</v>
      </c>
      <c r="FK21" s="18">
        <f t="shared" si="181"/>
        <v>0</v>
      </c>
      <c r="FL21" s="18">
        <f t="shared" si="182"/>
        <v>0</v>
      </c>
      <c r="FM21" s="18">
        <f t="shared" si="183"/>
        <v>0</v>
      </c>
      <c r="FN21" s="18">
        <f t="shared" si="184"/>
        <v>0</v>
      </c>
      <c r="FO21" s="18">
        <f t="shared" si="185"/>
        <v>0</v>
      </c>
      <c r="FP21" s="19">
        <f t="shared" si="186"/>
        <v>0</v>
      </c>
      <c r="FQ21" s="18">
        <f t="shared" si="187"/>
        <v>0</v>
      </c>
      <c r="FR21" s="18">
        <f t="shared" si="188"/>
        <v>0</v>
      </c>
      <c r="FS21" s="18">
        <f t="shared" si="189"/>
        <v>0</v>
      </c>
      <c r="FT21" s="18">
        <f t="shared" si="190"/>
        <v>0</v>
      </c>
      <c r="FU21" s="18">
        <f t="shared" si="191"/>
        <v>0</v>
      </c>
      <c r="FV21" s="18">
        <f t="shared" si="192"/>
        <v>0</v>
      </c>
      <c r="FW21" s="18">
        <f t="shared" si="193"/>
        <v>0</v>
      </c>
      <c r="FX21" s="18">
        <f t="shared" si="194"/>
        <v>0</v>
      </c>
      <c r="FY21" s="18">
        <f t="shared" si="195"/>
        <v>0</v>
      </c>
      <c r="FZ21" s="49">
        <f t="shared" si="196"/>
        <v>0</v>
      </c>
      <c r="GB21" s="45">
        <f t="shared" si="256"/>
        <v>0</v>
      </c>
      <c r="GC21" s="18">
        <f t="shared" si="197"/>
        <v>0</v>
      </c>
      <c r="GD21" s="18">
        <f t="shared" si="198"/>
        <v>0</v>
      </c>
      <c r="GE21" s="18">
        <f t="shared" si="199"/>
        <v>0</v>
      </c>
      <c r="GF21" s="18">
        <f t="shared" si="200"/>
        <v>0</v>
      </c>
      <c r="GG21" s="18">
        <f t="shared" si="201"/>
        <v>0</v>
      </c>
      <c r="GH21" s="19">
        <f t="shared" si="202"/>
        <v>0</v>
      </c>
      <c r="GI21" s="18">
        <f t="shared" si="203"/>
        <v>0</v>
      </c>
      <c r="GJ21" s="18">
        <f t="shared" si="204"/>
        <v>0</v>
      </c>
      <c r="GK21" s="18">
        <f t="shared" si="205"/>
        <v>0</v>
      </c>
      <c r="GL21" s="18">
        <f t="shared" si="206"/>
        <v>0</v>
      </c>
      <c r="GM21" s="18">
        <f t="shared" si="207"/>
        <v>0</v>
      </c>
      <c r="GN21" s="18">
        <f t="shared" si="208"/>
        <v>0</v>
      </c>
      <c r="GO21" s="18">
        <f t="shared" si="209"/>
        <v>0</v>
      </c>
      <c r="GP21" s="18">
        <f t="shared" si="210"/>
        <v>0</v>
      </c>
      <c r="GQ21" s="18">
        <f t="shared" si="211"/>
        <v>0</v>
      </c>
      <c r="GR21" s="49">
        <f t="shared" si="212"/>
        <v>0</v>
      </c>
      <c r="GT21" s="45">
        <f t="shared" si="257"/>
        <v>1.006711409395973</v>
      </c>
      <c r="GU21" s="18">
        <f t="shared" si="213"/>
        <v>0</v>
      </c>
      <c r="GV21" s="18">
        <f t="shared" si="214"/>
        <v>0</v>
      </c>
      <c r="GW21" s="18">
        <f t="shared" si="215"/>
        <v>0</v>
      </c>
      <c r="GX21" s="18">
        <f t="shared" si="216"/>
        <v>0</v>
      </c>
      <c r="GY21" s="18">
        <f t="shared" si="217"/>
        <v>0</v>
      </c>
      <c r="GZ21" s="19">
        <f t="shared" si="218"/>
        <v>0.24832214765100671</v>
      </c>
      <c r="HA21" s="18">
        <f t="shared" si="219"/>
        <v>0.70469798657718119</v>
      </c>
      <c r="HB21" s="18">
        <f t="shared" si="220"/>
        <v>0</v>
      </c>
      <c r="HC21" s="18">
        <f t="shared" si="221"/>
        <v>0</v>
      </c>
      <c r="HD21" s="18">
        <f t="shared" si="222"/>
        <v>0</v>
      </c>
      <c r="HE21" s="18">
        <f t="shared" si="223"/>
        <v>0</v>
      </c>
      <c r="HF21" s="18">
        <f t="shared" si="224"/>
        <v>0</v>
      </c>
      <c r="HG21" s="18">
        <f t="shared" si="225"/>
        <v>0</v>
      </c>
      <c r="HH21" s="18">
        <f t="shared" si="226"/>
        <v>4.6979865771812082E-2</v>
      </c>
      <c r="HI21" s="18">
        <f t="shared" si="227"/>
        <v>0</v>
      </c>
      <c r="HJ21" s="49">
        <f t="shared" si="228"/>
        <v>1</v>
      </c>
      <c r="HL21" s="45">
        <f t="shared" si="258"/>
        <v>0</v>
      </c>
      <c r="HM21" s="18">
        <f t="shared" si="229"/>
        <v>0</v>
      </c>
      <c r="HN21" s="18">
        <f t="shared" si="230"/>
        <v>0</v>
      </c>
      <c r="HO21" s="18">
        <f t="shared" si="231"/>
        <v>0</v>
      </c>
      <c r="HP21" s="18">
        <f t="shared" si="232"/>
        <v>0</v>
      </c>
      <c r="HQ21" s="18">
        <f t="shared" si="233"/>
        <v>0</v>
      </c>
      <c r="HR21" s="19">
        <f t="shared" si="234"/>
        <v>0</v>
      </c>
      <c r="HS21" s="18">
        <f t="shared" si="235"/>
        <v>0</v>
      </c>
      <c r="HT21" s="18">
        <f t="shared" si="236"/>
        <v>0</v>
      </c>
      <c r="HU21" s="18">
        <f t="shared" si="237"/>
        <v>0</v>
      </c>
      <c r="HV21" s="18">
        <f t="shared" si="238"/>
        <v>0</v>
      </c>
      <c r="HW21" s="18">
        <f t="shared" si="239"/>
        <v>0</v>
      </c>
      <c r="HX21" s="18">
        <f t="shared" si="240"/>
        <v>0</v>
      </c>
      <c r="HY21" s="18">
        <f t="shared" si="241"/>
        <v>0</v>
      </c>
      <c r="HZ21" s="18">
        <f t="shared" si="242"/>
        <v>0</v>
      </c>
      <c r="IA21" s="18">
        <f t="shared" si="243"/>
        <v>0</v>
      </c>
      <c r="IB21" s="49">
        <f t="shared" si="244"/>
        <v>0</v>
      </c>
    </row>
    <row r="22" spans="2:236" s="11" customFormat="1" x14ac:dyDescent="0.35">
      <c r="B22" s="17" t="s">
        <v>147</v>
      </c>
      <c r="C22" s="17"/>
      <c r="D22" s="45">
        <f t="shared" si="245"/>
        <v>1.0109595023046152</v>
      </c>
      <c r="E22" s="18">
        <f t="shared" si="246"/>
        <v>0</v>
      </c>
      <c r="F22" s="18">
        <f t="shared" si="38"/>
        <v>0</v>
      </c>
      <c r="G22" s="18">
        <f t="shared" si="39"/>
        <v>0</v>
      </c>
      <c r="H22" s="18">
        <f t="shared" si="40"/>
        <v>0</v>
      </c>
      <c r="I22" s="18">
        <f t="shared" si="41"/>
        <v>0</v>
      </c>
      <c r="J22" s="18">
        <f t="shared" si="42"/>
        <v>0</v>
      </c>
      <c r="K22" s="19">
        <f t="shared" si="43"/>
        <v>0.87384780175495558</v>
      </c>
      <c r="L22" s="18">
        <f t="shared" si="44"/>
        <v>4.0334048885672352E-2</v>
      </c>
      <c r="M22" s="18">
        <f t="shared" si="45"/>
        <v>0</v>
      </c>
      <c r="N22" s="18">
        <f t="shared" si="46"/>
        <v>0</v>
      </c>
      <c r="O22" s="18">
        <f t="shared" si="47"/>
        <v>0</v>
      </c>
      <c r="P22" s="20">
        <f t="shared" si="48"/>
        <v>0</v>
      </c>
      <c r="Q22" s="20">
        <f t="shared" si="49"/>
        <v>0</v>
      </c>
      <c r="R22" s="20">
        <f t="shared" si="50"/>
        <v>8.5818149359372084E-2</v>
      </c>
      <c r="S22" s="18">
        <f t="shared" si="51"/>
        <v>0</v>
      </c>
      <c r="T22" s="49">
        <f t="shared" si="52"/>
        <v>1</v>
      </c>
      <c r="V22" s="45">
        <f t="shared" si="247"/>
        <v>1.0004342162396873</v>
      </c>
      <c r="W22" s="18">
        <f t="shared" si="53"/>
        <v>0</v>
      </c>
      <c r="X22" s="18">
        <f t="shared" si="54"/>
        <v>0</v>
      </c>
      <c r="Y22" s="18">
        <f t="shared" si="55"/>
        <v>0</v>
      </c>
      <c r="Z22" s="18">
        <f t="shared" si="56"/>
        <v>0</v>
      </c>
      <c r="AA22" s="18">
        <f t="shared" si="57"/>
        <v>0</v>
      </c>
      <c r="AB22" s="18">
        <f t="shared" si="58"/>
        <v>0</v>
      </c>
      <c r="AC22" s="19">
        <f t="shared" si="59"/>
        <v>0.90751194094659138</v>
      </c>
      <c r="AD22" s="18">
        <f t="shared" si="60"/>
        <v>0</v>
      </c>
      <c r="AE22" s="18">
        <f t="shared" si="61"/>
        <v>0</v>
      </c>
      <c r="AF22" s="18">
        <f t="shared" si="62"/>
        <v>0</v>
      </c>
      <c r="AG22" s="18">
        <f t="shared" si="63"/>
        <v>0</v>
      </c>
      <c r="AH22" s="20">
        <f t="shared" si="64"/>
        <v>0</v>
      </c>
      <c r="AI22" s="20">
        <f t="shared" si="65"/>
        <v>0</v>
      </c>
      <c r="AJ22" s="20">
        <f t="shared" si="66"/>
        <v>9.2488059053408594E-2</v>
      </c>
      <c r="AK22" s="18">
        <f t="shared" si="67"/>
        <v>0</v>
      </c>
      <c r="AL22" s="49">
        <f t="shared" si="68"/>
        <v>1</v>
      </c>
      <c r="AN22" s="45">
        <f t="shared" si="248"/>
        <v>1.0081302105271523</v>
      </c>
      <c r="AO22" s="18">
        <f t="shared" si="69"/>
        <v>0</v>
      </c>
      <c r="AP22" s="18">
        <f t="shared" si="70"/>
        <v>0</v>
      </c>
      <c r="AQ22" s="18">
        <f t="shared" si="71"/>
        <v>0</v>
      </c>
      <c r="AR22" s="18">
        <f t="shared" si="72"/>
        <v>0</v>
      </c>
      <c r="AS22" s="18">
        <f t="shared" si="73"/>
        <v>0</v>
      </c>
      <c r="AT22" s="18">
        <f t="shared" si="74"/>
        <v>0</v>
      </c>
      <c r="AU22" s="19">
        <f t="shared" si="75"/>
        <v>0.88383256375817587</v>
      </c>
      <c r="AV22" s="18">
        <f t="shared" si="76"/>
        <v>8.3447908636461177E-3</v>
      </c>
      <c r="AW22" s="18">
        <f t="shared" si="77"/>
        <v>0</v>
      </c>
      <c r="AX22" s="18">
        <f t="shared" si="78"/>
        <v>0</v>
      </c>
      <c r="AY22" s="18">
        <f t="shared" si="79"/>
        <v>0</v>
      </c>
      <c r="AZ22" s="20">
        <f t="shared" si="80"/>
        <v>0</v>
      </c>
      <c r="BA22" s="20">
        <f t="shared" si="81"/>
        <v>0</v>
      </c>
      <c r="BB22" s="20">
        <f t="shared" si="82"/>
        <v>0.10782264537817797</v>
      </c>
      <c r="BC22" s="18">
        <f t="shared" si="83"/>
        <v>0</v>
      </c>
      <c r="BD22" s="49">
        <f t="shared" si="84"/>
        <v>1</v>
      </c>
      <c r="BF22" s="45">
        <f t="shared" si="249"/>
        <v>1.0030754528032373</v>
      </c>
      <c r="BG22" s="18">
        <f t="shared" si="85"/>
        <v>0</v>
      </c>
      <c r="BH22" s="18">
        <f t="shared" si="86"/>
        <v>0</v>
      </c>
      <c r="BI22" s="18">
        <f t="shared" si="87"/>
        <v>0</v>
      </c>
      <c r="BJ22" s="18">
        <f t="shared" si="88"/>
        <v>0</v>
      </c>
      <c r="BK22" s="18">
        <f t="shared" si="89"/>
        <v>0</v>
      </c>
      <c r="BL22" s="18">
        <f t="shared" si="90"/>
        <v>0</v>
      </c>
      <c r="BM22" s="19">
        <f t="shared" si="91"/>
        <v>0.89404175499062111</v>
      </c>
      <c r="BN22" s="18">
        <f t="shared" si="92"/>
        <v>0</v>
      </c>
      <c r="BO22" s="18">
        <f t="shared" si="93"/>
        <v>0</v>
      </c>
      <c r="BP22" s="18">
        <f t="shared" si="94"/>
        <v>0</v>
      </c>
      <c r="BQ22" s="18">
        <f t="shared" si="95"/>
        <v>0</v>
      </c>
      <c r="BR22" s="20">
        <f t="shared" si="96"/>
        <v>0</v>
      </c>
      <c r="BS22" s="20">
        <f t="shared" si="97"/>
        <v>0</v>
      </c>
      <c r="BT22" s="20">
        <f t="shared" si="98"/>
        <v>0.10595824500937887</v>
      </c>
      <c r="BU22" s="18">
        <f t="shared" si="99"/>
        <v>0</v>
      </c>
      <c r="BV22" s="49">
        <f t="shared" si="100"/>
        <v>1</v>
      </c>
      <c r="BX22" s="45">
        <f t="shared" si="250"/>
        <v>1.0104626906282796</v>
      </c>
      <c r="BY22" s="18">
        <f t="shared" si="101"/>
        <v>0</v>
      </c>
      <c r="BZ22" s="18">
        <f t="shared" si="102"/>
        <v>0</v>
      </c>
      <c r="CA22" s="18">
        <f t="shared" si="103"/>
        <v>0</v>
      </c>
      <c r="CB22" s="18">
        <f t="shared" si="104"/>
        <v>0</v>
      </c>
      <c r="CC22" s="18">
        <f t="shared" si="105"/>
        <v>0</v>
      </c>
      <c r="CD22" s="18">
        <f t="shared" si="106"/>
        <v>0</v>
      </c>
      <c r="CE22" s="19">
        <f t="shared" si="107"/>
        <v>0.91105093354409883</v>
      </c>
      <c r="CF22" s="18">
        <f t="shared" si="108"/>
        <v>2.0407105559802536E-2</v>
      </c>
      <c r="CG22" s="18">
        <f t="shared" si="109"/>
        <v>0</v>
      </c>
      <c r="CH22" s="18">
        <f t="shared" si="110"/>
        <v>0</v>
      </c>
      <c r="CI22" s="18">
        <f t="shared" si="111"/>
        <v>0</v>
      </c>
      <c r="CJ22" s="20">
        <f t="shared" si="112"/>
        <v>0</v>
      </c>
      <c r="CK22" s="20">
        <f t="shared" si="113"/>
        <v>0</v>
      </c>
      <c r="CL22" s="20">
        <f t="shared" si="114"/>
        <v>6.854196089609868E-2</v>
      </c>
      <c r="CM22" s="18">
        <f t="shared" si="115"/>
        <v>0</v>
      </c>
      <c r="CN22" s="49">
        <f t="shared" si="116"/>
        <v>1</v>
      </c>
      <c r="CP22" s="45">
        <f t="shared" si="251"/>
        <v>1.0012310694044411</v>
      </c>
      <c r="CQ22" s="18">
        <f t="shared" si="117"/>
        <v>0</v>
      </c>
      <c r="CR22" s="18">
        <f t="shared" si="118"/>
        <v>0</v>
      </c>
      <c r="CS22" s="18">
        <f t="shared" si="119"/>
        <v>0</v>
      </c>
      <c r="CT22" s="18">
        <f t="shared" si="120"/>
        <v>0</v>
      </c>
      <c r="CU22" s="18">
        <f t="shared" si="121"/>
        <v>0</v>
      </c>
      <c r="CV22" s="18">
        <f t="shared" si="122"/>
        <v>0</v>
      </c>
      <c r="CW22" s="19">
        <f t="shared" si="123"/>
        <v>0.87278175229954469</v>
      </c>
      <c r="CX22" s="18">
        <f t="shared" si="124"/>
        <v>1.2194555421350924E-2</v>
      </c>
      <c r="CY22" s="18">
        <f t="shared" si="125"/>
        <v>0</v>
      </c>
      <c r="CZ22" s="18">
        <f t="shared" si="126"/>
        <v>0</v>
      </c>
      <c r="DA22" s="18">
        <f t="shared" si="127"/>
        <v>0</v>
      </c>
      <c r="DB22" s="20">
        <f t="shared" si="128"/>
        <v>0</v>
      </c>
      <c r="DC22" s="20">
        <f t="shared" si="129"/>
        <v>0</v>
      </c>
      <c r="DD22" s="20">
        <f t="shared" si="130"/>
        <v>0.11502369227910433</v>
      </c>
      <c r="DE22" s="18">
        <f t="shared" si="131"/>
        <v>0</v>
      </c>
      <c r="DF22" s="49">
        <f t="shared" si="132"/>
        <v>1</v>
      </c>
      <c r="DH22" s="45">
        <f t="shared" si="252"/>
        <v>1.0122140990633901</v>
      </c>
      <c r="DI22" s="18">
        <f t="shared" si="133"/>
        <v>0</v>
      </c>
      <c r="DJ22" s="18">
        <f t="shared" si="134"/>
        <v>0</v>
      </c>
      <c r="DK22" s="18">
        <f t="shared" si="135"/>
        <v>0</v>
      </c>
      <c r="DL22" s="18">
        <f t="shared" si="136"/>
        <v>0</v>
      </c>
      <c r="DM22" s="18">
        <f t="shared" si="137"/>
        <v>0</v>
      </c>
      <c r="DN22" s="18">
        <f t="shared" si="138"/>
        <v>0</v>
      </c>
      <c r="DO22" s="19">
        <f t="shared" si="139"/>
        <v>0.94553568807070087</v>
      </c>
      <c r="DP22" s="18">
        <f t="shared" si="140"/>
        <v>0</v>
      </c>
      <c r="DQ22" s="18">
        <f t="shared" si="141"/>
        <v>0</v>
      </c>
      <c r="DR22" s="18">
        <f t="shared" si="142"/>
        <v>0</v>
      </c>
      <c r="DS22" s="18">
        <f t="shared" si="143"/>
        <v>0</v>
      </c>
      <c r="DT22" s="20">
        <f t="shared" si="144"/>
        <v>0</v>
      </c>
      <c r="DU22" s="20">
        <f t="shared" si="145"/>
        <v>0</v>
      </c>
      <c r="DV22" s="20">
        <f t="shared" si="146"/>
        <v>5.446431192929916E-2</v>
      </c>
      <c r="DW22" s="18">
        <f t="shared" si="147"/>
        <v>0</v>
      </c>
      <c r="DX22" s="49">
        <f t="shared" si="148"/>
        <v>1</v>
      </c>
      <c r="DZ22" s="45">
        <f t="shared" si="253"/>
        <v>1.0150203877839727</v>
      </c>
      <c r="EA22" s="18">
        <f t="shared" si="149"/>
        <v>0</v>
      </c>
      <c r="EB22" s="18">
        <f t="shared" si="150"/>
        <v>0</v>
      </c>
      <c r="EC22" s="18">
        <f t="shared" si="151"/>
        <v>0</v>
      </c>
      <c r="ED22" s="18">
        <f t="shared" si="152"/>
        <v>0</v>
      </c>
      <c r="EE22" s="18">
        <f t="shared" si="153"/>
        <v>0</v>
      </c>
      <c r="EF22" s="18">
        <f t="shared" si="154"/>
        <v>0</v>
      </c>
      <c r="EG22" s="19">
        <f t="shared" si="155"/>
        <v>0.81010235499708749</v>
      </c>
      <c r="EH22" s="18">
        <f t="shared" si="156"/>
        <v>7.4269784471998002E-2</v>
      </c>
      <c r="EI22" s="18">
        <f t="shared" si="157"/>
        <v>0</v>
      </c>
      <c r="EJ22" s="18">
        <f t="shared" si="158"/>
        <v>0</v>
      </c>
      <c r="EK22" s="18">
        <f t="shared" si="159"/>
        <v>0</v>
      </c>
      <c r="EL22" s="20">
        <f t="shared" si="160"/>
        <v>0</v>
      </c>
      <c r="EM22" s="20">
        <f t="shared" si="161"/>
        <v>0</v>
      </c>
      <c r="EN22" s="20">
        <f t="shared" si="162"/>
        <v>0.11562786053091453</v>
      </c>
      <c r="EO22" s="18">
        <f t="shared" si="163"/>
        <v>0</v>
      </c>
      <c r="EP22" s="49">
        <f t="shared" si="164"/>
        <v>1</v>
      </c>
      <c r="ER22" s="45">
        <f t="shared" si="254"/>
        <v>1.0172181323447949</v>
      </c>
      <c r="ES22" s="18">
        <f t="shared" si="165"/>
        <v>0</v>
      </c>
      <c r="ET22" s="18">
        <f t="shared" si="166"/>
        <v>0</v>
      </c>
      <c r="EU22" s="18">
        <f t="shared" si="167"/>
        <v>0</v>
      </c>
      <c r="EV22" s="18">
        <f t="shared" si="168"/>
        <v>0</v>
      </c>
      <c r="EW22" s="18">
        <f t="shared" si="169"/>
        <v>0</v>
      </c>
      <c r="EX22" s="18">
        <f t="shared" si="170"/>
        <v>0</v>
      </c>
      <c r="EY22" s="19">
        <f t="shared" si="171"/>
        <v>0.90532814443441811</v>
      </c>
      <c r="EZ22" s="18">
        <f t="shared" si="172"/>
        <v>7.3164868320657233E-3</v>
      </c>
      <c r="FA22" s="18">
        <f t="shared" si="173"/>
        <v>0</v>
      </c>
      <c r="FB22" s="18">
        <f t="shared" si="174"/>
        <v>0</v>
      </c>
      <c r="FC22" s="18">
        <f t="shared" si="175"/>
        <v>0</v>
      </c>
      <c r="FD22" s="20">
        <f t="shared" si="176"/>
        <v>0</v>
      </c>
      <c r="FE22" s="20">
        <f t="shared" si="177"/>
        <v>0</v>
      </c>
      <c r="FF22" s="20">
        <f t="shared" si="178"/>
        <v>8.7355368733516126E-2</v>
      </c>
      <c r="FG22" s="18">
        <f t="shared" si="179"/>
        <v>0</v>
      </c>
      <c r="FH22" s="49">
        <f t="shared" si="180"/>
        <v>1</v>
      </c>
      <c r="FJ22" s="45">
        <f t="shared" si="255"/>
        <v>1.0133097834524007</v>
      </c>
      <c r="FK22" s="18">
        <f t="shared" si="181"/>
        <v>0</v>
      </c>
      <c r="FL22" s="18">
        <f t="shared" si="182"/>
        <v>0</v>
      </c>
      <c r="FM22" s="18">
        <f t="shared" si="183"/>
        <v>0</v>
      </c>
      <c r="FN22" s="18">
        <f t="shared" si="184"/>
        <v>0</v>
      </c>
      <c r="FO22" s="18">
        <f t="shared" si="185"/>
        <v>0</v>
      </c>
      <c r="FP22" s="18">
        <f t="shared" si="186"/>
        <v>0</v>
      </c>
      <c r="FQ22" s="19">
        <f t="shared" si="187"/>
        <v>0.89468458097907755</v>
      </c>
      <c r="FR22" s="18">
        <f t="shared" si="188"/>
        <v>3.3830985667964254E-2</v>
      </c>
      <c r="FS22" s="18">
        <f t="shared" si="189"/>
        <v>0</v>
      </c>
      <c r="FT22" s="18">
        <f t="shared" si="190"/>
        <v>0</v>
      </c>
      <c r="FU22" s="18">
        <f t="shared" si="191"/>
        <v>0</v>
      </c>
      <c r="FV22" s="20">
        <f t="shared" si="192"/>
        <v>0</v>
      </c>
      <c r="FW22" s="20">
        <f t="shared" si="193"/>
        <v>0</v>
      </c>
      <c r="FX22" s="20">
        <f t="shared" si="194"/>
        <v>7.1484433352958232E-2</v>
      </c>
      <c r="FY22" s="18">
        <f t="shared" si="195"/>
        <v>0</v>
      </c>
      <c r="FZ22" s="49">
        <f t="shared" si="196"/>
        <v>1</v>
      </c>
      <c r="GB22" s="45">
        <f t="shared" si="256"/>
        <v>1.0138460114101093</v>
      </c>
      <c r="GC22" s="18">
        <f t="shared" si="197"/>
        <v>0</v>
      </c>
      <c r="GD22" s="18">
        <f t="shared" si="198"/>
        <v>0</v>
      </c>
      <c r="GE22" s="18">
        <f t="shared" si="199"/>
        <v>0</v>
      </c>
      <c r="GF22" s="18">
        <f t="shared" si="200"/>
        <v>0</v>
      </c>
      <c r="GG22" s="18">
        <f t="shared" si="201"/>
        <v>0</v>
      </c>
      <c r="GH22" s="18">
        <f t="shared" si="202"/>
        <v>0</v>
      </c>
      <c r="GI22" s="19">
        <f t="shared" si="203"/>
        <v>0.82463102311073933</v>
      </c>
      <c r="GJ22" s="18">
        <f t="shared" si="204"/>
        <v>0.14063103588086748</v>
      </c>
      <c r="GK22" s="18">
        <f t="shared" si="205"/>
        <v>0</v>
      </c>
      <c r="GL22" s="18">
        <f t="shared" si="206"/>
        <v>0</v>
      </c>
      <c r="GM22" s="18">
        <f t="shared" si="207"/>
        <v>0</v>
      </c>
      <c r="GN22" s="20">
        <f t="shared" si="208"/>
        <v>0</v>
      </c>
      <c r="GO22" s="20">
        <f t="shared" si="209"/>
        <v>0</v>
      </c>
      <c r="GP22" s="20">
        <f t="shared" si="210"/>
        <v>3.4737941008393169E-2</v>
      </c>
      <c r="GQ22" s="18">
        <f t="shared" si="211"/>
        <v>0</v>
      </c>
      <c r="GR22" s="49">
        <f t="shared" si="212"/>
        <v>1</v>
      </c>
      <c r="GT22" s="45">
        <f t="shared" si="257"/>
        <v>1.0183574879227053</v>
      </c>
      <c r="GU22" s="18">
        <f t="shared" si="213"/>
        <v>0</v>
      </c>
      <c r="GV22" s="18">
        <f t="shared" si="214"/>
        <v>0</v>
      </c>
      <c r="GW22" s="18">
        <f t="shared" si="215"/>
        <v>0</v>
      </c>
      <c r="GX22" s="18">
        <f t="shared" si="216"/>
        <v>0</v>
      </c>
      <c r="GY22" s="18">
        <f t="shared" si="217"/>
        <v>0</v>
      </c>
      <c r="GZ22" s="18">
        <f t="shared" si="218"/>
        <v>0</v>
      </c>
      <c r="HA22" s="19">
        <f t="shared" si="219"/>
        <v>0.44637681159420289</v>
      </c>
      <c r="HB22" s="18">
        <f t="shared" si="220"/>
        <v>0.3992270531400966</v>
      </c>
      <c r="HC22" s="18">
        <f t="shared" si="221"/>
        <v>0</v>
      </c>
      <c r="HD22" s="18">
        <f t="shared" si="222"/>
        <v>0</v>
      </c>
      <c r="HE22" s="18">
        <f t="shared" si="223"/>
        <v>0</v>
      </c>
      <c r="HF22" s="20">
        <f t="shared" si="224"/>
        <v>0</v>
      </c>
      <c r="HG22" s="20">
        <f t="shared" si="225"/>
        <v>0</v>
      </c>
      <c r="HH22" s="20">
        <f t="shared" si="226"/>
        <v>0.15439613526570048</v>
      </c>
      <c r="HI22" s="18">
        <f t="shared" si="227"/>
        <v>0</v>
      </c>
      <c r="HJ22" s="49">
        <f t="shared" si="228"/>
        <v>1</v>
      </c>
      <c r="HL22" s="45">
        <f t="shared" si="258"/>
        <v>1.1467889908256881</v>
      </c>
      <c r="HM22" s="18">
        <f t="shared" si="229"/>
        <v>0</v>
      </c>
      <c r="HN22" s="18">
        <f t="shared" si="230"/>
        <v>0</v>
      </c>
      <c r="HO22" s="18">
        <f t="shared" si="231"/>
        <v>0</v>
      </c>
      <c r="HP22" s="18">
        <f t="shared" si="232"/>
        <v>0</v>
      </c>
      <c r="HQ22" s="18">
        <f t="shared" si="233"/>
        <v>0</v>
      </c>
      <c r="HR22" s="18">
        <f t="shared" si="234"/>
        <v>0</v>
      </c>
      <c r="HS22" s="19">
        <f t="shared" si="235"/>
        <v>0.96330275229357798</v>
      </c>
      <c r="HT22" s="18">
        <f t="shared" si="236"/>
        <v>0</v>
      </c>
      <c r="HU22" s="18">
        <f t="shared" si="237"/>
        <v>0</v>
      </c>
      <c r="HV22" s="18">
        <f t="shared" si="238"/>
        <v>0</v>
      </c>
      <c r="HW22" s="18">
        <f t="shared" si="239"/>
        <v>0</v>
      </c>
      <c r="HX22" s="20">
        <f t="shared" si="240"/>
        <v>0</v>
      </c>
      <c r="HY22" s="20">
        <f t="shared" si="241"/>
        <v>0</v>
      </c>
      <c r="HZ22" s="20">
        <f t="shared" si="242"/>
        <v>3.669724770642202E-2</v>
      </c>
      <c r="IA22" s="18">
        <f t="shared" si="243"/>
        <v>0</v>
      </c>
      <c r="IB22" s="49">
        <f t="shared" si="244"/>
        <v>1</v>
      </c>
    </row>
    <row r="23" spans="2:236" s="11" customFormat="1" x14ac:dyDescent="0.35">
      <c r="B23" s="17" t="s">
        <v>76</v>
      </c>
      <c r="C23" s="17"/>
      <c r="D23" s="45">
        <f t="shared" si="245"/>
        <v>1.0135135135135136</v>
      </c>
      <c r="E23" s="18">
        <f t="shared" si="246"/>
        <v>0</v>
      </c>
      <c r="F23" s="18">
        <f t="shared" si="38"/>
        <v>0</v>
      </c>
      <c r="G23" s="18">
        <f t="shared" si="39"/>
        <v>0</v>
      </c>
      <c r="H23" s="18">
        <f t="shared" si="40"/>
        <v>0</v>
      </c>
      <c r="I23" s="18">
        <f t="shared" si="41"/>
        <v>0</v>
      </c>
      <c r="J23" s="18">
        <f t="shared" si="42"/>
        <v>0</v>
      </c>
      <c r="K23" s="18">
        <f t="shared" si="43"/>
        <v>0</v>
      </c>
      <c r="L23" s="18">
        <f t="shared" si="44"/>
        <v>0</v>
      </c>
      <c r="M23" s="18">
        <f t="shared" si="45"/>
        <v>0</v>
      </c>
      <c r="N23" s="18">
        <f t="shared" si="46"/>
        <v>0</v>
      </c>
      <c r="O23" s="18">
        <f t="shared" si="47"/>
        <v>0</v>
      </c>
      <c r="P23" s="20">
        <f t="shared" si="48"/>
        <v>0</v>
      </c>
      <c r="Q23" s="20">
        <f t="shared" si="49"/>
        <v>0</v>
      </c>
      <c r="R23" s="20">
        <f t="shared" si="50"/>
        <v>3.1883445945945943E-2</v>
      </c>
      <c r="S23" s="18">
        <f t="shared" si="51"/>
        <v>0.96811655405405406</v>
      </c>
      <c r="T23" s="49">
        <f t="shared" si="52"/>
        <v>1</v>
      </c>
      <c r="V23" s="45">
        <f t="shared" si="247"/>
        <v>0</v>
      </c>
      <c r="W23" s="18">
        <f t="shared" si="53"/>
        <v>0</v>
      </c>
      <c r="X23" s="18">
        <f t="shared" si="54"/>
        <v>0</v>
      </c>
      <c r="Y23" s="18">
        <f t="shared" si="55"/>
        <v>0</v>
      </c>
      <c r="Z23" s="18">
        <f t="shared" si="56"/>
        <v>0</v>
      </c>
      <c r="AA23" s="18">
        <f t="shared" si="57"/>
        <v>0</v>
      </c>
      <c r="AB23" s="18">
        <f t="shared" si="58"/>
        <v>0</v>
      </c>
      <c r="AC23" s="18">
        <f t="shared" si="59"/>
        <v>0</v>
      </c>
      <c r="AD23" s="18">
        <f t="shared" si="60"/>
        <v>0</v>
      </c>
      <c r="AE23" s="18">
        <f t="shared" si="61"/>
        <v>0</v>
      </c>
      <c r="AF23" s="18">
        <f t="shared" si="62"/>
        <v>0</v>
      </c>
      <c r="AG23" s="18">
        <f t="shared" si="63"/>
        <v>0</v>
      </c>
      <c r="AH23" s="20">
        <f t="shared" si="64"/>
        <v>0</v>
      </c>
      <c r="AI23" s="20">
        <f t="shared" si="65"/>
        <v>0</v>
      </c>
      <c r="AJ23" s="20">
        <f t="shared" si="66"/>
        <v>0</v>
      </c>
      <c r="AK23" s="18">
        <f t="shared" si="67"/>
        <v>0</v>
      </c>
      <c r="AL23" s="49">
        <f t="shared" si="68"/>
        <v>0</v>
      </c>
      <c r="AN23" s="45">
        <f t="shared" si="248"/>
        <v>0</v>
      </c>
      <c r="AO23" s="18">
        <f t="shared" si="69"/>
        <v>0</v>
      </c>
      <c r="AP23" s="18">
        <f t="shared" si="70"/>
        <v>0</v>
      </c>
      <c r="AQ23" s="18">
        <f t="shared" si="71"/>
        <v>0</v>
      </c>
      <c r="AR23" s="18">
        <f t="shared" si="72"/>
        <v>0</v>
      </c>
      <c r="AS23" s="18">
        <f t="shared" si="73"/>
        <v>0</v>
      </c>
      <c r="AT23" s="18">
        <f t="shared" si="74"/>
        <v>0</v>
      </c>
      <c r="AU23" s="18">
        <f t="shared" si="75"/>
        <v>0</v>
      </c>
      <c r="AV23" s="18">
        <f t="shared" si="76"/>
        <v>0</v>
      </c>
      <c r="AW23" s="18">
        <f t="shared" si="77"/>
        <v>0</v>
      </c>
      <c r="AX23" s="18">
        <f t="shared" si="78"/>
        <v>0</v>
      </c>
      <c r="AY23" s="18">
        <f t="shared" si="79"/>
        <v>0</v>
      </c>
      <c r="AZ23" s="20">
        <f t="shared" si="80"/>
        <v>0</v>
      </c>
      <c r="BA23" s="20">
        <f t="shared" si="81"/>
        <v>0</v>
      </c>
      <c r="BB23" s="20">
        <f t="shared" si="82"/>
        <v>0</v>
      </c>
      <c r="BC23" s="18">
        <f t="shared" si="83"/>
        <v>0</v>
      </c>
      <c r="BD23" s="49">
        <f t="shared" si="84"/>
        <v>0</v>
      </c>
      <c r="BF23" s="45">
        <f t="shared" si="249"/>
        <v>0</v>
      </c>
      <c r="BG23" s="18">
        <f t="shared" si="85"/>
        <v>0</v>
      </c>
      <c r="BH23" s="18">
        <f t="shared" si="86"/>
        <v>0</v>
      </c>
      <c r="BI23" s="18">
        <f t="shared" si="87"/>
        <v>0</v>
      </c>
      <c r="BJ23" s="18">
        <f t="shared" si="88"/>
        <v>0</v>
      </c>
      <c r="BK23" s="18">
        <f t="shared" si="89"/>
        <v>0</v>
      </c>
      <c r="BL23" s="18">
        <f t="shared" si="90"/>
        <v>0</v>
      </c>
      <c r="BM23" s="18">
        <f t="shared" si="91"/>
        <v>0</v>
      </c>
      <c r="BN23" s="18">
        <f t="shared" si="92"/>
        <v>0</v>
      </c>
      <c r="BO23" s="18">
        <f t="shared" si="93"/>
        <v>0</v>
      </c>
      <c r="BP23" s="18">
        <f t="shared" si="94"/>
        <v>0</v>
      </c>
      <c r="BQ23" s="18">
        <f t="shared" si="95"/>
        <v>0</v>
      </c>
      <c r="BR23" s="20">
        <f t="shared" si="96"/>
        <v>0</v>
      </c>
      <c r="BS23" s="20">
        <f t="shared" si="97"/>
        <v>0</v>
      </c>
      <c r="BT23" s="20">
        <f t="shared" si="98"/>
        <v>0</v>
      </c>
      <c r="BU23" s="18">
        <f t="shared" si="99"/>
        <v>0</v>
      </c>
      <c r="BV23" s="49">
        <f t="shared" si="100"/>
        <v>0</v>
      </c>
      <c r="BX23" s="45">
        <f t="shared" si="250"/>
        <v>0</v>
      </c>
      <c r="BY23" s="18">
        <f t="shared" si="101"/>
        <v>0</v>
      </c>
      <c r="BZ23" s="18">
        <f t="shared" si="102"/>
        <v>0</v>
      </c>
      <c r="CA23" s="18">
        <f t="shared" si="103"/>
        <v>0</v>
      </c>
      <c r="CB23" s="18">
        <f t="shared" si="104"/>
        <v>0</v>
      </c>
      <c r="CC23" s="18">
        <f t="shared" si="105"/>
        <v>0</v>
      </c>
      <c r="CD23" s="18">
        <f t="shared" si="106"/>
        <v>0</v>
      </c>
      <c r="CE23" s="18">
        <f t="shared" si="107"/>
        <v>0</v>
      </c>
      <c r="CF23" s="18">
        <f t="shared" si="108"/>
        <v>0</v>
      </c>
      <c r="CG23" s="18">
        <f t="shared" si="109"/>
        <v>0</v>
      </c>
      <c r="CH23" s="18">
        <f t="shared" si="110"/>
        <v>0</v>
      </c>
      <c r="CI23" s="18">
        <f t="shared" si="111"/>
        <v>0</v>
      </c>
      <c r="CJ23" s="20">
        <f t="shared" si="112"/>
        <v>0</v>
      </c>
      <c r="CK23" s="20">
        <f t="shared" si="113"/>
        <v>0</v>
      </c>
      <c r="CL23" s="20">
        <f t="shared" si="114"/>
        <v>0</v>
      </c>
      <c r="CM23" s="18">
        <f t="shared" si="115"/>
        <v>0</v>
      </c>
      <c r="CN23" s="49">
        <f t="shared" si="116"/>
        <v>0</v>
      </c>
      <c r="CP23" s="45">
        <f t="shared" si="251"/>
        <v>0</v>
      </c>
      <c r="CQ23" s="18">
        <f t="shared" si="117"/>
        <v>0</v>
      </c>
      <c r="CR23" s="18">
        <f t="shared" si="118"/>
        <v>0</v>
      </c>
      <c r="CS23" s="18">
        <f t="shared" si="119"/>
        <v>0</v>
      </c>
      <c r="CT23" s="18">
        <f t="shared" si="120"/>
        <v>0</v>
      </c>
      <c r="CU23" s="18">
        <f t="shared" si="121"/>
        <v>0</v>
      </c>
      <c r="CV23" s="18">
        <f t="shared" si="122"/>
        <v>0</v>
      </c>
      <c r="CW23" s="18">
        <f t="shared" si="123"/>
        <v>0</v>
      </c>
      <c r="CX23" s="18">
        <f t="shared" si="124"/>
        <v>0</v>
      </c>
      <c r="CY23" s="18">
        <f t="shared" si="125"/>
        <v>0</v>
      </c>
      <c r="CZ23" s="18">
        <f t="shared" si="126"/>
        <v>0</v>
      </c>
      <c r="DA23" s="18">
        <f t="shared" si="127"/>
        <v>0</v>
      </c>
      <c r="DB23" s="20">
        <f t="shared" si="128"/>
        <v>0</v>
      </c>
      <c r="DC23" s="20">
        <f t="shared" si="129"/>
        <v>0</v>
      </c>
      <c r="DD23" s="20">
        <f t="shared" si="130"/>
        <v>0</v>
      </c>
      <c r="DE23" s="18">
        <f t="shared" si="131"/>
        <v>0</v>
      </c>
      <c r="DF23" s="49">
        <f t="shared" si="132"/>
        <v>0</v>
      </c>
      <c r="DH23" s="45">
        <f t="shared" si="252"/>
        <v>0</v>
      </c>
      <c r="DI23" s="18">
        <f t="shared" si="133"/>
        <v>0</v>
      </c>
      <c r="DJ23" s="18">
        <f t="shared" si="134"/>
        <v>0</v>
      </c>
      <c r="DK23" s="18">
        <f t="shared" si="135"/>
        <v>0</v>
      </c>
      <c r="DL23" s="18">
        <f t="shared" si="136"/>
        <v>0</v>
      </c>
      <c r="DM23" s="18">
        <f t="shared" si="137"/>
        <v>0</v>
      </c>
      <c r="DN23" s="18">
        <f t="shared" si="138"/>
        <v>0</v>
      </c>
      <c r="DO23" s="18">
        <f t="shared" si="139"/>
        <v>0</v>
      </c>
      <c r="DP23" s="18">
        <f t="shared" si="140"/>
        <v>0</v>
      </c>
      <c r="DQ23" s="18">
        <f t="shared" si="141"/>
        <v>0</v>
      </c>
      <c r="DR23" s="18">
        <f t="shared" si="142"/>
        <v>0</v>
      </c>
      <c r="DS23" s="18">
        <f t="shared" si="143"/>
        <v>0</v>
      </c>
      <c r="DT23" s="20">
        <f t="shared" si="144"/>
        <v>0</v>
      </c>
      <c r="DU23" s="20">
        <f t="shared" si="145"/>
        <v>0</v>
      </c>
      <c r="DV23" s="20">
        <f t="shared" si="146"/>
        <v>0</v>
      </c>
      <c r="DW23" s="18">
        <f t="shared" si="147"/>
        <v>0</v>
      </c>
      <c r="DX23" s="49">
        <f t="shared" si="148"/>
        <v>0</v>
      </c>
      <c r="DZ23" s="45">
        <f t="shared" si="253"/>
        <v>0</v>
      </c>
      <c r="EA23" s="18">
        <f t="shared" si="149"/>
        <v>0</v>
      </c>
      <c r="EB23" s="18">
        <f t="shared" si="150"/>
        <v>0</v>
      </c>
      <c r="EC23" s="18">
        <f t="shared" si="151"/>
        <v>0</v>
      </c>
      <c r="ED23" s="18">
        <f t="shared" si="152"/>
        <v>0</v>
      </c>
      <c r="EE23" s="18">
        <f t="shared" si="153"/>
        <v>0</v>
      </c>
      <c r="EF23" s="18">
        <f t="shared" si="154"/>
        <v>0</v>
      </c>
      <c r="EG23" s="18">
        <f t="shared" si="155"/>
        <v>0</v>
      </c>
      <c r="EH23" s="18">
        <f t="shared" si="156"/>
        <v>0</v>
      </c>
      <c r="EI23" s="18">
        <f t="shared" si="157"/>
        <v>0</v>
      </c>
      <c r="EJ23" s="18">
        <f t="shared" si="158"/>
        <v>0</v>
      </c>
      <c r="EK23" s="18">
        <f t="shared" si="159"/>
        <v>0</v>
      </c>
      <c r="EL23" s="20">
        <f t="shared" si="160"/>
        <v>0</v>
      </c>
      <c r="EM23" s="20">
        <f t="shared" si="161"/>
        <v>0</v>
      </c>
      <c r="EN23" s="20">
        <f t="shared" si="162"/>
        <v>0</v>
      </c>
      <c r="EO23" s="18">
        <f t="shared" si="163"/>
        <v>0</v>
      </c>
      <c r="EP23" s="49">
        <f t="shared" si="164"/>
        <v>0</v>
      </c>
      <c r="ER23" s="45">
        <f t="shared" si="254"/>
        <v>0</v>
      </c>
      <c r="ES23" s="18">
        <f t="shared" si="165"/>
        <v>0</v>
      </c>
      <c r="ET23" s="18">
        <f t="shared" si="166"/>
        <v>0</v>
      </c>
      <c r="EU23" s="18">
        <f t="shared" si="167"/>
        <v>0</v>
      </c>
      <c r="EV23" s="18">
        <f t="shared" si="168"/>
        <v>0</v>
      </c>
      <c r="EW23" s="18">
        <f t="shared" si="169"/>
        <v>0</v>
      </c>
      <c r="EX23" s="18">
        <f t="shared" si="170"/>
        <v>0</v>
      </c>
      <c r="EY23" s="18">
        <f t="shared" si="171"/>
        <v>0</v>
      </c>
      <c r="EZ23" s="18">
        <f t="shared" si="172"/>
        <v>0</v>
      </c>
      <c r="FA23" s="18">
        <f t="shared" si="173"/>
        <v>0</v>
      </c>
      <c r="FB23" s="18">
        <f t="shared" si="174"/>
        <v>0</v>
      </c>
      <c r="FC23" s="18">
        <f t="shared" si="175"/>
        <v>0</v>
      </c>
      <c r="FD23" s="20">
        <f t="shared" si="176"/>
        <v>0</v>
      </c>
      <c r="FE23" s="20">
        <f t="shared" si="177"/>
        <v>0</v>
      </c>
      <c r="FF23" s="20">
        <f t="shared" si="178"/>
        <v>0</v>
      </c>
      <c r="FG23" s="18">
        <f t="shared" si="179"/>
        <v>0</v>
      </c>
      <c r="FH23" s="49">
        <f t="shared" si="180"/>
        <v>0</v>
      </c>
      <c r="FJ23" s="45">
        <f t="shared" si="255"/>
        <v>1.0138248847926268</v>
      </c>
      <c r="FK23" s="18">
        <f t="shared" si="181"/>
        <v>0</v>
      </c>
      <c r="FL23" s="18">
        <f t="shared" si="182"/>
        <v>0</v>
      </c>
      <c r="FM23" s="18">
        <f t="shared" si="183"/>
        <v>0</v>
      </c>
      <c r="FN23" s="18">
        <f t="shared" si="184"/>
        <v>0</v>
      </c>
      <c r="FO23" s="18">
        <f t="shared" si="185"/>
        <v>0</v>
      </c>
      <c r="FP23" s="18">
        <f t="shared" si="186"/>
        <v>0</v>
      </c>
      <c r="FQ23" s="18">
        <f t="shared" si="187"/>
        <v>0</v>
      </c>
      <c r="FR23" s="18">
        <f t="shared" si="188"/>
        <v>0</v>
      </c>
      <c r="FS23" s="18">
        <f t="shared" si="189"/>
        <v>0</v>
      </c>
      <c r="FT23" s="18">
        <f t="shared" si="190"/>
        <v>0</v>
      </c>
      <c r="FU23" s="18">
        <f t="shared" si="191"/>
        <v>0</v>
      </c>
      <c r="FV23" s="20">
        <f t="shared" si="192"/>
        <v>0</v>
      </c>
      <c r="FW23" s="20">
        <f t="shared" si="193"/>
        <v>0</v>
      </c>
      <c r="FX23" s="20">
        <f t="shared" si="194"/>
        <v>3.2258064516129031E-2</v>
      </c>
      <c r="FY23" s="18">
        <f t="shared" si="195"/>
        <v>0.967741935483871</v>
      </c>
      <c r="FZ23" s="49">
        <f t="shared" si="196"/>
        <v>1</v>
      </c>
      <c r="GB23" s="45">
        <f t="shared" si="256"/>
        <v>1.0101010101010102</v>
      </c>
      <c r="GC23" s="18">
        <f t="shared" si="197"/>
        <v>0</v>
      </c>
      <c r="GD23" s="18">
        <f t="shared" si="198"/>
        <v>0</v>
      </c>
      <c r="GE23" s="18">
        <f t="shared" si="199"/>
        <v>0</v>
      </c>
      <c r="GF23" s="18">
        <f t="shared" si="200"/>
        <v>0</v>
      </c>
      <c r="GG23" s="18">
        <f t="shared" si="201"/>
        <v>0</v>
      </c>
      <c r="GH23" s="18">
        <f t="shared" si="202"/>
        <v>0</v>
      </c>
      <c r="GI23" s="18">
        <f t="shared" si="203"/>
        <v>0</v>
      </c>
      <c r="GJ23" s="18">
        <f t="shared" si="204"/>
        <v>0</v>
      </c>
      <c r="GK23" s="18">
        <f t="shared" si="205"/>
        <v>0</v>
      </c>
      <c r="GL23" s="18">
        <f t="shared" si="206"/>
        <v>0</v>
      </c>
      <c r="GM23" s="18">
        <f t="shared" si="207"/>
        <v>0</v>
      </c>
      <c r="GN23" s="20">
        <f t="shared" si="208"/>
        <v>0</v>
      </c>
      <c r="GO23" s="20">
        <f t="shared" si="209"/>
        <v>0</v>
      </c>
      <c r="GP23" s="20">
        <f t="shared" si="210"/>
        <v>2.7777777777777776E-2</v>
      </c>
      <c r="GQ23" s="18">
        <f t="shared" si="211"/>
        <v>0.97222222222222221</v>
      </c>
      <c r="GR23" s="49">
        <f t="shared" si="212"/>
        <v>1</v>
      </c>
      <c r="GT23" s="45">
        <f t="shared" si="257"/>
        <v>0</v>
      </c>
      <c r="GU23" s="18">
        <f t="shared" si="213"/>
        <v>0</v>
      </c>
      <c r="GV23" s="18">
        <f t="shared" si="214"/>
        <v>0</v>
      </c>
      <c r="GW23" s="18">
        <f t="shared" si="215"/>
        <v>0</v>
      </c>
      <c r="GX23" s="18">
        <f t="shared" si="216"/>
        <v>0</v>
      </c>
      <c r="GY23" s="18">
        <f t="shared" si="217"/>
        <v>0</v>
      </c>
      <c r="GZ23" s="18">
        <f t="shared" si="218"/>
        <v>0</v>
      </c>
      <c r="HA23" s="18">
        <f t="shared" si="219"/>
        <v>0</v>
      </c>
      <c r="HB23" s="18">
        <f t="shared" si="220"/>
        <v>0</v>
      </c>
      <c r="HC23" s="18">
        <f t="shared" si="221"/>
        <v>0</v>
      </c>
      <c r="HD23" s="18">
        <f t="shared" si="222"/>
        <v>0</v>
      </c>
      <c r="HE23" s="18">
        <f t="shared" si="223"/>
        <v>0</v>
      </c>
      <c r="HF23" s="20">
        <f t="shared" si="224"/>
        <v>0</v>
      </c>
      <c r="HG23" s="20">
        <f t="shared" si="225"/>
        <v>0</v>
      </c>
      <c r="HH23" s="20">
        <f t="shared" si="226"/>
        <v>0</v>
      </c>
      <c r="HI23" s="18">
        <f t="shared" si="227"/>
        <v>0</v>
      </c>
      <c r="HJ23" s="49">
        <f t="shared" si="228"/>
        <v>0</v>
      </c>
      <c r="HL23" s="45">
        <f t="shared" si="258"/>
        <v>0</v>
      </c>
      <c r="HM23" s="18">
        <f t="shared" si="229"/>
        <v>0</v>
      </c>
      <c r="HN23" s="18">
        <f t="shared" si="230"/>
        <v>0</v>
      </c>
      <c r="HO23" s="18">
        <f t="shared" si="231"/>
        <v>0</v>
      </c>
      <c r="HP23" s="18">
        <f t="shared" si="232"/>
        <v>0</v>
      </c>
      <c r="HQ23" s="18">
        <f t="shared" si="233"/>
        <v>0</v>
      </c>
      <c r="HR23" s="18">
        <f t="shared" si="234"/>
        <v>0</v>
      </c>
      <c r="HS23" s="18">
        <f t="shared" si="235"/>
        <v>0</v>
      </c>
      <c r="HT23" s="18">
        <f t="shared" si="236"/>
        <v>0</v>
      </c>
      <c r="HU23" s="18">
        <f t="shared" si="237"/>
        <v>0</v>
      </c>
      <c r="HV23" s="18">
        <f t="shared" si="238"/>
        <v>0</v>
      </c>
      <c r="HW23" s="18">
        <f t="shared" si="239"/>
        <v>0</v>
      </c>
      <c r="HX23" s="20">
        <f t="shared" si="240"/>
        <v>0</v>
      </c>
      <c r="HY23" s="20">
        <f t="shared" si="241"/>
        <v>0</v>
      </c>
      <c r="HZ23" s="20">
        <f t="shared" si="242"/>
        <v>0</v>
      </c>
      <c r="IA23" s="18">
        <f t="shared" si="243"/>
        <v>0</v>
      </c>
      <c r="IB23" s="49">
        <f t="shared" si="244"/>
        <v>0</v>
      </c>
    </row>
    <row r="24" spans="2:236" s="11" customFormat="1" x14ac:dyDescent="0.35">
      <c r="B24" s="35" t="s">
        <v>158</v>
      </c>
      <c r="C24" s="17"/>
      <c r="D24" s="45">
        <f t="shared" si="245"/>
        <v>1.0114384676259101</v>
      </c>
      <c r="E24" s="36">
        <f t="shared" si="246"/>
        <v>0.13521124067649204</v>
      </c>
      <c r="F24" s="36">
        <f t="shared" si="38"/>
        <v>0.25976334771922588</v>
      </c>
      <c r="G24" s="36">
        <f t="shared" si="39"/>
        <v>0.44067370108195802</v>
      </c>
      <c r="H24" s="36">
        <f t="shared" si="40"/>
        <v>0</v>
      </c>
      <c r="I24" s="36">
        <f t="shared" si="41"/>
        <v>4.0663431291337385E-2</v>
      </c>
      <c r="J24" s="36">
        <f t="shared" si="42"/>
        <v>9.2734256015860188E-5</v>
      </c>
      <c r="K24" s="36">
        <f t="shared" si="43"/>
        <v>4.7009318600096633E-2</v>
      </c>
      <c r="L24" s="36">
        <f t="shared" si="44"/>
        <v>2.1641123340612636E-3</v>
      </c>
      <c r="M24" s="36">
        <f t="shared" si="45"/>
        <v>2.1176278209191365E-3</v>
      </c>
      <c r="N24" s="36">
        <f t="shared" si="46"/>
        <v>3.3055653789957249E-3</v>
      </c>
      <c r="O24" s="36">
        <f t="shared" si="47"/>
        <v>1.2421694900757372E-2</v>
      </c>
      <c r="P24" s="37">
        <f t="shared" si="48"/>
        <v>6.3141463684723027E-3</v>
      </c>
      <c r="Q24" s="37">
        <f t="shared" si="49"/>
        <v>0</v>
      </c>
      <c r="R24" s="37">
        <f t="shared" si="50"/>
        <v>4.9724868731373828E-2</v>
      </c>
      <c r="S24" s="36">
        <f t="shared" si="51"/>
        <v>5.3821084029458089E-4</v>
      </c>
      <c r="T24" s="49">
        <f t="shared" si="52"/>
        <v>1</v>
      </c>
      <c r="V24" s="45">
        <f t="shared" si="247"/>
        <v>1.0018087903392459</v>
      </c>
      <c r="W24" s="36">
        <f t="shared" si="53"/>
        <v>0.17744280953342276</v>
      </c>
      <c r="X24" s="36">
        <f t="shared" si="54"/>
        <v>0.12127008580538656</v>
      </c>
      <c r="Y24" s="36">
        <f t="shared" si="55"/>
        <v>0.59548909643047876</v>
      </c>
      <c r="Z24" s="36">
        <f t="shared" si="56"/>
        <v>0</v>
      </c>
      <c r="AA24" s="36">
        <f t="shared" si="57"/>
        <v>1.3550178182552284E-2</v>
      </c>
      <c r="AB24" s="36">
        <f t="shared" si="58"/>
        <v>0</v>
      </c>
      <c r="AC24" s="36">
        <f t="shared" si="59"/>
        <v>4.9872979010873265E-2</v>
      </c>
      <c r="AD24" s="36">
        <f t="shared" si="60"/>
        <v>0</v>
      </c>
      <c r="AE24" s="36">
        <f t="shared" si="61"/>
        <v>5.249787264302449E-4</v>
      </c>
      <c r="AF24" s="36">
        <f t="shared" si="62"/>
        <v>2.0999149057209796E-3</v>
      </c>
      <c r="AG24" s="36">
        <f t="shared" si="63"/>
        <v>2.6248936321512243E-3</v>
      </c>
      <c r="AH24" s="37">
        <f t="shared" si="64"/>
        <v>5.7747659907326941E-3</v>
      </c>
      <c r="AI24" s="37">
        <f t="shared" si="65"/>
        <v>0</v>
      </c>
      <c r="AJ24" s="37">
        <f t="shared" si="66"/>
        <v>3.1350297782251235E-2</v>
      </c>
      <c r="AK24" s="36">
        <f t="shared" si="67"/>
        <v>0</v>
      </c>
      <c r="AL24" s="49">
        <f t="shared" si="68"/>
        <v>1</v>
      </c>
      <c r="AN24" s="45">
        <f t="shared" si="248"/>
        <v>1.0022918245612011</v>
      </c>
      <c r="AO24" s="36">
        <f t="shared" si="69"/>
        <v>0.22089428165443509</v>
      </c>
      <c r="AP24" s="36">
        <f t="shared" si="70"/>
        <v>0.30997772501568982</v>
      </c>
      <c r="AQ24" s="36">
        <f t="shared" si="71"/>
        <v>0.24975032389855933</v>
      </c>
      <c r="AR24" s="36">
        <f t="shared" si="72"/>
        <v>0</v>
      </c>
      <c r="AS24" s="36">
        <f t="shared" si="73"/>
        <v>2.5854156168999588E-2</v>
      </c>
      <c r="AT24" s="36">
        <f t="shared" si="74"/>
        <v>0</v>
      </c>
      <c r="AU24" s="36">
        <f t="shared" si="75"/>
        <v>9.1714217146872223E-2</v>
      </c>
      <c r="AV24" s="36">
        <f t="shared" si="76"/>
        <v>8.6592867551673258E-4</v>
      </c>
      <c r="AW24" s="36">
        <f t="shared" si="77"/>
        <v>1.8143267487017254E-3</v>
      </c>
      <c r="AX24" s="36">
        <f t="shared" si="78"/>
        <v>9.9787971178594906E-3</v>
      </c>
      <c r="AY24" s="36">
        <f t="shared" si="79"/>
        <v>8.1644703691577652E-3</v>
      </c>
      <c r="AZ24" s="37">
        <f t="shared" si="80"/>
        <v>4.5358168717543135E-3</v>
      </c>
      <c r="BA24" s="37">
        <f t="shared" si="81"/>
        <v>0</v>
      </c>
      <c r="BB24" s="37">
        <f t="shared" si="82"/>
        <v>7.6449956332453939E-2</v>
      </c>
      <c r="BC24" s="36">
        <f t="shared" si="83"/>
        <v>0</v>
      </c>
      <c r="BD24" s="49">
        <f t="shared" si="84"/>
        <v>1</v>
      </c>
      <c r="BF24" s="45">
        <f t="shared" si="249"/>
        <v>1.0021531914406001</v>
      </c>
      <c r="BG24" s="36">
        <f t="shared" si="85"/>
        <v>3.0011538072227954E-3</v>
      </c>
      <c r="BH24" s="36">
        <f t="shared" si="86"/>
        <v>0.33792991869328676</v>
      </c>
      <c r="BI24" s="36">
        <f t="shared" si="87"/>
        <v>0.37694491818718295</v>
      </c>
      <c r="BJ24" s="36">
        <f t="shared" si="88"/>
        <v>0</v>
      </c>
      <c r="BK24" s="36">
        <f t="shared" si="89"/>
        <v>0.11372053855977904</v>
      </c>
      <c r="BL24" s="36">
        <f t="shared" si="90"/>
        <v>5.7294754501526098E-4</v>
      </c>
      <c r="BM24" s="36">
        <f t="shared" si="91"/>
        <v>9.5968713790056212E-2</v>
      </c>
      <c r="BN24" s="36">
        <f t="shared" si="92"/>
        <v>0</v>
      </c>
      <c r="BO24" s="36">
        <f t="shared" si="93"/>
        <v>0</v>
      </c>
      <c r="BP24" s="36">
        <f t="shared" si="94"/>
        <v>0</v>
      </c>
      <c r="BQ24" s="36">
        <f t="shared" si="95"/>
        <v>2.7010384265005157E-3</v>
      </c>
      <c r="BR24" s="37">
        <f t="shared" si="96"/>
        <v>1.2004615228891182E-3</v>
      </c>
      <c r="BS24" s="37">
        <f t="shared" si="97"/>
        <v>0</v>
      </c>
      <c r="BT24" s="37">
        <f t="shared" si="98"/>
        <v>6.7960309468067318E-2</v>
      </c>
      <c r="BU24" s="36">
        <f t="shared" si="99"/>
        <v>0</v>
      </c>
      <c r="BV24" s="49">
        <f t="shared" si="100"/>
        <v>1</v>
      </c>
      <c r="BX24" s="45">
        <f t="shared" si="250"/>
        <v>1.0067354300187739</v>
      </c>
      <c r="BY24" s="36">
        <f t="shared" si="101"/>
        <v>1.1126756004402149E-3</v>
      </c>
      <c r="BZ24" s="36">
        <f t="shared" si="102"/>
        <v>0.33075516281478606</v>
      </c>
      <c r="CA24" s="36">
        <f t="shared" si="103"/>
        <v>0.53964766621350435</v>
      </c>
      <c r="CB24" s="36">
        <f t="shared" si="104"/>
        <v>0</v>
      </c>
      <c r="CC24" s="36">
        <f t="shared" si="105"/>
        <v>2.7279771152974686E-2</v>
      </c>
      <c r="CD24" s="36">
        <f t="shared" si="106"/>
        <v>0</v>
      </c>
      <c r="CE24" s="36">
        <f t="shared" si="107"/>
        <v>2.8449698970673919E-2</v>
      </c>
      <c r="CF24" s="36">
        <f t="shared" si="108"/>
        <v>6.3725966207030488E-4</v>
      </c>
      <c r="CG24" s="36">
        <f t="shared" si="109"/>
        <v>0</v>
      </c>
      <c r="CH24" s="36">
        <f t="shared" si="110"/>
        <v>6.6760536026412923E-3</v>
      </c>
      <c r="CI24" s="36">
        <f t="shared" si="111"/>
        <v>4.0056321615847736E-3</v>
      </c>
      <c r="CJ24" s="37">
        <f t="shared" si="112"/>
        <v>4.683352754580177E-3</v>
      </c>
      <c r="CK24" s="37">
        <f t="shared" si="113"/>
        <v>0</v>
      </c>
      <c r="CL24" s="37">
        <f t="shared" si="114"/>
        <v>5.6752727066744363E-2</v>
      </c>
      <c r="CM24" s="36">
        <f t="shared" si="115"/>
        <v>0</v>
      </c>
      <c r="CN24" s="49">
        <f t="shared" si="116"/>
        <v>1</v>
      </c>
      <c r="CP24" s="45">
        <f t="shared" si="251"/>
        <v>1.0124762439172958</v>
      </c>
      <c r="CQ24" s="36">
        <f t="shared" si="117"/>
        <v>8.8596920283574132E-2</v>
      </c>
      <c r="CR24" s="36">
        <f t="shared" si="118"/>
        <v>0.41687491298993001</v>
      </c>
      <c r="CS24" s="36">
        <f t="shared" si="119"/>
        <v>0.4013264468474485</v>
      </c>
      <c r="CT24" s="36">
        <f t="shared" si="120"/>
        <v>0</v>
      </c>
      <c r="CU24" s="36">
        <f t="shared" si="121"/>
        <v>1.1147956856873569E-2</v>
      </c>
      <c r="CV24" s="36">
        <f t="shared" si="122"/>
        <v>0</v>
      </c>
      <c r="CW24" s="36">
        <f t="shared" si="123"/>
        <v>2.0042319564450926E-2</v>
      </c>
      <c r="CX24" s="36">
        <f t="shared" si="124"/>
        <v>2.800324090841447E-4</v>
      </c>
      <c r="CY24" s="36">
        <f t="shared" si="125"/>
        <v>2.9336728570719916E-4</v>
      </c>
      <c r="CZ24" s="36">
        <f t="shared" si="126"/>
        <v>2.933672857071992E-3</v>
      </c>
      <c r="DA24" s="36">
        <f t="shared" si="127"/>
        <v>9.3877531426303732E-3</v>
      </c>
      <c r="DB24" s="37">
        <f t="shared" si="128"/>
        <v>2.053570999950394E-3</v>
      </c>
      <c r="DC24" s="37">
        <f t="shared" si="129"/>
        <v>0</v>
      </c>
      <c r="DD24" s="37">
        <f t="shared" si="130"/>
        <v>4.7063046763278736E-2</v>
      </c>
      <c r="DE24" s="36">
        <f t="shared" si="131"/>
        <v>0</v>
      </c>
      <c r="DF24" s="49">
        <f t="shared" si="116"/>
        <v>1</v>
      </c>
      <c r="DH24" s="45">
        <f t="shared" si="252"/>
        <v>1.0155151146580446</v>
      </c>
      <c r="DI24" s="36">
        <f t="shared" si="133"/>
        <v>0.12165203415217563</v>
      </c>
      <c r="DJ24" s="36">
        <f t="shared" si="134"/>
        <v>0.47286067859150571</v>
      </c>
      <c r="DK24" s="36">
        <f t="shared" si="135"/>
        <v>0.31930416639942044</v>
      </c>
      <c r="DL24" s="36">
        <f t="shared" si="136"/>
        <v>0</v>
      </c>
      <c r="DM24" s="36">
        <f t="shared" si="137"/>
        <v>5.5178476432659624E-3</v>
      </c>
      <c r="DN24" s="36">
        <f t="shared" si="138"/>
        <v>0</v>
      </c>
      <c r="DO24" s="36">
        <f t="shared" si="139"/>
        <v>1.5187757735362141E-2</v>
      </c>
      <c r="DP24" s="36">
        <f t="shared" si="140"/>
        <v>0</v>
      </c>
      <c r="DQ24" s="36">
        <f t="shared" si="141"/>
        <v>2.0750880025957466E-3</v>
      </c>
      <c r="DR24" s="36">
        <f t="shared" si="142"/>
        <v>3.8907900048670246E-3</v>
      </c>
      <c r="DS24" s="36">
        <f t="shared" si="143"/>
        <v>7.5221940094095819E-3</v>
      </c>
      <c r="DT24" s="37">
        <f t="shared" si="144"/>
        <v>4.4095620055159615E-3</v>
      </c>
      <c r="DU24" s="37">
        <f t="shared" si="145"/>
        <v>0</v>
      </c>
      <c r="DV24" s="37">
        <f t="shared" si="146"/>
        <v>4.757988145588174E-2</v>
      </c>
      <c r="DW24" s="36">
        <f t="shared" si="147"/>
        <v>0</v>
      </c>
      <c r="DX24" s="49">
        <f t="shared" si="148"/>
        <v>1</v>
      </c>
      <c r="DZ24" s="45">
        <f t="shared" si="253"/>
        <v>1.0140209852961455</v>
      </c>
      <c r="EA24" s="36">
        <f t="shared" si="149"/>
        <v>7.7547186088632258E-2</v>
      </c>
      <c r="EB24" s="36">
        <f t="shared" si="150"/>
        <v>0.27943274173632571</v>
      </c>
      <c r="EC24" s="36">
        <f t="shared" si="151"/>
        <v>0.49396004204993177</v>
      </c>
      <c r="ED24" s="36">
        <f t="shared" si="152"/>
        <v>0</v>
      </c>
      <c r="EE24" s="36">
        <f t="shared" si="153"/>
        <v>1.1566359958982439E-2</v>
      </c>
      <c r="EF24" s="36">
        <f t="shared" si="154"/>
        <v>0</v>
      </c>
      <c r="EG24" s="36">
        <f t="shared" si="155"/>
        <v>4.6528311653179354E-2</v>
      </c>
      <c r="EH24" s="36">
        <f t="shared" si="156"/>
        <v>4.2656926708230687E-3</v>
      </c>
      <c r="EI24" s="36">
        <f t="shared" si="157"/>
        <v>2.6287181724960087E-3</v>
      </c>
      <c r="EJ24" s="36">
        <f t="shared" si="158"/>
        <v>2.8915899897456092E-3</v>
      </c>
      <c r="EK24" s="36">
        <f t="shared" si="159"/>
        <v>2.7075797176708893E-2</v>
      </c>
      <c r="EL24" s="37">
        <f t="shared" si="160"/>
        <v>3.9430772587440129E-3</v>
      </c>
      <c r="EM24" s="37">
        <f t="shared" si="161"/>
        <v>0</v>
      </c>
      <c r="EN24" s="37">
        <f t="shared" si="162"/>
        <v>5.0160483244430884E-2</v>
      </c>
      <c r="EO24" s="36">
        <f t="shared" si="163"/>
        <v>0</v>
      </c>
      <c r="EP24" s="49">
        <f t="shared" si="148"/>
        <v>1</v>
      </c>
      <c r="ER24" s="45">
        <f t="shared" si="254"/>
        <v>1.0163008331523113</v>
      </c>
      <c r="ES24" s="36">
        <f t="shared" si="165"/>
        <v>0.14187574671445638</v>
      </c>
      <c r="ET24" s="36">
        <f t="shared" si="166"/>
        <v>0.27976901632815609</v>
      </c>
      <c r="EU24" s="36">
        <f t="shared" si="167"/>
        <v>0.42388490641178805</v>
      </c>
      <c r="EV24" s="36">
        <f t="shared" si="168"/>
        <v>0</v>
      </c>
      <c r="EW24" s="36">
        <f t="shared" si="169"/>
        <v>1.443647949024293E-2</v>
      </c>
      <c r="EX24" s="36">
        <f t="shared" si="170"/>
        <v>0</v>
      </c>
      <c r="EY24" s="36">
        <f t="shared" si="171"/>
        <v>5.8798106513160274E-2</v>
      </c>
      <c r="EZ24" s="36">
        <f t="shared" si="172"/>
        <v>4.7518192679483004E-4</v>
      </c>
      <c r="FA24" s="36">
        <f t="shared" si="173"/>
        <v>0</v>
      </c>
      <c r="FB24" s="36">
        <f t="shared" si="174"/>
        <v>3.4846674631620863E-3</v>
      </c>
      <c r="FC24" s="36">
        <f t="shared" si="175"/>
        <v>2.3645957785742737E-2</v>
      </c>
      <c r="FD24" s="37">
        <f t="shared" si="176"/>
        <v>6.335759023931067E-3</v>
      </c>
      <c r="FE24" s="37">
        <f t="shared" si="177"/>
        <v>0</v>
      </c>
      <c r="FF24" s="37">
        <f t="shared" si="178"/>
        <v>4.7294178342565441E-2</v>
      </c>
      <c r="FG24" s="36">
        <f t="shared" si="179"/>
        <v>0</v>
      </c>
      <c r="FH24" s="49">
        <f t="shared" si="180"/>
        <v>1</v>
      </c>
      <c r="FJ24" s="45">
        <f t="shared" si="255"/>
        <v>1.0148439887335836</v>
      </c>
      <c r="FK24" s="36">
        <f t="shared" si="181"/>
        <v>0.10424300821374753</v>
      </c>
      <c r="FL24" s="36">
        <f t="shared" si="182"/>
        <v>0.23751176422353854</v>
      </c>
      <c r="FM24" s="36">
        <f t="shared" si="183"/>
        <v>0.45504882028635901</v>
      </c>
      <c r="FN24" s="36">
        <f t="shared" si="184"/>
        <v>0</v>
      </c>
      <c r="FO24" s="36">
        <f t="shared" si="185"/>
        <v>5.3057818551907429E-2</v>
      </c>
      <c r="FP24" s="36">
        <f t="shared" si="186"/>
        <v>0</v>
      </c>
      <c r="FQ24" s="36">
        <f t="shared" si="187"/>
        <v>8.6665265032315614E-2</v>
      </c>
      <c r="FR24" s="36">
        <f t="shared" si="188"/>
        <v>3.277100557617812E-3</v>
      </c>
      <c r="FS24" s="36">
        <f t="shared" si="189"/>
        <v>0</v>
      </c>
      <c r="FT24" s="36">
        <f t="shared" si="190"/>
        <v>2.8089433351009816E-3</v>
      </c>
      <c r="FU24" s="36">
        <f t="shared" si="191"/>
        <v>6.8663059302468436E-3</v>
      </c>
      <c r="FV24" s="37">
        <f t="shared" si="192"/>
        <v>2.4968385200897615E-3</v>
      </c>
      <c r="FW24" s="37">
        <f t="shared" si="193"/>
        <v>0</v>
      </c>
      <c r="FX24" s="37">
        <f t="shared" si="194"/>
        <v>4.2065770698862262E-2</v>
      </c>
      <c r="FY24" s="36">
        <f t="shared" si="195"/>
        <v>5.9583646502142035E-3</v>
      </c>
      <c r="FZ24" s="49">
        <f t="shared" si="180"/>
        <v>1</v>
      </c>
      <c r="GB24" s="45">
        <f t="shared" si="256"/>
        <v>1.0140595566184565</v>
      </c>
      <c r="GC24" s="36">
        <f t="shared" si="197"/>
        <v>0.17258052020819029</v>
      </c>
      <c r="GD24" s="36">
        <f t="shared" si="198"/>
        <v>5.6165258055919917E-2</v>
      </c>
      <c r="GE24" s="36">
        <f t="shared" si="199"/>
        <v>0.59535173539275088</v>
      </c>
      <c r="GF24" s="36">
        <f t="shared" si="200"/>
        <v>0</v>
      </c>
      <c r="GG24" s="36">
        <f t="shared" si="201"/>
        <v>1.8126060554410517E-2</v>
      </c>
      <c r="GH24" s="36">
        <f t="shared" si="202"/>
        <v>0</v>
      </c>
      <c r="GI24" s="36">
        <f t="shared" si="203"/>
        <v>5.9948289900182292E-2</v>
      </c>
      <c r="GJ24" s="36">
        <f t="shared" si="204"/>
        <v>1.0223469493236662E-2</v>
      </c>
      <c r="GK24" s="36">
        <f t="shared" si="205"/>
        <v>1.378601788645307E-2</v>
      </c>
      <c r="GL24" s="36">
        <f t="shared" si="206"/>
        <v>2.8082629027959957E-3</v>
      </c>
      <c r="GM24" s="36">
        <f t="shared" si="207"/>
        <v>1.0211865101076347E-2</v>
      </c>
      <c r="GN24" s="37">
        <f t="shared" si="208"/>
        <v>2.0168433574625787E-2</v>
      </c>
      <c r="GO24" s="37">
        <f t="shared" si="209"/>
        <v>0</v>
      </c>
      <c r="GP24" s="37">
        <f t="shared" si="210"/>
        <v>4.0183317832186295E-2</v>
      </c>
      <c r="GQ24" s="36">
        <f t="shared" si="211"/>
        <v>4.4676909817209021E-4</v>
      </c>
      <c r="GR24" s="49">
        <f t="shared" si="212"/>
        <v>1</v>
      </c>
      <c r="GT24" s="45">
        <f t="shared" si="257"/>
        <v>1.0147990529498294</v>
      </c>
      <c r="GU24" s="36">
        <f t="shared" si="213"/>
        <v>0.565363970830141</v>
      </c>
      <c r="GV24" s="36">
        <f t="shared" si="214"/>
        <v>2.5761727440923674E-2</v>
      </c>
      <c r="GW24" s="36">
        <f t="shared" si="215"/>
        <v>0.25148352978044541</v>
      </c>
      <c r="GX24" s="36">
        <f t="shared" si="216"/>
        <v>0</v>
      </c>
      <c r="GY24" s="36">
        <f t="shared" si="217"/>
        <v>5.0910080418968218E-2</v>
      </c>
      <c r="GZ24" s="36">
        <f t="shared" si="218"/>
        <v>1.031584323933091E-3</v>
      </c>
      <c r="HA24" s="36">
        <f t="shared" si="219"/>
        <v>9.3679008876086083E-3</v>
      </c>
      <c r="HB24" s="36">
        <f t="shared" si="220"/>
        <v>5.760143819583151E-3</v>
      </c>
      <c r="HC24" s="36">
        <f t="shared" si="221"/>
        <v>1.2267489257582703E-3</v>
      </c>
      <c r="HD24" s="36">
        <f t="shared" si="222"/>
        <v>0</v>
      </c>
      <c r="HE24" s="36">
        <f t="shared" si="223"/>
        <v>4.5389710253056E-2</v>
      </c>
      <c r="HF24" s="37">
        <f t="shared" si="224"/>
        <v>1.0427365868945297E-2</v>
      </c>
      <c r="HG24" s="37">
        <f t="shared" si="225"/>
        <v>0</v>
      </c>
      <c r="HH24" s="37">
        <f t="shared" si="226"/>
        <v>3.3277237450637299E-2</v>
      </c>
      <c r="HI24" s="36">
        <f t="shared" si="227"/>
        <v>0</v>
      </c>
      <c r="HJ24" s="49">
        <f t="shared" si="212"/>
        <v>1</v>
      </c>
      <c r="HL24" s="45">
        <f t="shared" si="258"/>
        <v>1.0166281389413925</v>
      </c>
      <c r="HM24" s="36">
        <f t="shared" si="229"/>
        <v>0.28065357648426237</v>
      </c>
      <c r="HN24" s="36">
        <f t="shared" si="230"/>
        <v>2.6438380393445007E-2</v>
      </c>
      <c r="HO24" s="36">
        <f t="shared" si="231"/>
        <v>0.44640188433547534</v>
      </c>
      <c r="HP24" s="36">
        <f t="shared" si="232"/>
        <v>0</v>
      </c>
      <c r="HQ24" s="36">
        <f t="shared" si="233"/>
        <v>0.17117156536781702</v>
      </c>
      <c r="HR24" s="36">
        <f t="shared" si="234"/>
        <v>0</v>
      </c>
      <c r="HS24" s="36">
        <f t="shared" si="235"/>
        <v>2.5883729056519586E-3</v>
      </c>
      <c r="HT24" s="36">
        <f t="shared" si="236"/>
        <v>0</v>
      </c>
      <c r="HU24" s="36">
        <f t="shared" si="237"/>
        <v>6.77907189575513E-4</v>
      </c>
      <c r="HV24" s="36">
        <f t="shared" si="238"/>
        <v>6.7790718957551289E-4</v>
      </c>
      <c r="HW24" s="36">
        <f t="shared" si="239"/>
        <v>1.2202329412359235E-2</v>
      </c>
      <c r="HX24" s="37">
        <f t="shared" si="240"/>
        <v>1.0168607843632695E-2</v>
      </c>
      <c r="HY24" s="37">
        <f t="shared" si="241"/>
        <v>0</v>
      </c>
      <c r="HZ24" s="37">
        <f t="shared" si="242"/>
        <v>4.9019468878205345E-2</v>
      </c>
      <c r="IA24" s="36">
        <f t="shared" si="243"/>
        <v>0</v>
      </c>
      <c r="IB24" s="49">
        <f t="shared" si="244"/>
        <v>1</v>
      </c>
    </row>
    <row r="25" spans="2:236" x14ac:dyDescent="0.35">
      <c r="P25" s="2"/>
      <c r="Q25" s="2"/>
      <c r="R25" s="2"/>
    </row>
    <row r="26" spans="2:236" ht="15" thickBot="1" x14ac:dyDescent="0.4">
      <c r="B26" s="12" t="s">
        <v>159</v>
      </c>
      <c r="P26" s="2"/>
      <c r="Q26" s="2"/>
      <c r="R26" s="2"/>
    </row>
    <row r="27" spans="2:236" x14ac:dyDescent="0.35">
      <c r="B27" s="14" t="s">
        <v>68</v>
      </c>
      <c r="D27" s="46">
        <f>IFERROR(D6/D$13,0)</f>
        <v>0.15910547062859193</v>
      </c>
      <c r="E27" s="51">
        <f>IFERROR(E6/E$13,0)</f>
        <v>0.97994547948535415</v>
      </c>
      <c r="F27" s="18">
        <f t="shared" ref="F27:T34" si="259">IFERROR(F6/F$13,0)</f>
        <v>2.0778021679276278E-2</v>
      </c>
      <c r="G27" s="18">
        <f t="shared" si="259"/>
        <v>7.3839575902981828E-3</v>
      </c>
      <c r="H27" s="18">
        <f t="shared" si="259"/>
        <v>0</v>
      </c>
      <c r="I27" s="18">
        <f t="shared" si="259"/>
        <v>0.18290443935863357</v>
      </c>
      <c r="J27" s="18">
        <f t="shared" si="259"/>
        <v>0</v>
      </c>
      <c r="K27" s="18">
        <f t="shared" si="259"/>
        <v>0</v>
      </c>
      <c r="L27" s="18">
        <f t="shared" si="259"/>
        <v>0</v>
      </c>
      <c r="M27" s="50">
        <f t="shared" si="259"/>
        <v>0.97560975609756095</v>
      </c>
      <c r="N27" s="18">
        <f t="shared" si="259"/>
        <v>5.46875E-2</v>
      </c>
      <c r="O27" s="18">
        <f t="shared" si="259"/>
        <v>7.4844074844074848E-2</v>
      </c>
      <c r="P27" s="18">
        <f t="shared" si="259"/>
        <v>0.23907789551961331</v>
      </c>
      <c r="Q27" s="18">
        <f t="shared" si="259"/>
        <v>0</v>
      </c>
      <c r="R27" s="18">
        <f t="shared" si="259"/>
        <v>0.11430209614402567</v>
      </c>
      <c r="S27" s="18">
        <f t="shared" si="259"/>
        <v>0</v>
      </c>
      <c r="T27" s="40">
        <f t="shared" si="259"/>
        <v>0.15895812185325378</v>
      </c>
      <c r="V27" s="46">
        <f>IFERROR(V6/V$13,0)</f>
        <v>0.1887463895464418</v>
      </c>
      <c r="W27" s="51">
        <f t="shared" ref="W27:AL27" si="260">IFERROR(W6/W$13,0)</f>
        <v>0.97633136094674555</v>
      </c>
      <c r="X27" s="18">
        <f t="shared" si="260"/>
        <v>1.7316017316017316E-2</v>
      </c>
      <c r="Y27" s="18">
        <f t="shared" si="260"/>
        <v>0</v>
      </c>
      <c r="Z27" s="18">
        <f t="shared" si="260"/>
        <v>0</v>
      </c>
      <c r="AA27" s="18">
        <f t="shared" si="260"/>
        <v>0.58114961961115807</v>
      </c>
      <c r="AB27" s="18">
        <f t="shared" si="260"/>
        <v>0</v>
      </c>
      <c r="AC27" s="18">
        <f t="shared" si="260"/>
        <v>0</v>
      </c>
      <c r="AD27" s="18">
        <f t="shared" si="260"/>
        <v>0</v>
      </c>
      <c r="AE27" s="18">
        <f t="shared" si="260"/>
        <v>1</v>
      </c>
      <c r="AF27" s="18">
        <f t="shared" si="260"/>
        <v>0</v>
      </c>
      <c r="AG27" s="18">
        <f t="shared" si="260"/>
        <v>0</v>
      </c>
      <c r="AH27" s="18">
        <f t="shared" si="260"/>
        <v>0</v>
      </c>
      <c r="AI27" s="18">
        <f t="shared" si="260"/>
        <v>0</v>
      </c>
      <c r="AJ27" s="18">
        <f t="shared" si="260"/>
        <v>0.16462421409977318</v>
      </c>
      <c r="AK27" s="18">
        <f t="shared" si="260"/>
        <v>0</v>
      </c>
      <c r="AL27" s="40">
        <f t="shared" si="260"/>
        <v>0.18890357238478267</v>
      </c>
      <c r="AN27" s="46">
        <f t="shared" ref="AN27:BD27" si="261">IFERROR(AN6/AN$13,0)</f>
        <v>0.24815896655284486</v>
      </c>
      <c r="AO27" s="51">
        <f t="shared" si="261"/>
        <v>0.99794661190965095</v>
      </c>
      <c r="AP27" s="18">
        <f t="shared" si="261"/>
        <v>1.4632718759145448E-3</v>
      </c>
      <c r="AQ27" s="18">
        <f t="shared" si="261"/>
        <v>0</v>
      </c>
      <c r="AR27" s="18">
        <f t="shared" si="261"/>
        <v>0</v>
      </c>
      <c r="AS27" s="18">
        <f t="shared" si="261"/>
        <v>0.50877192982456132</v>
      </c>
      <c r="AT27" s="18">
        <f t="shared" si="261"/>
        <v>0</v>
      </c>
      <c r="AU27" s="18">
        <f t="shared" si="261"/>
        <v>0</v>
      </c>
      <c r="AV27" s="18">
        <f t="shared" si="261"/>
        <v>0</v>
      </c>
      <c r="AW27" s="18">
        <f t="shared" si="261"/>
        <v>1</v>
      </c>
      <c r="AX27" s="18">
        <f t="shared" si="261"/>
        <v>0</v>
      </c>
      <c r="AY27" s="18">
        <f t="shared" si="261"/>
        <v>0</v>
      </c>
      <c r="AZ27" s="18">
        <f t="shared" si="261"/>
        <v>0.2</v>
      </c>
      <c r="BA27" s="18">
        <f t="shared" si="261"/>
        <v>0</v>
      </c>
      <c r="BB27" s="18">
        <f t="shared" si="261"/>
        <v>0.15457762052189297</v>
      </c>
      <c r="BC27" s="18">
        <f t="shared" si="261"/>
        <v>0</v>
      </c>
      <c r="BD27" s="40">
        <f t="shared" si="261"/>
        <v>0.24858709304444854</v>
      </c>
      <c r="BF27" s="46">
        <f t="shared" ref="BF27:BV27" si="262">IFERROR(BF6/BF$13,0)</f>
        <v>0</v>
      </c>
      <c r="BG27" s="51">
        <f t="shared" si="262"/>
        <v>0</v>
      </c>
      <c r="BH27" s="18">
        <f t="shared" si="262"/>
        <v>0</v>
      </c>
      <c r="BI27" s="18">
        <f t="shared" si="262"/>
        <v>0</v>
      </c>
      <c r="BJ27" s="18">
        <f t="shared" si="262"/>
        <v>0</v>
      </c>
      <c r="BK27" s="18">
        <f t="shared" si="262"/>
        <v>0</v>
      </c>
      <c r="BL27" s="18">
        <f t="shared" si="262"/>
        <v>0</v>
      </c>
      <c r="BM27" s="18">
        <f t="shared" si="262"/>
        <v>0</v>
      </c>
      <c r="BN27" s="18">
        <f t="shared" si="262"/>
        <v>0</v>
      </c>
      <c r="BO27" s="18">
        <f t="shared" si="262"/>
        <v>0</v>
      </c>
      <c r="BP27" s="18">
        <f t="shared" si="262"/>
        <v>0</v>
      </c>
      <c r="BQ27" s="18">
        <f t="shared" si="262"/>
        <v>0</v>
      </c>
      <c r="BR27" s="18">
        <f t="shared" si="262"/>
        <v>0</v>
      </c>
      <c r="BS27" s="18">
        <f t="shared" si="262"/>
        <v>0</v>
      </c>
      <c r="BT27" s="18">
        <f t="shared" si="262"/>
        <v>0</v>
      </c>
      <c r="BU27" s="18">
        <f t="shared" si="262"/>
        <v>0</v>
      </c>
      <c r="BV27" s="40">
        <f t="shared" si="262"/>
        <v>0</v>
      </c>
      <c r="BX27" s="46">
        <f t="shared" ref="BX27:CN34" si="263">IFERROR(BX6/BX$13,0)</f>
        <v>9.8566545027579033E-4</v>
      </c>
      <c r="BY27" s="51">
        <f t="shared" si="263"/>
        <v>0.6</v>
      </c>
      <c r="BZ27" s="18">
        <f t="shared" si="263"/>
        <v>0</v>
      </c>
      <c r="CA27" s="18">
        <f t="shared" si="263"/>
        <v>0</v>
      </c>
      <c r="CB27" s="18">
        <f t="shared" si="263"/>
        <v>0</v>
      </c>
      <c r="CC27" s="18">
        <f t="shared" si="263"/>
        <v>8.1575141829507945E-3</v>
      </c>
      <c r="CD27" s="18">
        <f t="shared" si="263"/>
        <v>0</v>
      </c>
      <c r="CE27" s="18">
        <f t="shared" si="263"/>
        <v>0</v>
      </c>
      <c r="CF27" s="18">
        <f t="shared" si="263"/>
        <v>0</v>
      </c>
      <c r="CG27" s="18">
        <f t="shared" si="263"/>
        <v>0</v>
      </c>
      <c r="CH27" s="18">
        <f t="shared" si="263"/>
        <v>0</v>
      </c>
      <c r="CI27" s="18">
        <f t="shared" si="263"/>
        <v>0</v>
      </c>
      <c r="CJ27" s="18">
        <f t="shared" si="263"/>
        <v>0</v>
      </c>
      <c r="CK27" s="18">
        <f t="shared" si="263"/>
        <v>0</v>
      </c>
      <c r="CL27" s="18">
        <f t="shared" si="263"/>
        <v>1.7823342161828813E-3</v>
      </c>
      <c r="CM27" s="18">
        <f t="shared" si="263"/>
        <v>0</v>
      </c>
      <c r="CN27" s="40">
        <f t="shared" si="263"/>
        <v>9.9129280766491884E-4</v>
      </c>
      <c r="CP27" s="46">
        <f t="shared" ref="CP27:DU34" si="264">IFERROR(CP6/CP$13,0)</f>
        <v>0.12414462167771041</v>
      </c>
      <c r="CQ27" s="51">
        <f t="shared" si="264"/>
        <v>0.99337748344370858</v>
      </c>
      <c r="CR27" s="18">
        <f t="shared" si="264"/>
        <v>5.5594651653764954E-2</v>
      </c>
      <c r="CS27" s="18">
        <f t="shared" si="264"/>
        <v>0</v>
      </c>
      <c r="CT27" s="18">
        <f t="shared" si="264"/>
        <v>0</v>
      </c>
      <c r="CU27" s="18">
        <f t="shared" si="264"/>
        <v>0.28947368421052633</v>
      </c>
      <c r="CV27" s="18">
        <f t="shared" si="264"/>
        <v>0</v>
      </c>
      <c r="CW27" s="18">
        <f t="shared" si="264"/>
        <v>0</v>
      </c>
      <c r="CX27" s="18">
        <f t="shared" si="264"/>
        <v>0</v>
      </c>
      <c r="CY27" s="18">
        <f t="shared" si="264"/>
        <v>1</v>
      </c>
      <c r="CZ27" s="18">
        <f t="shared" si="264"/>
        <v>0</v>
      </c>
      <c r="DA27" s="18">
        <f t="shared" si="264"/>
        <v>0.40625</v>
      </c>
      <c r="DB27" s="18">
        <f t="shared" si="264"/>
        <v>0</v>
      </c>
      <c r="DC27" s="18">
        <f t="shared" si="264"/>
        <v>0</v>
      </c>
      <c r="DD27" s="18">
        <f t="shared" si="264"/>
        <v>0.13158342116895039</v>
      </c>
      <c r="DE27" s="18">
        <f t="shared" si="264"/>
        <v>0</v>
      </c>
      <c r="DF27" s="40">
        <f t="shared" si="264"/>
        <v>0.12471310012945497</v>
      </c>
      <c r="DH27" s="46">
        <f t="shared" ref="DH27:DX34" si="265">IFERROR(DH6/DH$13,0)</f>
        <v>0.12130274363283951</v>
      </c>
      <c r="DI27" s="51">
        <f t="shared" si="265"/>
        <v>0.89552238805970152</v>
      </c>
      <c r="DJ27" s="18">
        <f t="shared" si="265"/>
        <v>4.388370817334065E-3</v>
      </c>
      <c r="DK27" s="18">
        <f t="shared" si="265"/>
        <v>0</v>
      </c>
      <c r="DL27" s="18">
        <f t="shared" si="265"/>
        <v>0</v>
      </c>
      <c r="DM27" s="18">
        <f t="shared" si="265"/>
        <v>0.28205128205128205</v>
      </c>
      <c r="DN27" s="18">
        <f t="shared" si="265"/>
        <v>0</v>
      </c>
      <c r="DO27" s="18">
        <f t="shared" si="265"/>
        <v>0</v>
      </c>
      <c r="DP27" s="18">
        <f t="shared" si="265"/>
        <v>0</v>
      </c>
      <c r="DQ27" s="18">
        <f t="shared" si="265"/>
        <v>0.75</v>
      </c>
      <c r="DR27" s="18">
        <f t="shared" si="265"/>
        <v>0.26666666666666666</v>
      </c>
      <c r="DS27" s="18">
        <f t="shared" si="265"/>
        <v>6.8965517241379309E-2</v>
      </c>
      <c r="DT27" s="18">
        <f t="shared" si="265"/>
        <v>0.35294117647058826</v>
      </c>
      <c r="DU27" s="18">
        <f t="shared" si="265"/>
        <v>0</v>
      </c>
      <c r="DV27" s="18">
        <f t="shared" si="265"/>
        <v>8.0956109745460317E-2</v>
      </c>
      <c r="DW27" s="18">
        <f t="shared" si="265"/>
        <v>0</v>
      </c>
      <c r="DX27" s="40">
        <f t="shared" si="265"/>
        <v>0.12109435425147802</v>
      </c>
      <c r="DZ27" s="46">
        <f t="shared" ref="DZ27:FE34" si="266">IFERROR(DZ6/DZ$13,0)</f>
        <v>9.1181450504398728E-2</v>
      </c>
      <c r="EA27" s="51">
        <f t="shared" si="266"/>
        <v>0.99661016949152548</v>
      </c>
      <c r="EB27" s="18">
        <f t="shared" si="266"/>
        <v>0</v>
      </c>
      <c r="EC27" s="18">
        <f t="shared" si="266"/>
        <v>0</v>
      </c>
      <c r="ED27" s="18">
        <f t="shared" si="266"/>
        <v>0</v>
      </c>
      <c r="EE27" s="18">
        <f t="shared" si="266"/>
        <v>0.49999999999999994</v>
      </c>
      <c r="EF27" s="18">
        <f t="shared" si="266"/>
        <v>0</v>
      </c>
      <c r="EG27" s="18">
        <f t="shared" si="266"/>
        <v>0</v>
      </c>
      <c r="EH27" s="18">
        <f t="shared" si="266"/>
        <v>0</v>
      </c>
      <c r="EI27" s="18">
        <f t="shared" si="266"/>
        <v>1</v>
      </c>
      <c r="EJ27" s="18">
        <f t="shared" si="266"/>
        <v>0</v>
      </c>
      <c r="EK27" s="18">
        <f t="shared" si="266"/>
        <v>0</v>
      </c>
      <c r="EL27" s="18">
        <f t="shared" si="266"/>
        <v>0.39999999999999997</v>
      </c>
      <c r="EM27" s="18">
        <f t="shared" si="266"/>
        <v>0</v>
      </c>
      <c r="EN27" s="18">
        <f t="shared" si="266"/>
        <v>7.7213326409368316E-2</v>
      </c>
      <c r="EO27" s="18">
        <f t="shared" si="266"/>
        <v>0</v>
      </c>
      <c r="EP27" s="40">
        <f t="shared" si="266"/>
        <v>9.1146501092471369E-2</v>
      </c>
      <c r="ER27" s="46">
        <f t="shared" ref="ER27:FH34" si="267">IFERROR(ER6/ER$13,0)</f>
        <v>0.16766957424237003</v>
      </c>
      <c r="ES27" s="51">
        <f t="shared" si="267"/>
        <v>0.99649122807017543</v>
      </c>
      <c r="ET27" s="18">
        <f t="shared" si="267"/>
        <v>2.4021352313167259E-2</v>
      </c>
      <c r="EU27" s="18">
        <f t="shared" si="267"/>
        <v>5.8719906048150332E-4</v>
      </c>
      <c r="EV27" s="18">
        <f t="shared" si="267"/>
        <v>0</v>
      </c>
      <c r="EW27" s="18">
        <f t="shared" si="267"/>
        <v>0.63793103448275856</v>
      </c>
      <c r="EX27" s="18">
        <f t="shared" si="267"/>
        <v>0</v>
      </c>
      <c r="EY27" s="18">
        <f t="shared" si="267"/>
        <v>0</v>
      </c>
      <c r="EZ27" s="18">
        <f t="shared" si="267"/>
        <v>0</v>
      </c>
      <c r="FA27" s="18">
        <f t="shared" si="267"/>
        <v>0</v>
      </c>
      <c r="FB27" s="18">
        <f t="shared" si="267"/>
        <v>7.1428571428571438E-2</v>
      </c>
      <c r="FC27" s="18">
        <f t="shared" si="267"/>
        <v>6.3157894736842093E-2</v>
      </c>
      <c r="FD27" s="18">
        <f t="shared" si="267"/>
        <v>0.37142857142857144</v>
      </c>
      <c r="FE27" s="18">
        <f t="shared" si="267"/>
        <v>0</v>
      </c>
      <c r="FF27" s="18">
        <f t="shared" si="267"/>
        <v>0.13188842639108175</v>
      </c>
      <c r="FG27" s="18">
        <f t="shared" si="267"/>
        <v>0</v>
      </c>
      <c r="FH27" s="40">
        <f t="shared" si="267"/>
        <v>0.16788992071250136</v>
      </c>
      <c r="FJ27" s="46">
        <f t="shared" ref="FJ27:GO34" si="268">IFERROR(FJ6/FJ$13,0)</f>
        <v>0.11266577088739742</v>
      </c>
      <c r="FK27" s="18">
        <f t="shared" si="268"/>
        <v>0.9760479041916168</v>
      </c>
      <c r="FL27" s="18">
        <f t="shared" si="268"/>
        <v>3.9421813403416554E-3</v>
      </c>
      <c r="FM27" s="18">
        <f t="shared" si="268"/>
        <v>2.05761316872428E-3</v>
      </c>
      <c r="FN27" s="18">
        <f t="shared" si="268"/>
        <v>0</v>
      </c>
      <c r="FO27" s="18">
        <f t="shared" si="268"/>
        <v>0.10588235294117647</v>
      </c>
      <c r="FP27" s="18">
        <f t="shared" si="268"/>
        <v>0</v>
      </c>
      <c r="FQ27" s="18">
        <f t="shared" si="268"/>
        <v>0</v>
      </c>
      <c r="FR27" s="18">
        <f t="shared" si="268"/>
        <v>0</v>
      </c>
      <c r="FS27" s="18">
        <f t="shared" si="268"/>
        <v>0</v>
      </c>
      <c r="FT27" s="18">
        <f t="shared" si="268"/>
        <v>0</v>
      </c>
      <c r="FU27" s="18">
        <f t="shared" si="268"/>
        <v>0</v>
      </c>
      <c r="FV27" s="18">
        <f t="shared" si="268"/>
        <v>0.125</v>
      </c>
      <c r="FW27" s="18">
        <f t="shared" si="268"/>
        <v>0</v>
      </c>
      <c r="FX27" s="18">
        <f t="shared" si="268"/>
        <v>7.4956663676404134E-2</v>
      </c>
      <c r="FY27" s="18">
        <f t="shared" si="268"/>
        <v>0</v>
      </c>
      <c r="FZ27" s="40">
        <f t="shared" si="268"/>
        <v>0.11270189989550164</v>
      </c>
      <c r="GB27" s="46">
        <f t="shared" ref="GB27:GR34" si="269">IFERROR(GB6/GB$13,0)</f>
        <v>0.25496464873485231</v>
      </c>
      <c r="GC27" s="51">
        <f t="shared" si="269"/>
        <v>0.98372781065088755</v>
      </c>
      <c r="GD27" s="18">
        <f t="shared" si="269"/>
        <v>0.28636363636363638</v>
      </c>
      <c r="GE27" s="18">
        <f t="shared" si="269"/>
        <v>4.1166380789022315E-2</v>
      </c>
      <c r="GF27" s="18">
        <f t="shared" si="269"/>
        <v>0</v>
      </c>
      <c r="GG27" s="18">
        <f t="shared" si="269"/>
        <v>0.73239436619718312</v>
      </c>
      <c r="GH27" s="18">
        <f t="shared" si="269"/>
        <v>0</v>
      </c>
      <c r="GI27" s="18">
        <f t="shared" si="269"/>
        <v>0</v>
      </c>
      <c r="GJ27" s="18">
        <f t="shared" si="269"/>
        <v>0</v>
      </c>
      <c r="GK27" s="18">
        <f t="shared" si="269"/>
        <v>1</v>
      </c>
      <c r="GL27" s="18">
        <f t="shared" si="269"/>
        <v>0</v>
      </c>
      <c r="GM27" s="18">
        <f t="shared" si="269"/>
        <v>0.375</v>
      </c>
      <c r="GN27" s="18">
        <f t="shared" si="269"/>
        <v>0.24050632911392408</v>
      </c>
      <c r="GO27" s="18">
        <f t="shared" si="269"/>
        <v>0</v>
      </c>
      <c r="GP27" s="18">
        <f t="shared" si="269"/>
        <v>0.22261612675177775</v>
      </c>
      <c r="GQ27" s="18">
        <f t="shared" si="269"/>
        <v>0</v>
      </c>
      <c r="GR27" s="40">
        <f t="shared" si="269"/>
        <v>0.25505140351177691</v>
      </c>
      <c r="GT27" s="46">
        <f t="shared" ref="GT27:IB34" si="270">IFERROR(GT6/GT$13,0)</f>
        <v>0.64790444299625582</v>
      </c>
      <c r="GU27" s="51">
        <f t="shared" si="270"/>
        <v>1</v>
      </c>
      <c r="GV27" s="18">
        <f t="shared" si="270"/>
        <v>0.42857142857142855</v>
      </c>
      <c r="GW27" s="18">
        <f t="shared" si="270"/>
        <v>2.6829268292682926E-2</v>
      </c>
      <c r="GX27" s="18">
        <f t="shared" si="270"/>
        <v>0</v>
      </c>
      <c r="GY27" s="18">
        <f t="shared" si="270"/>
        <v>0.86746987951807231</v>
      </c>
      <c r="GZ27" s="18">
        <f t="shared" si="270"/>
        <v>0</v>
      </c>
      <c r="HA27" s="18">
        <f t="shared" si="270"/>
        <v>0</v>
      </c>
      <c r="HB27" s="18">
        <f t="shared" si="270"/>
        <v>0</v>
      </c>
      <c r="HC27" s="18">
        <f t="shared" si="270"/>
        <v>1</v>
      </c>
      <c r="HD27" s="18">
        <f t="shared" si="270"/>
        <v>0</v>
      </c>
      <c r="HE27" s="18">
        <f t="shared" si="270"/>
        <v>0</v>
      </c>
      <c r="HF27" s="18">
        <f t="shared" si="270"/>
        <v>0.41176470588235292</v>
      </c>
      <c r="HG27" s="18">
        <f t="shared" si="270"/>
        <v>0</v>
      </c>
      <c r="HH27" s="18">
        <f t="shared" si="270"/>
        <v>0.45009886390294584</v>
      </c>
      <c r="HI27" s="18">
        <f t="shared" si="270"/>
        <v>0</v>
      </c>
      <c r="HJ27" s="40">
        <f t="shared" si="270"/>
        <v>0.64781320851720625</v>
      </c>
      <c r="HL27" s="46">
        <f t="shared" ref="HL27:IB27" si="271">IFERROR(HL6/HL$13,0)</f>
        <v>0.30931319135135471</v>
      </c>
      <c r="HM27" s="51">
        <f t="shared" si="271"/>
        <v>0.98671497584541068</v>
      </c>
      <c r="HN27" s="18">
        <f t="shared" si="271"/>
        <v>7.6923076923076927E-2</v>
      </c>
      <c r="HO27" s="18">
        <f t="shared" si="271"/>
        <v>1.1389521640091117E-2</v>
      </c>
      <c r="HP27" s="18">
        <f t="shared" si="271"/>
        <v>0</v>
      </c>
      <c r="HQ27" s="18">
        <f t="shared" si="271"/>
        <v>4.95049504950495E-2</v>
      </c>
      <c r="HR27" s="18">
        <f t="shared" si="271"/>
        <v>0</v>
      </c>
      <c r="HS27" s="18">
        <f t="shared" si="271"/>
        <v>0</v>
      </c>
      <c r="HT27" s="18">
        <f t="shared" si="271"/>
        <v>0</v>
      </c>
      <c r="HU27" s="18">
        <f t="shared" si="271"/>
        <v>1</v>
      </c>
      <c r="HV27" s="18">
        <f t="shared" si="271"/>
        <v>1</v>
      </c>
      <c r="HW27" s="18">
        <f t="shared" si="271"/>
        <v>0</v>
      </c>
      <c r="HX27" s="18">
        <f t="shared" si="271"/>
        <v>0.26666666666666666</v>
      </c>
      <c r="HY27" s="18">
        <f t="shared" si="271"/>
        <v>0</v>
      </c>
      <c r="HZ27" s="18">
        <f t="shared" si="271"/>
        <v>0.26574973912824834</v>
      </c>
      <c r="IA27" s="18">
        <f t="shared" si="271"/>
        <v>0</v>
      </c>
      <c r="IB27" s="40">
        <f t="shared" si="271"/>
        <v>0.30961130650587532</v>
      </c>
    </row>
    <row r="28" spans="2:236" x14ac:dyDescent="0.35">
      <c r="B28" s="17" t="s">
        <v>69</v>
      </c>
      <c r="D28" s="46">
        <f t="shared" ref="D28:E34" si="272">IFERROR(D7/D$13,0)</f>
        <v>0.26133579387852274</v>
      </c>
      <c r="E28" s="18">
        <f t="shared" si="272"/>
        <v>1.0504748841004984E-2</v>
      </c>
      <c r="F28" s="51">
        <f t="shared" si="259"/>
        <v>0.8998877137271234</v>
      </c>
      <c r="G28" s="18">
        <f t="shared" si="259"/>
        <v>1.4767915180596366E-2</v>
      </c>
      <c r="H28" s="18">
        <f t="shared" si="259"/>
        <v>0</v>
      </c>
      <c r="I28" s="18">
        <f t="shared" si="259"/>
        <v>6.1291462381037061E-2</v>
      </c>
      <c r="J28" s="18">
        <f t="shared" si="259"/>
        <v>0</v>
      </c>
      <c r="K28" s="18">
        <f t="shared" si="259"/>
        <v>0</v>
      </c>
      <c r="L28" s="18">
        <f t="shared" si="259"/>
        <v>0</v>
      </c>
      <c r="M28" s="18">
        <f t="shared" si="259"/>
        <v>0</v>
      </c>
      <c r="N28" s="50">
        <f t="shared" si="259"/>
        <v>0.91406250000000011</v>
      </c>
      <c r="O28" s="18">
        <f t="shared" si="259"/>
        <v>3.1185031185031187E-2</v>
      </c>
      <c r="P28" s="18">
        <f t="shared" si="259"/>
        <v>0.10652537646402677</v>
      </c>
      <c r="Q28" s="18">
        <f t="shared" si="259"/>
        <v>0</v>
      </c>
      <c r="R28" s="18">
        <f t="shared" si="259"/>
        <v>0.26895466261357764</v>
      </c>
      <c r="S28" s="18">
        <f t="shared" si="259"/>
        <v>0</v>
      </c>
      <c r="T28" s="40">
        <f t="shared" si="259"/>
        <v>0.26163357463131082</v>
      </c>
      <c r="V28" s="46">
        <f t="shared" ref="V28:CG32" si="273">IFERROR(V7/V$13,0)</f>
        <v>0.1124284400125196</v>
      </c>
      <c r="W28" s="18">
        <f t="shared" si="273"/>
        <v>2.3668639053254437E-2</v>
      </c>
      <c r="X28" s="51">
        <f t="shared" si="273"/>
        <v>0.83549783549783552</v>
      </c>
      <c r="Y28" s="18">
        <f t="shared" si="273"/>
        <v>0</v>
      </c>
      <c r="Z28" s="18">
        <f t="shared" si="273"/>
        <v>0</v>
      </c>
      <c r="AA28" s="18">
        <f t="shared" si="273"/>
        <v>0.11622992392223161</v>
      </c>
      <c r="AB28" s="18">
        <f t="shared" si="273"/>
        <v>0</v>
      </c>
      <c r="AC28" s="18">
        <f t="shared" si="273"/>
        <v>0</v>
      </c>
      <c r="AD28" s="18">
        <f t="shared" si="273"/>
        <v>0</v>
      </c>
      <c r="AE28" s="18">
        <f t="shared" si="273"/>
        <v>0</v>
      </c>
      <c r="AF28" s="18">
        <f t="shared" si="273"/>
        <v>0.25</v>
      </c>
      <c r="AG28" s="18">
        <f t="shared" si="273"/>
        <v>0</v>
      </c>
      <c r="AH28" s="18">
        <f t="shared" si="273"/>
        <v>0.18181818181818182</v>
      </c>
      <c r="AI28" s="18">
        <f t="shared" si="273"/>
        <v>0</v>
      </c>
      <c r="AJ28" s="18">
        <f t="shared" si="273"/>
        <v>0.11706678439312518</v>
      </c>
      <c r="AK28" s="18">
        <f t="shared" si="273"/>
        <v>0</v>
      </c>
      <c r="AL28" s="40">
        <f t="shared" si="273"/>
        <v>0.11234067492219577</v>
      </c>
      <c r="AN28" s="46">
        <f t="shared" si="273"/>
        <v>0.35286131567038309</v>
      </c>
      <c r="AO28" s="18">
        <f t="shared" si="273"/>
        <v>2.0533880903490761E-3</v>
      </c>
      <c r="AP28" s="51">
        <f t="shared" si="273"/>
        <v>0.98097746561311094</v>
      </c>
      <c r="AQ28" s="18">
        <f t="shared" si="273"/>
        <v>1.0896843217540616E-2</v>
      </c>
      <c r="AR28" s="18">
        <f t="shared" si="273"/>
        <v>0</v>
      </c>
      <c r="AS28" s="18">
        <f t="shared" si="273"/>
        <v>0.31578947368421051</v>
      </c>
      <c r="AT28" s="18">
        <f t="shared" si="273"/>
        <v>0</v>
      </c>
      <c r="AU28" s="18">
        <f t="shared" si="273"/>
        <v>0</v>
      </c>
      <c r="AV28" s="18">
        <f t="shared" si="273"/>
        <v>0</v>
      </c>
      <c r="AW28" s="18">
        <f t="shared" si="273"/>
        <v>0</v>
      </c>
      <c r="AX28" s="18">
        <f t="shared" si="273"/>
        <v>1</v>
      </c>
      <c r="AY28" s="18">
        <f t="shared" si="273"/>
        <v>0</v>
      </c>
      <c r="AZ28" s="18">
        <f t="shared" si="273"/>
        <v>0.5</v>
      </c>
      <c r="BA28" s="18">
        <f t="shared" si="273"/>
        <v>0</v>
      </c>
      <c r="BB28" s="18">
        <f t="shared" si="273"/>
        <v>0.32925211162770629</v>
      </c>
      <c r="BC28" s="18">
        <f t="shared" si="273"/>
        <v>0</v>
      </c>
      <c r="BD28" s="40">
        <f t="shared" si="273"/>
        <v>0.352838720371838</v>
      </c>
      <c r="BF28" s="46">
        <f t="shared" si="273"/>
        <v>0.35650799899486785</v>
      </c>
      <c r="BG28" s="18">
        <f t="shared" si="273"/>
        <v>1</v>
      </c>
      <c r="BH28" s="51">
        <f t="shared" si="273"/>
        <v>0.97158081705150978</v>
      </c>
      <c r="BI28" s="18">
        <f t="shared" si="273"/>
        <v>1.5923566878980897E-3</v>
      </c>
      <c r="BJ28" s="18">
        <f t="shared" si="273"/>
        <v>0</v>
      </c>
      <c r="BK28" s="18">
        <f t="shared" si="273"/>
        <v>4.2021040509578597E-2</v>
      </c>
      <c r="BL28" s="18">
        <f t="shared" si="273"/>
        <v>0</v>
      </c>
      <c r="BM28" s="18">
        <f t="shared" si="273"/>
        <v>0</v>
      </c>
      <c r="BN28" s="18">
        <f t="shared" si="273"/>
        <v>0</v>
      </c>
      <c r="BO28" s="18">
        <f t="shared" si="273"/>
        <v>0</v>
      </c>
      <c r="BP28" s="18">
        <f t="shared" si="273"/>
        <v>0</v>
      </c>
      <c r="BQ28" s="18">
        <f t="shared" si="273"/>
        <v>0.1111111111111111</v>
      </c>
      <c r="BR28" s="18">
        <f t="shared" si="273"/>
        <v>0.25</v>
      </c>
      <c r="BS28" s="18">
        <f t="shared" si="273"/>
        <v>0</v>
      </c>
      <c r="BT28" s="18">
        <f t="shared" si="273"/>
        <v>0.28230131838838662</v>
      </c>
      <c r="BU28" s="18">
        <f t="shared" si="273"/>
        <v>0</v>
      </c>
      <c r="BV28" s="40">
        <f t="shared" si="273"/>
        <v>0.35649178215879546</v>
      </c>
      <c r="BX28" s="46">
        <f t="shared" si="273"/>
        <v>0.34914118999460142</v>
      </c>
      <c r="BY28" s="18">
        <f t="shared" si="273"/>
        <v>0</v>
      </c>
      <c r="BZ28" s="51">
        <f t="shared" si="273"/>
        <v>0.91926289469434885</v>
      </c>
      <c r="CA28" s="18">
        <f t="shared" si="273"/>
        <v>1.4845360824742266E-2</v>
      </c>
      <c r="CB28" s="18">
        <f t="shared" si="273"/>
        <v>0</v>
      </c>
      <c r="CC28" s="18">
        <f t="shared" si="273"/>
        <v>9.4515925692461686E-2</v>
      </c>
      <c r="CD28" s="18">
        <f t="shared" si="273"/>
        <v>0</v>
      </c>
      <c r="CE28" s="18">
        <f t="shared" si="273"/>
        <v>0</v>
      </c>
      <c r="CF28" s="18">
        <f t="shared" si="273"/>
        <v>0</v>
      </c>
      <c r="CG28" s="18">
        <f t="shared" si="273"/>
        <v>0</v>
      </c>
      <c r="CH28" s="18">
        <f t="shared" si="263"/>
        <v>1</v>
      </c>
      <c r="CI28" s="18">
        <f t="shared" si="263"/>
        <v>0.3888888888888889</v>
      </c>
      <c r="CJ28" s="18">
        <f t="shared" si="263"/>
        <v>0.52483801295896337</v>
      </c>
      <c r="CK28" s="18">
        <f t="shared" si="263"/>
        <v>0</v>
      </c>
      <c r="CL28" s="18">
        <f t="shared" si="263"/>
        <v>0.42392106398223367</v>
      </c>
      <c r="CM28" s="18">
        <f t="shared" si="263"/>
        <v>0</v>
      </c>
      <c r="CN28" s="40">
        <f t="shared" si="263"/>
        <v>0.34939106298957728</v>
      </c>
      <c r="CP28" s="46">
        <f t="shared" si="264"/>
        <v>0.38380295370825612</v>
      </c>
      <c r="CQ28" s="18">
        <f t="shared" si="264"/>
        <v>6.6225165562913916E-3</v>
      </c>
      <c r="CR28" s="51">
        <f t="shared" si="264"/>
        <v>0.8458831808585503</v>
      </c>
      <c r="CS28" s="18">
        <f t="shared" si="264"/>
        <v>1.5350877192982455E-2</v>
      </c>
      <c r="CT28" s="18">
        <f t="shared" si="264"/>
        <v>0</v>
      </c>
      <c r="CU28" s="18">
        <f t="shared" si="264"/>
        <v>0.44736842105263158</v>
      </c>
      <c r="CV28" s="18">
        <f t="shared" si="264"/>
        <v>0</v>
      </c>
      <c r="CW28" s="18">
        <f t="shared" si="264"/>
        <v>0</v>
      </c>
      <c r="CX28" s="18">
        <f t="shared" si="264"/>
        <v>0</v>
      </c>
      <c r="CY28" s="18">
        <f t="shared" si="264"/>
        <v>0</v>
      </c>
      <c r="CZ28" s="18">
        <f t="shared" si="264"/>
        <v>1</v>
      </c>
      <c r="DA28" s="18">
        <f t="shared" si="264"/>
        <v>6.25E-2</v>
      </c>
      <c r="DB28" s="18">
        <f t="shared" si="264"/>
        <v>0.14285714285714288</v>
      </c>
      <c r="DC28" s="18">
        <f t="shared" si="264"/>
        <v>0</v>
      </c>
      <c r="DD28" s="18">
        <f t="shared" si="264"/>
        <v>0.3309476046377206</v>
      </c>
      <c r="DE28" s="18">
        <f t="shared" si="264"/>
        <v>0</v>
      </c>
      <c r="DF28" s="40">
        <f t="shared" si="264"/>
        <v>0.38375134615579509</v>
      </c>
      <c r="DH28" s="46">
        <f t="shared" si="264"/>
        <v>0.49121266229742255</v>
      </c>
      <c r="DI28" s="18">
        <f t="shared" si="264"/>
        <v>7.2494669509594892E-2</v>
      </c>
      <c r="DJ28" s="51">
        <f t="shared" si="264"/>
        <v>0.95008228195282496</v>
      </c>
      <c r="DK28" s="18">
        <f t="shared" si="264"/>
        <v>2.030869212022746E-2</v>
      </c>
      <c r="DL28" s="18">
        <f t="shared" si="264"/>
        <v>0</v>
      </c>
      <c r="DM28" s="18">
        <f t="shared" si="264"/>
        <v>0.18803418803418803</v>
      </c>
      <c r="DN28" s="18">
        <f t="shared" si="264"/>
        <v>0</v>
      </c>
      <c r="DO28" s="18">
        <f t="shared" si="264"/>
        <v>0</v>
      </c>
      <c r="DP28" s="18">
        <f t="shared" si="264"/>
        <v>0</v>
      </c>
      <c r="DQ28" s="18">
        <f t="shared" si="264"/>
        <v>0</v>
      </c>
      <c r="DR28" s="18">
        <f t="shared" si="264"/>
        <v>0.73333333333333328</v>
      </c>
      <c r="DS28" s="18">
        <f t="shared" si="264"/>
        <v>6.8965517241379309E-2</v>
      </c>
      <c r="DT28" s="18">
        <f t="shared" si="264"/>
        <v>0.23529411764705882</v>
      </c>
      <c r="DU28" s="18">
        <f t="shared" si="264"/>
        <v>0</v>
      </c>
      <c r="DV28" s="18">
        <f t="shared" si="265"/>
        <v>0.45185254936166841</v>
      </c>
      <c r="DW28" s="18">
        <f t="shared" si="265"/>
        <v>0</v>
      </c>
      <c r="DX28" s="40">
        <f t="shared" si="265"/>
        <v>0.49150652332210271</v>
      </c>
      <c r="DZ28" s="46">
        <f t="shared" si="266"/>
        <v>0.29780634779644383</v>
      </c>
      <c r="EA28" s="18">
        <f t="shared" si="266"/>
        <v>0</v>
      </c>
      <c r="EB28" s="51">
        <f t="shared" si="266"/>
        <v>0.93320790216368765</v>
      </c>
      <c r="EC28" s="18">
        <f t="shared" si="266"/>
        <v>3.2994678277697143E-2</v>
      </c>
      <c r="ED28" s="18">
        <f t="shared" si="266"/>
        <v>0</v>
      </c>
      <c r="EE28" s="18">
        <f t="shared" si="266"/>
        <v>0.40909090909090917</v>
      </c>
      <c r="EF28" s="18">
        <f t="shared" si="266"/>
        <v>0</v>
      </c>
      <c r="EG28" s="18">
        <f t="shared" si="266"/>
        <v>0</v>
      </c>
      <c r="EH28" s="18">
        <f t="shared" si="266"/>
        <v>0</v>
      </c>
      <c r="EI28" s="18">
        <f t="shared" si="266"/>
        <v>0</v>
      </c>
      <c r="EJ28" s="18">
        <f t="shared" si="266"/>
        <v>1</v>
      </c>
      <c r="EK28" s="18">
        <f t="shared" si="266"/>
        <v>0</v>
      </c>
      <c r="EL28" s="18">
        <f t="shared" si="266"/>
        <v>0</v>
      </c>
      <c r="EM28" s="18">
        <f t="shared" si="266"/>
        <v>0</v>
      </c>
      <c r="EN28" s="18">
        <f t="shared" si="266"/>
        <v>0.26597077642104061</v>
      </c>
      <c r="EO28" s="18">
        <f t="shared" si="266"/>
        <v>0</v>
      </c>
      <c r="EP28" s="40">
        <f t="shared" si="266"/>
        <v>0.29803140075549361</v>
      </c>
      <c r="ER28" s="46">
        <f t="shared" si="266"/>
        <v>0.26368981782236356</v>
      </c>
      <c r="ES28" s="18">
        <f t="shared" si="266"/>
        <v>0</v>
      </c>
      <c r="ET28" s="51">
        <f t="shared" si="266"/>
        <v>0.82028469750889677</v>
      </c>
      <c r="EU28" s="18">
        <f t="shared" si="266"/>
        <v>3.6993540810334707E-2</v>
      </c>
      <c r="EV28" s="18">
        <f t="shared" si="266"/>
        <v>0</v>
      </c>
      <c r="EW28" s="18">
        <f t="shared" si="266"/>
        <v>0.1206896551724138</v>
      </c>
      <c r="EX28" s="18">
        <f t="shared" si="266"/>
        <v>0</v>
      </c>
      <c r="EY28" s="18">
        <f t="shared" si="266"/>
        <v>0</v>
      </c>
      <c r="EZ28" s="18">
        <f t="shared" si="266"/>
        <v>0</v>
      </c>
      <c r="FA28" s="18">
        <f t="shared" si="266"/>
        <v>0</v>
      </c>
      <c r="FB28" s="18">
        <f t="shared" si="266"/>
        <v>0.9285714285714286</v>
      </c>
      <c r="FC28" s="18">
        <f t="shared" si="266"/>
        <v>3.1578947368421047E-2</v>
      </c>
      <c r="FD28" s="18">
        <f t="shared" si="266"/>
        <v>7.857142857142857E-2</v>
      </c>
      <c r="FE28" s="18">
        <f t="shared" si="266"/>
        <v>0</v>
      </c>
      <c r="FF28" s="18">
        <f t="shared" si="267"/>
        <v>0.27027893402229558</v>
      </c>
      <c r="FG28" s="18">
        <f t="shared" si="267"/>
        <v>0</v>
      </c>
      <c r="FH28" s="40">
        <f t="shared" si="267"/>
        <v>0.26417648709315378</v>
      </c>
      <c r="FJ28" s="46">
        <f t="shared" si="268"/>
        <v>0.25108239995034626</v>
      </c>
      <c r="FK28" s="18">
        <f t="shared" si="268"/>
        <v>0</v>
      </c>
      <c r="FL28" s="18">
        <f t="shared" si="268"/>
        <v>0.96320630749014458</v>
      </c>
      <c r="FM28" s="18">
        <f t="shared" si="268"/>
        <v>2.1947873799725657E-2</v>
      </c>
      <c r="FN28" s="18">
        <f t="shared" si="268"/>
        <v>0</v>
      </c>
      <c r="FO28" s="18">
        <f t="shared" si="268"/>
        <v>5.8823529411764705E-3</v>
      </c>
      <c r="FP28" s="18">
        <f t="shared" si="268"/>
        <v>0</v>
      </c>
      <c r="FQ28" s="18">
        <f t="shared" si="268"/>
        <v>0</v>
      </c>
      <c r="FR28" s="18">
        <f t="shared" si="268"/>
        <v>0</v>
      </c>
      <c r="FS28" s="18">
        <f t="shared" si="268"/>
        <v>0</v>
      </c>
      <c r="FT28" s="18">
        <f t="shared" si="268"/>
        <v>0.88888888888888884</v>
      </c>
      <c r="FU28" s="18">
        <f t="shared" si="268"/>
        <v>0</v>
      </c>
      <c r="FV28" s="18">
        <f t="shared" si="268"/>
        <v>0</v>
      </c>
      <c r="FW28" s="18">
        <f t="shared" si="268"/>
        <v>0</v>
      </c>
      <c r="FX28" s="18">
        <f t="shared" si="268"/>
        <v>0.22420224067341613</v>
      </c>
      <c r="FY28" s="18">
        <f t="shared" si="268"/>
        <v>0</v>
      </c>
      <c r="FZ28" s="40">
        <f t="shared" si="268"/>
        <v>0.25100036686502347</v>
      </c>
      <c r="GB28" s="46">
        <f t="shared" si="268"/>
        <v>3.148038629599486E-2</v>
      </c>
      <c r="GC28" s="18">
        <f t="shared" si="268"/>
        <v>0</v>
      </c>
      <c r="GD28" s="51">
        <f t="shared" si="268"/>
        <v>0.46363636363636362</v>
      </c>
      <c r="GE28" s="18">
        <f t="shared" si="268"/>
        <v>0</v>
      </c>
      <c r="GF28" s="18">
        <f t="shared" si="268"/>
        <v>0</v>
      </c>
      <c r="GG28" s="18">
        <f t="shared" si="268"/>
        <v>0</v>
      </c>
      <c r="GH28" s="18">
        <f t="shared" si="268"/>
        <v>0</v>
      </c>
      <c r="GI28" s="18">
        <f t="shared" si="268"/>
        <v>0</v>
      </c>
      <c r="GJ28" s="18">
        <f t="shared" si="268"/>
        <v>0</v>
      </c>
      <c r="GK28" s="18">
        <f t="shared" si="268"/>
        <v>0</v>
      </c>
      <c r="GL28" s="18">
        <f t="shared" si="268"/>
        <v>1</v>
      </c>
      <c r="GM28" s="18">
        <f t="shared" si="268"/>
        <v>0</v>
      </c>
      <c r="GN28" s="18">
        <f t="shared" si="268"/>
        <v>0</v>
      </c>
      <c r="GO28" s="18">
        <f t="shared" si="268"/>
        <v>0</v>
      </c>
      <c r="GP28" s="18">
        <f t="shared" si="269"/>
        <v>6.5958793658714654E-2</v>
      </c>
      <c r="GQ28" s="18">
        <f t="shared" si="269"/>
        <v>0</v>
      </c>
      <c r="GR28" s="40">
        <f t="shared" si="269"/>
        <v>3.1498962079956408E-2</v>
      </c>
      <c r="GT28" s="46">
        <f t="shared" si="270"/>
        <v>1.6555872911558783E-2</v>
      </c>
      <c r="GU28" s="18">
        <f t="shared" si="270"/>
        <v>0</v>
      </c>
      <c r="GV28" s="51">
        <f t="shared" si="270"/>
        <v>0.5</v>
      </c>
      <c r="GW28" s="18">
        <f t="shared" si="270"/>
        <v>4.8780487804878049E-3</v>
      </c>
      <c r="GX28" s="18">
        <f t="shared" si="270"/>
        <v>0</v>
      </c>
      <c r="GY28" s="18">
        <f t="shared" si="270"/>
        <v>1.2048192771084338E-2</v>
      </c>
      <c r="GZ28" s="18">
        <f t="shared" si="270"/>
        <v>0</v>
      </c>
      <c r="HA28" s="18">
        <f t="shared" si="270"/>
        <v>0</v>
      </c>
      <c r="HB28" s="18">
        <f t="shared" si="270"/>
        <v>0</v>
      </c>
      <c r="HC28" s="18">
        <f t="shared" si="270"/>
        <v>0</v>
      </c>
      <c r="HD28" s="18">
        <f t="shared" si="270"/>
        <v>0</v>
      </c>
      <c r="HE28" s="18">
        <f t="shared" si="270"/>
        <v>0</v>
      </c>
      <c r="HF28" s="18">
        <f t="shared" si="270"/>
        <v>0</v>
      </c>
      <c r="HG28" s="18">
        <f t="shared" si="270"/>
        <v>0</v>
      </c>
      <c r="HH28" s="18">
        <f t="shared" si="270"/>
        <v>5.512919333757834E-2</v>
      </c>
      <c r="HI28" s="18">
        <f t="shared" si="270"/>
        <v>0</v>
      </c>
      <c r="HJ28" s="40">
        <f t="shared" si="270"/>
        <v>1.6555534366255929E-2</v>
      </c>
      <c r="HL28" s="46">
        <f t="shared" si="270"/>
        <v>9.6991887537906402E-3</v>
      </c>
      <c r="HM28" s="18">
        <f t="shared" si="270"/>
        <v>0</v>
      </c>
      <c r="HN28" s="51">
        <f t="shared" si="270"/>
        <v>0.30769230769230771</v>
      </c>
      <c r="HO28" s="18">
        <f t="shared" si="270"/>
        <v>2.2779043280182231E-3</v>
      </c>
      <c r="HP28" s="18">
        <f t="shared" si="270"/>
        <v>0</v>
      </c>
      <c r="HQ28" s="18">
        <f t="shared" si="270"/>
        <v>0</v>
      </c>
      <c r="HR28" s="18">
        <f t="shared" si="270"/>
        <v>0</v>
      </c>
      <c r="HS28" s="18">
        <f t="shared" si="270"/>
        <v>0</v>
      </c>
      <c r="HT28" s="18">
        <f t="shared" si="270"/>
        <v>0</v>
      </c>
      <c r="HU28" s="18">
        <f t="shared" si="270"/>
        <v>0</v>
      </c>
      <c r="HV28" s="18">
        <f t="shared" si="270"/>
        <v>0</v>
      </c>
      <c r="HW28" s="18">
        <f t="shared" si="270"/>
        <v>0</v>
      </c>
      <c r="HX28" s="18">
        <f t="shared" si="270"/>
        <v>0</v>
      </c>
      <c r="HY28" s="18">
        <f t="shared" si="270"/>
        <v>0</v>
      </c>
      <c r="HZ28" s="18">
        <f t="shared" si="270"/>
        <v>1.1528645604153833E-2</v>
      </c>
      <c r="IA28" s="18">
        <f t="shared" si="270"/>
        <v>0</v>
      </c>
      <c r="IB28" s="40">
        <f t="shared" si="270"/>
        <v>9.7168751436701034E-3</v>
      </c>
    </row>
    <row r="29" spans="2:236" x14ac:dyDescent="0.35">
      <c r="B29" s="17" t="s">
        <v>70</v>
      </c>
      <c r="D29" s="46">
        <f t="shared" si="272"/>
        <v>0.49452550436839687</v>
      </c>
      <c r="E29" s="18">
        <f t="shared" si="272"/>
        <v>9.5497716736408934E-3</v>
      </c>
      <c r="F29" s="18">
        <f t="shared" si="259"/>
        <v>7.9334264593600337E-2</v>
      </c>
      <c r="G29" s="51">
        <f t="shared" si="259"/>
        <v>0.97784812722910541</v>
      </c>
      <c r="H29" s="18">
        <f t="shared" si="259"/>
        <v>0</v>
      </c>
      <c r="I29" s="18">
        <f t="shared" si="259"/>
        <v>8.1805858022738348E-2</v>
      </c>
      <c r="J29" s="18">
        <f t="shared" si="259"/>
        <v>0</v>
      </c>
      <c r="K29" s="18">
        <f t="shared" si="259"/>
        <v>0</v>
      </c>
      <c r="L29" s="18">
        <f t="shared" si="259"/>
        <v>0</v>
      </c>
      <c r="M29" s="18">
        <f t="shared" si="259"/>
        <v>2.4390243902439018E-2</v>
      </c>
      <c r="N29" s="18">
        <f t="shared" si="259"/>
        <v>3.125E-2</v>
      </c>
      <c r="O29" s="50">
        <f t="shared" si="259"/>
        <v>0.89397089397089402</v>
      </c>
      <c r="P29" s="18">
        <f t="shared" si="259"/>
        <v>0.49897750511247446</v>
      </c>
      <c r="Q29" s="18">
        <f t="shared" si="259"/>
        <v>0</v>
      </c>
      <c r="R29" s="18">
        <f t="shared" si="259"/>
        <v>0.47765547710921286</v>
      </c>
      <c r="S29" s="18">
        <f t="shared" si="259"/>
        <v>0</v>
      </c>
      <c r="T29" s="40">
        <f t="shared" si="259"/>
        <v>0.49429938581703131</v>
      </c>
      <c r="V29" s="46">
        <f t="shared" si="273"/>
        <v>0.64394484718069001</v>
      </c>
      <c r="W29" s="18">
        <f t="shared" si="273"/>
        <v>0</v>
      </c>
      <c r="X29" s="18">
        <f t="shared" si="273"/>
        <v>0.1471861471861472</v>
      </c>
      <c r="Y29" s="51">
        <f t="shared" si="273"/>
        <v>1</v>
      </c>
      <c r="Z29" s="18">
        <f>IFERROR(Z8/Z$13,0)</f>
        <v>0</v>
      </c>
      <c r="AA29" s="18">
        <f t="shared" si="273"/>
        <v>0.30262045646661029</v>
      </c>
      <c r="AB29" s="18">
        <f t="shared" si="273"/>
        <v>0</v>
      </c>
      <c r="AC29" s="18">
        <f t="shared" si="273"/>
        <v>0</v>
      </c>
      <c r="AD29" s="18">
        <f t="shared" si="273"/>
        <v>0</v>
      </c>
      <c r="AE29" s="18">
        <f t="shared" si="273"/>
        <v>0</v>
      </c>
      <c r="AF29" s="18">
        <f t="shared" si="273"/>
        <v>0.75</v>
      </c>
      <c r="AG29" s="18">
        <f t="shared" si="273"/>
        <v>1</v>
      </c>
      <c r="AH29" s="18">
        <f t="shared" si="273"/>
        <v>0.81818181818181823</v>
      </c>
      <c r="AI29" s="18">
        <f t="shared" si="273"/>
        <v>0</v>
      </c>
      <c r="AJ29" s="18">
        <f t="shared" si="273"/>
        <v>0.55618140023443807</v>
      </c>
      <c r="AK29" s="18">
        <f t="shared" si="273"/>
        <v>0</v>
      </c>
      <c r="AL29" s="40">
        <f t="shared" si="273"/>
        <v>0.64380002510352818</v>
      </c>
      <c r="AN29" s="46">
        <f t="shared" si="273"/>
        <v>0.29090385485662562</v>
      </c>
      <c r="AO29" s="18">
        <f t="shared" si="273"/>
        <v>0</v>
      </c>
      <c r="AP29" s="18">
        <f t="shared" si="273"/>
        <v>1.755926251097454E-2</v>
      </c>
      <c r="AQ29" s="51">
        <f t="shared" si="273"/>
        <v>0.98910315678245941</v>
      </c>
      <c r="AR29" s="18">
        <f t="shared" si="273"/>
        <v>0</v>
      </c>
      <c r="AS29" s="18">
        <f t="shared" si="273"/>
        <v>8.771929824561403E-2</v>
      </c>
      <c r="AT29" s="18">
        <f t="shared" si="273"/>
        <v>0</v>
      </c>
      <c r="AU29" s="18">
        <f t="shared" si="273"/>
        <v>0</v>
      </c>
      <c r="AV29" s="18">
        <f t="shared" si="273"/>
        <v>0</v>
      </c>
      <c r="AW29" s="18">
        <f t="shared" si="273"/>
        <v>0</v>
      </c>
      <c r="AX29" s="18">
        <f t="shared" si="273"/>
        <v>0</v>
      </c>
      <c r="AY29" s="18">
        <f t="shared" si="273"/>
        <v>1</v>
      </c>
      <c r="AZ29" s="18">
        <f t="shared" si="273"/>
        <v>0.1</v>
      </c>
      <c r="BA29" s="18">
        <f t="shared" si="273"/>
        <v>0</v>
      </c>
      <c r="BB29" s="18">
        <f t="shared" si="273"/>
        <v>0.36307591072372464</v>
      </c>
      <c r="BC29" s="18">
        <f t="shared" si="273"/>
        <v>0</v>
      </c>
      <c r="BD29" s="40">
        <f t="shared" si="273"/>
        <v>0.29111491203401696</v>
      </c>
      <c r="BF29" s="46">
        <f t="shared" si="273"/>
        <v>0.41884878615052101</v>
      </c>
      <c r="BG29" s="18">
        <f t="shared" si="273"/>
        <v>0</v>
      </c>
      <c r="BH29" s="18">
        <f t="shared" si="273"/>
        <v>2.8419182948490232E-2</v>
      </c>
      <c r="BI29" s="51">
        <f t="shared" si="273"/>
        <v>0.99840764331210186</v>
      </c>
      <c r="BJ29" s="18">
        <f t="shared" si="273"/>
        <v>0</v>
      </c>
      <c r="BK29" s="18">
        <f t="shared" si="273"/>
        <v>2.1112483955711771E-2</v>
      </c>
      <c r="BL29" s="18">
        <f t="shared" si="273"/>
        <v>0</v>
      </c>
      <c r="BM29" s="18">
        <f t="shared" si="273"/>
        <v>0</v>
      </c>
      <c r="BN29" s="18">
        <f t="shared" si="273"/>
        <v>0</v>
      </c>
      <c r="BO29" s="18">
        <f t="shared" si="273"/>
        <v>0</v>
      </c>
      <c r="BP29" s="18">
        <f t="shared" si="273"/>
        <v>0</v>
      </c>
      <c r="BQ29" s="18">
        <f t="shared" si="273"/>
        <v>0.88888888888888884</v>
      </c>
      <c r="BR29" s="18">
        <f t="shared" si="273"/>
        <v>0.75</v>
      </c>
      <c r="BS29" s="18">
        <f t="shared" si="273"/>
        <v>0</v>
      </c>
      <c r="BT29" s="18">
        <f t="shared" si="273"/>
        <v>0.40255006182454678</v>
      </c>
      <c r="BU29" s="18">
        <f t="shared" si="273"/>
        <v>0</v>
      </c>
      <c r="BV29" s="40">
        <f t="shared" si="273"/>
        <v>0.41900799862056048</v>
      </c>
      <c r="BX29" s="46">
        <f t="shared" si="273"/>
        <v>0.59548109064635635</v>
      </c>
      <c r="BY29" s="18">
        <f t="shared" si="273"/>
        <v>0.4</v>
      </c>
      <c r="BZ29" s="18">
        <f t="shared" si="273"/>
        <v>8.0737105305651147E-2</v>
      </c>
      <c r="CA29" s="51">
        <f t="shared" si="273"/>
        <v>0.9851546391752577</v>
      </c>
      <c r="CB29" s="18">
        <f t="shared" si="273"/>
        <v>0</v>
      </c>
      <c r="CC29" s="18">
        <f t="shared" si="273"/>
        <v>0.10604768437836035</v>
      </c>
      <c r="CD29" s="18">
        <f t="shared" si="273"/>
        <v>0</v>
      </c>
      <c r="CE29" s="18">
        <f t="shared" si="273"/>
        <v>0</v>
      </c>
      <c r="CF29" s="18">
        <f t="shared" si="273"/>
        <v>0</v>
      </c>
      <c r="CG29" s="18">
        <f t="shared" si="273"/>
        <v>0</v>
      </c>
      <c r="CH29" s="18">
        <f t="shared" si="263"/>
        <v>0</v>
      </c>
      <c r="CI29" s="18">
        <f t="shared" si="263"/>
        <v>0.61111111111111116</v>
      </c>
      <c r="CJ29" s="18">
        <f t="shared" si="263"/>
        <v>0.47516198704103674</v>
      </c>
      <c r="CK29" s="18">
        <f t="shared" si="263"/>
        <v>0</v>
      </c>
      <c r="CL29" s="18">
        <f t="shared" si="263"/>
        <v>0.50870670264605333</v>
      </c>
      <c r="CM29" s="18">
        <f t="shared" si="263"/>
        <v>0</v>
      </c>
      <c r="CN29" s="40">
        <f t="shared" si="263"/>
        <v>0.5952223732763644</v>
      </c>
      <c r="CP29" s="46">
        <f t="shared" si="264"/>
        <v>0.46934374931266148</v>
      </c>
      <c r="CQ29" s="18">
        <f t="shared" si="264"/>
        <v>0</v>
      </c>
      <c r="CR29" s="18">
        <f t="shared" si="264"/>
        <v>9.8522167487684706E-2</v>
      </c>
      <c r="CS29" s="51">
        <f t="shared" si="264"/>
        <v>0.98464912280701755</v>
      </c>
      <c r="CT29" s="18">
        <f t="shared" si="264"/>
        <v>0</v>
      </c>
      <c r="CU29" s="18">
        <f t="shared" si="264"/>
        <v>0.26315789473684215</v>
      </c>
      <c r="CV29" s="18">
        <f t="shared" si="264"/>
        <v>0</v>
      </c>
      <c r="CW29" s="18">
        <f t="shared" si="264"/>
        <v>0</v>
      </c>
      <c r="CX29" s="18">
        <f t="shared" si="264"/>
        <v>0</v>
      </c>
      <c r="CY29" s="18">
        <f t="shared" si="264"/>
        <v>0</v>
      </c>
      <c r="CZ29" s="18">
        <f t="shared" si="264"/>
        <v>0</v>
      </c>
      <c r="DA29" s="18">
        <f t="shared" si="264"/>
        <v>0.53125</v>
      </c>
      <c r="DB29" s="18">
        <f t="shared" si="264"/>
        <v>0.8571428571428571</v>
      </c>
      <c r="DC29" s="18">
        <f t="shared" si="264"/>
        <v>0</v>
      </c>
      <c r="DD29" s="18">
        <f t="shared" si="264"/>
        <v>0.48134484829938912</v>
      </c>
      <c r="DE29" s="18">
        <f t="shared" si="264"/>
        <v>0</v>
      </c>
      <c r="DF29" s="40">
        <f t="shared" si="264"/>
        <v>0.46857182937972019</v>
      </c>
      <c r="DH29" s="46">
        <f t="shared" si="264"/>
        <v>0.37140455004873074</v>
      </c>
      <c r="DI29" s="18">
        <f t="shared" si="264"/>
        <v>3.1982942430703633E-2</v>
      </c>
      <c r="DJ29" s="18">
        <f t="shared" si="264"/>
        <v>4.5529347229840922E-2</v>
      </c>
      <c r="DK29" s="51">
        <f t="shared" si="264"/>
        <v>0.97969130787977254</v>
      </c>
      <c r="DL29" s="18">
        <f t="shared" si="264"/>
        <v>0</v>
      </c>
      <c r="DM29" s="18">
        <f t="shared" si="264"/>
        <v>0.51709401709401714</v>
      </c>
      <c r="DN29" s="18">
        <f t="shared" si="264"/>
        <v>0</v>
      </c>
      <c r="DO29" s="18">
        <f t="shared" si="264"/>
        <v>0</v>
      </c>
      <c r="DP29" s="18">
        <f t="shared" si="264"/>
        <v>0</v>
      </c>
      <c r="DQ29" s="18">
        <f t="shared" si="264"/>
        <v>0.24999999999999994</v>
      </c>
      <c r="DR29" s="18">
        <f t="shared" si="264"/>
        <v>0</v>
      </c>
      <c r="DS29" s="18">
        <f t="shared" si="264"/>
        <v>0.86206896551724144</v>
      </c>
      <c r="DT29" s="18">
        <f t="shared" si="264"/>
        <v>0.41176470588235303</v>
      </c>
      <c r="DU29" s="18">
        <f t="shared" si="264"/>
        <v>0</v>
      </c>
      <c r="DV29" s="18">
        <f t="shared" si="265"/>
        <v>0.4488046150186345</v>
      </c>
      <c r="DW29" s="18">
        <f t="shared" si="265"/>
        <v>0</v>
      </c>
      <c r="DX29" s="40">
        <f t="shared" si="265"/>
        <v>0.37126578481714695</v>
      </c>
      <c r="DZ29" s="46">
        <f t="shared" si="266"/>
        <v>0.55352049227703348</v>
      </c>
      <c r="EA29" s="18">
        <f t="shared" si="266"/>
        <v>3.3898305084745762E-3</v>
      </c>
      <c r="EB29" s="18">
        <f t="shared" si="266"/>
        <v>6.6792097836312334E-2</v>
      </c>
      <c r="EC29" s="51">
        <f t="shared" si="266"/>
        <v>0.9670053217223028</v>
      </c>
      <c r="ED29" s="18">
        <f t="shared" si="266"/>
        <v>0</v>
      </c>
      <c r="EE29" s="18">
        <f t="shared" si="266"/>
        <v>9.0909090909090898E-2</v>
      </c>
      <c r="EF29" s="18">
        <f t="shared" si="266"/>
        <v>0</v>
      </c>
      <c r="EG29" s="18">
        <f t="shared" si="266"/>
        <v>0</v>
      </c>
      <c r="EH29" s="18">
        <f t="shared" si="266"/>
        <v>0</v>
      </c>
      <c r="EI29" s="18">
        <f t="shared" si="266"/>
        <v>0</v>
      </c>
      <c r="EJ29" s="18">
        <f t="shared" si="266"/>
        <v>0</v>
      </c>
      <c r="EK29" s="18">
        <f t="shared" si="266"/>
        <v>1</v>
      </c>
      <c r="EL29" s="18">
        <f t="shared" si="266"/>
        <v>0.6</v>
      </c>
      <c r="EM29" s="18">
        <f t="shared" si="266"/>
        <v>0</v>
      </c>
      <c r="EN29" s="18">
        <f t="shared" si="266"/>
        <v>0.52441888717907181</v>
      </c>
      <c r="EO29" s="18">
        <f t="shared" si="266"/>
        <v>0</v>
      </c>
      <c r="EP29" s="40">
        <f t="shared" si="266"/>
        <v>0.55338699582679041</v>
      </c>
      <c r="ER29" s="46">
        <f t="shared" si="266"/>
        <v>0.50363525353485317</v>
      </c>
      <c r="ES29" s="18">
        <f t="shared" si="266"/>
        <v>3.5087719298245615E-3</v>
      </c>
      <c r="ET29" s="18">
        <f t="shared" si="266"/>
        <v>0.15569395017793594</v>
      </c>
      <c r="EU29" s="51">
        <f t="shared" si="266"/>
        <v>0.96241926012918377</v>
      </c>
      <c r="EV29" s="18">
        <f t="shared" si="266"/>
        <v>0</v>
      </c>
      <c r="EW29" s="18">
        <f t="shared" si="266"/>
        <v>0.24137931034482762</v>
      </c>
      <c r="EX29" s="18">
        <f t="shared" si="266"/>
        <v>0</v>
      </c>
      <c r="EY29" s="18">
        <f t="shared" si="266"/>
        <v>0</v>
      </c>
      <c r="EZ29" s="18">
        <f t="shared" si="266"/>
        <v>0</v>
      </c>
      <c r="FA29" s="18">
        <f t="shared" si="266"/>
        <v>0</v>
      </c>
      <c r="FB29" s="18">
        <f t="shared" si="266"/>
        <v>0</v>
      </c>
      <c r="FC29" s="18">
        <f t="shared" si="266"/>
        <v>0.90526315789473688</v>
      </c>
      <c r="FD29" s="18">
        <f t="shared" si="266"/>
        <v>0.55000000000000004</v>
      </c>
      <c r="FE29" s="18">
        <f t="shared" si="266"/>
        <v>0</v>
      </c>
      <c r="FF29" s="18">
        <f t="shared" si="267"/>
        <v>0.47787187215922683</v>
      </c>
      <c r="FG29" s="18">
        <f t="shared" si="267"/>
        <v>0</v>
      </c>
      <c r="FH29" s="40">
        <f t="shared" si="267"/>
        <v>0.50298685782556751</v>
      </c>
      <c r="FJ29" s="46">
        <f t="shared" si="268"/>
        <v>0.48641093901935095</v>
      </c>
      <c r="FK29" s="18">
        <f t="shared" si="268"/>
        <v>2.3952095808383235E-2</v>
      </c>
      <c r="FL29" s="18">
        <f t="shared" si="268"/>
        <v>3.2851511169513799E-2</v>
      </c>
      <c r="FM29" s="18">
        <f t="shared" si="268"/>
        <v>0.97599451303155005</v>
      </c>
      <c r="FN29" s="18">
        <f t="shared" si="268"/>
        <v>0</v>
      </c>
      <c r="FO29" s="18">
        <f t="shared" si="268"/>
        <v>4.7058823529411764E-2</v>
      </c>
      <c r="FP29" s="18">
        <f t="shared" si="268"/>
        <v>0</v>
      </c>
      <c r="FQ29" s="18">
        <f t="shared" si="268"/>
        <v>0</v>
      </c>
      <c r="FR29" s="18">
        <f t="shared" si="268"/>
        <v>0</v>
      </c>
      <c r="FS29" s="18">
        <f t="shared" si="268"/>
        <v>0</v>
      </c>
      <c r="FT29" s="18">
        <f t="shared" si="268"/>
        <v>0.1111111111111111</v>
      </c>
      <c r="FU29" s="18">
        <f t="shared" si="268"/>
        <v>1</v>
      </c>
      <c r="FV29" s="18">
        <f t="shared" si="268"/>
        <v>0.87500000000000011</v>
      </c>
      <c r="FW29" s="18">
        <f t="shared" si="268"/>
        <v>0</v>
      </c>
      <c r="FX29" s="18">
        <f t="shared" si="268"/>
        <v>0.47606553396421125</v>
      </c>
      <c r="FY29" s="18">
        <f t="shared" si="268"/>
        <v>0</v>
      </c>
      <c r="FZ29" s="40">
        <f t="shared" si="268"/>
        <v>0.48631065721613287</v>
      </c>
      <c r="GB29" s="46">
        <f t="shared" si="268"/>
        <v>0.63126062529123705</v>
      </c>
      <c r="GC29" s="18">
        <f t="shared" si="268"/>
        <v>1.6272189349112426E-2</v>
      </c>
      <c r="GD29" s="18">
        <f t="shared" si="268"/>
        <v>0.25000000000000006</v>
      </c>
      <c r="GE29" s="51">
        <f t="shared" si="268"/>
        <v>0.95883361921097765</v>
      </c>
      <c r="GF29" s="18">
        <f t="shared" si="268"/>
        <v>0</v>
      </c>
      <c r="GG29" s="18">
        <f t="shared" si="268"/>
        <v>0.26760563380281688</v>
      </c>
      <c r="GH29" s="18">
        <f t="shared" si="268"/>
        <v>0</v>
      </c>
      <c r="GI29" s="18">
        <f t="shared" si="268"/>
        <v>0</v>
      </c>
      <c r="GJ29" s="18">
        <f t="shared" si="268"/>
        <v>0</v>
      </c>
      <c r="GK29" s="18">
        <f t="shared" si="268"/>
        <v>0</v>
      </c>
      <c r="GL29" s="18">
        <f t="shared" si="268"/>
        <v>0</v>
      </c>
      <c r="GM29" s="18">
        <f t="shared" si="268"/>
        <v>0.62500000000000011</v>
      </c>
      <c r="GN29" s="18">
        <f t="shared" si="268"/>
        <v>0.379746835443038</v>
      </c>
      <c r="GO29" s="18">
        <f t="shared" si="268"/>
        <v>0</v>
      </c>
      <c r="GP29" s="18">
        <f t="shared" si="269"/>
        <v>0.61129708949603323</v>
      </c>
      <c r="GQ29" s="18">
        <f t="shared" si="269"/>
        <v>0</v>
      </c>
      <c r="GR29" s="40">
        <f t="shared" si="269"/>
        <v>0.6311487322410444</v>
      </c>
      <c r="GT29" s="46">
        <f t="shared" si="270"/>
        <v>0.31693974057886759</v>
      </c>
      <c r="GU29" s="18">
        <f t="shared" si="270"/>
        <v>0</v>
      </c>
      <c r="GV29" s="18">
        <f t="shared" si="270"/>
        <v>7.1428571428571425E-2</v>
      </c>
      <c r="GW29" s="51">
        <f t="shared" si="270"/>
        <v>0.96829268292682924</v>
      </c>
      <c r="GX29" s="18">
        <f t="shared" si="270"/>
        <v>0</v>
      </c>
      <c r="GY29" s="18">
        <f t="shared" si="270"/>
        <v>0.12048192771084337</v>
      </c>
      <c r="GZ29" s="18">
        <f t="shared" si="270"/>
        <v>0</v>
      </c>
      <c r="HA29" s="18">
        <f t="shared" si="270"/>
        <v>0</v>
      </c>
      <c r="HB29" s="18">
        <f t="shared" si="270"/>
        <v>0</v>
      </c>
      <c r="HC29" s="18">
        <f t="shared" si="270"/>
        <v>0</v>
      </c>
      <c r="HD29" s="18">
        <f t="shared" si="270"/>
        <v>0</v>
      </c>
      <c r="HE29" s="18">
        <f t="shared" si="270"/>
        <v>1</v>
      </c>
      <c r="HF29" s="18">
        <f t="shared" si="270"/>
        <v>0.58823529411764708</v>
      </c>
      <c r="HG29" s="18">
        <f t="shared" si="270"/>
        <v>0</v>
      </c>
      <c r="HH29" s="18">
        <f t="shared" si="270"/>
        <v>0.42196454304768927</v>
      </c>
      <c r="HI29" s="18">
        <f t="shared" si="270"/>
        <v>0</v>
      </c>
      <c r="HJ29" s="40">
        <f t="shared" si="270"/>
        <v>0.31704879895704036</v>
      </c>
      <c r="HL29" s="46">
        <f t="shared" si="270"/>
        <v>0.50854059034718546</v>
      </c>
      <c r="HM29" s="18">
        <f t="shared" si="270"/>
        <v>1.3285024154589372E-2</v>
      </c>
      <c r="HN29" s="18">
        <f t="shared" si="270"/>
        <v>0.61538461538461542</v>
      </c>
      <c r="HO29" s="51">
        <f t="shared" si="270"/>
        <v>0.98633257403189067</v>
      </c>
      <c r="HP29" s="18">
        <f t="shared" si="270"/>
        <v>0</v>
      </c>
      <c r="HQ29" s="18">
        <f t="shared" si="270"/>
        <v>3.7623762376237622E-2</v>
      </c>
      <c r="HR29" s="18">
        <f t="shared" si="270"/>
        <v>0</v>
      </c>
      <c r="HS29" s="18">
        <f t="shared" si="270"/>
        <v>0</v>
      </c>
      <c r="HT29" s="18">
        <f t="shared" si="270"/>
        <v>0</v>
      </c>
      <c r="HU29" s="18">
        <f t="shared" si="270"/>
        <v>0</v>
      </c>
      <c r="HV29" s="18">
        <f t="shared" si="270"/>
        <v>0</v>
      </c>
      <c r="HW29" s="18">
        <f t="shared" si="270"/>
        <v>1</v>
      </c>
      <c r="HX29" s="18">
        <f t="shared" si="270"/>
        <v>0.53333333333333333</v>
      </c>
      <c r="HY29" s="18">
        <f t="shared" si="270"/>
        <v>0</v>
      </c>
      <c r="HZ29" s="18">
        <f t="shared" si="270"/>
        <v>0.4890496724959455</v>
      </c>
      <c r="IA29" s="18">
        <f t="shared" si="270"/>
        <v>0</v>
      </c>
      <c r="IB29" s="40">
        <f t="shared" si="270"/>
        <v>0.50833764215251553</v>
      </c>
    </row>
    <row r="30" spans="2:236" x14ac:dyDescent="0.35">
      <c r="B30" s="17" t="s">
        <v>71</v>
      </c>
      <c r="D30" s="46">
        <f t="shared" si="272"/>
        <v>3.0614721662160414E-2</v>
      </c>
      <c r="E30" s="18">
        <f t="shared" si="272"/>
        <v>0</v>
      </c>
      <c r="F30" s="18">
        <f t="shared" si="259"/>
        <v>0</v>
      </c>
      <c r="G30" s="18">
        <f t="shared" si="259"/>
        <v>0</v>
      </c>
      <c r="H30" s="18">
        <f t="shared" si="259"/>
        <v>0</v>
      </c>
      <c r="I30" s="51">
        <f t="shared" si="259"/>
        <v>0.67399824023759103</v>
      </c>
      <c r="J30" s="18">
        <f t="shared" si="259"/>
        <v>0</v>
      </c>
      <c r="K30" s="18">
        <f t="shared" si="259"/>
        <v>0</v>
      </c>
      <c r="L30" s="18">
        <f t="shared" si="259"/>
        <v>0</v>
      </c>
      <c r="M30" s="18">
        <f t="shared" si="259"/>
        <v>0</v>
      </c>
      <c r="N30" s="18">
        <f t="shared" si="259"/>
        <v>0</v>
      </c>
      <c r="O30" s="18">
        <f t="shared" si="259"/>
        <v>0</v>
      </c>
      <c r="P30" s="50">
        <f t="shared" si="259"/>
        <v>0.15541922290388549</v>
      </c>
      <c r="Q30" s="18">
        <f t="shared" si="259"/>
        <v>0</v>
      </c>
      <c r="R30" s="18">
        <f t="shared" si="259"/>
        <v>4.5776664118377601E-2</v>
      </c>
      <c r="S30" s="18">
        <f t="shared" si="259"/>
        <v>0</v>
      </c>
      <c r="T30" s="40">
        <f t="shared" si="259"/>
        <v>3.066465946851946E-2</v>
      </c>
      <c r="V30" s="46">
        <f t="shared" si="273"/>
        <v>0</v>
      </c>
      <c r="W30" s="18">
        <f t="shared" si="273"/>
        <v>0</v>
      </c>
      <c r="X30" s="18">
        <f t="shared" si="273"/>
        <v>0</v>
      </c>
      <c r="Y30" s="18">
        <f t="shared" si="273"/>
        <v>0</v>
      </c>
      <c r="Z30" s="18">
        <f t="shared" si="273"/>
        <v>0</v>
      </c>
      <c r="AA30" s="51">
        <f t="shared" si="273"/>
        <v>0</v>
      </c>
      <c r="AB30" s="18">
        <f t="shared" si="273"/>
        <v>0</v>
      </c>
      <c r="AC30" s="18">
        <f t="shared" si="273"/>
        <v>0</v>
      </c>
      <c r="AD30" s="18">
        <f t="shared" si="273"/>
        <v>0</v>
      </c>
      <c r="AE30" s="18">
        <f t="shared" si="273"/>
        <v>0</v>
      </c>
      <c r="AF30" s="18">
        <f t="shared" si="273"/>
        <v>0</v>
      </c>
      <c r="AG30" s="18">
        <f t="shared" si="273"/>
        <v>0</v>
      </c>
      <c r="AH30" s="18">
        <f t="shared" si="273"/>
        <v>0</v>
      </c>
      <c r="AI30" s="18">
        <f t="shared" si="273"/>
        <v>0</v>
      </c>
      <c r="AJ30" s="18">
        <f t="shared" si="273"/>
        <v>0</v>
      </c>
      <c r="AK30" s="18">
        <f t="shared" si="273"/>
        <v>0</v>
      </c>
      <c r="AL30" s="40">
        <f t="shared" si="273"/>
        <v>0</v>
      </c>
      <c r="AN30" s="46">
        <f t="shared" si="273"/>
        <v>3.7026371004237448E-3</v>
      </c>
      <c r="AO30" s="18">
        <f t="shared" si="273"/>
        <v>0</v>
      </c>
      <c r="AP30" s="18">
        <f t="shared" si="273"/>
        <v>0</v>
      </c>
      <c r="AQ30" s="18">
        <f t="shared" si="273"/>
        <v>0</v>
      </c>
      <c r="AR30" s="18">
        <f t="shared" si="273"/>
        <v>0</v>
      </c>
      <c r="AS30" s="51">
        <f t="shared" si="273"/>
        <v>8.771929824561403E-2</v>
      </c>
      <c r="AT30" s="18">
        <f t="shared" si="273"/>
        <v>0</v>
      </c>
      <c r="AU30" s="18">
        <f t="shared" si="273"/>
        <v>0</v>
      </c>
      <c r="AV30" s="18">
        <f t="shared" si="273"/>
        <v>0</v>
      </c>
      <c r="AW30" s="18">
        <f t="shared" si="273"/>
        <v>0</v>
      </c>
      <c r="AX30" s="18">
        <f t="shared" si="273"/>
        <v>0</v>
      </c>
      <c r="AY30" s="18">
        <f t="shared" si="273"/>
        <v>0</v>
      </c>
      <c r="AZ30" s="18">
        <f t="shared" si="273"/>
        <v>0.2</v>
      </c>
      <c r="BA30" s="18">
        <f t="shared" si="273"/>
        <v>0</v>
      </c>
      <c r="BB30" s="18">
        <f t="shared" si="273"/>
        <v>6.7421063418949094E-3</v>
      </c>
      <c r="BC30" s="18">
        <f t="shared" si="273"/>
        <v>0</v>
      </c>
      <c r="BD30" s="40">
        <f t="shared" si="273"/>
        <v>3.6905055456546462E-3</v>
      </c>
      <c r="BF30" s="46">
        <f t="shared" si="273"/>
        <v>0.11652127370819973</v>
      </c>
      <c r="BG30" s="18">
        <f t="shared" si="273"/>
        <v>0</v>
      </c>
      <c r="BH30" s="18">
        <f t="shared" si="273"/>
        <v>0</v>
      </c>
      <c r="BI30" s="18">
        <f t="shared" si="273"/>
        <v>0</v>
      </c>
      <c r="BJ30" s="18">
        <f t="shared" si="273"/>
        <v>0</v>
      </c>
      <c r="BK30" s="51">
        <f t="shared" si="273"/>
        <v>0.9368664755347097</v>
      </c>
      <c r="BL30" s="18">
        <f t="shared" si="273"/>
        <v>0</v>
      </c>
      <c r="BM30" s="18">
        <f t="shared" si="273"/>
        <v>0</v>
      </c>
      <c r="BN30" s="18">
        <f t="shared" si="273"/>
        <v>0</v>
      </c>
      <c r="BO30" s="18">
        <f t="shared" si="273"/>
        <v>0</v>
      </c>
      <c r="BP30" s="18">
        <f t="shared" si="273"/>
        <v>0</v>
      </c>
      <c r="BQ30" s="18">
        <f t="shared" si="273"/>
        <v>0</v>
      </c>
      <c r="BR30" s="18">
        <f t="shared" si="273"/>
        <v>0</v>
      </c>
      <c r="BS30" s="18">
        <f t="shared" si="273"/>
        <v>0</v>
      </c>
      <c r="BT30" s="18">
        <f t="shared" si="273"/>
        <v>0.14618293642509594</v>
      </c>
      <c r="BU30" s="18">
        <f t="shared" si="273"/>
        <v>0</v>
      </c>
      <c r="BV30" s="40">
        <f t="shared" si="273"/>
        <v>0.11647559775480956</v>
      </c>
      <c r="BX30" s="46">
        <f t="shared" si="273"/>
        <v>2.304909829696904E-2</v>
      </c>
      <c r="BY30" s="18">
        <f t="shared" si="273"/>
        <v>0</v>
      </c>
      <c r="BZ30" s="18">
        <f t="shared" si="273"/>
        <v>0</v>
      </c>
      <c r="CA30" s="18">
        <f t="shared" si="273"/>
        <v>0</v>
      </c>
      <c r="CB30" s="18">
        <f t="shared" si="273"/>
        <v>0</v>
      </c>
      <c r="CC30" s="51">
        <f t="shared" si="273"/>
        <v>0.79127887574622713</v>
      </c>
      <c r="CD30" s="18">
        <f t="shared" si="273"/>
        <v>0</v>
      </c>
      <c r="CE30" s="18">
        <f t="shared" si="273"/>
        <v>0</v>
      </c>
      <c r="CF30" s="18">
        <f t="shared" si="273"/>
        <v>0</v>
      </c>
      <c r="CG30" s="18">
        <f t="shared" si="273"/>
        <v>0</v>
      </c>
      <c r="CH30" s="18">
        <f t="shared" si="263"/>
        <v>0</v>
      </c>
      <c r="CI30" s="18">
        <f t="shared" si="263"/>
        <v>0</v>
      </c>
      <c r="CJ30" s="18">
        <f t="shared" si="263"/>
        <v>0</v>
      </c>
      <c r="CK30" s="18">
        <f t="shared" si="263"/>
        <v>0</v>
      </c>
      <c r="CL30" s="18">
        <f t="shared" si="263"/>
        <v>2.7875707141100266E-2</v>
      </c>
      <c r="CM30" s="18">
        <f t="shared" si="263"/>
        <v>0</v>
      </c>
      <c r="CN30" s="40">
        <f t="shared" si="263"/>
        <v>2.3167929047711529E-2</v>
      </c>
      <c r="CP30" s="46">
        <f t="shared" si="264"/>
        <v>0</v>
      </c>
      <c r="CQ30" s="18">
        <f t="shared" si="264"/>
        <v>0</v>
      </c>
      <c r="CR30" s="18">
        <f t="shared" si="264"/>
        <v>0</v>
      </c>
      <c r="CS30" s="18">
        <f t="shared" si="264"/>
        <v>0</v>
      </c>
      <c r="CT30" s="18">
        <f t="shared" si="264"/>
        <v>0</v>
      </c>
      <c r="CU30" s="51">
        <f t="shared" si="264"/>
        <v>0</v>
      </c>
      <c r="CV30" s="18">
        <f t="shared" si="264"/>
        <v>0</v>
      </c>
      <c r="CW30" s="18">
        <f t="shared" si="264"/>
        <v>0</v>
      </c>
      <c r="CX30" s="18">
        <f t="shared" si="264"/>
        <v>0</v>
      </c>
      <c r="CY30" s="18">
        <f t="shared" si="264"/>
        <v>0</v>
      </c>
      <c r="CZ30" s="18">
        <f t="shared" si="264"/>
        <v>0</v>
      </c>
      <c r="DA30" s="18">
        <f t="shared" si="264"/>
        <v>0</v>
      </c>
      <c r="DB30" s="18">
        <f t="shared" si="264"/>
        <v>0</v>
      </c>
      <c r="DC30" s="18">
        <f t="shared" si="264"/>
        <v>0</v>
      </c>
      <c r="DD30" s="18">
        <f t="shared" si="264"/>
        <v>0</v>
      </c>
      <c r="DE30" s="18">
        <f t="shared" si="264"/>
        <v>0</v>
      </c>
      <c r="DF30" s="40">
        <f t="shared" si="264"/>
        <v>0</v>
      </c>
      <c r="DH30" s="46">
        <f t="shared" si="264"/>
        <v>6.9660840524218715E-5</v>
      </c>
      <c r="DI30" s="18">
        <f t="shared" si="264"/>
        <v>0</v>
      </c>
      <c r="DJ30" s="18">
        <f t="shared" si="264"/>
        <v>0</v>
      </c>
      <c r="DK30" s="18">
        <f t="shared" si="264"/>
        <v>0</v>
      </c>
      <c r="DL30" s="18">
        <f t="shared" si="264"/>
        <v>0</v>
      </c>
      <c r="DM30" s="51">
        <f t="shared" si="264"/>
        <v>1.282051282051282E-2</v>
      </c>
      <c r="DN30" s="18">
        <f t="shared" si="264"/>
        <v>0</v>
      </c>
      <c r="DO30" s="18">
        <f t="shared" si="264"/>
        <v>0</v>
      </c>
      <c r="DP30" s="18">
        <f t="shared" si="264"/>
        <v>0</v>
      </c>
      <c r="DQ30" s="18">
        <f t="shared" si="264"/>
        <v>0</v>
      </c>
      <c r="DR30" s="18">
        <f t="shared" si="264"/>
        <v>0</v>
      </c>
      <c r="DS30" s="18">
        <f t="shared" si="264"/>
        <v>0</v>
      </c>
      <c r="DT30" s="18">
        <f t="shared" si="264"/>
        <v>0</v>
      </c>
      <c r="DU30" s="18">
        <f t="shared" si="264"/>
        <v>0</v>
      </c>
      <c r="DV30" s="18">
        <f t="shared" si="265"/>
        <v>0</v>
      </c>
      <c r="DW30" s="18">
        <f t="shared" si="265"/>
        <v>0</v>
      </c>
      <c r="DX30" s="40">
        <f t="shared" si="265"/>
        <v>7.0741636452127714E-5</v>
      </c>
      <c r="DZ30" s="46">
        <f t="shared" si="266"/>
        <v>0</v>
      </c>
      <c r="EA30" s="18">
        <f t="shared" si="266"/>
        <v>0</v>
      </c>
      <c r="EB30" s="18">
        <f t="shared" si="266"/>
        <v>0</v>
      </c>
      <c r="EC30" s="18">
        <f t="shared" si="266"/>
        <v>0</v>
      </c>
      <c r="ED30" s="18">
        <f t="shared" si="266"/>
        <v>0</v>
      </c>
      <c r="EE30" s="51">
        <f t="shared" si="266"/>
        <v>0</v>
      </c>
      <c r="EF30" s="18">
        <f t="shared" si="266"/>
        <v>0</v>
      </c>
      <c r="EG30" s="18">
        <f t="shared" si="266"/>
        <v>0</v>
      </c>
      <c r="EH30" s="18">
        <f t="shared" si="266"/>
        <v>0</v>
      </c>
      <c r="EI30" s="18">
        <f t="shared" si="266"/>
        <v>0</v>
      </c>
      <c r="EJ30" s="18">
        <f t="shared" si="266"/>
        <v>0</v>
      </c>
      <c r="EK30" s="18">
        <f t="shared" si="266"/>
        <v>0</v>
      </c>
      <c r="EL30" s="18">
        <f t="shared" si="266"/>
        <v>0</v>
      </c>
      <c r="EM30" s="18">
        <f t="shared" si="266"/>
        <v>0</v>
      </c>
      <c r="EN30" s="18">
        <f t="shared" si="266"/>
        <v>0</v>
      </c>
      <c r="EO30" s="18">
        <f t="shared" si="266"/>
        <v>0</v>
      </c>
      <c r="EP30" s="40">
        <f t="shared" si="266"/>
        <v>0</v>
      </c>
      <c r="ER30" s="46">
        <f t="shared" si="266"/>
        <v>0</v>
      </c>
      <c r="ES30" s="18">
        <f t="shared" si="266"/>
        <v>0</v>
      </c>
      <c r="ET30" s="18">
        <f t="shared" si="266"/>
        <v>0</v>
      </c>
      <c r="EU30" s="18">
        <f t="shared" si="266"/>
        <v>0</v>
      </c>
      <c r="EV30" s="18">
        <f t="shared" si="266"/>
        <v>0</v>
      </c>
      <c r="EW30" s="51">
        <f t="shared" si="266"/>
        <v>0</v>
      </c>
      <c r="EX30" s="18">
        <f t="shared" si="266"/>
        <v>0</v>
      </c>
      <c r="EY30" s="18">
        <f t="shared" si="266"/>
        <v>0</v>
      </c>
      <c r="EZ30" s="18">
        <f t="shared" si="266"/>
        <v>0</v>
      </c>
      <c r="FA30" s="18">
        <f t="shared" si="266"/>
        <v>0</v>
      </c>
      <c r="FB30" s="18">
        <f t="shared" si="266"/>
        <v>0</v>
      </c>
      <c r="FC30" s="18">
        <f t="shared" si="266"/>
        <v>0</v>
      </c>
      <c r="FD30" s="18">
        <f t="shared" si="266"/>
        <v>0</v>
      </c>
      <c r="FE30" s="18">
        <f t="shared" si="266"/>
        <v>0</v>
      </c>
      <c r="FF30" s="18">
        <f t="shared" si="267"/>
        <v>0</v>
      </c>
      <c r="FG30" s="18">
        <f t="shared" si="267"/>
        <v>0</v>
      </c>
      <c r="FH30" s="40">
        <f t="shared" si="267"/>
        <v>0</v>
      </c>
      <c r="FJ30" s="46">
        <f t="shared" si="268"/>
        <v>4.6969699511347378E-2</v>
      </c>
      <c r="FK30" s="18">
        <f t="shared" si="268"/>
        <v>0</v>
      </c>
      <c r="FL30" s="18">
        <f t="shared" si="268"/>
        <v>0</v>
      </c>
      <c r="FM30" s="18">
        <f t="shared" si="268"/>
        <v>0</v>
      </c>
      <c r="FN30" s="18">
        <f t="shared" si="268"/>
        <v>0</v>
      </c>
      <c r="FO30" s="18">
        <f t="shared" si="268"/>
        <v>0.8411764705882353</v>
      </c>
      <c r="FP30" s="18">
        <f t="shared" si="268"/>
        <v>0</v>
      </c>
      <c r="FQ30" s="18">
        <f t="shared" si="268"/>
        <v>0</v>
      </c>
      <c r="FR30" s="18">
        <f t="shared" si="268"/>
        <v>0</v>
      </c>
      <c r="FS30" s="18">
        <f t="shared" si="268"/>
        <v>0</v>
      </c>
      <c r="FT30" s="18">
        <f t="shared" si="268"/>
        <v>0</v>
      </c>
      <c r="FU30" s="18">
        <f t="shared" si="268"/>
        <v>0</v>
      </c>
      <c r="FV30" s="18">
        <f t="shared" si="268"/>
        <v>0</v>
      </c>
      <c r="FW30" s="18">
        <f t="shared" si="268"/>
        <v>0</v>
      </c>
      <c r="FX30" s="18">
        <f t="shared" si="268"/>
        <v>5.5443514390357412E-2</v>
      </c>
      <c r="FY30" s="18">
        <f t="shared" si="268"/>
        <v>0</v>
      </c>
      <c r="FZ30" s="40">
        <f t="shared" si="268"/>
        <v>4.6963262709688328E-2</v>
      </c>
      <c r="GB30" s="46">
        <f t="shared" si="268"/>
        <v>9.1548012813059843E-3</v>
      </c>
      <c r="GC30" s="18">
        <f t="shared" si="268"/>
        <v>0</v>
      </c>
      <c r="GD30" s="18">
        <f t="shared" si="268"/>
        <v>0</v>
      </c>
      <c r="GE30" s="18">
        <f t="shared" si="268"/>
        <v>0</v>
      </c>
      <c r="GF30" s="18">
        <f t="shared" si="268"/>
        <v>0</v>
      </c>
      <c r="GG30" s="51">
        <f t="shared" si="268"/>
        <v>0</v>
      </c>
      <c r="GH30" s="18">
        <f t="shared" si="268"/>
        <v>0</v>
      </c>
      <c r="GI30" s="18">
        <f t="shared" si="268"/>
        <v>0</v>
      </c>
      <c r="GJ30" s="18">
        <f t="shared" si="268"/>
        <v>0</v>
      </c>
      <c r="GK30" s="18">
        <f t="shared" si="268"/>
        <v>0</v>
      </c>
      <c r="GL30" s="18">
        <f t="shared" si="268"/>
        <v>0</v>
      </c>
      <c r="GM30" s="18">
        <f t="shared" si="268"/>
        <v>0</v>
      </c>
      <c r="GN30" s="18">
        <f t="shared" si="268"/>
        <v>0.379746835443038</v>
      </c>
      <c r="GO30" s="18">
        <f t="shared" si="268"/>
        <v>0</v>
      </c>
      <c r="GP30" s="18">
        <f t="shared" si="269"/>
        <v>3.6964647934831327E-2</v>
      </c>
      <c r="GQ30" s="18">
        <f t="shared" si="269"/>
        <v>0</v>
      </c>
      <c r="GR30" s="40">
        <f t="shared" si="269"/>
        <v>9.1442610223274566E-3</v>
      </c>
      <c r="GT30" s="46">
        <f t="shared" si="270"/>
        <v>0</v>
      </c>
      <c r="GU30" s="18">
        <f t="shared" si="270"/>
        <v>0</v>
      </c>
      <c r="GV30" s="18">
        <f t="shared" si="270"/>
        <v>0</v>
      </c>
      <c r="GW30" s="18">
        <f t="shared" si="270"/>
        <v>0</v>
      </c>
      <c r="GX30" s="18">
        <f t="shared" si="270"/>
        <v>0</v>
      </c>
      <c r="GY30" s="51">
        <f t="shared" si="270"/>
        <v>0</v>
      </c>
      <c r="GZ30" s="18">
        <f t="shared" si="270"/>
        <v>0</v>
      </c>
      <c r="HA30" s="18">
        <f t="shared" si="270"/>
        <v>0</v>
      </c>
      <c r="HB30" s="18">
        <f t="shared" si="270"/>
        <v>0</v>
      </c>
      <c r="HC30" s="18">
        <f t="shared" si="270"/>
        <v>0</v>
      </c>
      <c r="HD30" s="18">
        <f t="shared" si="270"/>
        <v>0</v>
      </c>
      <c r="HE30" s="18">
        <f t="shared" si="270"/>
        <v>0</v>
      </c>
      <c r="HF30" s="18">
        <f t="shared" si="270"/>
        <v>0</v>
      </c>
      <c r="HG30" s="18">
        <f t="shared" si="270"/>
        <v>0</v>
      </c>
      <c r="HH30" s="18">
        <f t="shared" si="270"/>
        <v>0</v>
      </c>
      <c r="HI30" s="18">
        <f t="shared" si="270"/>
        <v>0</v>
      </c>
      <c r="HJ30" s="40">
        <f t="shared" si="270"/>
        <v>0</v>
      </c>
      <c r="HL30" s="46">
        <f t="shared" si="270"/>
        <v>0.16941603306210967</v>
      </c>
      <c r="HM30" s="18">
        <f t="shared" si="270"/>
        <v>0</v>
      </c>
      <c r="HN30" s="18">
        <f t="shared" si="270"/>
        <v>0</v>
      </c>
      <c r="HO30" s="18">
        <f t="shared" si="270"/>
        <v>0</v>
      </c>
      <c r="HP30" s="18">
        <f t="shared" si="270"/>
        <v>0</v>
      </c>
      <c r="HQ30" s="51">
        <f t="shared" si="270"/>
        <v>0.9128712871287129</v>
      </c>
      <c r="HR30" s="18">
        <f t="shared" si="270"/>
        <v>0</v>
      </c>
      <c r="HS30" s="18">
        <f t="shared" si="270"/>
        <v>0</v>
      </c>
      <c r="HT30" s="18">
        <f t="shared" si="270"/>
        <v>0</v>
      </c>
      <c r="HU30" s="18">
        <f t="shared" si="270"/>
        <v>0</v>
      </c>
      <c r="HV30" s="18">
        <f t="shared" si="270"/>
        <v>0</v>
      </c>
      <c r="HW30" s="18">
        <f t="shared" si="270"/>
        <v>0</v>
      </c>
      <c r="HX30" s="18">
        <f t="shared" si="270"/>
        <v>0.2</v>
      </c>
      <c r="HY30" s="18">
        <f t="shared" si="270"/>
        <v>0</v>
      </c>
      <c r="HZ30" s="18">
        <f t="shared" si="270"/>
        <v>0.2316604015539156</v>
      </c>
      <c r="IA30" s="18">
        <f t="shared" si="270"/>
        <v>0</v>
      </c>
      <c r="IB30" s="40">
        <f t="shared" si="270"/>
        <v>0.169647198610167</v>
      </c>
    </row>
    <row r="31" spans="2:236" x14ac:dyDescent="0.35">
      <c r="B31" s="17" t="s">
        <v>148</v>
      </c>
      <c r="D31" s="46">
        <f t="shared" si="272"/>
        <v>2.3211522589767144E-4</v>
      </c>
      <c r="E31" s="18">
        <f t="shared" si="272"/>
        <v>0</v>
      </c>
      <c r="F31" s="18">
        <f t="shared" si="259"/>
        <v>0</v>
      </c>
      <c r="G31" s="18">
        <f t="shared" si="259"/>
        <v>0</v>
      </c>
      <c r="H31" s="18">
        <f t="shared" si="259"/>
        <v>0</v>
      </c>
      <c r="I31" s="18">
        <f t="shared" si="259"/>
        <v>0</v>
      </c>
      <c r="J31" s="51">
        <f t="shared" si="259"/>
        <v>1</v>
      </c>
      <c r="K31" s="18">
        <f t="shared" si="259"/>
        <v>2.6219140072135097E-3</v>
      </c>
      <c r="L31" s="18">
        <f t="shared" si="259"/>
        <v>0</v>
      </c>
      <c r="M31" s="18">
        <f t="shared" si="259"/>
        <v>0</v>
      </c>
      <c r="N31" s="18">
        <f t="shared" si="259"/>
        <v>0</v>
      </c>
      <c r="O31" s="18">
        <f t="shared" si="259"/>
        <v>0</v>
      </c>
      <c r="P31" s="18">
        <f t="shared" si="259"/>
        <v>0</v>
      </c>
      <c r="Q31" s="18">
        <f t="shared" si="259"/>
        <v>0</v>
      </c>
      <c r="R31" s="18">
        <f t="shared" si="259"/>
        <v>3.5410390371697678E-4</v>
      </c>
      <c r="S31" s="18">
        <f t="shared" si="259"/>
        <v>0</v>
      </c>
      <c r="T31" s="40">
        <f t="shared" si="259"/>
        <v>2.3359641705260982E-4</v>
      </c>
      <c r="V31" s="46">
        <f t="shared" si="273"/>
        <v>0</v>
      </c>
      <c r="W31" s="18">
        <f t="shared" si="273"/>
        <v>0</v>
      </c>
      <c r="X31" s="18">
        <f t="shared" si="273"/>
        <v>0</v>
      </c>
      <c r="Y31" s="18">
        <f t="shared" si="273"/>
        <v>0</v>
      </c>
      <c r="Z31" s="18">
        <f t="shared" si="273"/>
        <v>0</v>
      </c>
      <c r="AA31" s="18">
        <f t="shared" si="273"/>
        <v>0</v>
      </c>
      <c r="AB31" s="51">
        <f t="shared" si="273"/>
        <v>0</v>
      </c>
      <c r="AC31" s="18">
        <f t="shared" si="273"/>
        <v>0</v>
      </c>
      <c r="AD31" s="18">
        <f t="shared" si="273"/>
        <v>0</v>
      </c>
      <c r="AE31" s="18">
        <f t="shared" si="273"/>
        <v>0</v>
      </c>
      <c r="AF31" s="18">
        <f t="shared" si="273"/>
        <v>0</v>
      </c>
      <c r="AG31" s="18">
        <f t="shared" si="273"/>
        <v>0</v>
      </c>
      <c r="AH31" s="18">
        <f t="shared" si="273"/>
        <v>0</v>
      </c>
      <c r="AI31" s="18">
        <f t="shared" si="273"/>
        <v>0</v>
      </c>
      <c r="AJ31" s="18">
        <f t="shared" si="273"/>
        <v>0</v>
      </c>
      <c r="AK31" s="18">
        <f t="shared" si="273"/>
        <v>0</v>
      </c>
      <c r="AL31" s="40">
        <f t="shared" si="273"/>
        <v>0</v>
      </c>
      <c r="AN31" s="46">
        <f t="shared" si="273"/>
        <v>0</v>
      </c>
      <c r="AO31" s="18">
        <f t="shared" si="273"/>
        <v>0</v>
      </c>
      <c r="AP31" s="18">
        <f t="shared" si="273"/>
        <v>0</v>
      </c>
      <c r="AQ31" s="18">
        <f t="shared" si="273"/>
        <v>0</v>
      </c>
      <c r="AR31" s="18">
        <f t="shared" si="273"/>
        <v>0</v>
      </c>
      <c r="AS31" s="18">
        <f t="shared" si="273"/>
        <v>0</v>
      </c>
      <c r="AT31" s="51">
        <f t="shared" si="273"/>
        <v>0</v>
      </c>
      <c r="AU31" s="18">
        <f t="shared" si="273"/>
        <v>0</v>
      </c>
      <c r="AV31" s="18">
        <f t="shared" si="273"/>
        <v>0</v>
      </c>
      <c r="AW31" s="18">
        <f t="shared" si="273"/>
        <v>0</v>
      </c>
      <c r="AX31" s="18">
        <f t="shared" si="273"/>
        <v>0</v>
      </c>
      <c r="AY31" s="18">
        <f t="shared" si="273"/>
        <v>0</v>
      </c>
      <c r="AZ31" s="18">
        <f t="shared" si="273"/>
        <v>0</v>
      </c>
      <c r="BA31" s="18">
        <f t="shared" si="273"/>
        <v>0</v>
      </c>
      <c r="BB31" s="18">
        <f t="shared" si="273"/>
        <v>0</v>
      </c>
      <c r="BC31" s="18">
        <f t="shared" si="273"/>
        <v>0</v>
      </c>
      <c r="BD31" s="40">
        <f t="shared" si="273"/>
        <v>0</v>
      </c>
      <c r="BF31" s="46">
        <f t="shared" si="273"/>
        <v>6.8061491651985823E-4</v>
      </c>
      <c r="BG31" s="18">
        <f t="shared" si="273"/>
        <v>0</v>
      </c>
      <c r="BH31" s="18">
        <f t="shared" si="273"/>
        <v>0</v>
      </c>
      <c r="BI31" s="18">
        <f t="shared" si="273"/>
        <v>0</v>
      </c>
      <c r="BJ31" s="18">
        <f t="shared" si="273"/>
        <v>0</v>
      </c>
      <c r="BK31" s="18">
        <f t="shared" si="273"/>
        <v>0</v>
      </c>
      <c r="BL31" s="51">
        <f t="shared" si="273"/>
        <v>1</v>
      </c>
      <c r="BM31" s="18">
        <f t="shared" si="273"/>
        <v>0</v>
      </c>
      <c r="BN31" s="18">
        <f t="shared" si="273"/>
        <v>0</v>
      </c>
      <c r="BO31" s="18">
        <f t="shared" si="273"/>
        <v>0</v>
      </c>
      <c r="BP31" s="18">
        <f t="shared" si="273"/>
        <v>0</v>
      </c>
      <c r="BQ31" s="18">
        <f t="shared" si="273"/>
        <v>0</v>
      </c>
      <c r="BR31" s="18">
        <f t="shared" si="273"/>
        <v>0</v>
      </c>
      <c r="BS31" s="18">
        <f t="shared" si="273"/>
        <v>0</v>
      </c>
      <c r="BT31" s="18">
        <f t="shared" si="273"/>
        <v>1.6058323832158399E-3</v>
      </c>
      <c r="BU31" s="18">
        <f t="shared" si="273"/>
        <v>0</v>
      </c>
      <c r="BV31" s="40">
        <f t="shared" si="273"/>
        <v>6.8208041073245353E-4</v>
      </c>
      <c r="BX31" s="46">
        <f t="shared" si="273"/>
        <v>0</v>
      </c>
      <c r="BY31" s="18">
        <f t="shared" si="273"/>
        <v>0</v>
      </c>
      <c r="BZ31" s="18">
        <f t="shared" si="273"/>
        <v>0</v>
      </c>
      <c r="CA31" s="18">
        <f t="shared" si="273"/>
        <v>0</v>
      </c>
      <c r="CB31" s="18">
        <f t="shared" si="273"/>
        <v>0</v>
      </c>
      <c r="CC31" s="18">
        <f t="shared" si="273"/>
        <v>0</v>
      </c>
      <c r="CD31" s="51">
        <f t="shared" si="273"/>
        <v>0</v>
      </c>
      <c r="CE31" s="18">
        <f t="shared" si="273"/>
        <v>0</v>
      </c>
      <c r="CF31" s="18">
        <f t="shared" si="273"/>
        <v>0</v>
      </c>
      <c r="CG31" s="18">
        <f t="shared" si="273"/>
        <v>0</v>
      </c>
      <c r="CH31" s="18">
        <f t="shared" si="263"/>
        <v>0</v>
      </c>
      <c r="CI31" s="18">
        <f t="shared" si="263"/>
        <v>0</v>
      </c>
      <c r="CJ31" s="18">
        <f t="shared" si="263"/>
        <v>0</v>
      </c>
      <c r="CK31" s="18">
        <f t="shared" si="263"/>
        <v>0</v>
      </c>
      <c r="CL31" s="18">
        <f t="shared" si="263"/>
        <v>0</v>
      </c>
      <c r="CM31" s="18">
        <f t="shared" si="263"/>
        <v>0</v>
      </c>
      <c r="CN31" s="40">
        <f t="shared" si="263"/>
        <v>0</v>
      </c>
      <c r="CP31" s="46">
        <f t="shared" si="264"/>
        <v>0</v>
      </c>
      <c r="CQ31" s="18">
        <f t="shared" si="264"/>
        <v>0</v>
      </c>
      <c r="CR31" s="18">
        <f t="shared" si="264"/>
        <v>0</v>
      </c>
      <c r="CS31" s="18">
        <f t="shared" si="264"/>
        <v>0</v>
      </c>
      <c r="CT31" s="18">
        <f t="shared" si="264"/>
        <v>0</v>
      </c>
      <c r="CU31" s="18">
        <f t="shared" si="264"/>
        <v>0</v>
      </c>
      <c r="CV31" s="51">
        <f t="shared" si="264"/>
        <v>0</v>
      </c>
      <c r="CW31" s="18">
        <f t="shared" si="264"/>
        <v>0</v>
      </c>
      <c r="CX31" s="18">
        <f t="shared" si="264"/>
        <v>0</v>
      </c>
      <c r="CY31" s="18">
        <f t="shared" si="264"/>
        <v>0</v>
      </c>
      <c r="CZ31" s="18">
        <f t="shared" si="264"/>
        <v>0</v>
      </c>
      <c r="DA31" s="18">
        <f t="shared" si="264"/>
        <v>0</v>
      </c>
      <c r="DB31" s="18">
        <f t="shared" si="264"/>
        <v>0</v>
      </c>
      <c r="DC31" s="18">
        <f t="shared" si="264"/>
        <v>0</v>
      </c>
      <c r="DD31" s="18">
        <f t="shared" si="264"/>
        <v>0</v>
      </c>
      <c r="DE31" s="18">
        <f t="shared" si="264"/>
        <v>0</v>
      </c>
      <c r="DF31" s="40">
        <f t="shared" si="264"/>
        <v>0</v>
      </c>
      <c r="DH31" s="46">
        <f t="shared" si="264"/>
        <v>0</v>
      </c>
      <c r="DI31" s="18">
        <f t="shared" si="264"/>
        <v>0</v>
      </c>
      <c r="DJ31" s="18">
        <f t="shared" si="264"/>
        <v>0</v>
      </c>
      <c r="DK31" s="18">
        <f t="shared" si="264"/>
        <v>0</v>
      </c>
      <c r="DL31" s="18">
        <f t="shared" si="264"/>
        <v>0</v>
      </c>
      <c r="DM31" s="18">
        <f t="shared" si="264"/>
        <v>0</v>
      </c>
      <c r="DN31" s="51">
        <f t="shared" si="264"/>
        <v>0</v>
      </c>
      <c r="DO31" s="18">
        <f t="shared" si="264"/>
        <v>0</v>
      </c>
      <c r="DP31" s="18">
        <f t="shared" si="264"/>
        <v>0</v>
      </c>
      <c r="DQ31" s="18">
        <f t="shared" si="264"/>
        <v>0</v>
      </c>
      <c r="DR31" s="18">
        <f t="shared" si="264"/>
        <v>0</v>
      </c>
      <c r="DS31" s="18">
        <f t="shared" si="264"/>
        <v>0</v>
      </c>
      <c r="DT31" s="18">
        <f t="shared" si="264"/>
        <v>0</v>
      </c>
      <c r="DU31" s="18">
        <f t="shared" si="264"/>
        <v>0</v>
      </c>
      <c r="DV31" s="18">
        <f t="shared" si="265"/>
        <v>0</v>
      </c>
      <c r="DW31" s="18">
        <f t="shared" si="265"/>
        <v>0</v>
      </c>
      <c r="DX31" s="40">
        <f t="shared" si="265"/>
        <v>0</v>
      </c>
      <c r="DZ31" s="46">
        <f t="shared" si="266"/>
        <v>0</v>
      </c>
      <c r="EA31" s="18">
        <f t="shared" si="266"/>
        <v>0</v>
      </c>
      <c r="EB31" s="18">
        <f t="shared" si="266"/>
        <v>0</v>
      </c>
      <c r="EC31" s="18">
        <f t="shared" si="266"/>
        <v>0</v>
      </c>
      <c r="ED31" s="18">
        <f t="shared" si="266"/>
        <v>0</v>
      </c>
      <c r="EE31" s="18">
        <f t="shared" si="266"/>
        <v>0</v>
      </c>
      <c r="EF31" s="51">
        <f t="shared" si="266"/>
        <v>0</v>
      </c>
      <c r="EG31" s="18">
        <f t="shared" si="266"/>
        <v>0</v>
      </c>
      <c r="EH31" s="18">
        <f t="shared" si="266"/>
        <v>0</v>
      </c>
      <c r="EI31" s="18">
        <f t="shared" si="266"/>
        <v>0</v>
      </c>
      <c r="EJ31" s="18">
        <f t="shared" si="266"/>
        <v>0</v>
      </c>
      <c r="EK31" s="18">
        <f t="shared" si="266"/>
        <v>0</v>
      </c>
      <c r="EL31" s="18">
        <f t="shared" si="266"/>
        <v>0</v>
      </c>
      <c r="EM31" s="18">
        <f t="shared" si="266"/>
        <v>0</v>
      </c>
      <c r="EN31" s="18">
        <f t="shared" si="266"/>
        <v>0</v>
      </c>
      <c r="EO31" s="18">
        <f t="shared" si="266"/>
        <v>0</v>
      </c>
      <c r="EP31" s="40">
        <f t="shared" si="266"/>
        <v>0</v>
      </c>
      <c r="ER31" s="46">
        <f t="shared" si="266"/>
        <v>0</v>
      </c>
      <c r="ES31" s="18">
        <f t="shared" si="266"/>
        <v>0</v>
      </c>
      <c r="ET31" s="18">
        <f t="shared" si="266"/>
        <v>0</v>
      </c>
      <c r="EU31" s="18">
        <f t="shared" si="266"/>
        <v>0</v>
      </c>
      <c r="EV31" s="18">
        <f t="shared" si="266"/>
        <v>0</v>
      </c>
      <c r="EW31" s="18">
        <f t="shared" si="266"/>
        <v>0</v>
      </c>
      <c r="EX31" s="51">
        <f t="shared" si="266"/>
        <v>0</v>
      </c>
      <c r="EY31" s="18">
        <f t="shared" si="266"/>
        <v>0</v>
      </c>
      <c r="EZ31" s="18">
        <f t="shared" si="266"/>
        <v>0</v>
      </c>
      <c r="FA31" s="18">
        <f t="shared" si="266"/>
        <v>0</v>
      </c>
      <c r="FB31" s="18">
        <f t="shared" si="266"/>
        <v>0</v>
      </c>
      <c r="FC31" s="18">
        <f t="shared" si="266"/>
        <v>0</v>
      </c>
      <c r="FD31" s="18">
        <f t="shared" si="266"/>
        <v>0</v>
      </c>
      <c r="FE31" s="18">
        <f t="shared" si="266"/>
        <v>0</v>
      </c>
      <c r="FF31" s="18">
        <f t="shared" si="267"/>
        <v>0</v>
      </c>
      <c r="FG31" s="18">
        <f t="shared" si="267"/>
        <v>0</v>
      </c>
      <c r="FH31" s="40">
        <f t="shared" si="267"/>
        <v>0</v>
      </c>
      <c r="FJ31" s="46">
        <f t="shared" si="268"/>
        <v>0</v>
      </c>
      <c r="FK31" s="18">
        <f t="shared" si="268"/>
        <v>0</v>
      </c>
      <c r="FL31" s="18">
        <f t="shared" si="268"/>
        <v>0</v>
      </c>
      <c r="FM31" s="18">
        <f t="shared" si="268"/>
        <v>0</v>
      </c>
      <c r="FN31" s="18">
        <f t="shared" si="268"/>
        <v>0</v>
      </c>
      <c r="FO31" s="18">
        <f t="shared" si="268"/>
        <v>0</v>
      </c>
      <c r="FP31" s="18">
        <f t="shared" si="268"/>
        <v>0</v>
      </c>
      <c r="FQ31" s="18">
        <f t="shared" si="268"/>
        <v>0</v>
      </c>
      <c r="FR31" s="18">
        <f t="shared" si="268"/>
        <v>0</v>
      </c>
      <c r="FS31" s="18">
        <f t="shared" si="268"/>
        <v>0</v>
      </c>
      <c r="FT31" s="18">
        <f t="shared" si="268"/>
        <v>0</v>
      </c>
      <c r="FU31" s="18">
        <f t="shared" si="268"/>
        <v>0</v>
      </c>
      <c r="FV31" s="18">
        <f t="shared" si="268"/>
        <v>0</v>
      </c>
      <c r="FW31" s="18">
        <f t="shared" si="268"/>
        <v>0</v>
      </c>
      <c r="FX31" s="18">
        <f t="shared" si="268"/>
        <v>0</v>
      </c>
      <c r="FY31" s="18">
        <f t="shared" si="268"/>
        <v>0</v>
      </c>
      <c r="FZ31" s="40">
        <f t="shared" si="268"/>
        <v>0</v>
      </c>
      <c r="GB31" s="46">
        <f t="shared" si="268"/>
        <v>0</v>
      </c>
      <c r="GC31" s="18">
        <f t="shared" si="268"/>
        <v>0</v>
      </c>
      <c r="GD31" s="18">
        <f t="shared" si="268"/>
        <v>0</v>
      </c>
      <c r="GE31" s="18">
        <f t="shared" si="268"/>
        <v>0</v>
      </c>
      <c r="GF31" s="18">
        <f t="shared" si="268"/>
        <v>0</v>
      </c>
      <c r="GG31" s="18">
        <f t="shared" si="268"/>
        <v>0</v>
      </c>
      <c r="GH31" s="51">
        <f t="shared" si="268"/>
        <v>0</v>
      </c>
      <c r="GI31" s="18">
        <f t="shared" si="268"/>
        <v>0</v>
      </c>
      <c r="GJ31" s="18">
        <f t="shared" si="268"/>
        <v>0</v>
      </c>
      <c r="GK31" s="18">
        <f t="shared" si="268"/>
        <v>0</v>
      </c>
      <c r="GL31" s="18">
        <f t="shared" si="268"/>
        <v>0</v>
      </c>
      <c r="GM31" s="18">
        <f t="shared" si="268"/>
        <v>0</v>
      </c>
      <c r="GN31" s="18">
        <f t="shared" si="268"/>
        <v>0</v>
      </c>
      <c r="GO31" s="18">
        <f t="shared" si="268"/>
        <v>0</v>
      </c>
      <c r="GP31" s="18">
        <f t="shared" si="269"/>
        <v>0</v>
      </c>
      <c r="GQ31" s="18">
        <f t="shared" si="269"/>
        <v>0</v>
      </c>
      <c r="GR31" s="40">
        <f t="shared" si="269"/>
        <v>0</v>
      </c>
      <c r="GT31" s="46">
        <f t="shared" si="270"/>
        <v>4.1211100841915312E-3</v>
      </c>
      <c r="GU31" s="18">
        <f t="shared" si="270"/>
        <v>0</v>
      </c>
      <c r="GV31" s="18">
        <f t="shared" si="270"/>
        <v>0</v>
      </c>
      <c r="GW31" s="18">
        <f t="shared" si="270"/>
        <v>0</v>
      </c>
      <c r="GX31" s="18">
        <f t="shared" si="270"/>
        <v>0</v>
      </c>
      <c r="GY31" s="18">
        <f t="shared" si="270"/>
        <v>0</v>
      </c>
      <c r="GZ31" s="51">
        <f t="shared" si="270"/>
        <v>1</v>
      </c>
      <c r="HA31" s="18">
        <f t="shared" si="270"/>
        <v>0.3125</v>
      </c>
      <c r="HB31" s="18">
        <f t="shared" si="270"/>
        <v>0</v>
      </c>
      <c r="HC31" s="18">
        <f t="shared" si="270"/>
        <v>0</v>
      </c>
      <c r="HD31" s="18">
        <f t="shared" si="270"/>
        <v>0</v>
      </c>
      <c r="HE31" s="18">
        <f t="shared" si="270"/>
        <v>0</v>
      </c>
      <c r="HF31" s="18">
        <f t="shared" si="270"/>
        <v>0</v>
      </c>
      <c r="HG31" s="18">
        <f t="shared" si="270"/>
        <v>0</v>
      </c>
      <c r="HH31" s="18">
        <f t="shared" si="270"/>
        <v>5.8648078018700362E-3</v>
      </c>
      <c r="HI31" s="18">
        <f t="shared" si="270"/>
        <v>0</v>
      </c>
      <c r="HJ31" s="40">
        <f t="shared" si="270"/>
        <v>4.1542179531359608E-3</v>
      </c>
      <c r="HL31" s="46">
        <f t="shared" si="270"/>
        <v>0</v>
      </c>
      <c r="HM31" s="18">
        <f t="shared" si="270"/>
        <v>0</v>
      </c>
      <c r="HN31" s="18">
        <f t="shared" si="270"/>
        <v>0</v>
      </c>
      <c r="HO31" s="18">
        <f t="shared" si="270"/>
        <v>0</v>
      </c>
      <c r="HP31" s="18">
        <f t="shared" si="270"/>
        <v>0</v>
      </c>
      <c r="HQ31" s="18">
        <f t="shared" si="270"/>
        <v>0</v>
      </c>
      <c r="HR31" s="51">
        <f t="shared" si="270"/>
        <v>0</v>
      </c>
      <c r="HS31" s="18">
        <f t="shared" si="270"/>
        <v>0</v>
      </c>
      <c r="HT31" s="18">
        <f t="shared" si="270"/>
        <v>0</v>
      </c>
      <c r="HU31" s="18">
        <f t="shared" si="270"/>
        <v>0</v>
      </c>
      <c r="HV31" s="18">
        <f t="shared" si="270"/>
        <v>0</v>
      </c>
      <c r="HW31" s="18">
        <f t="shared" si="270"/>
        <v>0</v>
      </c>
      <c r="HX31" s="18">
        <f t="shared" si="270"/>
        <v>0</v>
      </c>
      <c r="HY31" s="18">
        <f t="shared" si="270"/>
        <v>0</v>
      </c>
      <c r="HZ31" s="18">
        <f t="shared" si="270"/>
        <v>0</v>
      </c>
      <c r="IA31" s="18">
        <f t="shared" si="270"/>
        <v>0</v>
      </c>
      <c r="IB31" s="40">
        <f t="shared" si="270"/>
        <v>0</v>
      </c>
    </row>
    <row r="32" spans="2:236" x14ac:dyDescent="0.35">
      <c r="B32" s="17" t="s">
        <v>147</v>
      </c>
      <c r="D32" s="46">
        <f t="shared" si="272"/>
        <v>5.3629317694275973E-2</v>
      </c>
      <c r="E32" s="18">
        <f t="shared" si="272"/>
        <v>0</v>
      </c>
      <c r="F32" s="18">
        <f t="shared" si="259"/>
        <v>0</v>
      </c>
      <c r="G32" s="18">
        <f t="shared" si="259"/>
        <v>0</v>
      </c>
      <c r="H32" s="18">
        <f t="shared" si="259"/>
        <v>0</v>
      </c>
      <c r="I32" s="18">
        <f t="shared" si="259"/>
        <v>0</v>
      </c>
      <c r="J32" s="18">
        <f t="shared" si="259"/>
        <v>0</v>
      </c>
      <c r="K32" s="51">
        <f t="shared" si="259"/>
        <v>0.99737808599278654</v>
      </c>
      <c r="L32" s="18">
        <f t="shared" si="259"/>
        <v>1</v>
      </c>
      <c r="M32" s="18">
        <f t="shared" si="259"/>
        <v>0</v>
      </c>
      <c r="N32" s="18">
        <f t="shared" si="259"/>
        <v>0</v>
      </c>
      <c r="O32" s="18">
        <f t="shared" si="259"/>
        <v>0</v>
      </c>
      <c r="P32" s="18">
        <f t="shared" si="259"/>
        <v>0</v>
      </c>
      <c r="Q32" s="50">
        <f t="shared" si="259"/>
        <v>0</v>
      </c>
      <c r="R32" s="18">
        <f t="shared" si="259"/>
        <v>9.2600531514680867E-2</v>
      </c>
      <c r="S32" s="18">
        <f t="shared" si="259"/>
        <v>0</v>
      </c>
      <c r="T32" s="40">
        <f t="shared" si="259"/>
        <v>5.3654725817273694E-2</v>
      </c>
      <c r="V32" s="46">
        <f t="shared" si="273"/>
        <v>5.488032326034855E-2</v>
      </c>
      <c r="W32" s="18">
        <f t="shared" si="273"/>
        <v>0</v>
      </c>
      <c r="X32" s="18">
        <f t="shared" si="273"/>
        <v>0</v>
      </c>
      <c r="Y32" s="18">
        <f t="shared" si="273"/>
        <v>0</v>
      </c>
      <c r="Z32" s="18">
        <f t="shared" si="273"/>
        <v>0</v>
      </c>
      <c r="AA32" s="18">
        <f t="shared" si="273"/>
        <v>0</v>
      </c>
      <c r="AB32" s="18">
        <f t="shared" si="273"/>
        <v>0</v>
      </c>
      <c r="AC32" s="51">
        <f t="shared" si="273"/>
        <v>1</v>
      </c>
      <c r="AD32" s="18">
        <f t="shared" si="273"/>
        <v>0</v>
      </c>
      <c r="AE32" s="18">
        <f t="shared" si="273"/>
        <v>0</v>
      </c>
      <c r="AF32" s="18">
        <f t="shared" si="273"/>
        <v>0</v>
      </c>
      <c r="AG32" s="18">
        <f t="shared" si="273"/>
        <v>0</v>
      </c>
      <c r="AH32" s="18">
        <f t="shared" ref="AH32:CG32" si="274">IFERROR(AH11/AH$13,0)</f>
        <v>0</v>
      </c>
      <c r="AI32" s="18">
        <f t="shared" si="274"/>
        <v>0</v>
      </c>
      <c r="AJ32" s="18">
        <f t="shared" si="274"/>
        <v>0.16212760127266362</v>
      </c>
      <c r="AK32" s="18">
        <f t="shared" si="274"/>
        <v>0</v>
      </c>
      <c r="AL32" s="40">
        <f t="shared" si="274"/>
        <v>5.495572758949336E-2</v>
      </c>
      <c r="AN32" s="46">
        <f t="shared" si="274"/>
        <v>0.10437322581972269</v>
      </c>
      <c r="AO32" s="18">
        <f t="shared" si="274"/>
        <v>0</v>
      </c>
      <c r="AP32" s="18">
        <f t="shared" si="274"/>
        <v>0</v>
      </c>
      <c r="AQ32" s="18">
        <f t="shared" si="274"/>
        <v>0</v>
      </c>
      <c r="AR32" s="18">
        <f t="shared" si="274"/>
        <v>0</v>
      </c>
      <c r="AS32" s="18">
        <f t="shared" si="274"/>
        <v>0</v>
      </c>
      <c r="AT32" s="18">
        <f t="shared" si="274"/>
        <v>0</v>
      </c>
      <c r="AU32" s="51">
        <f t="shared" si="274"/>
        <v>1</v>
      </c>
      <c r="AV32" s="18">
        <f t="shared" si="274"/>
        <v>1</v>
      </c>
      <c r="AW32" s="18">
        <f t="shared" si="274"/>
        <v>0</v>
      </c>
      <c r="AX32" s="18">
        <f t="shared" si="274"/>
        <v>0</v>
      </c>
      <c r="AY32" s="18">
        <f t="shared" si="274"/>
        <v>0</v>
      </c>
      <c r="AZ32" s="18">
        <f t="shared" si="274"/>
        <v>0</v>
      </c>
      <c r="BA32" s="18">
        <f t="shared" si="274"/>
        <v>0</v>
      </c>
      <c r="BB32" s="18">
        <f t="shared" si="274"/>
        <v>0.14635225078478117</v>
      </c>
      <c r="BC32" s="18">
        <f t="shared" si="274"/>
        <v>0</v>
      </c>
      <c r="BD32" s="40">
        <f t="shared" si="274"/>
        <v>0.10376876900404182</v>
      </c>
      <c r="BF32" s="46">
        <f t="shared" si="274"/>
        <v>0.10744132622989161</v>
      </c>
      <c r="BG32" s="18">
        <f t="shared" si="274"/>
        <v>0</v>
      </c>
      <c r="BH32" s="18">
        <f t="shared" si="274"/>
        <v>0</v>
      </c>
      <c r="BI32" s="18">
        <f t="shared" si="274"/>
        <v>0</v>
      </c>
      <c r="BJ32" s="18">
        <f t="shared" si="274"/>
        <v>0</v>
      </c>
      <c r="BK32" s="18">
        <f t="shared" si="274"/>
        <v>0</v>
      </c>
      <c r="BL32" s="18">
        <f t="shared" si="274"/>
        <v>0</v>
      </c>
      <c r="BM32" s="51">
        <f t="shared" si="274"/>
        <v>1</v>
      </c>
      <c r="BN32" s="18">
        <f t="shared" si="274"/>
        <v>0</v>
      </c>
      <c r="BO32" s="18">
        <f t="shared" si="274"/>
        <v>0</v>
      </c>
      <c r="BP32" s="18">
        <f t="shared" si="274"/>
        <v>0</v>
      </c>
      <c r="BQ32" s="18">
        <f t="shared" si="274"/>
        <v>0</v>
      </c>
      <c r="BR32" s="18">
        <f t="shared" si="274"/>
        <v>0</v>
      </c>
      <c r="BS32" s="18">
        <f t="shared" si="274"/>
        <v>0</v>
      </c>
      <c r="BT32" s="18">
        <f t="shared" si="274"/>
        <v>0.16735985097875483</v>
      </c>
      <c r="BU32" s="18">
        <f t="shared" si="274"/>
        <v>0</v>
      </c>
      <c r="BV32" s="40">
        <f t="shared" si="274"/>
        <v>0.10734254105510202</v>
      </c>
      <c r="BX32" s="46">
        <f t="shared" si="274"/>
        <v>3.134295561179732E-2</v>
      </c>
      <c r="BY32" s="18">
        <f t="shared" si="274"/>
        <v>0</v>
      </c>
      <c r="BZ32" s="18">
        <f t="shared" si="274"/>
        <v>0</v>
      </c>
      <c r="CA32" s="18">
        <f t="shared" si="274"/>
        <v>0</v>
      </c>
      <c r="CB32" s="18">
        <f t="shared" si="274"/>
        <v>0</v>
      </c>
      <c r="CC32" s="18">
        <f t="shared" si="274"/>
        <v>0</v>
      </c>
      <c r="CD32" s="18">
        <f t="shared" si="274"/>
        <v>0</v>
      </c>
      <c r="CE32" s="51">
        <f t="shared" si="274"/>
        <v>1</v>
      </c>
      <c r="CF32" s="18">
        <f t="shared" si="274"/>
        <v>1</v>
      </c>
      <c r="CG32" s="18">
        <f t="shared" si="274"/>
        <v>0</v>
      </c>
      <c r="CH32" s="18">
        <f t="shared" si="263"/>
        <v>0</v>
      </c>
      <c r="CI32" s="18">
        <f t="shared" si="263"/>
        <v>0</v>
      </c>
      <c r="CJ32" s="18">
        <f t="shared" si="263"/>
        <v>0</v>
      </c>
      <c r="CK32" s="18">
        <f t="shared" si="263"/>
        <v>0</v>
      </c>
      <c r="CL32" s="18">
        <f t="shared" si="263"/>
        <v>3.771419201442977E-2</v>
      </c>
      <c r="CM32" s="18">
        <f t="shared" si="263"/>
        <v>0</v>
      </c>
      <c r="CN32" s="40">
        <f t="shared" si="263"/>
        <v>3.1227341878681945E-2</v>
      </c>
      <c r="CP32" s="46">
        <f t="shared" si="264"/>
        <v>2.2708675301371994E-2</v>
      </c>
      <c r="CQ32" s="18">
        <f t="shared" si="264"/>
        <v>0</v>
      </c>
      <c r="CR32" s="18">
        <f t="shared" si="264"/>
        <v>0</v>
      </c>
      <c r="CS32" s="18">
        <f t="shared" si="264"/>
        <v>0</v>
      </c>
      <c r="CT32" s="18">
        <f t="shared" si="264"/>
        <v>0</v>
      </c>
      <c r="CU32" s="18">
        <f t="shared" si="264"/>
        <v>0</v>
      </c>
      <c r="CV32" s="18">
        <f t="shared" si="264"/>
        <v>0</v>
      </c>
      <c r="CW32" s="51">
        <f t="shared" si="264"/>
        <v>1</v>
      </c>
      <c r="CX32" s="18">
        <f t="shared" si="264"/>
        <v>1</v>
      </c>
      <c r="CY32" s="18">
        <f t="shared" si="264"/>
        <v>0</v>
      </c>
      <c r="CZ32" s="18">
        <f t="shared" si="264"/>
        <v>0</v>
      </c>
      <c r="DA32" s="18">
        <f t="shared" si="264"/>
        <v>0</v>
      </c>
      <c r="DB32" s="18">
        <f t="shared" si="264"/>
        <v>0</v>
      </c>
      <c r="DC32" s="18">
        <f t="shared" si="264"/>
        <v>0</v>
      </c>
      <c r="DD32" s="18">
        <f t="shared" si="264"/>
        <v>5.6124125893939912E-2</v>
      </c>
      <c r="DE32" s="18">
        <f t="shared" si="264"/>
        <v>0</v>
      </c>
      <c r="DF32" s="40">
        <f t="shared" si="264"/>
        <v>2.2963724335029707E-2</v>
      </c>
      <c r="DH32" s="46">
        <f t="shared" si="264"/>
        <v>1.6010383180482934E-2</v>
      </c>
      <c r="DI32" s="18">
        <f t="shared" si="264"/>
        <v>0</v>
      </c>
      <c r="DJ32" s="18">
        <f t="shared" si="264"/>
        <v>0</v>
      </c>
      <c r="DK32" s="18">
        <f t="shared" si="264"/>
        <v>0</v>
      </c>
      <c r="DL32" s="18">
        <f t="shared" si="264"/>
        <v>0</v>
      </c>
      <c r="DM32" s="18">
        <f t="shared" si="264"/>
        <v>0</v>
      </c>
      <c r="DN32" s="18">
        <f t="shared" si="264"/>
        <v>0</v>
      </c>
      <c r="DO32" s="51">
        <f t="shared" si="264"/>
        <v>1</v>
      </c>
      <c r="DP32" s="18">
        <f t="shared" si="264"/>
        <v>0</v>
      </c>
      <c r="DQ32" s="18">
        <f t="shared" si="264"/>
        <v>0</v>
      </c>
      <c r="DR32" s="18">
        <f t="shared" si="264"/>
        <v>0</v>
      </c>
      <c r="DS32" s="18">
        <f t="shared" si="264"/>
        <v>0</v>
      </c>
      <c r="DT32" s="18">
        <f t="shared" si="264"/>
        <v>0</v>
      </c>
      <c r="DU32" s="18">
        <f t="shared" si="264"/>
        <v>0</v>
      </c>
      <c r="DV32" s="18">
        <f t="shared" si="265"/>
        <v>1.8386725874236776E-2</v>
      </c>
      <c r="DW32" s="18">
        <f t="shared" si="265"/>
        <v>0</v>
      </c>
      <c r="DX32" s="40">
        <f t="shared" si="265"/>
        <v>1.6062595972820119E-2</v>
      </c>
      <c r="DZ32" s="46">
        <f t="shared" si="266"/>
        <v>5.7491709422124074E-2</v>
      </c>
      <c r="EA32" s="18">
        <f t="shared" si="266"/>
        <v>0</v>
      </c>
      <c r="EB32" s="18">
        <f t="shared" si="266"/>
        <v>0</v>
      </c>
      <c r="EC32" s="18">
        <f t="shared" si="266"/>
        <v>0</v>
      </c>
      <c r="ED32" s="18">
        <f t="shared" si="266"/>
        <v>0</v>
      </c>
      <c r="EE32" s="18">
        <f t="shared" si="266"/>
        <v>0</v>
      </c>
      <c r="EF32" s="18">
        <f t="shared" si="266"/>
        <v>0</v>
      </c>
      <c r="EG32" s="51">
        <f t="shared" si="266"/>
        <v>1</v>
      </c>
      <c r="EH32" s="18">
        <f t="shared" si="266"/>
        <v>1</v>
      </c>
      <c r="EI32" s="18">
        <f t="shared" si="266"/>
        <v>0</v>
      </c>
      <c r="EJ32" s="18">
        <f t="shared" si="266"/>
        <v>0</v>
      </c>
      <c r="EK32" s="18">
        <f t="shared" si="266"/>
        <v>0</v>
      </c>
      <c r="EL32" s="18">
        <f t="shared" si="266"/>
        <v>0</v>
      </c>
      <c r="EM32" s="18">
        <f t="shared" si="266"/>
        <v>0</v>
      </c>
      <c r="EN32" s="18">
        <f t="shared" si="266"/>
        <v>0.13239700999051926</v>
      </c>
      <c r="EO32" s="18">
        <f t="shared" si="266"/>
        <v>0</v>
      </c>
      <c r="EP32" s="40">
        <f t="shared" si="266"/>
        <v>5.7435102325244611E-2</v>
      </c>
      <c r="ER32" s="46">
        <f t="shared" si="266"/>
        <v>6.5005354400413218E-2</v>
      </c>
      <c r="ES32" s="18">
        <f t="shared" si="266"/>
        <v>0</v>
      </c>
      <c r="ET32" s="18">
        <f t="shared" si="266"/>
        <v>0</v>
      </c>
      <c r="EU32" s="18">
        <f t="shared" si="266"/>
        <v>0</v>
      </c>
      <c r="EV32" s="18">
        <f t="shared" si="266"/>
        <v>0</v>
      </c>
      <c r="EW32" s="18">
        <f t="shared" si="266"/>
        <v>0</v>
      </c>
      <c r="EX32" s="18">
        <f t="shared" si="266"/>
        <v>0</v>
      </c>
      <c r="EY32" s="51">
        <f t="shared" si="266"/>
        <v>1</v>
      </c>
      <c r="EZ32" s="18">
        <f t="shared" si="266"/>
        <v>1</v>
      </c>
      <c r="FA32" s="18">
        <f t="shared" si="266"/>
        <v>0</v>
      </c>
      <c r="FB32" s="18">
        <f t="shared" si="266"/>
        <v>0</v>
      </c>
      <c r="FC32" s="18">
        <f t="shared" si="266"/>
        <v>0</v>
      </c>
      <c r="FD32" s="18">
        <f t="shared" si="266"/>
        <v>0</v>
      </c>
      <c r="FE32" s="18">
        <f t="shared" si="266"/>
        <v>0</v>
      </c>
      <c r="FF32" s="18">
        <f t="shared" si="267"/>
        <v>0.11996076742739582</v>
      </c>
      <c r="FG32" s="18">
        <f t="shared" si="267"/>
        <v>0</v>
      </c>
      <c r="FH32" s="40">
        <f t="shared" si="267"/>
        <v>6.4946734368777376E-2</v>
      </c>
      <c r="FJ32" s="46">
        <f t="shared" si="268"/>
        <v>9.6720396647929113E-2</v>
      </c>
      <c r="FK32" s="18">
        <f t="shared" si="268"/>
        <v>0</v>
      </c>
      <c r="FL32" s="18">
        <f t="shared" si="268"/>
        <v>0</v>
      </c>
      <c r="FM32" s="18">
        <f t="shared" si="268"/>
        <v>0</v>
      </c>
      <c r="FN32" s="18">
        <f t="shared" si="268"/>
        <v>0</v>
      </c>
      <c r="FO32" s="18">
        <f t="shared" si="268"/>
        <v>0</v>
      </c>
      <c r="FP32" s="18">
        <f t="shared" si="268"/>
        <v>0</v>
      </c>
      <c r="FQ32" s="18">
        <f t="shared" si="268"/>
        <v>1</v>
      </c>
      <c r="FR32" s="18">
        <f t="shared" si="268"/>
        <v>1</v>
      </c>
      <c r="FS32" s="18">
        <f t="shared" si="268"/>
        <v>0</v>
      </c>
      <c r="FT32" s="18">
        <f t="shared" si="268"/>
        <v>0</v>
      </c>
      <c r="FU32" s="18">
        <f t="shared" si="268"/>
        <v>0</v>
      </c>
      <c r="FV32" s="18">
        <f t="shared" si="268"/>
        <v>0</v>
      </c>
      <c r="FW32" s="18">
        <f t="shared" si="268"/>
        <v>0</v>
      </c>
      <c r="FX32" s="18">
        <f t="shared" si="268"/>
        <v>0.16461058013341517</v>
      </c>
      <c r="FY32" s="18">
        <f t="shared" si="268"/>
        <v>0</v>
      </c>
      <c r="FZ32" s="40">
        <f t="shared" si="268"/>
        <v>9.6866836508432363E-2</v>
      </c>
      <c r="GB32" s="46">
        <f t="shared" si="268"/>
        <v>7.268179833254447E-2</v>
      </c>
      <c r="GC32" s="18">
        <f t="shared" si="268"/>
        <v>0</v>
      </c>
      <c r="GD32" s="18">
        <f t="shared" si="268"/>
        <v>0</v>
      </c>
      <c r="GE32" s="18">
        <f t="shared" si="268"/>
        <v>0</v>
      </c>
      <c r="GF32" s="18">
        <f t="shared" si="268"/>
        <v>0</v>
      </c>
      <c r="GG32" s="18">
        <f t="shared" si="268"/>
        <v>0</v>
      </c>
      <c r="GH32" s="18">
        <f t="shared" si="268"/>
        <v>0</v>
      </c>
      <c r="GI32" s="51">
        <f t="shared" si="268"/>
        <v>1</v>
      </c>
      <c r="GJ32" s="18">
        <f t="shared" si="268"/>
        <v>1</v>
      </c>
      <c r="GK32" s="18">
        <f t="shared" si="268"/>
        <v>0</v>
      </c>
      <c r="GL32" s="18">
        <f t="shared" si="268"/>
        <v>0</v>
      </c>
      <c r="GM32" s="18">
        <f t="shared" si="268"/>
        <v>0</v>
      </c>
      <c r="GN32" s="18">
        <f t="shared" si="268"/>
        <v>0</v>
      </c>
      <c r="GO32" s="18">
        <f t="shared" si="268"/>
        <v>0</v>
      </c>
      <c r="GP32" s="18">
        <f t="shared" si="269"/>
        <v>6.2845677215453075E-2</v>
      </c>
      <c r="GQ32" s="18">
        <f t="shared" si="269"/>
        <v>0</v>
      </c>
      <c r="GR32" s="40">
        <f t="shared" si="269"/>
        <v>7.2697107215346488E-2</v>
      </c>
      <c r="GT32" s="46">
        <f t="shared" si="270"/>
        <v>1.4478833429126248E-2</v>
      </c>
      <c r="GU32" s="18">
        <f t="shared" si="270"/>
        <v>0</v>
      </c>
      <c r="GV32" s="18">
        <f t="shared" si="270"/>
        <v>0</v>
      </c>
      <c r="GW32" s="18">
        <f t="shared" si="270"/>
        <v>0</v>
      </c>
      <c r="GX32" s="18">
        <f t="shared" si="270"/>
        <v>0</v>
      </c>
      <c r="GY32" s="18">
        <f t="shared" si="270"/>
        <v>0</v>
      </c>
      <c r="GZ32" s="18">
        <f t="shared" si="270"/>
        <v>0</v>
      </c>
      <c r="HA32" s="51">
        <f t="shared" si="270"/>
        <v>0.6875</v>
      </c>
      <c r="HB32" s="18">
        <f t="shared" si="270"/>
        <v>1</v>
      </c>
      <c r="HC32" s="18">
        <f t="shared" si="270"/>
        <v>0</v>
      </c>
      <c r="HD32" s="18">
        <f t="shared" si="270"/>
        <v>0</v>
      </c>
      <c r="HE32" s="18">
        <f t="shared" si="270"/>
        <v>0</v>
      </c>
      <c r="HF32" s="18">
        <f t="shared" si="270"/>
        <v>0</v>
      </c>
      <c r="HG32" s="18">
        <f t="shared" si="270"/>
        <v>0</v>
      </c>
      <c r="HH32" s="18">
        <f t="shared" si="270"/>
        <v>6.6942591909916555E-2</v>
      </c>
      <c r="HI32" s="18">
        <f t="shared" si="270"/>
        <v>0</v>
      </c>
      <c r="HJ32" s="40">
        <f t="shared" si="270"/>
        <v>1.4428240206361473E-2</v>
      </c>
      <c r="HL32" s="46">
        <f t="shared" si="270"/>
        <v>3.030996485559575E-3</v>
      </c>
      <c r="HM32" s="18">
        <f t="shared" si="270"/>
        <v>0</v>
      </c>
      <c r="HN32" s="18">
        <f t="shared" si="270"/>
        <v>0</v>
      </c>
      <c r="HO32" s="18">
        <f t="shared" si="270"/>
        <v>0</v>
      </c>
      <c r="HP32" s="18">
        <f t="shared" si="270"/>
        <v>0</v>
      </c>
      <c r="HQ32" s="18">
        <f t="shared" si="270"/>
        <v>0</v>
      </c>
      <c r="HR32" s="18">
        <f t="shared" si="270"/>
        <v>0</v>
      </c>
      <c r="HS32" s="51">
        <f t="shared" si="270"/>
        <v>1</v>
      </c>
      <c r="HT32" s="18">
        <f t="shared" si="270"/>
        <v>0</v>
      </c>
      <c r="HU32" s="18">
        <f t="shared" si="270"/>
        <v>0</v>
      </c>
      <c r="HV32" s="18">
        <f t="shared" si="270"/>
        <v>0</v>
      </c>
      <c r="HW32" s="18">
        <f t="shared" si="270"/>
        <v>0</v>
      </c>
      <c r="HX32" s="18">
        <f t="shared" si="270"/>
        <v>0</v>
      </c>
      <c r="HY32" s="18">
        <f t="shared" si="270"/>
        <v>0</v>
      </c>
      <c r="HZ32" s="18">
        <f t="shared" si="270"/>
        <v>2.0115412177367648E-3</v>
      </c>
      <c r="IA32" s="18">
        <f t="shared" si="270"/>
        <v>0</v>
      </c>
      <c r="IB32" s="40">
        <f t="shared" si="270"/>
        <v>2.6869775877720334E-3</v>
      </c>
    </row>
    <row r="33" spans="1:236" x14ac:dyDescent="0.35">
      <c r="B33" s="17" t="s">
        <v>76</v>
      </c>
      <c r="D33" s="46">
        <f t="shared" si="272"/>
        <v>5.5707654215441131E-4</v>
      </c>
      <c r="E33" s="18">
        <f t="shared" si="272"/>
        <v>0</v>
      </c>
      <c r="F33" s="18">
        <f t="shared" si="259"/>
        <v>0</v>
      </c>
      <c r="G33" s="18">
        <f t="shared" si="259"/>
        <v>0</v>
      </c>
      <c r="H33" s="18">
        <f t="shared" si="259"/>
        <v>0</v>
      </c>
      <c r="I33" s="18">
        <f t="shared" si="259"/>
        <v>0</v>
      </c>
      <c r="J33" s="18">
        <f t="shared" si="259"/>
        <v>0</v>
      </c>
      <c r="K33" s="18">
        <f t="shared" si="259"/>
        <v>0</v>
      </c>
      <c r="L33" s="18">
        <f t="shared" si="259"/>
        <v>0</v>
      </c>
      <c r="M33" s="18">
        <f t="shared" si="259"/>
        <v>0</v>
      </c>
      <c r="N33" s="18">
        <f t="shared" si="259"/>
        <v>0</v>
      </c>
      <c r="O33" s="18">
        <f t="shared" si="259"/>
        <v>0</v>
      </c>
      <c r="P33" s="18">
        <f t="shared" si="259"/>
        <v>0</v>
      </c>
      <c r="Q33" s="18">
        <f t="shared" si="259"/>
        <v>0</v>
      </c>
      <c r="R33" s="18">
        <f t="shared" si="259"/>
        <v>3.5646459640842327E-4</v>
      </c>
      <c r="S33" s="18">
        <f t="shared" si="259"/>
        <v>1</v>
      </c>
      <c r="T33" s="40">
        <f t="shared" si="259"/>
        <v>5.5593599555837188E-4</v>
      </c>
      <c r="V33" s="46">
        <f t="shared" ref="V33:CG34" si="275">IFERROR(V12/V$13,0)</f>
        <v>0</v>
      </c>
      <c r="W33" s="18">
        <f t="shared" si="275"/>
        <v>0</v>
      </c>
      <c r="X33" s="18">
        <f t="shared" si="275"/>
        <v>0</v>
      </c>
      <c r="Y33" s="18">
        <f t="shared" si="275"/>
        <v>0</v>
      </c>
      <c r="Z33" s="18">
        <f t="shared" si="275"/>
        <v>0</v>
      </c>
      <c r="AA33" s="18">
        <f t="shared" si="275"/>
        <v>0</v>
      </c>
      <c r="AB33" s="18">
        <f t="shared" si="275"/>
        <v>0</v>
      </c>
      <c r="AC33" s="18">
        <f t="shared" si="275"/>
        <v>0</v>
      </c>
      <c r="AD33" s="18">
        <f t="shared" si="275"/>
        <v>0</v>
      </c>
      <c r="AE33" s="18">
        <f t="shared" si="275"/>
        <v>0</v>
      </c>
      <c r="AF33" s="18">
        <f t="shared" si="275"/>
        <v>0</v>
      </c>
      <c r="AG33" s="18">
        <f t="shared" si="275"/>
        <v>0</v>
      </c>
      <c r="AH33" s="18">
        <f t="shared" si="275"/>
        <v>0</v>
      </c>
      <c r="AI33" s="18">
        <f t="shared" si="275"/>
        <v>0</v>
      </c>
      <c r="AJ33" s="18">
        <f t="shared" si="275"/>
        <v>0</v>
      </c>
      <c r="AK33" s="18">
        <f t="shared" si="275"/>
        <v>0</v>
      </c>
      <c r="AL33" s="40">
        <f t="shared" si="275"/>
        <v>0</v>
      </c>
      <c r="AN33" s="46">
        <f t="shared" si="275"/>
        <v>0</v>
      </c>
      <c r="AO33" s="18">
        <f t="shared" si="275"/>
        <v>0</v>
      </c>
      <c r="AP33" s="18">
        <f t="shared" si="275"/>
        <v>0</v>
      </c>
      <c r="AQ33" s="18">
        <f t="shared" si="275"/>
        <v>0</v>
      </c>
      <c r="AR33" s="18">
        <f t="shared" si="275"/>
        <v>0</v>
      </c>
      <c r="AS33" s="18">
        <f t="shared" si="275"/>
        <v>0</v>
      </c>
      <c r="AT33" s="18">
        <f t="shared" si="275"/>
        <v>0</v>
      </c>
      <c r="AU33" s="18">
        <f t="shared" si="275"/>
        <v>0</v>
      </c>
      <c r="AV33" s="18">
        <f t="shared" si="275"/>
        <v>0</v>
      </c>
      <c r="AW33" s="18">
        <f t="shared" si="275"/>
        <v>0</v>
      </c>
      <c r="AX33" s="18">
        <f t="shared" si="275"/>
        <v>0</v>
      </c>
      <c r="AY33" s="18">
        <f t="shared" si="275"/>
        <v>0</v>
      </c>
      <c r="AZ33" s="18">
        <f t="shared" si="275"/>
        <v>0</v>
      </c>
      <c r="BA33" s="18">
        <f t="shared" si="275"/>
        <v>0</v>
      </c>
      <c r="BB33" s="18">
        <f t="shared" si="275"/>
        <v>0</v>
      </c>
      <c r="BC33" s="18">
        <f t="shared" si="275"/>
        <v>0</v>
      </c>
      <c r="BD33" s="40">
        <f t="shared" si="275"/>
        <v>0</v>
      </c>
      <c r="BF33" s="46">
        <f t="shared" si="275"/>
        <v>0</v>
      </c>
      <c r="BG33" s="18">
        <f t="shared" si="275"/>
        <v>0</v>
      </c>
      <c r="BH33" s="18">
        <f t="shared" si="275"/>
        <v>0</v>
      </c>
      <c r="BI33" s="18">
        <f t="shared" si="275"/>
        <v>0</v>
      </c>
      <c r="BJ33" s="18">
        <f t="shared" si="275"/>
        <v>0</v>
      </c>
      <c r="BK33" s="18">
        <f t="shared" si="275"/>
        <v>0</v>
      </c>
      <c r="BL33" s="18">
        <f t="shared" si="275"/>
        <v>0</v>
      </c>
      <c r="BM33" s="18">
        <f t="shared" si="275"/>
        <v>0</v>
      </c>
      <c r="BN33" s="18">
        <f t="shared" si="275"/>
        <v>0</v>
      </c>
      <c r="BO33" s="18">
        <f t="shared" si="275"/>
        <v>0</v>
      </c>
      <c r="BP33" s="18">
        <f t="shared" si="275"/>
        <v>0</v>
      </c>
      <c r="BQ33" s="18">
        <f t="shared" si="275"/>
        <v>0</v>
      </c>
      <c r="BR33" s="18">
        <f t="shared" si="275"/>
        <v>0</v>
      </c>
      <c r="BS33" s="18">
        <f t="shared" si="275"/>
        <v>0</v>
      </c>
      <c r="BT33" s="18">
        <f t="shared" si="275"/>
        <v>0</v>
      </c>
      <c r="BU33" s="18">
        <f t="shared" si="275"/>
        <v>0</v>
      </c>
      <c r="BV33" s="40">
        <f t="shared" si="275"/>
        <v>0</v>
      </c>
      <c r="BX33" s="46">
        <f t="shared" si="275"/>
        <v>0</v>
      </c>
      <c r="BY33" s="18">
        <f t="shared" si="275"/>
        <v>0</v>
      </c>
      <c r="BZ33" s="18">
        <f t="shared" si="275"/>
        <v>0</v>
      </c>
      <c r="CA33" s="18">
        <f t="shared" si="275"/>
        <v>0</v>
      </c>
      <c r="CB33" s="18">
        <f t="shared" si="275"/>
        <v>0</v>
      </c>
      <c r="CC33" s="18">
        <f t="shared" si="275"/>
        <v>0</v>
      </c>
      <c r="CD33" s="18">
        <f t="shared" si="275"/>
        <v>0</v>
      </c>
      <c r="CE33" s="18">
        <f t="shared" si="275"/>
        <v>0</v>
      </c>
      <c r="CF33" s="18">
        <f t="shared" si="275"/>
        <v>0</v>
      </c>
      <c r="CG33" s="18">
        <f t="shared" si="275"/>
        <v>0</v>
      </c>
      <c r="CH33" s="18">
        <f t="shared" si="263"/>
        <v>0</v>
      </c>
      <c r="CI33" s="18">
        <f t="shared" si="263"/>
        <v>0</v>
      </c>
      <c r="CJ33" s="18">
        <f t="shared" si="263"/>
        <v>0</v>
      </c>
      <c r="CK33" s="18">
        <f t="shared" si="263"/>
        <v>0</v>
      </c>
      <c r="CL33" s="18">
        <f t="shared" si="263"/>
        <v>0</v>
      </c>
      <c r="CM33" s="18">
        <f t="shared" si="263"/>
        <v>0</v>
      </c>
      <c r="CN33" s="40">
        <f t="shared" si="263"/>
        <v>0</v>
      </c>
      <c r="CP33" s="46">
        <f t="shared" si="264"/>
        <v>0</v>
      </c>
      <c r="CQ33" s="18">
        <f t="shared" si="264"/>
        <v>0</v>
      </c>
      <c r="CR33" s="18">
        <f t="shared" si="264"/>
        <v>0</v>
      </c>
      <c r="CS33" s="18">
        <f t="shared" si="264"/>
        <v>0</v>
      </c>
      <c r="CT33" s="18">
        <f t="shared" si="264"/>
        <v>0</v>
      </c>
      <c r="CU33" s="18">
        <f t="shared" si="264"/>
        <v>0</v>
      </c>
      <c r="CV33" s="18">
        <f t="shared" si="264"/>
        <v>0</v>
      </c>
      <c r="CW33" s="18">
        <f t="shared" si="264"/>
        <v>0</v>
      </c>
      <c r="CX33" s="18">
        <f t="shared" si="264"/>
        <v>0</v>
      </c>
      <c r="CY33" s="18">
        <f t="shared" si="264"/>
        <v>0</v>
      </c>
      <c r="CZ33" s="18">
        <f t="shared" si="264"/>
        <v>0</v>
      </c>
      <c r="DA33" s="18">
        <f t="shared" si="264"/>
        <v>0</v>
      </c>
      <c r="DB33" s="18">
        <f t="shared" si="264"/>
        <v>0</v>
      </c>
      <c r="DC33" s="18">
        <f t="shared" si="264"/>
        <v>0</v>
      </c>
      <c r="DD33" s="18">
        <f t="shared" si="264"/>
        <v>0</v>
      </c>
      <c r="DE33" s="18">
        <f t="shared" si="264"/>
        <v>0</v>
      </c>
      <c r="DF33" s="40">
        <f t="shared" si="264"/>
        <v>0</v>
      </c>
      <c r="DH33" s="46">
        <f t="shared" si="264"/>
        <v>0</v>
      </c>
      <c r="DI33" s="18">
        <f t="shared" si="264"/>
        <v>0</v>
      </c>
      <c r="DJ33" s="18">
        <f t="shared" si="264"/>
        <v>0</v>
      </c>
      <c r="DK33" s="18">
        <f t="shared" si="264"/>
        <v>0</v>
      </c>
      <c r="DL33" s="18">
        <f t="shared" si="264"/>
        <v>0</v>
      </c>
      <c r="DM33" s="18">
        <f t="shared" si="264"/>
        <v>0</v>
      </c>
      <c r="DN33" s="18">
        <f t="shared" si="264"/>
        <v>0</v>
      </c>
      <c r="DO33" s="18">
        <f t="shared" si="264"/>
        <v>0</v>
      </c>
      <c r="DP33" s="18">
        <f t="shared" si="264"/>
        <v>0</v>
      </c>
      <c r="DQ33" s="18">
        <f t="shared" si="264"/>
        <v>0</v>
      </c>
      <c r="DR33" s="18">
        <f t="shared" si="264"/>
        <v>0</v>
      </c>
      <c r="DS33" s="18">
        <f t="shared" si="264"/>
        <v>0</v>
      </c>
      <c r="DT33" s="18">
        <f t="shared" si="264"/>
        <v>0</v>
      </c>
      <c r="DU33" s="18">
        <f t="shared" si="264"/>
        <v>0</v>
      </c>
      <c r="DV33" s="18">
        <f t="shared" si="265"/>
        <v>0</v>
      </c>
      <c r="DW33" s="18">
        <f t="shared" si="265"/>
        <v>0</v>
      </c>
      <c r="DX33" s="40">
        <f t="shared" si="265"/>
        <v>0</v>
      </c>
      <c r="DZ33" s="46">
        <f t="shared" si="266"/>
        <v>0</v>
      </c>
      <c r="EA33" s="18">
        <f t="shared" si="266"/>
        <v>0</v>
      </c>
      <c r="EB33" s="18">
        <f t="shared" si="266"/>
        <v>0</v>
      </c>
      <c r="EC33" s="18">
        <f t="shared" si="266"/>
        <v>0</v>
      </c>
      <c r="ED33" s="18">
        <f t="shared" si="266"/>
        <v>0</v>
      </c>
      <c r="EE33" s="18">
        <f t="shared" si="266"/>
        <v>0</v>
      </c>
      <c r="EF33" s="18">
        <f t="shared" si="266"/>
        <v>0</v>
      </c>
      <c r="EG33" s="18">
        <f t="shared" si="266"/>
        <v>0</v>
      </c>
      <c r="EH33" s="18">
        <f t="shared" si="266"/>
        <v>0</v>
      </c>
      <c r="EI33" s="18">
        <f t="shared" si="266"/>
        <v>0</v>
      </c>
      <c r="EJ33" s="18">
        <f t="shared" si="266"/>
        <v>0</v>
      </c>
      <c r="EK33" s="18">
        <f t="shared" si="266"/>
        <v>0</v>
      </c>
      <c r="EL33" s="18">
        <f t="shared" si="266"/>
        <v>0</v>
      </c>
      <c r="EM33" s="18">
        <f t="shared" si="266"/>
        <v>0</v>
      </c>
      <c r="EN33" s="18">
        <f t="shared" si="266"/>
        <v>0</v>
      </c>
      <c r="EO33" s="18">
        <f t="shared" si="266"/>
        <v>0</v>
      </c>
      <c r="EP33" s="40">
        <f t="shared" si="266"/>
        <v>0</v>
      </c>
      <c r="ER33" s="46">
        <f t="shared" si="266"/>
        <v>0</v>
      </c>
      <c r="ES33" s="18">
        <f t="shared" si="266"/>
        <v>0</v>
      </c>
      <c r="ET33" s="18">
        <f t="shared" si="266"/>
        <v>0</v>
      </c>
      <c r="EU33" s="18">
        <f t="shared" si="266"/>
        <v>0</v>
      </c>
      <c r="EV33" s="18">
        <f t="shared" si="266"/>
        <v>0</v>
      </c>
      <c r="EW33" s="18">
        <f t="shared" si="266"/>
        <v>0</v>
      </c>
      <c r="EX33" s="18">
        <f t="shared" si="266"/>
        <v>0</v>
      </c>
      <c r="EY33" s="18">
        <f t="shared" si="266"/>
        <v>0</v>
      </c>
      <c r="EZ33" s="18">
        <f t="shared" si="266"/>
        <v>0</v>
      </c>
      <c r="FA33" s="18">
        <f t="shared" si="266"/>
        <v>0</v>
      </c>
      <c r="FB33" s="18">
        <f t="shared" si="266"/>
        <v>0</v>
      </c>
      <c r="FC33" s="18">
        <f t="shared" si="266"/>
        <v>0</v>
      </c>
      <c r="FD33" s="18">
        <f t="shared" si="266"/>
        <v>0</v>
      </c>
      <c r="FE33" s="18">
        <f t="shared" si="266"/>
        <v>0</v>
      </c>
      <c r="FF33" s="18">
        <f t="shared" si="267"/>
        <v>0</v>
      </c>
      <c r="FG33" s="18">
        <f t="shared" si="267"/>
        <v>0</v>
      </c>
      <c r="FH33" s="40">
        <f t="shared" si="267"/>
        <v>0</v>
      </c>
      <c r="FJ33" s="46">
        <f t="shared" si="268"/>
        <v>6.1507939836288232E-3</v>
      </c>
      <c r="FK33" s="18">
        <f t="shared" si="268"/>
        <v>0</v>
      </c>
      <c r="FL33" s="18">
        <f t="shared" si="268"/>
        <v>0</v>
      </c>
      <c r="FM33" s="18">
        <f t="shared" si="268"/>
        <v>0</v>
      </c>
      <c r="FN33" s="18">
        <f t="shared" si="268"/>
        <v>0</v>
      </c>
      <c r="FO33" s="18">
        <f t="shared" si="268"/>
        <v>0</v>
      </c>
      <c r="FP33" s="18">
        <f t="shared" si="268"/>
        <v>0</v>
      </c>
      <c r="FQ33" s="18">
        <f t="shared" si="268"/>
        <v>0</v>
      </c>
      <c r="FR33" s="18">
        <f t="shared" si="268"/>
        <v>0</v>
      </c>
      <c r="FS33" s="18">
        <f t="shared" si="268"/>
        <v>0</v>
      </c>
      <c r="FT33" s="18">
        <f t="shared" si="268"/>
        <v>0</v>
      </c>
      <c r="FU33" s="18">
        <f t="shared" si="268"/>
        <v>0</v>
      </c>
      <c r="FV33" s="18">
        <f t="shared" si="268"/>
        <v>0</v>
      </c>
      <c r="FW33" s="18">
        <f t="shared" si="268"/>
        <v>0</v>
      </c>
      <c r="FX33" s="18">
        <f t="shared" si="268"/>
        <v>4.721467162195887E-3</v>
      </c>
      <c r="FY33" s="18">
        <f t="shared" si="268"/>
        <v>1</v>
      </c>
      <c r="FZ33" s="40">
        <f t="shared" si="268"/>
        <v>6.1569768052213434E-3</v>
      </c>
      <c r="GB33" s="46">
        <f t="shared" si="268"/>
        <v>4.5774006406529928E-4</v>
      </c>
      <c r="GC33" s="18">
        <f t="shared" si="268"/>
        <v>0</v>
      </c>
      <c r="GD33" s="18">
        <f t="shared" si="268"/>
        <v>0</v>
      </c>
      <c r="GE33" s="18">
        <f t="shared" si="268"/>
        <v>0</v>
      </c>
      <c r="GF33" s="18">
        <f t="shared" si="268"/>
        <v>0</v>
      </c>
      <c r="GG33" s="18">
        <f t="shared" si="268"/>
        <v>0</v>
      </c>
      <c r="GH33" s="18">
        <f t="shared" si="268"/>
        <v>0</v>
      </c>
      <c r="GI33" s="18">
        <f t="shared" si="268"/>
        <v>0</v>
      </c>
      <c r="GJ33" s="18">
        <f t="shared" si="268"/>
        <v>0</v>
      </c>
      <c r="GK33" s="18">
        <f t="shared" si="268"/>
        <v>0</v>
      </c>
      <c r="GL33" s="18">
        <f t="shared" si="268"/>
        <v>0</v>
      </c>
      <c r="GM33" s="18">
        <f t="shared" si="268"/>
        <v>0</v>
      </c>
      <c r="GN33" s="18">
        <f t="shared" si="268"/>
        <v>0</v>
      </c>
      <c r="GO33" s="18">
        <f t="shared" si="268"/>
        <v>0</v>
      </c>
      <c r="GP33" s="18">
        <f t="shared" si="269"/>
        <v>3.1766494318995669E-4</v>
      </c>
      <c r="GQ33" s="18">
        <f t="shared" si="269"/>
        <v>1</v>
      </c>
      <c r="GR33" s="40">
        <f t="shared" si="269"/>
        <v>4.5953392954843565E-4</v>
      </c>
      <c r="GT33" s="46">
        <f t="shared" si="270"/>
        <v>0</v>
      </c>
      <c r="GU33" s="18">
        <f t="shared" si="270"/>
        <v>0</v>
      </c>
      <c r="GV33" s="18">
        <f t="shared" si="270"/>
        <v>0</v>
      </c>
      <c r="GW33" s="18">
        <f t="shared" si="270"/>
        <v>0</v>
      </c>
      <c r="GX33" s="18">
        <f t="shared" si="270"/>
        <v>0</v>
      </c>
      <c r="GY33" s="18">
        <f t="shared" si="270"/>
        <v>0</v>
      </c>
      <c r="GZ33" s="18">
        <f t="shared" si="270"/>
        <v>0</v>
      </c>
      <c r="HA33" s="18">
        <f t="shared" si="270"/>
        <v>0</v>
      </c>
      <c r="HB33" s="18">
        <f t="shared" si="270"/>
        <v>0</v>
      </c>
      <c r="HC33" s="18">
        <f t="shared" si="270"/>
        <v>0</v>
      </c>
      <c r="HD33" s="18">
        <f t="shared" si="270"/>
        <v>0</v>
      </c>
      <c r="HE33" s="18">
        <f t="shared" si="270"/>
        <v>0</v>
      </c>
      <c r="HF33" s="18">
        <f t="shared" si="270"/>
        <v>0</v>
      </c>
      <c r="HG33" s="18">
        <f t="shared" si="270"/>
        <v>0</v>
      </c>
      <c r="HH33" s="18">
        <f t="shared" si="270"/>
        <v>0</v>
      </c>
      <c r="HI33" s="18">
        <f t="shared" si="270"/>
        <v>0</v>
      </c>
      <c r="HJ33" s="40">
        <f t="shared" si="270"/>
        <v>0</v>
      </c>
      <c r="HL33" s="46">
        <f t="shared" si="270"/>
        <v>0</v>
      </c>
      <c r="HM33" s="18">
        <f t="shared" si="270"/>
        <v>0</v>
      </c>
      <c r="HN33" s="18">
        <f t="shared" si="270"/>
        <v>0</v>
      </c>
      <c r="HO33" s="18">
        <f t="shared" si="270"/>
        <v>0</v>
      </c>
      <c r="HP33" s="18">
        <f t="shared" si="270"/>
        <v>0</v>
      </c>
      <c r="HQ33" s="18">
        <f t="shared" si="270"/>
        <v>0</v>
      </c>
      <c r="HR33" s="18">
        <f t="shared" si="270"/>
        <v>0</v>
      </c>
      <c r="HS33" s="18">
        <f t="shared" si="270"/>
        <v>0</v>
      </c>
      <c r="HT33" s="18">
        <f t="shared" si="270"/>
        <v>0</v>
      </c>
      <c r="HU33" s="18">
        <f t="shared" si="270"/>
        <v>0</v>
      </c>
      <c r="HV33" s="18">
        <f t="shared" si="270"/>
        <v>0</v>
      </c>
      <c r="HW33" s="18">
        <f t="shared" si="270"/>
        <v>0</v>
      </c>
      <c r="HX33" s="18">
        <f t="shared" si="270"/>
        <v>0</v>
      </c>
      <c r="HY33" s="18">
        <f t="shared" si="270"/>
        <v>0</v>
      </c>
      <c r="HZ33" s="18">
        <f t="shared" si="270"/>
        <v>0</v>
      </c>
      <c r="IA33" s="18">
        <f t="shared" si="270"/>
        <v>0</v>
      </c>
      <c r="IB33" s="40">
        <f t="shared" si="270"/>
        <v>0</v>
      </c>
    </row>
    <row r="34" spans="1:236" s="1" customFormat="1" x14ac:dyDescent="0.35">
      <c r="A34" s="6"/>
      <c r="B34" s="35" t="s">
        <v>158</v>
      </c>
      <c r="D34" s="47">
        <f t="shared" si="272"/>
        <v>1</v>
      </c>
      <c r="E34" s="38">
        <f t="shared" si="272"/>
        <v>1</v>
      </c>
      <c r="F34" s="38">
        <f t="shared" si="259"/>
        <v>1</v>
      </c>
      <c r="G34" s="38">
        <f t="shared" si="259"/>
        <v>1</v>
      </c>
      <c r="H34" s="38">
        <f t="shared" si="259"/>
        <v>0</v>
      </c>
      <c r="I34" s="38">
        <f t="shared" si="259"/>
        <v>1</v>
      </c>
      <c r="J34" s="38">
        <f t="shared" si="259"/>
        <v>1</v>
      </c>
      <c r="K34" s="38">
        <f t="shared" si="259"/>
        <v>1</v>
      </c>
      <c r="L34" s="38">
        <f t="shared" si="259"/>
        <v>1</v>
      </c>
      <c r="M34" s="38">
        <f t="shared" si="259"/>
        <v>1</v>
      </c>
      <c r="N34" s="38">
        <f t="shared" si="259"/>
        <v>1</v>
      </c>
      <c r="O34" s="38">
        <f t="shared" si="259"/>
        <v>1</v>
      </c>
      <c r="P34" s="38">
        <f t="shared" si="259"/>
        <v>1</v>
      </c>
      <c r="Q34" s="38">
        <f t="shared" si="259"/>
        <v>0</v>
      </c>
      <c r="R34" s="38">
        <f t="shared" si="259"/>
        <v>1</v>
      </c>
      <c r="S34" s="38">
        <f t="shared" si="259"/>
        <v>1</v>
      </c>
      <c r="T34" s="39">
        <f t="shared" si="259"/>
        <v>1</v>
      </c>
      <c r="V34" s="47">
        <f t="shared" si="275"/>
        <v>1</v>
      </c>
      <c r="W34" s="38">
        <f t="shared" si="275"/>
        <v>1</v>
      </c>
      <c r="X34" s="38">
        <f t="shared" si="275"/>
        <v>1</v>
      </c>
      <c r="Y34" s="38">
        <f t="shared" si="275"/>
        <v>1</v>
      </c>
      <c r="Z34" s="38">
        <f t="shared" si="275"/>
        <v>0</v>
      </c>
      <c r="AA34" s="38">
        <f t="shared" si="275"/>
        <v>1</v>
      </c>
      <c r="AB34" s="38">
        <f t="shared" si="275"/>
        <v>0</v>
      </c>
      <c r="AC34" s="38">
        <f t="shared" si="275"/>
        <v>1</v>
      </c>
      <c r="AD34" s="38">
        <f t="shared" si="275"/>
        <v>0</v>
      </c>
      <c r="AE34" s="38">
        <f t="shared" si="275"/>
        <v>1</v>
      </c>
      <c r="AF34" s="38">
        <f t="shared" si="275"/>
        <v>1</v>
      </c>
      <c r="AG34" s="38">
        <f t="shared" si="275"/>
        <v>1</v>
      </c>
      <c r="AH34" s="38">
        <f t="shared" si="275"/>
        <v>1</v>
      </c>
      <c r="AI34" s="38">
        <f t="shared" si="275"/>
        <v>0</v>
      </c>
      <c r="AJ34" s="38">
        <f t="shared" si="275"/>
        <v>1</v>
      </c>
      <c r="AK34" s="38">
        <f t="shared" si="275"/>
        <v>0</v>
      </c>
      <c r="AL34" s="39">
        <f t="shared" si="275"/>
        <v>1</v>
      </c>
      <c r="AN34" s="47">
        <f t="shared" si="275"/>
        <v>1</v>
      </c>
      <c r="AO34" s="38">
        <f t="shared" si="275"/>
        <v>1</v>
      </c>
      <c r="AP34" s="38">
        <f t="shared" si="275"/>
        <v>1</v>
      </c>
      <c r="AQ34" s="38">
        <f t="shared" si="275"/>
        <v>1</v>
      </c>
      <c r="AR34" s="38">
        <f t="shared" si="275"/>
        <v>0</v>
      </c>
      <c r="AS34" s="38">
        <f t="shared" si="275"/>
        <v>1</v>
      </c>
      <c r="AT34" s="38">
        <f t="shared" si="275"/>
        <v>0</v>
      </c>
      <c r="AU34" s="38">
        <f t="shared" si="275"/>
        <v>1</v>
      </c>
      <c r="AV34" s="38">
        <f t="shared" si="275"/>
        <v>1</v>
      </c>
      <c r="AW34" s="38">
        <f t="shared" si="275"/>
        <v>1</v>
      </c>
      <c r="AX34" s="38">
        <f t="shared" si="275"/>
        <v>1</v>
      </c>
      <c r="AY34" s="38">
        <f t="shared" si="275"/>
        <v>1</v>
      </c>
      <c r="AZ34" s="38">
        <f t="shared" si="275"/>
        <v>1</v>
      </c>
      <c r="BA34" s="38">
        <f t="shared" si="275"/>
        <v>0</v>
      </c>
      <c r="BB34" s="38">
        <f t="shared" si="275"/>
        <v>1</v>
      </c>
      <c r="BC34" s="38">
        <f t="shared" si="275"/>
        <v>0</v>
      </c>
      <c r="BD34" s="39">
        <f t="shared" si="275"/>
        <v>1</v>
      </c>
      <c r="BF34" s="47">
        <f t="shared" si="275"/>
        <v>1</v>
      </c>
      <c r="BG34" s="38">
        <f t="shared" si="275"/>
        <v>1</v>
      </c>
      <c r="BH34" s="38">
        <f t="shared" si="275"/>
        <v>1</v>
      </c>
      <c r="BI34" s="38">
        <f t="shared" si="275"/>
        <v>1</v>
      </c>
      <c r="BJ34" s="38">
        <f t="shared" si="275"/>
        <v>0</v>
      </c>
      <c r="BK34" s="38">
        <f t="shared" si="275"/>
        <v>1</v>
      </c>
      <c r="BL34" s="38">
        <f t="shared" si="275"/>
        <v>1</v>
      </c>
      <c r="BM34" s="38">
        <f t="shared" si="275"/>
        <v>1</v>
      </c>
      <c r="BN34" s="38">
        <f t="shared" si="275"/>
        <v>0</v>
      </c>
      <c r="BO34" s="38">
        <f t="shared" si="275"/>
        <v>0</v>
      </c>
      <c r="BP34" s="38">
        <f t="shared" si="275"/>
        <v>0</v>
      </c>
      <c r="BQ34" s="38">
        <f t="shared" si="275"/>
        <v>1</v>
      </c>
      <c r="BR34" s="38">
        <f t="shared" si="275"/>
        <v>1</v>
      </c>
      <c r="BS34" s="38">
        <f t="shared" si="275"/>
        <v>0</v>
      </c>
      <c r="BT34" s="38">
        <f t="shared" si="275"/>
        <v>1</v>
      </c>
      <c r="BU34" s="38">
        <f t="shared" si="275"/>
        <v>0</v>
      </c>
      <c r="BV34" s="39">
        <f t="shared" si="275"/>
        <v>1</v>
      </c>
      <c r="BX34" s="47">
        <f t="shared" si="275"/>
        <v>1</v>
      </c>
      <c r="BY34" s="38">
        <f t="shared" si="275"/>
        <v>1</v>
      </c>
      <c r="BZ34" s="38">
        <f t="shared" si="275"/>
        <v>1</v>
      </c>
      <c r="CA34" s="38">
        <f t="shared" si="275"/>
        <v>1</v>
      </c>
      <c r="CB34" s="38">
        <f t="shared" si="275"/>
        <v>0</v>
      </c>
      <c r="CC34" s="38">
        <f t="shared" si="275"/>
        <v>1</v>
      </c>
      <c r="CD34" s="38">
        <f t="shared" si="275"/>
        <v>0</v>
      </c>
      <c r="CE34" s="38">
        <f t="shared" si="275"/>
        <v>1</v>
      </c>
      <c r="CF34" s="38">
        <f t="shared" si="275"/>
        <v>1</v>
      </c>
      <c r="CG34" s="38">
        <f t="shared" si="275"/>
        <v>0</v>
      </c>
      <c r="CH34" s="38">
        <f t="shared" si="263"/>
        <v>1</v>
      </c>
      <c r="CI34" s="38">
        <f t="shared" si="263"/>
        <v>1</v>
      </c>
      <c r="CJ34" s="38">
        <f t="shared" si="263"/>
        <v>1</v>
      </c>
      <c r="CK34" s="38">
        <f t="shared" si="263"/>
        <v>0</v>
      </c>
      <c r="CL34" s="38">
        <f t="shared" si="263"/>
        <v>1</v>
      </c>
      <c r="CM34" s="38">
        <f t="shared" si="263"/>
        <v>0</v>
      </c>
      <c r="CN34" s="39">
        <f t="shared" si="263"/>
        <v>1</v>
      </c>
      <c r="CP34" s="47">
        <f t="shared" si="264"/>
        <v>1</v>
      </c>
      <c r="CQ34" s="38">
        <f t="shared" si="264"/>
        <v>1</v>
      </c>
      <c r="CR34" s="38">
        <f t="shared" si="264"/>
        <v>1</v>
      </c>
      <c r="CS34" s="38">
        <f t="shared" si="264"/>
        <v>1</v>
      </c>
      <c r="CT34" s="38">
        <f t="shared" si="264"/>
        <v>0</v>
      </c>
      <c r="CU34" s="38">
        <f t="shared" si="264"/>
        <v>1</v>
      </c>
      <c r="CV34" s="38">
        <f t="shared" si="264"/>
        <v>0</v>
      </c>
      <c r="CW34" s="38">
        <f t="shared" si="264"/>
        <v>1</v>
      </c>
      <c r="CX34" s="38">
        <f t="shared" si="264"/>
        <v>1</v>
      </c>
      <c r="CY34" s="38">
        <f t="shared" si="264"/>
        <v>1</v>
      </c>
      <c r="CZ34" s="38">
        <f t="shared" si="264"/>
        <v>1</v>
      </c>
      <c r="DA34" s="38">
        <f t="shared" si="264"/>
        <v>1</v>
      </c>
      <c r="DB34" s="38">
        <f t="shared" si="264"/>
        <v>1</v>
      </c>
      <c r="DC34" s="38">
        <f t="shared" si="264"/>
        <v>0</v>
      </c>
      <c r="DD34" s="38">
        <f t="shared" si="264"/>
        <v>1</v>
      </c>
      <c r="DE34" s="38">
        <f t="shared" si="264"/>
        <v>0</v>
      </c>
      <c r="DF34" s="39">
        <f t="shared" si="264"/>
        <v>1</v>
      </c>
      <c r="DH34" s="47">
        <f t="shared" si="264"/>
        <v>1</v>
      </c>
      <c r="DI34" s="38">
        <f t="shared" si="264"/>
        <v>1</v>
      </c>
      <c r="DJ34" s="38">
        <f t="shared" si="264"/>
        <v>1</v>
      </c>
      <c r="DK34" s="38">
        <f t="shared" si="264"/>
        <v>1</v>
      </c>
      <c r="DL34" s="38">
        <f t="shared" si="264"/>
        <v>0</v>
      </c>
      <c r="DM34" s="38">
        <f t="shared" si="264"/>
        <v>1</v>
      </c>
      <c r="DN34" s="38">
        <f t="shared" si="264"/>
        <v>0</v>
      </c>
      <c r="DO34" s="38">
        <f t="shared" si="264"/>
        <v>1</v>
      </c>
      <c r="DP34" s="38">
        <f t="shared" si="264"/>
        <v>0</v>
      </c>
      <c r="DQ34" s="38">
        <f t="shared" si="264"/>
        <v>1</v>
      </c>
      <c r="DR34" s="38">
        <f t="shared" si="264"/>
        <v>1</v>
      </c>
      <c r="DS34" s="38">
        <f t="shared" si="264"/>
        <v>1</v>
      </c>
      <c r="DT34" s="38">
        <f t="shared" si="264"/>
        <v>1</v>
      </c>
      <c r="DU34" s="38">
        <f t="shared" si="264"/>
        <v>0</v>
      </c>
      <c r="DV34" s="38">
        <f t="shared" si="265"/>
        <v>1</v>
      </c>
      <c r="DW34" s="38">
        <f t="shared" si="265"/>
        <v>0</v>
      </c>
      <c r="DX34" s="39">
        <f t="shared" si="265"/>
        <v>1</v>
      </c>
      <c r="DZ34" s="47">
        <f t="shared" si="266"/>
        <v>1</v>
      </c>
      <c r="EA34" s="38">
        <f t="shared" si="266"/>
        <v>1</v>
      </c>
      <c r="EB34" s="38">
        <f t="shared" si="266"/>
        <v>1</v>
      </c>
      <c r="EC34" s="38">
        <f t="shared" si="266"/>
        <v>1</v>
      </c>
      <c r="ED34" s="38">
        <f t="shared" si="266"/>
        <v>0</v>
      </c>
      <c r="EE34" s="38">
        <f t="shared" si="266"/>
        <v>1</v>
      </c>
      <c r="EF34" s="38">
        <f t="shared" si="266"/>
        <v>0</v>
      </c>
      <c r="EG34" s="38">
        <f t="shared" si="266"/>
        <v>1</v>
      </c>
      <c r="EH34" s="38">
        <f t="shared" si="266"/>
        <v>1</v>
      </c>
      <c r="EI34" s="38">
        <f t="shared" si="266"/>
        <v>1</v>
      </c>
      <c r="EJ34" s="38">
        <f t="shared" si="266"/>
        <v>1</v>
      </c>
      <c r="EK34" s="38">
        <f t="shared" si="266"/>
        <v>1</v>
      </c>
      <c r="EL34" s="38">
        <f t="shared" si="266"/>
        <v>1</v>
      </c>
      <c r="EM34" s="38">
        <f t="shared" si="266"/>
        <v>0</v>
      </c>
      <c r="EN34" s="38">
        <f t="shared" si="266"/>
        <v>1</v>
      </c>
      <c r="EO34" s="38">
        <f t="shared" si="266"/>
        <v>0</v>
      </c>
      <c r="EP34" s="39">
        <f t="shared" si="266"/>
        <v>1</v>
      </c>
      <c r="ER34" s="47">
        <f t="shared" si="266"/>
        <v>1</v>
      </c>
      <c r="ES34" s="38">
        <f t="shared" si="266"/>
        <v>1</v>
      </c>
      <c r="ET34" s="38">
        <f t="shared" si="266"/>
        <v>1</v>
      </c>
      <c r="EU34" s="38">
        <f t="shared" si="266"/>
        <v>1</v>
      </c>
      <c r="EV34" s="38">
        <f t="shared" si="266"/>
        <v>0</v>
      </c>
      <c r="EW34" s="38">
        <f t="shared" si="266"/>
        <v>1</v>
      </c>
      <c r="EX34" s="38">
        <f t="shared" si="266"/>
        <v>0</v>
      </c>
      <c r="EY34" s="38">
        <f t="shared" si="266"/>
        <v>1</v>
      </c>
      <c r="EZ34" s="38">
        <f t="shared" si="266"/>
        <v>1</v>
      </c>
      <c r="FA34" s="38">
        <f t="shared" si="266"/>
        <v>0</v>
      </c>
      <c r="FB34" s="38">
        <f t="shared" si="266"/>
        <v>1</v>
      </c>
      <c r="FC34" s="38">
        <f t="shared" si="266"/>
        <v>1</v>
      </c>
      <c r="FD34" s="38">
        <f t="shared" si="266"/>
        <v>1</v>
      </c>
      <c r="FE34" s="38">
        <f t="shared" si="266"/>
        <v>0</v>
      </c>
      <c r="FF34" s="38">
        <f t="shared" si="267"/>
        <v>1</v>
      </c>
      <c r="FG34" s="38">
        <f t="shared" si="267"/>
        <v>0</v>
      </c>
      <c r="FH34" s="39">
        <f t="shared" si="267"/>
        <v>1</v>
      </c>
      <c r="FJ34" s="47">
        <f t="shared" si="268"/>
        <v>1</v>
      </c>
      <c r="FK34" s="38">
        <f t="shared" si="268"/>
        <v>1</v>
      </c>
      <c r="FL34" s="38">
        <f t="shared" si="268"/>
        <v>1</v>
      </c>
      <c r="FM34" s="38">
        <f t="shared" si="268"/>
        <v>1</v>
      </c>
      <c r="FN34" s="38">
        <f t="shared" si="268"/>
        <v>0</v>
      </c>
      <c r="FO34" s="38">
        <f t="shared" si="268"/>
        <v>1</v>
      </c>
      <c r="FP34" s="38">
        <f t="shared" si="268"/>
        <v>0</v>
      </c>
      <c r="FQ34" s="38">
        <f t="shared" si="268"/>
        <v>1</v>
      </c>
      <c r="FR34" s="38">
        <f t="shared" si="268"/>
        <v>1</v>
      </c>
      <c r="FS34" s="38">
        <f t="shared" si="268"/>
        <v>0</v>
      </c>
      <c r="FT34" s="38">
        <f t="shared" si="268"/>
        <v>1</v>
      </c>
      <c r="FU34" s="38">
        <f t="shared" si="268"/>
        <v>1</v>
      </c>
      <c r="FV34" s="38">
        <f t="shared" si="268"/>
        <v>1</v>
      </c>
      <c r="FW34" s="38">
        <f t="shared" si="268"/>
        <v>0</v>
      </c>
      <c r="FX34" s="38">
        <f t="shared" si="268"/>
        <v>1</v>
      </c>
      <c r="FY34" s="38">
        <f t="shared" si="268"/>
        <v>1</v>
      </c>
      <c r="FZ34" s="39">
        <f t="shared" si="268"/>
        <v>1</v>
      </c>
      <c r="GB34" s="47">
        <f t="shared" si="268"/>
        <v>1</v>
      </c>
      <c r="GC34" s="38">
        <f t="shared" si="268"/>
        <v>1</v>
      </c>
      <c r="GD34" s="38">
        <f t="shared" si="268"/>
        <v>1</v>
      </c>
      <c r="GE34" s="38">
        <f t="shared" si="268"/>
        <v>1</v>
      </c>
      <c r="GF34" s="38">
        <f t="shared" si="268"/>
        <v>0</v>
      </c>
      <c r="GG34" s="38">
        <f t="shared" si="268"/>
        <v>1</v>
      </c>
      <c r="GH34" s="38">
        <f t="shared" si="268"/>
        <v>0</v>
      </c>
      <c r="GI34" s="38">
        <f t="shared" si="268"/>
        <v>1</v>
      </c>
      <c r="GJ34" s="38">
        <f t="shared" si="268"/>
        <v>1</v>
      </c>
      <c r="GK34" s="38">
        <f t="shared" si="268"/>
        <v>1</v>
      </c>
      <c r="GL34" s="38">
        <f t="shared" si="268"/>
        <v>1</v>
      </c>
      <c r="GM34" s="38">
        <f t="shared" si="268"/>
        <v>1</v>
      </c>
      <c r="GN34" s="38">
        <f t="shared" si="268"/>
        <v>1</v>
      </c>
      <c r="GO34" s="38">
        <f t="shared" si="268"/>
        <v>0</v>
      </c>
      <c r="GP34" s="38">
        <f t="shared" si="269"/>
        <v>1</v>
      </c>
      <c r="GQ34" s="38">
        <f t="shared" si="269"/>
        <v>1</v>
      </c>
      <c r="GR34" s="39">
        <f t="shared" si="269"/>
        <v>1</v>
      </c>
      <c r="GT34" s="47">
        <f t="shared" si="270"/>
        <v>1</v>
      </c>
      <c r="GU34" s="38">
        <f t="shared" si="270"/>
        <v>1</v>
      </c>
      <c r="GV34" s="38">
        <f t="shared" si="270"/>
        <v>1</v>
      </c>
      <c r="GW34" s="38">
        <f t="shared" si="270"/>
        <v>1</v>
      </c>
      <c r="GX34" s="38">
        <f t="shared" si="270"/>
        <v>0</v>
      </c>
      <c r="GY34" s="38">
        <f t="shared" si="270"/>
        <v>1</v>
      </c>
      <c r="GZ34" s="38">
        <f t="shared" si="270"/>
        <v>1</v>
      </c>
      <c r="HA34" s="38">
        <f t="shared" si="270"/>
        <v>1</v>
      </c>
      <c r="HB34" s="38">
        <f t="shared" si="270"/>
        <v>1</v>
      </c>
      <c r="HC34" s="38">
        <f t="shared" si="270"/>
        <v>1</v>
      </c>
      <c r="HD34" s="38">
        <f t="shared" si="270"/>
        <v>0</v>
      </c>
      <c r="HE34" s="38">
        <f t="shared" si="270"/>
        <v>1</v>
      </c>
      <c r="HF34" s="38">
        <f t="shared" si="270"/>
        <v>1</v>
      </c>
      <c r="HG34" s="38">
        <f t="shared" si="270"/>
        <v>0</v>
      </c>
      <c r="HH34" s="38">
        <f t="shared" si="270"/>
        <v>1</v>
      </c>
      <c r="HI34" s="38">
        <f t="shared" si="270"/>
        <v>0</v>
      </c>
      <c r="HJ34" s="39">
        <f t="shared" si="270"/>
        <v>1</v>
      </c>
      <c r="HL34" s="47">
        <f t="shared" si="270"/>
        <v>1</v>
      </c>
      <c r="HM34" s="38">
        <f t="shared" si="270"/>
        <v>1</v>
      </c>
      <c r="HN34" s="38">
        <f t="shared" si="270"/>
        <v>1</v>
      </c>
      <c r="HO34" s="38">
        <f t="shared" si="270"/>
        <v>1</v>
      </c>
      <c r="HP34" s="38">
        <f t="shared" si="270"/>
        <v>0</v>
      </c>
      <c r="HQ34" s="38">
        <f t="shared" si="270"/>
        <v>1</v>
      </c>
      <c r="HR34" s="38">
        <f t="shared" si="270"/>
        <v>0</v>
      </c>
      <c r="HS34" s="38">
        <f t="shared" si="270"/>
        <v>1</v>
      </c>
      <c r="HT34" s="38">
        <f t="shared" si="270"/>
        <v>0</v>
      </c>
      <c r="HU34" s="38">
        <f t="shared" si="270"/>
        <v>1</v>
      </c>
      <c r="HV34" s="38">
        <f t="shared" si="270"/>
        <v>1</v>
      </c>
      <c r="HW34" s="38">
        <f t="shared" si="270"/>
        <v>1</v>
      </c>
      <c r="HX34" s="38">
        <f t="shared" si="270"/>
        <v>1</v>
      </c>
      <c r="HY34" s="38">
        <f t="shared" si="270"/>
        <v>0</v>
      </c>
      <c r="HZ34" s="38">
        <f t="shared" si="270"/>
        <v>1</v>
      </c>
      <c r="IA34" s="38">
        <f t="shared" si="270"/>
        <v>0</v>
      </c>
      <c r="IB34" s="39">
        <f t="shared" si="270"/>
        <v>1</v>
      </c>
    </row>
    <row r="35" spans="1:236" x14ac:dyDescent="0.35">
      <c r="P35" s="2"/>
      <c r="Q35" s="2"/>
      <c r="R35" s="2"/>
    </row>
    <row r="36" spans="1:236" x14ac:dyDescent="0.35">
      <c r="P36" s="2"/>
      <c r="Q36" s="2"/>
      <c r="R36" s="2"/>
    </row>
    <row r="37" spans="1:236" x14ac:dyDescent="0.35">
      <c r="P37" s="2"/>
      <c r="Q37" s="2"/>
      <c r="R37" s="2"/>
    </row>
    <row r="38" spans="1:236" x14ac:dyDescent="0.35">
      <c r="P38" s="2"/>
      <c r="Q38" s="2"/>
      <c r="R38" s="2"/>
    </row>
    <row r="39" spans="1:236" x14ac:dyDescent="0.35">
      <c r="P39" s="2"/>
      <c r="Q39" s="2"/>
      <c r="R39" s="2"/>
    </row>
    <row r="40" spans="1:236" x14ac:dyDescent="0.35">
      <c r="P40" s="2"/>
      <c r="Q40" s="2"/>
      <c r="R40" s="2"/>
    </row>
    <row r="41" spans="1:236" x14ac:dyDescent="0.35">
      <c r="P41" s="2"/>
      <c r="Q41" s="2"/>
      <c r="R41" s="2"/>
    </row>
    <row r="42" spans="1:236" x14ac:dyDescent="0.35">
      <c r="P42" s="2"/>
      <c r="Q42" s="2"/>
      <c r="R42" s="2"/>
    </row>
    <row r="43" spans="1:236" x14ac:dyDescent="0.35">
      <c r="P43" s="2"/>
      <c r="Q43" s="2"/>
      <c r="R43" s="2"/>
    </row>
    <row r="44" spans="1:236" x14ac:dyDescent="0.35">
      <c r="P44" s="2"/>
      <c r="Q44" s="2"/>
      <c r="R44" s="2"/>
    </row>
  </sheetData>
  <mergeCells count="14">
    <mergeCell ref="BX4:CN4"/>
    <mergeCell ref="B4:B5"/>
    <mergeCell ref="D4:T4"/>
    <mergeCell ref="V4:AL4"/>
    <mergeCell ref="AN4:BD4"/>
    <mergeCell ref="BF4:BV4"/>
    <mergeCell ref="GT4:HJ4"/>
    <mergeCell ref="HL4:IB4"/>
    <mergeCell ref="CP4:DF4"/>
    <mergeCell ref="DH4:DX4"/>
    <mergeCell ref="DZ4:EP4"/>
    <mergeCell ref="ER4:FH4"/>
    <mergeCell ref="FJ4:FZ4"/>
    <mergeCell ref="GB4:GR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B50-AA33-445D-91E1-4173FCEDFD91}">
  <sheetPr>
    <tabColor rgb="FFFFFF00"/>
  </sheetPr>
  <dimension ref="A1:IB44"/>
  <sheetViews>
    <sheetView showGridLines="0" zoomScaleNormal="100" workbookViewId="0">
      <pane xSplit="2" ySplit="5" topLeftCell="C20" activePane="bottomRight" state="frozen"/>
      <selection pane="topRight" activeCell="C1" sqref="C1"/>
      <selection pane="bottomLeft" activeCell="A4" sqref="A4"/>
      <selection pane="bottomRight" activeCell="D17" sqref="D17:D23"/>
    </sheetView>
  </sheetViews>
  <sheetFormatPr defaultRowHeight="14.5" outlineLevelRow="1" outlineLevelCol="1" x14ac:dyDescent="0.35"/>
  <cols>
    <col min="1" max="1" width="3.08203125" style="5" customWidth="1" outlineLevel="1"/>
    <col min="2" max="2" width="14.9140625" customWidth="1"/>
    <col min="3" max="3" width="0.75" customWidth="1"/>
    <col min="4" max="4" width="10.5" bestFit="1" customWidth="1"/>
    <col min="5" max="5" width="8.33203125" customWidth="1" outlineLevel="1"/>
    <col min="6" max="6" width="6.4140625" customWidth="1" outlineLevel="1"/>
    <col min="7" max="7" width="7.4140625" customWidth="1" outlineLevel="1"/>
    <col min="8" max="9" width="6.58203125" customWidth="1" outlineLevel="1"/>
    <col min="10" max="10" width="6.6640625" customWidth="1" outlineLevel="1"/>
    <col min="11" max="11" width="6.58203125" customWidth="1" outlineLevel="1"/>
    <col min="12" max="12" width="6.6640625" customWidth="1" outlineLevel="1"/>
    <col min="13" max="13" width="11" customWidth="1" outlineLevel="1"/>
    <col min="14" max="14" width="8" customWidth="1" outlineLevel="1"/>
    <col min="15" max="16" width="9.25" customWidth="1" outlineLevel="1"/>
    <col min="17" max="17" width="8.9140625" customWidth="1" outlineLevel="1"/>
    <col min="18" max="18" width="7" customWidth="1" outlineLevel="1"/>
    <col min="19" max="19" width="4.75" customWidth="1" outlineLevel="1"/>
    <col min="20" max="20" width="10.83203125" bestFit="1" customWidth="1"/>
    <col min="21" max="21" width="0.75" customWidth="1"/>
    <col min="22" max="22" width="10.5" bestFit="1" customWidth="1"/>
    <col min="23" max="23" width="8.33203125" customWidth="1" outlineLevel="1"/>
    <col min="24" max="24" width="5.6640625" customWidth="1" outlineLevel="1"/>
    <col min="25" max="30" width="6.58203125" customWidth="1" outlineLevel="1"/>
    <col min="31" max="31" width="11" customWidth="1" outlineLevel="1"/>
    <col min="32" max="32" width="8" customWidth="1" outlineLevel="1"/>
    <col min="33" max="34" width="9.25" customWidth="1" outlineLevel="1"/>
    <col min="35" max="35" width="8.9140625" customWidth="1" outlineLevel="1"/>
    <col min="36" max="36" width="7" customWidth="1" outlineLevel="1"/>
    <col min="37" max="37" width="4.75" customWidth="1" outlineLevel="1"/>
    <col min="38" max="38" width="10.83203125" bestFit="1" customWidth="1"/>
    <col min="39" max="39" width="0.75" customWidth="1"/>
    <col min="40" max="40" width="10.5" bestFit="1" customWidth="1"/>
    <col min="41" max="41" width="8.33203125" customWidth="1" outlineLevel="1"/>
    <col min="42" max="42" width="5.6640625" customWidth="1" outlineLevel="1"/>
    <col min="43" max="48" width="6.58203125" customWidth="1" outlineLevel="1"/>
    <col min="49" max="49" width="11" customWidth="1" outlineLevel="1"/>
    <col min="50" max="50" width="8" customWidth="1" outlineLevel="1"/>
    <col min="51" max="52" width="9.25" customWidth="1" outlineLevel="1"/>
    <col min="53" max="53" width="8.9140625" customWidth="1" outlineLevel="1"/>
    <col min="54" max="54" width="7" customWidth="1" outlineLevel="1"/>
    <col min="55" max="55" width="4.75" customWidth="1" outlineLevel="1"/>
    <col min="56" max="56" width="10.83203125" bestFit="1" customWidth="1"/>
    <col min="57" max="57" width="0.75" customWidth="1"/>
    <col min="58" max="58" width="10.5" bestFit="1" customWidth="1"/>
    <col min="59" max="59" width="8.33203125" customWidth="1" outlineLevel="1"/>
    <col min="60" max="60" width="5.6640625" customWidth="1" outlineLevel="1"/>
    <col min="61" max="62" width="6.6640625" customWidth="1" outlineLevel="1"/>
    <col min="63" max="66" width="6.58203125" customWidth="1" outlineLevel="1"/>
    <col min="67" max="67" width="11" customWidth="1" outlineLevel="1"/>
    <col min="68" max="68" width="8" customWidth="1" outlineLevel="1"/>
    <col min="69" max="70" width="9.25" customWidth="1" outlineLevel="1"/>
    <col min="71" max="71" width="8.9140625" customWidth="1" outlineLevel="1"/>
    <col min="72" max="72" width="7" customWidth="1" outlineLevel="1"/>
    <col min="73" max="73" width="4.75" customWidth="1" outlineLevel="1"/>
    <col min="74" max="74" width="10.83203125" bestFit="1" customWidth="1"/>
    <col min="75" max="75" width="0.75" customWidth="1"/>
    <col min="76" max="76" width="10.5" bestFit="1" customWidth="1"/>
    <col min="77" max="77" width="8.33203125" customWidth="1" outlineLevel="1"/>
    <col min="78" max="78" width="5.6640625" customWidth="1" outlineLevel="1"/>
    <col min="79" max="81" width="6.6640625" customWidth="1" outlineLevel="1"/>
    <col min="82" max="84" width="6.58203125" customWidth="1" outlineLevel="1"/>
    <col min="85" max="85" width="11" customWidth="1" outlineLevel="1"/>
    <col min="86" max="86" width="8" customWidth="1" outlineLevel="1"/>
    <col min="87" max="88" width="9.25" customWidth="1" outlineLevel="1"/>
    <col min="89" max="89" width="8.9140625" customWidth="1" outlineLevel="1"/>
    <col min="90" max="90" width="7" customWidth="1" outlineLevel="1"/>
    <col min="91" max="91" width="4.75" customWidth="1" outlineLevel="1"/>
    <col min="92" max="92" width="10.83203125" bestFit="1" customWidth="1"/>
    <col min="93" max="93" width="0.75" customWidth="1"/>
    <col min="94" max="94" width="10.5" bestFit="1" customWidth="1"/>
    <col min="95" max="95" width="8.33203125" customWidth="1" outlineLevel="1"/>
    <col min="96" max="96" width="5.6640625" customWidth="1" outlineLevel="1"/>
    <col min="97" max="97" width="6.6640625" customWidth="1" outlineLevel="1"/>
    <col min="98" max="98" width="6.58203125" customWidth="1" outlineLevel="1"/>
    <col min="99" max="99" width="6.6640625" customWidth="1" outlineLevel="1"/>
    <col min="100" max="100" width="6.58203125" customWidth="1" outlineLevel="1"/>
    <col min="101" max="101" width="6.6640625" customWidth="1" outlineLevel="1"/>
    <col min="102" max="102" width="6.58203125" customWidth="1" outlineLevel="1"/>
    <col min="103" max="103" width="11" customWidth="1" outlineLevel="1"/>
    <col min="104" max="104" width="8" customWidth="1" outlineLevel="1"/>
    <col min="105" max="106" width="9.25" customWidth="1" outlineLevel="1"/>
    <col min="107" max="107" width="8.9140625" customWidth="1" outlineLevel="1"/>
    <col min="108" max="108" width="7" customWidth="1" outlineLevel="1"/>
    <col min="109" max="109" width="4.75" customWidth="1" outlineLevel="1"/>
    <col min="110" max="110" width="10.83203125" bestFit="1" customWidth="1"/>
    <col min="111" max="111" width="0.75" customWidth="1"/>
    <col min="112" max="112" width="10.5" bestFit="1" customWidth="1"/>
    <col min="113" max="113" width="8.33203125" customWidth="1" outlineLevel="1"/>
    <col min="114" max="114" width="5.6640625" customWidth="1" outlineLevel="1"/>
    <col min="115" max="117" width="6.6640625" customWidth="1" outlineLevel="1"/>
    <col min="118" max="118" width="6.58203125" customWidth="1" outlineLevel="1"/>
    <col min="119" max="119" width="6.6640625" customWidth="1" outlineLevel="1"/>
    <col min="120" max="120" width="6.58203125" customWidth="1" outlineLevel="1"/>
    <col min="121" max="121" width="11" customWidth="1" outlineLevel="1"/>
    <col min="122" max="122" width="8" customWidth="1" outlineLevel="1"/>
    <col min="123" max="124" width="9.25" customWidth="1" outlineLevel="1"/>
    <col min="125" max="125" width="8.9140625" customWidth="1" outlineLevel="1"/>
    <col min="126" max="126" width="7" customWidth="1" outlineLevel="1"/>
    <col min="127" max="127" width="4.75" customWidth="1" outlineLevel="1"/>
    <col min="128" max="128" width="10.83203125" bestFit="1" customWidth="1"/>
    <col min="129" max="129" width="0.75" customWidth="1"/>
    <col min="130" max="130" width="10.5" bestFit="1" customWidth="1"/>
    <col min="131" max="131" width="8.33203125" customWidth="1" outlineLevel="1"/>
    <col min="132" max="132" width="5.6640625" customWidth="1" outlineLevel="1"/>
    <col min="133" max="133" width="6.58203125" customWidth="1" outlineLevel="1"/>
    <col min="134" max="134" width="6.6640625" customWidth="1" outlineLevel="1"/>
    <col min="135" max="136" width="6.58203125" customWidth="1" outlineLevel="1"/>
    <col min="137" max="137" width="6.6640625" customWidth="1" outlineLevel="1"/>
    <col min="138" max="138" width="6.58203125" customWidth="1" outlineLevel="1"/>
    <col min="139" max="139" width="11" customWidth="1" outlineLevel="1"/>
    <col min="140" max="140" width="8" customWidth="1" outlineLevel="1"/>
    <col min="141" max="142" width="9.25" customWidth="1" outlineLevel="1"/>
    <col min="143" max="143" width="8.9140625" customWidth="1" outlineLevel="1"/>
    <col min="144" max="144" width="7" customWidth="1" outlineLevel="1"/>
    <col min="145" max="145" width="4.75" customWidth="1" outlineLevel="1"/>
    <col min="146" max="146" width="10.83203125" bestFit="1" customWidth="1"/>
    <col min="147" max="147" width="0.75" customWidth="1"/>
    <col min="148" max="148" width="10.5" bestFit="1" customWidth="1"/>
    <col min="149" max="149" width="8.33203125" customWidth="1" outlineLevel="1"/>
    <col min="150" max="150" width="5.6640625" customWidth="1" outlineLevel="1"/>
    <col min="151" max="152" width="6.6640625" customWidth="1" outlineLevel="1"/>
    <col min="153" max="154" width="6.58203125" customWidth="1" outlineLevel="1"/>
    <col min="155" max="155" width="6.6640625" customWidth="1" outlineLevel="1"/>
    <col min="156" max="156" width="6.58203125" customWidth="1" outlineLevel="1"/>
    <col min="157" max="157" width="11" customWidth="1" outlineLevel="1"/>
    <col min="158" max="158" width="8" customWidth="1" outlineLevel="1"/>
    <col min="159" max="160" width="9.25" customWidth="1" outlineLevel="1"/>
    <col min="161" max="161" width="8.9140625" customWidth="1" outlineLevel="1"/>
    <col min="162" max="162" width="7" customWidth="1" outlineLevel="1"/>
    <col min="163" max="163" width="4.75" customWidth="1" outlineLevel="1"/>
    <col min="164" max="164" width="10.83203125" bestFit="1" customWidth="1"/>
    <col min="165" max="165" width="0.75" customWidth="1"/>
    <col min="166" max="166" width="10.5" bestFit="1" customWidth="1"/>
    <col min="167" max="167" width="8.33203125" customWidth="1" outlineLevel="1"/>
    <col min="168" max="168" width="5.6640625" customWidth="1" outlineLevel="1"/>
    <col min="169" max="169" width="6.58203125" customWidth="1" outlineLevel="1"/>
    <col min="170" max="170" width="6.6640625" customWidth="1" outlineLevel="1"/>
    <col min="171" max="171" width="6.58203125" customWidth="1" outlineLevel="1"/>
    <col min="172" max="172" width="6.6640625" customWidth="1" outlineLevel="1"/>
    <col min="173" max="174" width="6.58203125" customWidth="1" outlineLevel="1"/>
    <col min="175" max="175" width="11" customWidth="1" outlineLevel="1"/>
    <col min="176" max="176" width="8" customWidth="1" outlineLevel="1"/>
    <col min="177" max="178" width="9.25" customWidth="1" outlineLevel="1"/>
    <col min="179" max="179" width="8.9140625" customWidth="1" outlineLevel="1"/>
    <col min="180" max="180" width="7" customWidth="1" outlineLevel="1"/>
    <col min="181" max="181" width="4.75" customWidth="1" outlineLevel="1"/>
    <col min="182" max="182" width="10.83203125" bestFit="1" customWidth="1"/>
    <col min="183" max="183" width="0.75" customWidth="1"/>
    <col min="184" max="184" width="10.5" bestFit="1" customWidth="1"/>
    <col min="185" max="185" width="8.33203125" customWidth="1" outlineLevel="1"/>
    <col min="186" max="186" width="5.6640625" customWidth="1" outlineLevel="1"/>
    <col min="187" max="190" width="6.58203125" customWidth="1" outlineLevel="1"/>
    <col min="191" max="191" width="6.6640625" customWidth="1" outlineLevel="1"/>
    <col min="192" max="192" width="6.58203125" customWidth="1" outlineLevel="1"/>
    <col min="193" max="193" width="11" customWidth="1" outlineLevel="1"/>
    <col min="194" max="194" width="8" customWidth="1" outlineLevel="1"/>
    <col min="195" max="196" width="9.25" customWidth="1" outlineLevel="1"/>
    <col min="197" max="197" width="8.9140625" customWidth="1" outlineLevel="1"/>
    <col min="198" max="198" width="7" customWidth="1" outlineLevel="1"/>
    <col min="199" max="199" width="4.75" customWidth="1" outlineLevel="1"/>
    <col min="200" max="200" width="10.83203125" bestFit="1" customWidth="1"/>
    <col min="201" max="201" width="0.75" customWidth="1"/>
    <col min="202" max="202" width="10.5" bestFit="1" customWidth="1"/>
    <col min="203" max="203" width="8.33203125" customWidth="1" outlineLevel="1"/>
    <col min="204" max="204" width="6.4140625" customWidth="1" outlineLevel="1"/>
    <col min="205" max="208" width="6.58203125" customWidth="1" outlineLevel="1"/>
    <col min="209" max="209" width="6.6640625" customWidth="1" outlineLevel="1"/>
    <col min="210" max="210" width="6.58203125" customWidth="1" outlineLevel="1"/>
    <col min="211" max="211" width="11" customWidth="1" outlineLevel="1"/>
    <col min="212" max="212" width="8" customWidth="1" outlineLevel="1"/>
    <col min="213" max="214" width="9.25" customWidth="1" outlineLevel="1"/>
    <col min="215" max="215" width="8.9140625" customWidth="1" outlineLevel="1"/>
    <col min="216" max="216" width="7" customWidth="1" outlineLevel="1"/>
    <col min="217" max="217" width="4.75" customWidth="1" outlineLevel="1"/>
    <col min="218" max="218" width="10.83203125" bestFit="1" customWidth="1"/>
    <col min="219" max="219" width="0.75" customWidth="1"/>
    <col min="220" max="220" width="11.33203125" bestFit="1" customWidth="1"/>
    <col min="221" max="230" width="11.25" customWidth="1" outlineLevel="1"/>
    <col min="231" max="235" width="13" customWidth="1" outlineLevel="1"/>
    <col min="236" max="236" width="12.25" bestFit="1" customWidth="1"/>
  </cols>
  <sheetData>
    <row r="1" spans="1:236" s="5" customFormat="1" x14ac:dyDescent="0.35">
      <c r="D1" s="5">
        <v>2024</v>
      </c>
      <c r="E1" s="5">
        <v>2024</v>
      </c>
      <c r="F1" s="5">
        <v>2024</v>
      </c>
      <c r="G1" s="5">
        <v>2024</v>
      </c>
      <c r="H1" s="5">
        <v>2024</v>
      </c>
      <c r="I1" s="5">
        <v>2024</v>
      </c>
      <c r="J1" s="5">
        <v>2024</v>
      </c>
      <c r="K1" s="5">
        <v>2024</v>
      </c>
      <c r="L1" s="5">
        <v>2024</v>
      </c>
      <c r="M1" s="5">
        <v>2024</v>
      </c>
      <c r="N1" s="5">
        <v>2024</v>
      </c>
      <c r="O1" s="5">
        <v>2024</v>
      </c>
      <c r="P1" s="5">
        <v>2024</v>
      </c>
      <c r="Q1" s="5">
        <v>2024</v>
      </c>
      <c r="R1" s="5">
        <v>2024</v>
      </c>
      <c r="S1" s="5">
        <v>2024</v>
      </c>
      <c r="T1" s="5">
        <v>2024</v>
      </c>
      <c r="V1" s="5">
        <v>2024</v>
      </c>
      <c r="W1" s="5">
        <v>2024</v>
      </c>
      <c r="X1" s="5">
        <v>2024</v>
      </c>
      <c r="Y1" s="5">
        <v>2024</v>
      </c>
      <c r="Z1" s="5">
        <v>2024</v>
      </c>
      <c r="AA1" s="5">
        <v>2024</v>
      </c>
      <c r="AB1" s="5">
        <v>2024</v>
      </c>
      <c r="AC1" s="5">
        <v>2024</v>
      </c>
      <c r="AD1" s="5">
        <v>2024</v>
      </c>
      <c r="AE1" s="5">
        <v>2024</v>
      </c>
      <c r="AF1" s="5">
        <v>2024</v>
      </c>
      <c r="AG1" s="5">
        <v>2024</v>
      </c>
      <c r="AH1" s="5">
        <v>2024</v>
      </c>
      <c r="AI1" s="5">
        <v>2024</v>
      </c>
      <c r="AJ1" s="5">
        <v>2024</v>
      </c>
      <c r="AK1" s="5">
        <v>2024</v>
      </c>
      <c r="AN1" s="5">
        <v>2024</v>
      </c>
      <c r="AO1" s="5">
        <v>2024</v>
      </c>
      <c r="AP1" s="5">
        <v>2024</v>
      </c>
      <c r="AQ1" s="5">
        <v>2024</v>
      </c>
      <c r="AR1" s="5">
        <v>2024</v>
      </c>
      <c r="AS1" s="5">
        <v>2024</v>
      </c>
      <c r="AT1" s="5">
        <v>2024</v>
      </c>
      <c r="AU1" s="5">
        <v>2024</v>
      </c>
      <c r="AV1" s="5">
        <v>2024</v>
      </c>
      <c r="AW1" s="5">
        <v>2024</v>
      </c>
      <c r="AX1" s="5">
        <v>2024</v>
      </c>
      <c r="AY1" s="5">
        <v>2024</v>
      </c>
      <c r="AZ1" s="5">
        <v>2024</v>
      </c>
      <c r="BA1" s="5">
        <v>2024</v>
      </c>
      <c r="BB1" s="5">
        <v>2024</v>
      </c>
      <c r="BC1" s="5">
        <v>2024</v>
      </c>
      <c r="BF1" s="5">
        <v>2024</v>
      </c>
      <c r="BG1" s="5">
        <v>2024</v>
      </c>
      <c r="BH1" s="5">
        <v>2024</v>
      </c>
      <c r="BI1" s="5">
        <v>2024</v>
      </c>
      <c r="BJ1" s="5">
        <v>2024</v>
      </c>
      <c r="BK1" s="5">
        <v>2024</v>
      </c>
      <c r="BL1" s="5">
        <v>2024</v>
      </c>
      <c r="BM1" s="5">
        <v>2024</v>
      </c>
      <c r="BN1" s="5">
        <v>2024</v>
      </c>
      <c r="BO1" s="5">
        <v>2024</v>
      </c>
      <c r="BP1" s="5">
        <v>2024</v>
      </c>
      <c r="BQ1" s="5">
        <v>2024</v>
      </c>
      <c r="BR1" s="5">
        <v>2024</v>
      </c>
      <c r="BS1" s="5">
        <v>2024</v>
      </c>
      <c r="BT1" s="5">
        <v>2024</v>
      </c>
      <c r="BU1" s="5">
        <v>2024</v>
      </c>
      <c r="BX1" s="5">
        <v>2024</v>
      </c>
      <c r="BY1" s="5">
        <v>2024</v>
      </c>
      <c r="BZ1" s="5">
        <v>2024</v>
      </c>
      <c r="CA1" s="5">
        <v>2024</v>
      </c>
      <c r="CB1" s="5">
        <v>2024</v>
      </c>
      <c r="CC1" s="5">
        <v>2024</v>
      </c>
      <c r="CD1" s="5">
        <v>2024</v>
      </c>
      <c r="CE1" s="5">
        <v>2024</v>
      </c>
      <c r="CF1" s="5">
        <v>2024</v>
      </c>
      <c r="CG1" s="5">
        <v>2024</v>
      </c>
      <c r="CH1" s="5">
        <v>2024</v>
      </c>
      <c r="CI1" s="5">
        <v>2024</v>
      </c>
      <c r="CJ1" s="5">
        <v>2024</v>
      </c>
      <c r="CK1" s="5">
        <v>2024</v>
      </c>
      <c r="CL1" s="5">
        <v>2024</v>
      </c>
      <c r="CM1" s="5">
        <v>2024</v>
      </c>
      <c r="CP1" s="5">
        <v>2024</v>
      </c>
      <c r="CQ1" s="5">
        <v>2024</v>
      </c>
      <c r="CR1" s="5">
        <v>2024</v>
      </c>
      <c r="CS1" s="5">
        <v>2024</v>
      </c>
      <c r="CT1" s="5">
        <v>2024</v>
      </c>
      <c r="CU1" s="5">
        <v>2024</v>
      </c>
      <c r="CV1" s="5">
        <v>2024</v>
      </c>
      <c r="CW1" s="5">
        <v>2024</v>
      </c>
      <c r="CX1" s="5">
        <v>2024</v>
      </c>
      <c r="CY1" s="5">
        <v>2024</v>
      </c>
      <c r="CZ1" s="5">
        <v>2024</v>
      </c>
      <c r="DA1" s="5">
        <v>2024</v>
      </c>
      <c r="DB1" s="5">
        <v>2024</v>
      </c>
      <c r="DC1" s="5">
        <v>2024</v>
      </c>
      <c r="DD1" s="5">
        <v>2024</v>
      </c>
      <c r="DE1" s="5">
        <v>2024</v>
      </c>
      <c r="DH1" s="5">
        <v>2024</v>
      </c>
      <c r="DI1" s="5">
        <v>2024</v>
      </c>
      <c r="DJ1" s="5">
        <v>2024</v>
      </c>
      <c r="DK1" s="5">
        <v>2024</v>
      </c>
      <c r="DL1" s="5">
        <v>2024</v>
      </c>
      <c r="DM1" s="5">
        <v>2024</v>
      </c>
      <c r="DN1" s="5">
        <v>2024</v>
      </c>
      <c r="DO1" s="5">
        <v>2024</v>
      </c>
      <c r="DP1" s="5">
        <v>2024</v>
      </c>
      <c r="DQ1" s="5">
        <v>2024</v>
      </c>
      <c r="DR1" s="5">
        <v>2024</v>
      </c>
      <c r="DS1" s="5">
        <v>2024</v>
      </c>
      <c r="DT1" s="5">
        <v>2024</v>
      </c>
      <c r="DU1" s="5">
        <v>2024</v>
      </c>
      <c r="DV1" s="5">
        <v>2024</v>
      </c>
      <c r="DW1" s="5">
        <v>2024</v>
      </c>
      <c r="DZ1" s="5">
        <v>2024</v>
      </c>
      <c r="EA1" s="5">
        <v>2024</v>
      </c>
      <c r="EB1" s="5">
        <v>2024</v>
      </c>
      <c r="EC1" s="5">
        <v>2024</v>
      </c>
      <c r="ED1" s="5">
        <v>2024</v>
      </c>
      <c r="EE1" s="5">
        <v>2024</v>
      </c>
      <c r="EF1" s="5">
        <v>2024</v>
      </c>
      <c r="EG1" s="5">
        <v>2024</v>
      </c>
      <c r="EH1" s="5">
        <v>2024</v>
      </c>
      <c r="EI1" s="5">
        <v>2024</v>
      </c>
      <c r="EJ1" s="5">
        <v>2024</v>
      </c>
      <c r="EK1" s="5">
        <v>2024</v>
      </c>
      <c r="EL1" s="5">
        <v>2024</v>
      </c>
      <c r="EM1" s="5">
        <v>2024</v>
      </c>
      <c r="EN1" s="5">
        <v>2024</v>
      </c>
      <c r="EO1" s="5">
        <v>2024</v>
      </c>
      <c r="ER1" s="5">
        <v>2024</v>
      </c>
      <c r="ES1" s="5">
        <v>2024</v>
      </c>
      <c r="ET1" s="5">
        <v>2024</v>
      </c>
      <c r="EU1" s="5">
        <v>2024</v>
      </c>
      <c r="EV1" s="5">
        <v>2024</v>
      </c>
      <c r="EW1" s="5">
        <v>2024</v>
      </c>
      <c r="EX1" s="5">
        <v>2024</v>
      </c>
      <c r="EY1" s="5">
        <v>2024</v>
      </c>
      <c r="EZ1" s="5">
        <v>2024</v>
      </c>
      <c r="FA1" s="5">
        <v>2024</v>
      </c>
      <c r="FB1" s="5">
        <v>2024</v>
      </c>
      <c r="FC1" s="5">
        <v>2024</v>
      </c>
      <c r="FD1" s="5">
        <v>2024</v>
      </c>
      <c r="FE1" s="5">
        <v>2024</v>
      </c>
      <c r="FF1" s="5">
        <v>2024</v>
      </c>
      <c r="FG1" s="5">
        <v>2024</v>
      </c>
      <c r="FJ1" s="5">
        <v>2024</v>
      </c>
      <c r="FK1" s="5">
        <v>2024</v>
      </c>
      <c r="FL1" s="5">
        <v>2024</v>
      </c>
      <c r="FM1" s="5">
        <v>2024</v>
      </c>
      <c r="FN1" s="5">
        <v>2024</v>
      </c>
      <c r="FO1" s="5">
        <v>2024</v>
      </c>
      <c r="FP1" s="5">
        <v>2024</v>
      </c>
      <c r="FQ1" s="5">
        <v>2024</v>
      </c>
      <c r="FR1" s="5">
        <v>2024</v>
      </c>
      <c r="FS1" s="5">
        <v>2024</v>
      </c>
      <c r="FT1" s="5">
        <v>2024</v>
      </c>
      <c r="FU1" s="5">
        <v>2024</v>
      </c>
      <c r="FV1" s="5">
        <v>2024</v>
      </c>
      <c r="FW1" s="5">
        <v>2024</v>
      </c>
      <c r="FX1" s="5">
        <v>2024</v>
      </c>
      <c r="FY1" s="5">
        <v>2024</v>
      </c>
      <c r="GB1" s="5">
        <v>2024</v>
      </c>
      <c r="GC1" s="5">
        <v>2024</v>
      </c>
      <c r="GD1" s="5">
        <v>2024</v>
      </c>
      <c r="GE1" s="5">
        <v>2024</v>
      </c>
      <c r="GF1" s="5">
        <v>2024</v>
      </c>
      <c r="GG1" s="5">
        <v>2024</v>
      </c>
      <c r="GH1" s="5">
        <v>2024</v>
      </c>
      <c r="GI1" s="5">
        <v>2024</v>
      </c>
      <c r="GJ1" s="5">
        <v>2024</v>
      </c>
      <c r="GK1" s="5">
        <v>2024</v>
      </c>
      <c r="GL1" s="5">
        <v>2024</v>
      </c>
      <c r="GM1" s="5">
        <v>2024</v>
      </c>
      <c r="GN1" s="5">
        <v>2024</v>
      </c>
      <c r="GO1" s="5">
        <v>2024</v>
      </c>
      <c r="GP1" s="5">
        <v>2024</v>
      </c>
      <c r="GQ1" s="5">
        <v>2024</v>
      </c>
      <c r="GT1" s="5">
        <v>2024</v>
      </c>
      <c r="GU1" s="5">
        <v>2024</v>
      </c>
      <c r="GV1" s="5">
        <v>2024</v>
      </c>
      <c r="GW1" s="5">
        <v>2024</v>
      </c>
      <c r="GX1" s="5">
        <v>2024</v>
      </c>
      <c r="GY1" s="5">
        <v>2024</v>
      </c>
      <c r="GZ1" s="5">
        <v>2024</v>
      </c>
      <c r="HA1" s="5">
        <v>2024</v>
      </c>
      <c r="HB1" s="5">
        <v>2024</v>
      </c>
      <c r="HC1" s="5">
        <v>2024</v>
      </c>
      <c r="HD1" s="5">
        <v>2024</v>
      </c>
      <c r="HE1" s="5">
        <v>2024</v>
      </c>
      <c r="HF1" s="5">
        <v>2024</v>
      </c>
      <c r="HG1" s="5">
        <v>2024</v>
      </c>
      <c r="HH1" s="5">
        <v>2024</v>
      </c>
      <c r="HI1" s="5">
        <v>2024</v>
      </c>
      <c r="HL1" s="5">
        <v>2024</v>
      </c>
      <c r="HM1" s="5">
        <v>2024</v>
      </c>
      <c r="HN1" s="5">
        <v>2024</v>
      </c>
      <c r="HO1" s="5">
        <v>2024</v>
      </c>
      <c r="HP1" s="5">
        <v>2024</v>
      </c>
      <c r="HQ1" s="5">
        <v>2024</v>
      </c>
      <c r="HR1" s="5">
        <v>2024</v>
      </c>
      <c r="HS1" s="5">
        <v>2024</v>
      </c>
      <c r="HT1" s="5">
        <v>2024</v>
      </c>
      <c r="HU1" s="5">
        <v>2024</v>
      </c>
      <c r="HV1" s="5">
        <v>2024</v>
      </c>
      <c r="HW1" s="5">
        <v>2024</v>
      </c>
      <c r="HX1" s="5">
        <v>2024</v>
      </c>
      <c r="HY1" s="5">
        <v>2024</v>
      </c>
      <c r="HZ1" s="5">
        <v>2024</v>
      </c>
      <c r="IA1" s="5">
        <v>2024</v>
      </c>
    </row>
    <row r="2" spans="1:236" s="5" customFormat="1" outlineLevel="1" x14ac:dyDescent="0.35">
      <c r="D2" s="5" t="s">
        <v>80</v>
      </c>
      <c r="E2" s="5" t="s">
        <v>80</v>
      </c>
      <c r="F2" s="5" t="s">
        <v>80</v>
      </c>
      <c r="G2" s="5" t="s">
        <v>80</v>
      </c>
      <c r="H2" s="5" t="s">
        <v>80</v>
      </c>
      <c r="I2" s="5" t="s">
        <v>80</v>
      </c>
      <c r="J2" s="5" t="s">
        <v>80</v>
      </c>
      <c r="K2" s="5" t="s">
        <v>80</v>
      </c>
      <c r="L2" s="5" t="s">
        <v>80</v>
      </c>
      <c r="M2" s="5" t="s">
        <v>80</v>
      </c>
      <c r="N2" s="5" t="s">
        <v>80</v>
      </c>
      <c r="O2" s="5" t="s">
        <v>80</v>
      </c>
      <c r="P2" s="5" t="s">
        <v>80</v>
      </c>
      <c r="Q2" s="5" t="s">
        <v>80</v>
      </c>
      <c r="R2" s="5" t="s">
        <v>80</v>
      </c>
      <c r="S2" s="5" t="s">
        <v>80</v>
      </c>
      <c r="T2" s="5" t="s">
        <v>80</v>
      </c>
      <c r="V2" s="5">
        <v>1</v>
      </c>
      <c r="W2" s="5">
        <v>1</v>
      </c>
      <c r="X2" s="5">
        <f>W2</f>
        <v>1</v>
      </c>
      <c r="Y2" s="5">
        <f t="shared" ref="Y2:AK2" si="0">X2</f>
        <v>1</v>
      </c>
      <c r="Z2" s="5">
        <f t="shared" si="0"/>
        <v>1</v>
      </c>
      <c r="AA2" s="5">
        <f t="shared" si="0"/>
        <v>1</v>
      </c>
      <c r="AB2" s="5">
        <f t="shared" si="0"/>
        <v>1</v>
      </c>
      <c r="AC2" s="5">
        <f t="shared" si="0"/>
        <v>1</v>
      </c>
      <c r="AD2" s="5">
        <f t="shared" si="0"/>
        <v>1</v>
      </c>
      <c r="AE2" s="5">
        <f t="shared" si="0"/>
        <v>1</v>
      </c>
      <c r="AF2" s="5">
        <f t="shared" si="0"/>
        <v>1</v>
      </c>
      <c r="AG2" s="5">
        <f t="shared" si="0"/>
        <v>1</v>
      </c>
      <c r="AH2" s="5">
        <f t="shared" si="0"/>
        <v>1</v>
      </c>
      <c r="AI2" s="5">
        <f t="shared" si="0"/>
        <v>1</v>
      </c>
      <c r="AJ2" s="5">
        <f t="shared" si="0"/>
        <v>1</v>
      </c>
      <c r="AK2" s="5">
        <f t="shared" si="0"/>
        <v>1</v>
      </c>
      <c r="AN2" s="5">
        <f>V2+1</f>
        <v>2</v>
      </c>
      <c r="AO2" s="5">
        <f>AN2</f>
        <v>2</v>
      </c>
      <c r="AP2" s="5">
        <f t="shared" ref="AP2:BC2" si="1">AO2</f>
        <v>2</v>
      </c>
      <c r="AQ2" s="5">
        <f t="shared" si="1"/>
        <v>2</v>
      </c>
      <c r="AR2" s="5">
        <f t="shared" si="1"/>
        <v>2</v>
      </c>
      <c r="AS2" s="5">
        <f t="shared" si="1"/>
        <v>2</v>
      </c>
      <c r="AT2" s="5">
        <f t="shared" si="1"/>
        <v>2</v>
      </c>
      <c r="AU2" s="5">
        <f t="shared" si="1"/>
        <v>2</v>
      </c>
      <c r="AV2" s="5">
        <f t="shared" si="1"/>
        <v>2</v>
      </c>
      <c r="AW2" s="5">
        <f t="shared" si="1"/>
        <v>2</v>
      </c>
      <c r="AX2" s="5">
        <f t="shared" si="1"/>
        <v>2</v>
      </c>
      <c r="AY2" s="5">
        <f t="shared" si="1"/>
        <v>2</v>
      </c>
      <c r="AZ2" s="5">
        <f t="shared" si="1"/>
        <v>2</v>
      </c>
      <c r="BA2" s="5">
        <f t="shared" si="1"/>
        <v>2</v>
      </c>
      <c r="BB2" s="5">
        <f t="shared" si="1"/>
        <v>2</v>
      </c>
      <c r="BC2" s="5">
        <f t="shared" si="1"/>
        <v>2</v>
      </c>
      <c r="BF2" s="5">
        <f>AN2+1</f>
        <v>3</v>
      </c>
      <c r="BG2" s="5">
        <f>BF2</f>
        <v>3</v>
      </c>
      <c r="BH2" s="5">
        <f t="shared" ref="BH2:BU2" si="2">BG2</f>
        <v>3</v>
      </c>
      <c r="BI2" s="5">
        <f t="shared" si="2"/>
        <v>3</v>
      </c>
      <c r="BJ2" s="5">
        <f t="shared" si="2"/>
        <v>3</v>
      </c>
      <c r="BK2" s="5">
        <f t="shared" si="2"/>
        <v>3</v>
      </c>
      <c r="BL2" s="5">
        <f t="shared" si="2"/>
        <v>3</v>
      </c>
      <c r="BM2" s="5">
        <f t="shared" si="2"/>
        <v>3</v>
      </c>
      <c r="BN2" s="5">
        <f t="shared" si="2"/>
        <v>3</v>
      </c>
      <c r="BO2" s="5">
        <f t="shared" si="2"/>
        <v>3</v>
      </c>
      <c r="BP2" s="5">
        <f t="shared" si="2"/>
        <v>3</v>
      </c>
      <c r="BQ2" s="5">
        <f t="shared" si="2"/>
        <v>3</v>
      </c>
      <c r="BR2" s="5">
        <f t="shared" si="2"/>
        <v>3</v>
      </c>
      <c r="BS2" s="5">
        <f t="shared" si="2"/>
        <v>3</v>
      </c>
      <c r="BT2" s="5">
        <f t="shared" si="2"/>
        <v>3</v>
      </c>
      <c r="BU2" s="5">
        <f t="shared" si="2"/>
        <v>3</v>
      </c>
      <c r="BX2" s="5">
        <f>BF2+1</f>
        <v>4</v>
      </c>
      <c r="BY2" s="5">
        <f>BX2</f>
        <v>4</v>
      </c>
      <c r="BZ2" s="5">
        <f t="shared" ref="BZ2:CM2" si="3">BY2</f>
        <v>4</v>
      </c>
      <c r="CA2" s="5">
        <f t="shared" si="3"/>
        <v>4</v>
      </c>
      <c r="CB2" s="5">
        <f t="shared" si="3"/>
        <v>4</v>
      </c>
      <c r="CC2" s="5">
        <f t="shared" si="3"/>
        <v>4</v>
      </c>
      <c r="CD2" s="5">
        <f t="shared" si="3"/>
        <v>4</v>
      </c>
      <c r="CE2" s="5">
        <f t="shared" si="3"/>
        <v>4</v>
      </c>
      <c r="CF2" s="5">
        <f t="shared" si="3"/>
        <v>4</v>
      </c>
      <c r="CG2" s="5">
        <f t="shared" si="3"/>
        <v>4</v>
      </c>
      <c r="CH2" s="5">
        <f t="shared" si="3"/>
        <v>4</v>
      </c>
      <c r="CI2" s="5">
        <f t="shared" si="3"/>
        <v>4</v>
      </c>
      <c r="CJ2" s="5">
        <f t="shared" si="3"/>
        <v>4</v>
      </c>
      <c r="CK2" s="5">
        <f t="shared" si="3"/>
        <v>4</v>
      </c>
      <c r="CL2" s="5">
        <f t="shared" si="3"/>
        <v>4</v>
      </c>
      <c r="CM2" s="5">
        <f t="shared" si="3"/>
        <v>4</v>
      </c>
      <c r="CP2" s="5">
        <f>BX2+1</f>
        <v>5</v>
      </c>
      <c r="CQ2" s="5">
        <f>CP2</f>
        <v>5</v>
      </c>
      <c r="CR2" s="5">
        <f t="shared" ref="CR2:DE2" si="4">CQ2</f>
        <v>5</v>
      </c>
      <c r="CS2" s="5">
        <f t="shared" si="4"/>
        <v>5</v>
      </c>
      <c r="CT2" s="5">
        <f t="shared" si="4"/>
        <v>5</v>
      </c>
      <c r="CU2" s="5">
        <f t="shared" si="4"/>
        <v>5</v>
      </c>
      <c r="CV2" s="5">
        <f t="shared" si="4"/>
        <v>5</v>
      </c>
      <c r="CW2" s="5">
        <f t="shared" si="4"/>
        <v>5</v>
      </c>
      <c r="CX2" s="5">
        <f t="shared" si="4"/>
        <v>5</v>
      </c>
      <c r="CY2" s="5">
        <f t="shared" si="4"/>
        <v>5</v>
      </c>
      <c r="CZ2" s="5">
        <f t="shared" si="4"/>
        <v>5</v>
      </c>
      <c r="DA2" s="5">
        <f t="shared" si="4"/>
        <v>5</v>
      </c>
      <c r="DB2" s="5">
        <f t="shared" si="4"/>
        <v>5</v>
      </c>
      <c r="DC2" s="5">
        <f t="shared" si="4"/>
        <v>5</v>
      </c>
      <c r="DD2" s="5">
        <f t="shared" si="4"/>
        <v>5</v>
      </c>
      <c r="DE2" s="5">
        <f t="shared" si="4"/>
        <v>5</v>
      </c>
      <c r="DH2" s="5">
        <f>CP2+1</f>
        <v>6</v>
      </c>
      <c r="DI2" s="5">
        <f>DH2</f>
        <v>6</v>
      </c>
      <c r="DJ2" s="5">
        <f t="shared" ref="DJ2:DW2" si="5">DI2</f>
        <v>6</v>
      </c>
      <c r="DK2" s="5">
        <f t="shared" si="5"/>
        <v>6</v>
      </c>
      <c r="DL2" s="5">
        <f t="shared" si="5"/>
        <v>6</v>
      </c>
      <c r="DM2" s="5">
        <f t="shared" si="5"/>
        <v>6</v>
      </c>
      <c r="DN2" s="5">
        <f t="shared" si="5"/>
        <v>6</v>
      </c>
      <c r="DO2" s="5">
        <f t="shared" si="5"/>
        <v>6</v>
      </c>
      <c r="DP2" s="5">
        <f t="shared" si="5"/>
        <v>6</v>
      </c>
      <c r="DQ2" s="5">
        <f t="shared" si="5"/>
        <v>6</v>
      </c>
      <c r="DR2" s="5">
        <f t="shared" si="5"/>
        <v>6</v>
      </c>
      <c r="DS2" s="5">
        <f t="shared" si="5"/>
        <v>6</v>
      </c>
      <c r="DT2" s="5">
        <f t="shared" si="5"/>
        <v>6</v>
      </c>
      <c r="DU2" s="5">
        <f t="shared" si="5"/>
        <v>6</v>
      </c>
      <c r="DV2" s="5">
        <f t="shared" si="5"/>
        <v>6</v>
      </c>
      <c r="DW2" s="5">
        <f t="shared" si="5"/>
        <v>6</v>
      </c>
      <c r="DZ2" s="5">
        <f>DH2+1</f>
        <v>7</v>
      </c>
      <c r="EA2" s="5">
        <f>DZ2</f>
        <v>7</v>
      </c>
      <c r="EB2" s="5">
        <f t="shared" ref="EB2:EO2" si="6">EA2</f>
        <v>7</v>
      </c>
      <c r="EC2" s="5">
        <f t="shared" si="6"/>
        <v>7</v>
      </c>
      <c r="ED2" s="5">
        <f t="shared" si="6"/>
        <v>7</v>
      </c>
      <c r="EE2" s="5">
        <f t="shared" si="6"/>
        <v>7</v>
      </c>
      <c r="EF2" s="5">
        <f t="shared" si="6"/>
        <v>7</v>
      </c>
      <c r="EG2" s="5">
        <f t="shared" si="6"/>
        <v>7</v>
      </c>
      <c r="EH2" s="5">
        <f t="shared" si="6"/>
        <v>7</v>
      </c>
      <c r="EI2" s="5">
        <f t="shared" si="6"/>
        <v>7</v>
      </c>
      <c r="EJ2" s="5">
        <f t="shared" si="6"/>
        <v>7</v>
      </c>
      <c r="EK2" s="5">
        <f t="shared" si="6"/>
        <v>7</v>
      </c>
      <c r="EL2" s="5">
        <f t="shared" si="6"/>
        <v>7</v>
      </c>
      <c r="EM2" s="5">
        <f t="shared" si="6"/>
        <v>7</v>
      </c>
      <c r="EN2" s="5">
        <f t="shared" si="6"/>
        <v>7</v>
      </c>
      <c r="EO2" s="5">
        <f t="shared" si="6"/>
        <v>7</v>
      </c>
      <c r="ER2" s="5">
        <f>DZ2+1</f>
        <v>8</v>
      </c>
      <c r="ES2" s="5">
        <f>ER2</f>
        <v>8</v>
      </c>
      <c r="ET2" s="5">
        <f t="shared" ref="ET2:FG2" si="7">ES2</f>
        <v>8</v>
      </c>
      <c r="EU2" s="5">
        <f t="shared" si="7"/>
        <v>8</v>
      </c>
      <c r="EV2" s="5">
        <f t="shared" si="7"/>
        <v>8</v>
      </c>
      <c r="EW2" s="5">
        <f t="shared" si="7"/>
        <v>8</v>
      </c>
      <c r="EX2" s="5">
        <f t="shared" si="7"/>
        <v>8</v>
      </c>
      <c r="EY2" s="5">
        <f t="shared" si="7"/>
        <v>8</v>
      </c>
      <c r="EZ2" s="5">
        <f t="shared" si="7"/>
        <v>8</v>
      </c>
      <c r="FA2" s="5">
        <f t="shared" si="7"/>
        <v>8</v>
      </c>
      <c r="FB2" s="5">
        <f t="shared" si="7"/>
        <v>8</v>
      </c>
      <c r="FC2" s="5">
        <f t="shared" si="7"/>
        <v>8</v>
      </c>
      <c r="FD2" s="5">
        <f t="shared" si="7"/>
        <v>8</v>
      </c>
      <c r="FE2" s="5">
        <f t="shared" si="7"/>
        <v>8</v>
      </c>
      <c r="FF2" s="5">
        <f t="shared" si="7"/>
        <v>8</v>
      </c>
      <c r="FG2" s="5">
        <f t="shared" si="7"/>
        <v>8</v>
      </c>
      <c r="FJ2" s="5">
        <f>ER2+1</f>
        <v>9</v>
      </c>
      <c r="FK2" s="5">
        <f>FJ2</f>
        <v>9</v>
      </c>
      <c r="FL2" s="5">
        <f t="shared" ref="FL2:FY2" si="8">FK2</f>
        <v>9</v>
      </c>
      <c r="FM2" s="5">
        <f t="shared" si="8"/>
        <v>9</v>
      </c>
      <c r="FN2" s="5">
        <f t="shared" si="8"/>
        <v>9</v>
      </c>
      <c r="FO2" s="5">
        <f t="shared" si="8"/>
        <v>9</v>
      </c>
      <c r="FP2" s="5">
        <f t="shared" si="8"/>
        <v>9</v>
      </c>
      <c r="FQ2" s="5">
        <f t="shared" si="8"/>
        <v>9</v>
      </c>
      <c r="FR2" s="5">
        <f t="shared" si="8"/>
        <v>9</v>
      </c>
      <c r="FS2" s="5">
        <f t="shared" si="8"/>
        <v>9</v>
      </c>
      <c r="FT2" s="5">
        <f t="shared" si="8"/>
        <v>9</v>
      </c>
      <c r="FU2" s="5">
        <f t="shared" si="8"/>
        <v>9</v>
      </c>
      <c r="FV2" s="5">
        <f t="shared" si="8"/>
        <v>9</v>
      </c>
      <c r="FW2" s="5">
        <f t="shared" si="8"/>
        <v>9</v>
      </c>
      <c r="FX2" s="5">
        <f t="shared" si="8"/>
        <v>9</v>
      </c>
      <c r="FY2" s="5">
        <f t="shared" si="8"/>
        <v>9</v>
      </c>
      <c r="GB2" s="5">
        <f>FJ2+1</f>
        <v>10</v>
      </c>
      <c r="GC2" s="5">
        <f>GB2</f>
        <v>10</v>
      </c>
      <c r="GD2" s="5">
        <f t="shared" ref="GD2:GQ2" si="9">GC2</f>
        <v>10</v>
      </c>
      <c r="GE2" s="5">
        <f t="shared" si="9"/>
        <v>10</v>
      </c>
      <c r="GF2" s="5">
        <f t="shared" si="9"/>
        <v>10</v>
      </c>
      <c r="GG2" s="5">
        <f t="shared" si="9"/>
        <v>10</v>
      </c>
      <c r="GH2" s="5">
        <f t="shared" si="9"/>
        <v>10</v>
      </c>
      <c r="GI2" s="5">
        <f t="shared" si="9"/>
        <v>10</v>
      </c>
      <c r="GJ2" s="5">
        <f t="shared" si="9"/>
        <v>10</v>
      </c>
      <c r="GK2" s="5">
        <f t="shared" si="9"/>
        <v>10</v>
      </c>
      <c r="GL2" s="5">
        <f t="shared" si="9"/>
        <v>10</v>
      </c>
      <c r="GM2" s="5">
        <f t="shared" si="9"/>
        <v>10</v>
      </c>
      <c r="GN2" s="5">
        <f t="shared" si="9"/>
        <v>10</v>
      </c>
      <c r="GO2" s="5">
        <f t="shared" si="9"/>
        <v>10</v>
      </c>
      <c r="GP2" s="5">
        <f t="shared" si="9"/>
        <v>10</v>
      </c>
      <c r="GQ2" s="5">
        <f t="shared" si="9"/>
        <v>10</v>
      </c>
      <c r="GT2" s="5">
        <f>GB2+1</f>
        <v>11</v>
      </c>
      <c r="GU2" s="5">
        <f>GT2</f>
        <v>11</v>
      </c>
      <c r="GV2" s="5">
        <f t="shared" ref="GV2:HI2" si="10">GU2</f>
        <v>11</v>
      </c>
      <c r="GW2" s="5">
        <f t="shared" si="10"/>
        <v>11</v>
      </c>
      <c r="GX2" s="5">
        <f t="shared" si="10"/>
        <v>11</v>
      </c>
      <c r="GY2" s="5">
        <f t="shared" si="10"/>
        <v>11</v>
      </c>
      <c r="GZ2" s="5">
        <f t="shared" si="10"/>
        <v>11</v>
      </c>
      <c r="HA2" s="5">
        <f t="shared" si="10"/>
        <v>11</v>
      </c>
      <c r="HB2" s="5">
        <f t="shared" si="10"/>
        <v>11</v>
      </c>
      <c r="HC2" s="5">
        <f t="shared" si="10"/>
        <v>11</v>
      </c>
      <c r="HD2" s="5">
        <f t="shared" si="10"/>
        <v>11</v>
      </c>
      <c r="HE2" s="5">
        <f t="shared" si="10"/>
        <v>11</v>
      </c>
      <c r="HF2" s="5">
        <f t="shared" si="10"/>
        <v>11</v>
      </c>
      <c r="HG2" s="5">
        <f t="shared" si="10"/>
        <v>11</v>
      </c>
      <c r="HH2" s="5">
        <f t="shared" si="10"/>
        <v>11</v>
      </c>
      <c r="HI2" s="5">
        <f t="shared" si="10"/>
        <v>11</v>
      </c>
      <c r="HL2" s="5">
        <f>GT2+1</f>
        <v>12</v>
      </c>
      <c r="HM2" s="5">
        <f>HL2</f>
        <v>12</v>
      </c>
      <c r="HN2" s="5">
        <f t="shared" ref="HN2:IA2" si="11">HM2</f>
        <v>12</v>
      </c>
      <c r="HO2" s="5">
        <f t="shared" si="11"/>
        <v>12</v>
      </c>
      <c r="HP2" s="5">
        <f t="shared" si="11"/>
        <v>12</v>
      </c>
      <c r="HQ2" s="5">
        <f t="shared" si="11"/>
        <v>12</v>
      </c>
      <c r="HR2" s="5">
        <f t="shared" si="11"/>
        <v>12</v>
      </c>
      <c r="HS2" s="5">
        <f t="shared" si="11"/>
        <v>12</v>
      </c>
      <c r="HT2" s="5">
        <f t="shared" si="11"/>
        <v>12</v>
      </c>
      <c r="HU2" s="5">
        <f t="shared" si="11"/>
        <v>12</v>
      </c>
      <c r="HV2" s="5">
        <f t="shared" si="11"/>
        <v>12</v>
      </c>
      <c r="HW2" s="5">
        <f t="shared" si="11"/>
        <v>12</v>
      </c>
      <c r="HX2" s="5">
        <f t="shared" si="11"/>
        <v>12</v>
      </c>
      <c r="HY2" s="5">
        <f t="shared" si="11"/>
        <v>12</v>
      </c>
      <c r="HZ2" s="5">
        <f t="shared" si="11"/>
        <v>12</v>
      </c>
      <c r="IA2" s="5">
        <f t="shared" si="11"/>
        <v>12</v>
      </c>
    </row>
    <row r="3" spans="1:236" s="5" customFormat="1" outlineLevel="1" x14ac:dyDescent="0.35">
      <c r="E3" s="5" t="s">
        <v>68</v>
      </c>
      <c r="F3" s="5" t="s">
        <v>69</v>
      </c>
      <c r="G3" s="5" t="s">
        <v>70</v>
      </c>
      <c r="H3" s="5" t="s">
        <v>67</v>
      </c>
      <c r="I3" s="5" t="s">
        <v>71</v>
      </c>
      <c r="J3" s="5" t="s">
        <v>148</v>
      </c>
      <c r="K3" s="5" t="s">
        <v>147</v>
      </c>
      <c r="L3" s="5" t="s">
        <v>149</v>
      </c>
      <c r="M3" s="5" t="s">
        <v>72</v>
      </c>
      <c r="N3" s="5" t="s">
        <v>73</v>
      </c>
      <c r="O3" s="5" t="s">
        <v>74</v>
      </c>
      <c r="P3" s="5" t="s">
        <v>75</v>
      </c>
      <c r="Q3" s="5" t="s">
        <v>150</v>
      </c>
      <c r="R3" s="5" t="s">
        <v>146</v>
      </c>
      <c r="S3" s="5" t="s">
        <v>76</v>
      </c>
      <c r="W3" s="5" t="s">
        <v>68</v>
      </c>
      <c r="X3" s="5" t="s">
        <v>69</v>
      </c>
      <c r="Y3" s="5" t="s">
        <v>70</v>
      </c>
      <c r="Z3" s="5" t="s">
        <v>67</v>
      </c>
      <c r="AA3" s="5" t="s">
        <v>71</v>
      </c>
      <c r="AB3" s="5" t="s">
        <v>148</v>
      </c>
      <c r="AC3" s="5" t="s">
        <v>147</v>
      </c>
      <c r="AD3" s="5" t="s">
        <v>149</v>
      </c>
      <c r="AE3" s="5" t="s">
        <v>72</v>
      </c>
      <c r="AF3" s="5" t="s">
        <v>73</v>
      </c>
      <c r="AG3" s="5" t="s">
        <v>74</v>
      </c>
      <c r="AH3" s="5" t="s">
        <v>75</v>
      </c>
      <c r="AI3" s="5" t="s">
        <v>150</v>
      </c>
      <c r="AJ3" s="5" t="s">
        <v>146</v>
      </c>
      <c r="AK3" s="5" t="s">
        <v>76</v>
      </c>
      <c r="AO3" s="5" t="s">
        <v>68</v>
      </c>
      <c r="AP3" s="5" t="s">
        <v>69</v>
      </c>
      <c r="AQ3" s="5" t="s">
        <v>70</v>
      </c>
      <c r="AR3" s="5" t="s">
        <v>67</v>
      </c>
      <c r="AS3" s="5" t="s">
        <v>71</v>
      </c>
      <c r="AT3" s="5" t="s">
        <v>148</v>
      </c>
      <c r="AU3" s="5" t="s">
        <v>147</v>
      </c>
      <c r="AV3" s="5" t="s">
        <v>149</v>
      </c>
      <c r="AW3" s="5" t="s">
        <v>72</v>
      </c>
      <c r="AX3" s="5" t="s">
        <v>73</v>
      </c>
      <c r="AY3" s="5" t="s">
        <v>74</v>
      </c>
      <c r="AZ3" s="5" t="s">
        <v>75</v>
      </c>
      <c r="BA3" s="5" t="s">
        <v>150</v>
      </c>
      <c r="BB3" s="5" t="s">
        <v>146</v>
      </c>
      <c r="BC3" s="5" t="s">
        <v>76</v>
      </c>
      <c r="BG3" s="5" t="s">
        <v>68</v>
      </c>
      <c r="BH3" s="5" t="s">
        <v>69</v>
      </c>
      <c r="BI3" s="5" t="s">
        <v>70</v>
      </c>
      <c r="BJ3" s="5" t="s">
        <v>67</v>
      </c>
      <c r="BK3" s="5" t="s">
        <v>71</v>
      </c>
      <c r="BL3" s="5" t="s">
        <v>148</v>
      </c>
      <c r="BM3" s="5" t="s">
        <v>147</v>
      </c>
      <c r="BN3" s="5" t="s">
        <v>149</v>
      </c>
      <c r="BO3" s="5" t="s">
        <v>72</v>
      </c>
      <c r="BP3" s="5" t="s">
        <v>73</v>
      </c>
      <c r="BQ3" s="5" t="s">
        <v>74</v>
      </c>
      <c r="BR3" s="5" t="s">
        <v>75</v>
      </c>
      <c r="BS3" s="5" t="s">
        <v>150</v>
      </c>
      <c r="BT3" s="5" t="s">
        <v>146</v>
      </c>
      <c r="BU3" s="5" t="s">
        <v>76</v>
      </c>
      <c r="BY3" s="5" t="s">
        <v>68</v>
      </c>
      <c r="BZ3" s="5" t="s">
        <v>69</v>
      </c>
      <c r="CA3" s="5" t="s">
        <v>70</v>
      </c>
      <c r="CB3" s="5" t="s">
        <v>67</v>
      </c>
      <c r="CC3" s="5" t="s">
        <v>71</v>
      </c>
      <c r="CD3" s="5" t="s">
        <v>148</v>
      </c>
      <c r="CE3" s="5" t="s">
        <v>147</v>
      </c>
      <c r="CF3" s="5" t="s">
        <v>149</v>
      </c>
      <c r="CG3" s="5" t="s">
        <v>72</v>
      </c>
      <c r="CH3" s="5" t="s">
        <v>73</v>
      </c>
      <c r="CI3" s="5" t="s">
        <v>74</v>
      </c>
      <c r="CJ3" s="5" t="s">
        <v>75</v>
      </c>
      <c r="CK3" s="5" t="s">
        <v>150</v>
      </c>
      <c r="CL3" s="5" t="s">
        <v>146</v>
      </c>
      <c r="CM3" s="5" t="s">
        <v>76</v>
      </c>
      <c r="CQ3" s="5" t="s">
        <v>68</v>
      </c>
      <c r="CR3" s="5" t="s">
        <v>69</v>
      </c>
      <c r="CS3" s="5" t="s">
        <v>70</v>
      </c>
      <c r="CT3" s="5" t="s">
        <v>67</v>
      </c>
      <c r="CU3" s="5" t="s">
        <v>71</v>
      </c>
      <c r="CV3" s="5" t="s">
        <v>148</v>
      </c>
      <c r="CW3" s="5" t="s">
        <v>147</v>
      </c>
      <c r="CX3" s="5" t="s">
        <v>149</v>
      </c>
      <c r="CY3" s="5" t="s">
        <v>72</v>
      </c>
      <c r="CZ3" s="5" t="s">
        <v>73</v>
      </c>
      <c r="DA3" s="5" t="s">
        <v>74</v>
      </c>
      <c r="DB3" s="5" t="s">
        <v>75</v>
      </c>
      <c r="DC3" s="5" t="s">
        <v>150</v>
      </c>
      <c r="DD3" s="5" t="s">
        <v>146</v>
      </c>
      <c r="DE3" s="5" t="s">
        <v>76</v>
      </c>
      <c r="DI3" s="5" t="s">
        <v>68</v>
      </c>
      <c r="DJ3" s="5" t="s">
        <v>69</v>
      </c>
      <c r="DK3" s="5" t="s">
        <v>70</v>
      </c>
      <c r="DL3" s="5" t="s">
        <v>67</v>
      </c>
      <c r="DM3" s="5" t="s">
        <v>71</v>
      </c>
      <c r="DN3" s="5" t="s">
        <v>148</v>
      </c>
      <c r="DO3" s="5" t="s">
        <v>147</v>
      </c>
      <c r="DP3" s="5" t="s">
        <v>149</v>
      </c>
      <c r="DQ3" s="5" t="s">
        <v>72</v>
      </c>
      <c r="DR3" s="5" t="s">
        <v>73</v>
      </c>
      <c r="DS3" s="5" t="s">
        <v>74</v>
      </c>
      <c r="DT3" s="5" t="s">
        <v>75</v>
      </c>
      <c r="DU3" s="5" t="s">
        <v>150</v>
      </c>
      <c r="DV3" s="5" t="s">
        <v>146</v>
      </c>
      <c r="DW3" s="5" t="s">
        <v>76</v>
      </c>
      <c r="EA3" s="5" t="s">
        <v>68</v>
      </c>
      <c r="EB3" s="5" t="s">
        <v>69</v>
      </c>
      <c r="EC3" s="5" t="s">
        <v>70</v>
      </c>
      <c r="ED3" s="5" t="s">
        <v>67</v>
      </c>
      <c r="EE3" s="5" t="s">
        <v>71</v>
      </c>
      <c r="EF3" s="5" t="s">
        <v>148</v>
      </c>
      <c r="EG3" s="5" t="s">
        <v>147</v>
      </c>
      <c r="EH3" s="5" t="s">
        <v>149</v>
      </c>
      <c r="EI3" s="5" t="s">
        <v>72</v>
      </c>
      <c r="EJ3" s="5" t="s">
        <v>73</v>
      </c>
      <c r="EK3" s="5" t="s">
        <v>74</v>
      </c>
      <c r="EL3" s="5" t="s">
        <v>75</v>
      </c>
      <c r="EM3" s="5" t="s">
        <v>150</v>
      </c>
      <c r="EN3" s="5" t="s">
        <v>146</v>
      </c>
      <c r="EO3" s="5" t="s">
        <v>76</v>
      </c>
      <c r="ES3" s="5" t="s">
        <v>68</v>
      </c>
      <c r="ET3" s="5" t="s">
        <v>69</v>
      </c>
      <c r="EU3" s="5" t="s">
        <v>70</v>
      </c>
      <c r="EV3" s="5" t="s">
        <v>67</v>
      </c>
      <c r="EW3" s="5" t="s">
        <v>71</v>
      </c>
      <c r="EX3" s="5" t="s">
        <v>148</v>
      </c>
      <c r="EY3" s="5" t="s">
        <v>147</v>
      </c>
      <c r="EZ3" s="5" t="s">
        <v>149</v>
      </c>
      <c r="FA3" s="5" t="s">
        <v>72</v>
      </c>
      <c r="FB3" s="5" t="s">
        <v>73</v>
      </c>
      <c r="FC3" s="5" t="s">
        <v>74</v>
      </c>
      <c r="FD3" s="5" t="s">
        <v>75</v>
      </c>
      <c r="FE3" s="5" t="s">
        <v>150</v>
      </c>
      <c r="FF3" s="5" t="s">
        <v>146</v>
      </c>
      <c r="FG3" s="5" t="s">
        <v>76</v>
      </c>
      <c r="FK3" s="5" t="s">
        <v>68</v>
      </c>
      <c r="FL3" s="5" t="s">
        <v>69</v>
      </c>
      <c r="FM3" s="5" t="s">
        <v>70</v>
      </c>
      <c r="FN3" s="5" t="s">
        <v>67</v>
      </c>
      <c r="FO3" s="5" t="s">
        <v>71</v>
      </c>
      <c r="FP3" s="5" t="s">
        <v>148</v>
      </c>
      <c r="FQ3" s="5" t="s">
        <v>147</v>
      </c>
      <c r="FR3" s="5" t="s">
        <v>149</v>
      </c>
      <c r="FS3" s="5" t="s">
        <v>72</v>
      </c>
      <c r="FT3" s="5" t="s">
        <v>73</v>
      </c>
      <c r="FU3" s="5" t="s">
        <v>74</v>
      </c>
      <c r="FV3" s="5" t="s">
        <v>75</v>
      </c>
      <c r="FW3" s="5" t="s">
        <v>150</v>
      </c>
      <c r="FX3" s="5" t="s">
        <v>146</v>
      </c>
      <c r="FY3" s="5" t="s">
        <v>76</v>
      </c>
      <c r="GC3" s="5" t="s">
        <v>68</v>
      </c>
      <c r="GD3" s="5" t="s">
        <v>69</v>
      </c>
      <c r="GE3" s="5" t="s">
        <v>70</v>
      </c>
      <c r="GF3" s="5" t="s">
        <v>67</v>
      </c>
      <c r="GG3" s="5" t="s">
        <v>71</v>
      </c>
      <c r="GH3" s="5" t="s">
        <v>148</v>
      </c>
      <c r="GI3" s="5" t="s">
        <v>147</v>
      </c>
      <c r="GJ3" s="5" t="s">
        <v>149</v>
      </c>
      <c r="GK3" s="5" t="s">
        <v>72</v>
      </c>
      <c r="GL3" s="5" t="s">
        <v>73</v>
      </c>
      <c r="GM3" s="5" t="s">
        <v>74</v>
      </c>
      <c r="GN3" s="5" t="s">
        <v>75</v>
      </c>
      <c r="GO3" s="5" t="s">
        <v>150</v>
      </c>
      <c r="GP3" s="5" t="s">
        <v>146</v>
      </c>
      <c r="GQ3" s="5" t="s">
        <v>76</v>
      </c>
      <c r="GU3" s="5" t="s">
        <v>68</v>
      </c>
      <c r="GV3" s="5" t="s">
        <v>69</v>
      </c>
      <c r="GW3" s="5" t="s">
        <v>70</v>
      </c>
      <c r="GX3" s="5" t="s">
        <v>67</v>
      </c>
      <c r="GY3" s="5" t="s">
        <v>71</v>
      </c>
      <c r="GZ3" s="5" t="s">
        <v>148</v>
      </c>
      <c r="HA3" s="5" t="s">
        <v>147</v>
      </c>
      <c r="HB3" s="5" t="s">
        <v>149</v>
      </c>
      <c r="HC3" s="5" t="s">
        <v>72</v>
      </c>
      <c r="HD3" s="5" t="s">
        <v>73</v>
      </c>
      <c r="HE3" s="5" t="s">
        <v>74</v>
      </c>
      <c r="HF3" s="5" t="s">
        <v>75</v>
      </c>
      <c r="HG3" s="5" t="s">
        <v>150</v>
      </c>
      <c r="HH3" s="5" t="s">
        <v>146</v>
      </c>
      <c r="HI3" s="5" t="s">
        <v>76</v>
      </c>
      <c r="HM3" s="5" t="s">
        <v>68</v>
      </c>
      <c r="HN3" s="5" t="s">
        <v>69</v>
      </c>
      <c r="HO3" s="5" t="s">
        <v>70</v>
      </c>
      <c r="HP3" s="5" t="s">
        <v>67</v>
      </c>
      <c r="HQ3" s="5" t="s">
        <v>71</v>
      </c>
      <c r="HR3" s="5" t="s">
        <v>148</v>
      </c>
      <c r="HS3" s="5" t="s">
        <v>147</v>
      </c>
      <c r="HT3" s="5" t="s">
        <v>149</v>
      </c>
      <c r="HU3" s="5" t="s">
        <v>72</v>
      </c>
      <c r="HV3" s="5" t="s">
        <v>73</v>
      </c>
      <c r="HW3" s="5" t="s">
        <v>74</v>
      </c>
      <c r="HX3" s="5" t="s">
        <v>75</v>
      </c>
      <c r="HY3" s="5" t="s">
        <v>150</v>
      </c>
      <c r="HZ3" s="5" t="s">
        <v>146</v>
      </c>
      <c r="IA3" s="5" t="s">
        <v>76</v>
      </c>
    </row>
    <row r="4" spans="1:236" x14ac:dyDescent="0.35">
      <c r="B4" s="54" t="s">
        <v>79</v>
      </c>
      <c r="D4" s="56" t="s">
        <v>81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V4" s="53" t="str">
        <f>"THÁNG "&amp;W2&amp;"-THU HỒI"</f>
        <v>THÁNG 1-THU HỒI</v>
      </c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N4" s="53" t="str">
        <f>"THÁNG "&amp;AO2&amp;"-THU HỒI"</f>
        <v>THÁNG 2-THU HỒI</v>
      </c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F4" s="53" t="str">
        <f>"THÁNG "&amp;BG2&amp;"-THU HỒI"</f>
        <v>THÁNG 3-THU HỒI</v>
      </c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X4" s="53" t="str">
        <f>"THÁNG "&amp;BY2&amp;"-THU HỒI"</f>
        <v>THÁNG 4-THU HỒI</v>
      </c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P4" s="53" t="str">
        <f>"THÁNG "&amp;CQ2&amp;"-THU HỒI"</f>
        <v>THÁNG 5-THU HỒI</v>
      </c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H4" s="53" t="str">
        <f>"THÁNG "&amp;DI2&amp;"-THU HỒI"</f>
        <v>THÁNG 6-THU HỒI</v>
      </c>
      <c r="DI4" s="53"/>
      <c r="DJ4" s="53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Z4" s="53" t="str">
        <f>"THÁNG "&amp;EA2&amp;"-THU HỒI"</f>
        <v>THÁNG 7-THU HỒI</v>
      </c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R4" s="53" t="str">
        <f>"THÁNG "&amp;ES2&amp;"-THU HỒI"</f>
        <v>THÁNG 8-THU HỒI</v>
      </c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J4" s="53" t="str">
        <f>"THÁNG "&amp;FK2&amp;"-THU HỒI"</f>
        <v>THÁNG 9-THU HỒI</v>
      </c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B4" s="53" t="str">
        <f>"THÁNG "&amp;GC2&amp;"-THU HỒI"</f>
        <v>THÁNG 10-THU HỒI</v>
      </c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T4" s="53" t="str">
        <f>"THÁNG "&amp;GU2&amp;"-THU HỒI"</f>
        <v>THÁNG 11-THU HỒI</v>
      </c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L4" s="53" t="str">
        <f>"THÁNG "&amp;HM2&amp;"-THU HỒI"</f>
        <v>THÁNG 12-THU HỒI</v>
      </c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</row>
    <row r="5" spans="1:236" x14ac:dyDescent="0.35">
      <c r="B5" s="55"/>
      <c r="D5" s="9" t="s">
        <v>155</v>
      </c>
      <c r="E5" s="31" t="s">
        <v>68</v>
      </c>
      <c r="F5" s="31" t="s">
        <v>69</v>
      </c>
      <c r="G5" s="31" t="s">
        <v>70</v>
      </c>
      <c r="H5" s="31" t="s">
        <v>67</v>
      </c>
      <c r="I5" s="31" t="s">
        <v>71</v>
      </c>
      <c r="J5" s="31" t="s">
        <v>148</v>
      </c>
      <c r="K5" s="31" t="s">
        <v>147</v>
      </c>
      <c r="L5" s="31" t="s">
        <v>149</v>
      </c>
      <c r="M5" s="31" t="s">
        <v>72</v>
      </c>
      <c r="N5" s="31" t="s">
        <v>73</v>
      </c>
      <c r="O5" s="31" t="s">
        <v>74</v>
      </c>
      <c r="P5" s="31" t="s">
        <v>75</v>
      </c>
      <c r="Q5" s="31" t="s">
        <v>150</v>
      </c>
      <c r="R5" s="31" t="s">
        <v>146</v>
      </c>
      <c r="S5" s="31" t="s">
        <v>76</v>
      </c>
      <c r="T5" s="9" t="s">
        <v>154</v>
      </c>
      <c r="V5" s="10" t="s">
        <v>155</v>
      </c>
      <c r="W5" s="32" t="s">
        <v>68</v>
      </c>
      <c r="X5" s="32" t="s">
        <v>69</v>
      </c>
      <c r="Y5" s="32" t="s">
        <v>70</v>
      </c>
      <c r="Z5" s="32" t="s">
        <v>67</v>
      </c>
      <c r="AA5" s="32" t="s">
        <v>71</v>
      </c>
      <c r="AB5" s="32" t="s">
        <v>148</v>
      </c>
      <c r="AC5" s="32" t="s">
        <v>147</v>
      </c>
      <c r="AD5" s="32" t="s">
        <v>149</v>
      </c>
      <c r="AE5" s="32" t="s">
        <v>72</v>
      </c>
      <c r="AF5" s="32" t="s">
        <v>73</v>
      </c>
      <c r="AG5" s="32" t="s">
        <v>74</v>
      </c>
      <c r="AH5" s="32" t="s">
        <v>75</v>
      </c>
      <c r="AI5" s="32" t="s">
        <v>150</v>
      </c>
      <c r="AJ5" s="32" t="s">
        <v>146</v>
      </c>
      <c r="AK5" s="32" t="s">
        <v>76</v>
      </c>
      <c r="AL5" s="10" t="s">
        <v>154</v>
      </c>
      <c r="AN5" s="10" t="s">
        <v>155</v>
      </c>
      <c r="AO5" s="32" t="s">
        <v>68</v>
      </c>
      <c r="AP5" s="32" t="s">
        <v>69</v>
      </c>
      <c r="AQ5" s="32" t="s">
        <v>70</v>
      </c>
      <c r="AR5" s="32" t="s">
        <v>67</v>
      </c>
      <c r="AS5" s="32" t="s">
        <v>71</v>
      </c>
      <c r="AT5" s="32" t="s">
        <v>148</v>
      </c>
      <c r="AU5" s="32" t="s">
        <v>147</v>
      </c>
      <c r="AV5" s="32" t="s">
        <v>149</v>
      </c>
      <c r="AW5" s="32" t="s">
        <v>72</v>
      </c>
      <c r="AX5" s="32" t="s">
        <v>73</v>
      </c>
      <c r="AY5" s="32" t="s">
        <v>74</v>
      </c>
      <c r="AZ5" s="32" t="s">
        <v>75</v>
      </c>
      <c r="BA5" s="32" t="s">
        <v>150</v>
      </c>
      <c r="BB5" s="32" t="s">
        <v>146</v>
      </c>
      <c r="BC5" s="32" t="s">
        <v>76</v>
      </c>
      <c r="BD5" s="10" t="s">
        <v>154</v>
      </c>
      <c r="BF5" s="10" t="s">
        <v>155</v>
      </c>
      <c r="BG5" s="32" t="s">
        <v>68</v>
      </c>
      <c r="BH5" s="32" t="s">
        <v>69</v>
      </c>
      <c r="BI5" s="32" t="s">
        <v>70</v>
      </c>
      <c r="BJ5" s="32" t="s">
        <v>67</v>
      </c>
      <c r="BK5" s="32" t="s">
        <v>71</v>
      </c>
      <c r="BL5" s="32" t="s">
        <v>148</v>
      </c>
      <c r="BM5" s="32" t="s">
        <v>147</v>
      </c>
      <c r="BN5" s="32" t="s">
        <v>149</v>
      </c>
      <c r="BO5" s="32" t="s">
        <v>72</v>
      </c>
      <c r="BP5" s="32" t="s">
        <v>73</v>
      </c>
      <c r="BQ5" s="32" t="s">
        <v>74</v>
      </c>
      <c r="BR5" s="32" t="s">
        <v>75</v>
      </c>
      <c r="BS5" s="32" t="s">
        <v>150</v>
      </c>
      <c r="BT5" s="32" t="s">
        <v>146</v>
      </c>
      <c r="BU5" s="32" t="s">
        <v>76</v>
      </c>
      <c r="BV5" s="10" t="s">
        <v>154</v>
      </c>
      <c r="BX5" s="10" t="s">
        <v>155</v>
      </c>
      <c r="BY5" s="32" t="s">
        <v>68</v>
      </c>
      <c r="BZ5" s="32" t="s">
        <v>69</v>
      </c>
      <c r="CA5" s="32" t="s">
        <v>70</v>
      </c>
      <c r="CB5" s="32" t="s">
        <v>67</v>
      </c>
      <c r="CC5" s="32" t="s">
        <v>71</v>
      </c>
      <c r="CD5" s="32" t="s">
        <v>148</v>
      </c>
      <c r="CE5" s="32" t="s">
        <v>147</v>
      </c>
      <c r="CF5" s="32" t="s">
        <v>149</v>
      </c>
      <c r="CG5" s="32" t="s">
        <v>72</v>
      </c>
      <c r="CH5" s="32" t="s">
        <v>73</v>
      </c>
      <c r="CI5" s="32" t="s">
        <v>74</v>
      </c>
      <c r="CJ5" s="32" t="s">
        <v>75</v>
      </c>
      <c r="CK5" s="32" t="s">
        <v>150</v>
      </c>
      <c r="CL5" s="32" t="s">
        <v>146</v>
      </c>
      <c r="CM5" s="32" t="s">
        <v>76</v>
      </c>
      <c r="CN5" s="10" t="s">
        <v>154</v>
      </c>
      <c r="CP5" s="10" t="s">
        <v>155</v>
      </c>
      <c r="CQ5" s="32" t="s">
        <v>68</v>
      </c>
      <c r="CR5" s="32" t="s">
        <v>69</v>
      </c>
      <c r="CS5" s="32" t="s">
        <v>70</v>
      </c>
      <c r="CT5" s="32" t="s">
        <v>67</v>
      </c>
      <c r="CU5" s="32" t="s">
        <v>71</v>
      </c>
      <c r="CV5" s="32" t="s">
        <v>148</v>
      </c>
      <c r="CW5" s="32" t="s">
        <v>147</v>
      </c>
      <c r="CX5" s="32" t="s">
        <v>149</v>
      </c>
      <c r="CY5" s="32" t="s">
        <v>72</v>
      </c>
      <c r="CZ5" s="32" t="s">
        <v>73</v>
      </c>
      <c r="DA5" s="32" t="s">
        <v>74</v>
      </c>
      <c r="DB5" s="32" t="s">
        <v>75</v>
      </c>
      <c r="DC5" s="32" t="s">
        <v>150</v>
      </c>
      <c r="DD5" s="32" t="s">
        <v>146</v>
      </c>
      <c r="DE5" s="32" t="s">
        <v>76</v>
      </c>
      <c r="DF5" s="10" t="s">
        <v>154</v>
      </c>
      <c r="DH5" s="10" t="s">
        <v>155</v>
      </c>
      <c r="DI5" s="32" t="s">
        <v>68</v>
      </c>
      <c r="DJ5" s="32" t="s">
        <v>69</v>
      </c>
      <c r="DK5" s="32" t="s">
        <v>70</v>
      </c>
      <c r="DL5" s="32" t="s">
        <v>67</v>
      </c>
      <c r="DM5" s="32" t="s">
        <v>71</v>
      </c>
      <c r="DN5" s="32" t="s">
        <v>148</v>
      </c>
      <c r="DO5" s="32" t="s">
        <v>147</v>
      </c>
      <c r="DP5" s="32" t="s">
        <v>149</v>
      </c>
      <c r="DQ5" s="32" t="s">
        <v>72</v>
      </c>
      <c r="DR5" s="32" t="s">
        <v>73</v>
      </c>
      <c r="DS5" s="32" t="s">
        <v>74</v>
      </c>
      <c r="DT5" s="32" t="s">
        <v>75</v>
      </c>
      <c r="DU5" s="32" t="s">
        <v>150</v>
      </c>
      <c r="DV5" s="32" t="s">
        <v>146</v>
      </c>
      <c r="DW5" s="32" t="s">
        <v>76</v>
      </c>
      <c r="DX5" s="10" t="s">
        <v>154</v>
      </c>
      <c r="DZ5" s="10" t="s">
        <v>155</v>
      </c>
      <c r="EA5" s="32" t="s">
        <v>68</v>
      </c>
      <c r="EB5" s="32" t="s">
        <v>69</v>
      </c>
      <c r="EC5" s="32" t="s">
        <v>70</v>
      </c>
      <c r="ED5" s="32" t="s">
        <v>67</v>
      </c>
      <c r="EE5" s="32" t="s">
        <v>71</v>
      </c>
      <c r="EF5" s="32" t="s">
        <v>148</v>
      </c>
      <c r="EG5" s="32" t="s">
        <v>147</v>
      </c>
      <c r="EH5" s="32" t="s">
        <v>149</v>
      </c>
      <c r="EI5" s="32" t="s">
        <v>72</v>
      </c>
      <c r="EJ5" s="32" t="s">
        <v>73</v>
      </c>
      <c r="EK5" s="32" t="s">
        <v>74</v>
      </c>
      <c r="EL5" s="32" t="s">
        <v>75</v>
      </c>
      <c r="EM5" s="32" t="s">
        <v>150</v>
      </c>
      <c r="EN5" s="32" t="s">
        <v>146</v>
      </c>
      <c r="EO5" s="32" t="s">
        <v>76</v>
      </c>
      <c r="EP5" s="10" t="s">
        <v>154</v>
      </c>
      <c r="ER5" s="10" t="s">
        <v>155</v>
      </c>
      <c r="ES5" s="32" t="s">
        <v>68</v>
      </c>
      <c r="ET5" s="32" t="s">
        <v>69</v>
      </c>
      <c r="EU5" s="32" t="s">
        <v>70</v>
      </c>
      <c r="EV5" s="32" t="s">
        <v>67</v>
      </c>
      <c r="EW5" s="32" t="s">
        <v>71</v>
      </c>
      <c r="EX5" s="32" t="s">
        <v>148</v>
      </c>
      <c r="EY5" s="32" t="s">
        <v>147</v>
      </c>
      <c r="EZ5" s="32" t="s">
        <v>149</v>
      </c>
      <c r="FA5" s="32" t="s">
        <v>72</v>
      </c>
      <c r="FB5" s="32" t="s">
        <v>73</v>
      </c>
      <c r="FC5" s="32" t="s">
        <v>74</v>
      </c>
      <c r="FD5" s="32" t="s">
        <v>75</v>
      </c>
      <c r="FE5" s="32" t="s">
        <v>150</v>
      </c>
      <c r="FF5" s="32" t="s">
        <v>146</v>
      </c>
      <c r="FG5" s="32" t="s">
        <v>76</v>
      </c>
      <c r="FH5" s="10" t="s">
        <v>154</v>
      </c>
      <c r="FJ5" s="10" t="s">
        <v>155</v>
      </c>
      <c r="FK5" s="32" t="s">
        <v>68</v>
      </c>
      <c r="FL5" s="32" t="s">
        <v>69</v>
      </c>
      <c r="FM5" s="32" t="s">
        <v>70</v>
      </c>
      <c r="FN5" s="32" t="s">
        <v>67</v>
      </c>
      <c r="FO5" s="32" t="s">
        <v>71</v>
      </c>
      <c r="FP5" s="32" t="s">
        <v>148</v>
      </c>
      <c r="FQ5" s="32" t="s">
        <v>147</v>
      </c>
      <c r="FR5" s="32" t="s">
        <v>149</v>
      </c>
      <c r="FS5" s="32" t="s">
        <v>72</v>
      </c>
      <c r="FT5" s="32" t="s">
        <v>73</v>
      </c>
      <c r="FU5" s="32" t="s">
        <v>74</v>
      </c>
      <c r="FV5" s="32" t="s">
        <v>75</v>
      </c>
      <c r="FW5" s="32" t="s">
        <v>150</v>
      </c>
      <c r="FX5" s="32" t="s">
        <v>146</v>
      </c>
      <c r="FY5" s="32" t="s">
        <v>76</v>
      </c>
      <c r="FZ5" s="10" t="s">
        <v>154</v>
      </c>
      <c r="GB5" s="10" t="s">
        <v>155</v>
      </c>
      <c r="GC5" s="32" t="s">
        <v>68</v>
      </c>
      <c r="GD5" s="32" t="s">
        <v>69</v>
      </c>
      <c r="GE5" s="32" t="s">
        <v>70</v>
      </c>
      <c r="GF5" s="32" t="s">
        <v>67</v>
      </c>
      <c r="GG5" s="32" t="s">
        <v>71</v>
      </c>
      <c r="GH5" s="32" t="s">
        <v>148</v>
      </c>
      <c r="GI5" s="32" t="s">
        <v>147</v>
      </c>
      <c r="GJ5" s="32" t="s">
        <v>149</v>
      </c>
      <c r="GK5" s="32" t="s">
        <v>72</v>
      </c>
      <c r="GL5" s="32" t="s">
        <v>73</v>
      </c>
      <c r="GM5" s="32" t="s">
        <v>74</v>
      </c>
      <c r="GN5" s="32" t="s">
        <v>75</v>
      </c>
      <c r="GO5" s="32" t="s">
        <v>150</v>
      </c>
      <c r="GP5" s="32" t="s">
        <v>146</v>
      </c>
      <c r="GQ5" s="32" t="s">
        <v>76</v>
      </c>
      <c r="GR5" s="10" t="s">
        <v>154</v>
      </c>
      <c r="GT5" s="10" t="s">
        <v>155</v>
      </c>
      <c r="GU5" s="32" t="s">
        <v>68</v>
      </c>
      <c r="GV5" s="32" t="s">
        <v>69</v>
      </c>
      <c r="GW5" s="32" t="s">
        <v>70</v>
      </c>
      <c r="GX5" s="32" t="s">
        <v>67</v>
      </c>
      <c r="GY5" s="32" t="s">
        <v>71</v>
      </c>
      <c r="GZ5" s="32" t="s">
        <v>148</v>
      </c>
      <c r="HA5" s="32" t="s">
        <v>147</v>
      </c>
      <c r="HB5" s="32" t="s">
        <v>149</v>
      </c>
      <c r="HC5" s="32" t="s">
        <v>72</v>
      </c>
      <c r="HD5" s="32" t="s">
        <v>73</v>
      </c>
      <c r="HE5" s="32" t="s">
        <v>74</v>
      </c>
      <c r="HF5" s="32" t="s">
        <v>75</v>
      </c>
      <c r="HG5" s="32" t="s">
        <v>150</v>
      </c>
      <c r="HH5" s="32" t="s">
        <v>146</v>
      </c>
      <c r="HI5" s="32" t="s">
        <v>76</v>
      </c>
      <c r="HJ5" s="10" t="s">
        <v>154</v>
      </c>
      <c r="HL5" s="10" t="s">
        <v>155</v>
      </c>
      <c r="HM5" s="32" t="s">
        <v>68</v>
      </c>
      <c r="HN5" s="32" t="s">
        <v>69</v>
      </c>
      <c r="HO5" s="32" t="s">
        <v>70</v>
      </c>
      <c r="HP5" s="32" t="s">
        <v>67</v>
      </c>
      <c r="HQ5" s="32" t="s">
        <v>71</v>
      </c>
      <c r="HR5" s="32" t="s">
        <v>148</v>
      </c>
      <c r="HS5" s="32" t="s">
        <v>147</v>
      </c>
      <c r="HT5" s="32" t="s">
        <v>149</v>
      </c>
      <c r="HU5" s="32" t="s">
        <v>72</v>
      </c>
      <c r="HV5" s="32" t="s">
        <v>73</v>
      </c>
      <c r="HW5" s="32" t="s">
        <v>74</v>
      </c>
      <c r="HX5" s="32" t="s">
        <v>75</v>
      </c>
      <c r="HY5" s="32" t="s">
        <v>150</v>
      </c>
      <c r="HZ5" s="32" t="s">
        <v>146</v>
      </c>
      <c r="IA5" s="32" t="s">
        <v>76</v>
      </c>
      <c r="IB5" s="10" t="s">
        <v>154</v>
      </c>
    </row>
    <row r="6" spans="1:236" x14ac:dyDescent="0.35">
      <c r="A6" s="5" t="s">
        <v>68</v>
      </c>
      <c r="B6" s="28" t="s">
        <v>68</v>
      </c>
      <c r="D6" s="41" cm="1">
        <f t="array" ref="D6">IF(D$2="FY",SUMPRODUCT(Data_Xuất[Xuất-NX]*(Data_Xuất[Year]=D$1)*(Data_Xuất[Main SKU name_GOM]=$A6)),SUMPRODUCT(Data_Xuất[Xuất-NX]*(Data_Xuất[Year]=D$1)*(Data_Xuất[Main SKU name_GOM]=$A6)*Data_Xuất[Month]=D$2))</f>
        <v>6711418.0070000002</v>
      </c>
      <c r="E6" s="29" cm="1">
        <f t="array" ref="E6">IF(E$2="FY",SUMPRODUCT(Data_Nhập[Tổng Nhập-NX]*(Data_Nhập[Year]=E$1)*(Data_Nhập[Main SKU name_GOM]=$A6)*(Data_Nhập[SKU name_NHẬP_GOM]=E$3)),SUMPRODUCT(Data_Nhập[Tổng Nhập-NX]*(Data_Nhập[Year]=E$1)*(Data_Nhập[Month]=E$2)*(Data_Nhập[Main SKU name_GOM]=$A6)*(Data_Nhập[SKU name_NHẬP_GOM]=E$3)))</f>
        <v>5628933</v>
      </c>
      <c r="F6" s="29" cm="1">
        <f t="array" ref="F6">IF(F$2="FY",SUMPRODUCT(Data_Nhập[Tổng Nhập-NX]*(Data_Nhập[Year]=F$1)*(Data_Nhập[Main SKU name_GOM]=$A6)*(Data_Nhập[SKU name_NHẬP_GOM]=F$3)),SUMPRODUCT(Data_Nhập[Tổng Nhập-NX]*(Data_Nhập[Year]=F$1)*(Data_Nhập[Month]=F$2)*(Data_Nhập[Main SKU name_GOM]=$A6)*(Data_Nhập[SKU name_NHẬP_GOM]=F$3)))</f>
        <v>332800</v>
      </c>
      <c r="G6" s="29" cm="1">
        <f t="array" ref="G6">IF(G$2="FY",SUMPRODUCT(Data_Nhập[Tổng Nhập-NX]*(Data_Nhập[Year]=G$1)*(Data_Nhập[Main SKU name_GOM]=$A6)*(Data_Nhập[SKU name_NHẬP_GOM]=G$3)),SUMPRODUCT(Data_Nhập[Tổng Nhập-NX]*(Data_Nhập[Year]=G$1)*(Data_Nhập[Month]=G$2)*(Data_Nhập[Main SKU name_GOM]=$A6)*(Data_Nhập[SKU name_NHẬP_GOM]=G$3)))</f>
        <v>13161</v>
      </c>
      <c r="H6" s="29" cm="1">
        <f t="array" ref="H6">IF(H$2="FY",SUMPRODUCT(Data_Nhập[Tổng Nhập-NX]*(Data_Nhập[Year]=H$1)*(Data_Nhập[Main SKU name_GOM]=$A6)*(Data_Nhập[SKU name_NHẬP_GOM]=H$3)),SUMPRODUCT(Data_Nhập[Tổng Nhập-NX]*(Data_Nhập[Year]=H$1)*(Data_Nhập[Month]=H$2)*(Data_Nhập[Main SKU name_GOM]=$A6)*(Data_Nhập[SKU name_NHẬP_GOM]=H$3)))</f>
        <v>17600</v>
      </c>
      <c r="I6" s="29" cm="1">
        <f t="array" ref="I6">IF(I$2="FY",SUMPRODUCT(Data_Nhập[Tổng Nhập-NX]*(Data_Nhập[Year]=I$1)*(Data_Nhập[Main SKU name_GOM]=$A6)*(Data_Nhập[SKU name_NHẬP_GOM]=I$3)),SUMPRODUCT(Data_Nhập[Tổng Nhập-NX]*(Data_Nhập[Year]=I$1)*(Data_Nhập[Month]=I$2)*(Data_Nhập[Main SKU name_GOM]=$A6)*(Data_Nhập[SKU name_NHẬP_GOM]=I$3)))</f>
        <v>400603.5</v>
      </c>
      <c r="J6" s="29" cm="1">
        <f t="array" ref="J6">IF(J$2="FY",SUMPRODUCT(Data_Nhập[Tổng Nhập-NX]*(Data_Nhập[Year]=J$1)*(Data_Nhập[Main SKU name_GOM]=$A6)*(Data_Nhập[SKU name_NHẬP_GOM]=J$3)),SUMPRODUCT(Data_Nhập[Tổng Nhập-NX]*(Data_Nhập[Year]=J$1)*(Data_Nhập[Month]=J$2)*(Data_Nhập[Main SKU name_GOM]=$A6)*(Data_Nhập[SKU name_NHẬP_GOM]=J$3)))</f>
        <v>0</v>
      </c>
      <c r="K6" s="29" cm="1">
        <f t="array" ref="K6">IF(K$2="FY",SUMPRODUCT(Data_Nhập[Tổng Nhập-NX]*(Data_Nhập[Year]=K$1)*(Data_Nhập[Main SKU name_GOM]=$A6)*(Data_Nhập[SKU name_NHẬP_GOM]=K$3)),SUMPRODUCT(Data_Nhập[Tổng Nhập-NX]*(Data_Nhập[Year]=K$1)*(Data_Nhập[Month]=K$2)*(Data_Nhập[Main SKU name_GOM]=$A6)*(Data_Nhập[SKU name_NHẬP_GOM]=K$3)))</f>
        <v>0</v>
      </c>
      <c r="L6" s="29" cm="1">
        <f t="array" ref="L6">IF(L$2="FY",SUMPRODUCT(Data_Nhập[Tổng Nhập-NX]*(Data_Nhập[Year]=L$1)*(Data_Nhập[Main SKU name_GOM]=$A6)*(Data_Nhập[SKU name_NHẬP_GOM]=L$3)),SUMPRODUCT(Data_Nhập[Tổng Nhập-NX]*(Data_Nhập[Year]=L$1)*(Data_Nhập[Month]=L$2)*(Data_Nhập[Main SKU name_GOM]=$A6)*(Data_Nhập[SKU name_NHẬP_GOM]=L$3)))</f>
        <v>0</v>
      </c>
      <c r="M6" s="29" cm="1">
        <f t="array" ref="M6">IF(M$2="FY",SUMPRODUCT(Data_Nhập[Tổng Nhập-NX]*(Data_Nhập[Year]=M$1)*(Data_Nhập[Main SKU name_GOM]=$A6)*(Data_Nhập[SKU name_NHẬP_GOM]=M$3)),SUMPRODUCT(Data_Nhập[Tổng Nhập-NX]*(Data_Nhập[Year]=M$1)*(Data_Nhập[Month]=M$2)*(Data_Nhập[Main SKU name_GOM]=$A6)*(Data_Nhập[SKU name_NHẬP_GOM]=M$3)))</f>
        <v>13200</v>
      </c>
      <c r="N6" s="29" cm="1">
        <f t="array" ref="N6">IF(N$2="FY",SUMPRODUCT(Data_Nhập[Tổng Nhập-NX]*(Data_Nhập[Year]=N$1)*(Data_Nhập[Main SKU name_GOM]=$A6)*(Data_Nhập[SKU name_NHẬP_GOM]=N$3)),SUMPRODUCT(Data_Nhập[Tổng Nhập-NX]*(Data_Nhập[Year]=N$1)*(Data_Nhập[Month]=N$2)*(Data_Nhập[Main SKU name_GOM]=$A6)*(Data_Nhập[SKU name_NHẬP_GOM]=N$3)))</f>
        <v>0</v>
      </c>
      <c r="O6" s="29" cm="1">
        <f t="array" ref="O6">IF(O$2="FY",SUMPRODUCT(Data_Nhập[Tổng Nhập-NX]*(Data_Nhập[Year]=O$1)*(Data_Nhập[Main SKU name_GOM]=$A6)*(Data_Nhập[SKU name_NHẬP_GOM]=O$3)),SUMPRODUCT(Data_Nhập[Tổng Nhập-NX]*(Data_Nhập[Year]=O$1)*(Data_Nhập[Month]=O$2)*(Data_Nhập[Main SKU name_GOM]=$A6)*(Data_Nhập[SKU name_NHẬP_GOM]=O$3)))</f>
        <v>0</v>
      </c>
      <c r="P6" s="29" cm="1">
        <f t="array" ref="P6">IF(P$2="FY",SUMPRODUCT(Data_Nhập[Tổng Nhập-NX]*(Data_Nhập[Year]=P$1)*(Data_Nhập[Main SKU name_GOM]=$A6)*(Data_Nhập[SKU name_NHẬP_GOM]=P$3)),SUMPRODUCT(Data_Nhập[Tổng Nhập-NX]*(Data_Nhập[Year]=P$1)*(Data_Nhập[Month]=P$2)*(Data_Nhập[Main SKU name_GOM]=$A6)*(Data_Nhập[SKU name_NHẬP_GOM]=P$3)))</f>
        <v>3300</v>
      </c>
      <c r="Q6" s="29" cm="1">
        <f t="array" ref="Q6">IF(Q$2="FY",SUMPRODUCT(Data_Nhập[Tổng Nhập-NX]*(Data_Nhập[Year]=Q$1)*(Data_Nhập[Main SKU name_GOM]=$A6)*(Data_Nhập[SKU name_NHẬP_GOM]=Q$3)),SUMPRODUCT(Data_Nhập[Tổng Nhập-NX]*(Data_Nhập[Year]=Q$1)*(Data_Nhập[Month]=Q$2)*(Data_Nhập[Main SKU name_GOM]=$A6)*(Data_Nhập[SKU name_NHẬP_GOM]=Q$3)))</f>
        <v>0</v>
      </c>
      <c r="R6" s="29" cm="1">
        <f t="array" ref="R6">IF(R$2="FY",SUMPRODUCT(Data_Nhập[Tổng Nhập-NX]*(Data_Nhập[Year]=R$1)*(Data_Nhập[Main SKU name_GOM]=$A6)*(Data_Nhập[SKU name_NHẬP_GOM]=R$3)),SUMPRODUCT(Data_Nhập[Tổng Nhập-NX]*(Data_Nhập[Year]=R$1)*(Data_Nhập[Month]=R$2)*(Data_Nhập[Main SKU name_GOM]=$A6)*(Data_Nhập[SKU name_NHẬP_GOM]=R$3)))</f>
        <v>286330.84499999997</v>
      </c>
      <c r="S6" s="29" cm="1">
        <f t="array" ref="S6">IF(S$2="FY",SUMPRODUCT(Data_Nhập[Tổng Nhập-NX]*(Data_Nhập[Year]=S$1)*(Data_Nhập[Main SKU name_GOM]=$A6)*(Data_Nhập[SKU name_NHẬP_GOM]=S$3)),SUMPRODUCT(Data_Nhập[Tổng Nhập-NX]*(Data_Nhập[Year]=S$1)*(Data_Nhập[Month]=S$2)*(Data_Nhập[Main SKU name_GOM]=$A6)*(Data_Nhập[SKU name_NHẬP_GOM]=S$3)))</f>
        <v>0</v>
      </c>
      <c r="T6" s="30">
        <f>SUM(E6:S6)</f>
        <v>6695928.3449999997</v>
      </c>
      <c r="V6" s="30" cm="1">
        <f t="array" ref="V6">IF(V$2="FY",SUMPRODUCT(Data_Xuất[Xuất-NX]*(Data_Xuất[Year]=V$1)*(Data_Xuất[Main SKU name_GOM]=$A6)),SUMPRODUCT(Data_Xuất[Xuất-NX]*(Data_Xuất[Year]=V$1)*(Data_Xuất[Main SKU name_GOM]=$A6)*(Data_Xuất[Month]=V$2)))</f>
        <v>258014</v>
      </c>
      <c r="W6" s="29" cm="1">
        <f t="array" ref="W6">IF(W$2="FY",SUMPRODUCT(Data_Nhập[Tổng Nhập-NX]*(Data_Nhập[Year]=W$1)*(Data_Nhập[Main SKU name_GOM]=$A6)*(Data_Nhập[SKU name_NHẬP_GOM]=W$3)),SUMPRODUCT(Data_Nhập[Tổng Nhập-NX]*(Data_Nhập[Year]=W$1)*(Data_Nhập[Month]=W$2)*(Data_Nhập[Main SKU name_GOM]=$A6)*(Data_Nhập[SKU name_NHẬP_GOM]=W$3)))</f>
        <v>231098</v>
      </c>
      <c r="X6" s="29" cm="1">
        <f t="array" ref="X6">IF(X$2="FY",SUMPRODUCT(Data_Nhập[Tổng Nhập-NX]*(Data_Nhập[Year]=X$1)*(Data_Nhập[Main SKU name_GOM]=$A6)*(Data_Nhập[SKU name_NHẬP_GOM]=X$3)),SUMPRODUCT(Data_Nhập[Tổng Nhập-NX]*(Data_Nhập[Year]=X$1)*(Data_Nhập[Month]=X$2)*(Data_Nhập[Main SKU name_GOM]=$A6)*(Data_Nhập[SKU name_NHẬP_GOM]=X$3)))</f>
        <v>12100.000000000002</v>
      </c>
      <c r="Y6" s="29" cm="1">
        <f t="array" ref="Y6">IF(Y$2="FY",SUMPRODUCT(Data_Nhập[Tổng Nhập-NX]*(Data_Nhập[Year]=Y$1)*(Data_Nhập[Main SKU name_GOM]=$A6)*(Data_Nhập[SKU name_NHẬP_GOM]=Y$3)),SUMPRODUCT(Data_Nhập[Tổng Nhập-NX]*(Data_Nhập[Year]=Y$1)*(Data_Nhập[Month]=Y$2)*(Data_Nhập[Main SKU name_GOM]=$A6)*(Data_Nhập[SKU name_NHẬP_GOM]=Y$3)))</f>
        <v>2161</v>
      </c>
      <c r="Z6" s="29" cm="1">
        <f t="array" ref="Z6">IF(Z$2="FY",SUMPRODUCT(Data_Nhập[Tổng Nhập-NX]*(Data_Nhập[Year]=Z$1)*(Data_Nhập[Main SKU name_GOM]=$A6)*(Data_Nhập[SKU name_NHẬP_GOM]=Z$3)),SUMPRODUCT(Data_Nhập[Tổng Nhập-NX]*(Data_Nhập[Year]=Z$1)*(Data_Nhập[Month]=Z$2)*(Data_Nhập[Main SKU name_GOM]=$A6)*(Data_Nhập[SKU name_NHẬP_GOM]=Z$3)))</f>
        <v>5500</v>
      </c>
      <c r="AA6" s="29" cm="1">
        <f t="array" ref="AA6">IF(AA$2="FY",SUMPRODUCT(Data_Nhập[Tổng Nhập-NX]*(Data_Nhập[Year]=AA$1)*(Data_Nhập[Main SKU name_GOM]=$A6)*(Data_Nhập[SKU name_NHẬP_GOM]=AA$3)),SUMPRODUCT(Data_Nhập[Tổng Nhập-NX]*(Data_Nhập[Year]=AA$1)*(Data_Nhập[Month]=AA$2)*(Data_Nhập[Main SKU name_GOM]=$A6)*(Data_Nhập[SKU name_NHẬP_GOM]=AA$3)))</f>
        <v>0</v>
      </c>
      <c r="AB6" s="29" cm="1">
        <f t="array" ref="AB6">IF(AB$2="FY",SUMPRODUCT(Data_Nhập[Tổng Nhập-NX]*(Data_Nhập[Year]=AB$1)*(Data_Nhập[Main SKU name_GOM]=$A6)*(Data_Nhập[SKU name_NHẬP_GOM]=AB$3)),SUMPRODUCT(Data_Nhập[Tổng Nhập-NX]*(Data_Nhập[Year]=AB$1)*(Data_Nhập[Month]=AB$2)*(Data_Nhập[Main SKU name_GOM]=$A6)*(Data_Nhập[SKU name_NHẬP_GOM]=AB$3)))</f>
        <v>0</v>
      </c>
      <c r="AC6" s="29" cm="1">
        <f t="array" ref="AC6">IF(AC$2="FY",SUMPRODUCT(Data_Nhập[Tổng Nhập-NX]*(Data_Nhập[Year]=AC$1)*(Data_Nhập[Main SKU name_GOM]=$A6)*(Data_Nhập[SKU name_NHẬP_GOM]=AC$3)),SUMPRODUCT(Data_Nhập[Tổng Nhập-NX]*(Data_Nhập[Year]=AC$1)*(Data_Nhập[Month]=AC$2)*(Data_Nhập[Main SKU name_GOM]=$A6)*(Data_Nhập[SKU name_NHẬP_GOM]=AC$3)))</f>
        <v>0</v>
      </c>
      <c r="AD6" s="29" cm="1">
        <f t="array" ref="AD6">IF(AD$2="FY",SUMPRODUCT(Data_Nhập[Tổng Nhập-NX]*(Data_Nhập[Year]=AD$1)*(Data_Nhập[Main SKU name_GOM]=$A6)*(Data_Nhập[SKU name_NHẬP_GOM]=AD$3)),SUMPRODUCT(Data_Nhập[Tổng Nhập-NX]*(Data_Nhập[Year]=AD$1)*(Data_Nhập[Month]=AD$2)*(Data_Nhập[Main SKU name_GOM]=$A6)*(Data_Nhập[SKU name_NHẬP_GOM]=AD$3)))</f>
        <v>0</v>
      </c>
      <c r="AE6" s="29" cm="1">
        <f t="array" ref="AE6">IF(AE$2="FY",SUMPRODUCT(Data_Nhập[Tổng Nhập-NX]*(Data_Nhập[Year]=AE$1)*(Data_Nhập[Main SKU name_GOM]=$A6)*(Data_Nhập[SKU name_NHẬP_GOM]=AE$3)),SUMPRODUCT(Data_Nhập[Tổng Nhập-NX]*(Data_Nhập[Year]=AE$1)*(Data_Nhập[Month]=AE$2)*(Data_Nhập[Main SKU name_GOM]=$A6)*(Data_Nhập[SKU name_NHẬP_GOM]=AE$3)))</f>
        <v>0</v>
      </c>
      <c r="AF6" s="29" cm="1">
        <f t="array" ref="AF6">IF(AF$2="FY",SUMPRODUCT(Data_Nhập[Tổng Nhập-NX]*(Data_Nhập[Year]=AF$1)*(Data_Nhập[Main SKU name_GOM]=$A6)*(Data_Nhập[SKU name_NHẬP_GOM]=AF$3)),SUMPRODUCT(Data_Nhập[Tổng Nhập-NX]*(Data_Nhập[Year]=AF$1)*(Data_Nhập[Month]=AF$2)*(Data_Nhập[Main SKU name_GOM]=$A6)*(Data_Nhập[SKU name_NHẬP_GOM]=AF$3)))</f>
        <v>0</v>
      </c>
      <c r="AG6" s="29" cm="1">
        <f t="array" ref="AG6">IF(AG$2="FY",SUMPRODUCT(Data_Nhập[Tổng Nhập-NX]*(Data_Nhập[Year]=AG$1)*(Data_Nhập[Main SKU name_GOM]=$A6)*(Data_Nhập[SKU name_NHẬP_GOM]=AG$3)),SUMPRODUCT(Data_Nhập[Tổng Nhập-NX]*(Data_Nhập[Year]=AG$1)*(Data_Nhập[Month]=AG$2)*(Data_Nhập[Main SKU name_GOM]=$A6)*(Data_Nhập[SKU name_NHẬP_GOM]=AG$3)))</f>
        <v>0</v>
      </c>
      <c r="AH6" s="29" cm="1">
        <f t="array" ref="AH6">IF(AH$2="FY",SUMPRODUCT(Data_Nhập[Tổng Nhập-NX]*(Data_Nhập[Year]=AH$1)*(Data_Nhập[Main SKU name_GOM]=$A6)*(Data_Nhập[SKU name_NHẬP_GOM]=AH$3)),SUMPRODUCT(Data_Nhập[Tổng Nhập-NX]*(Data_Nhập[Year]=AH$1)*(Data_Nhập[Month]=AH$2)*(Data_Nhập[Main SKU name_GOM]=$A6)*(Data_Nhập[SKU name_NHẬP_GOM]=AH$3)))</f>
        <v>0</v>
      </c>
      <c r="AI6" s="29" cm="1">
        <f t="array" ref="AI6">IF(AI$2="FY",SUMPRODUCT(Data_Nhập[Tổng Nhập-NX]*(Data_Nhập[Year]=AI$1)*(Data_Nhập[Main SKU name_GOM]=$A6)*(Data_Nhập[SKU name_NHẬP_GOM]=AI$3)),SUMPRODUCT(Data_Nhập[Tổng Nhập-NX]*(Data_Nhập[Year]=AI$1)*(Data_Nhập[Month]=AI$2)*(Data_Nhập[Main SKU name_GOM]=$A6)*(Data_Nhập[SKU name_NHẬP_GOM]=AI$3)))</f>
        <v>0</v>
      </c>
      <c r="AJ6" s="29" cm="1">
        <f t="array" ref="AJ6">IF(AJ$2="FY",SUMPRODUCT(Data_Nhập[Tổng Nhập-NX]*(Data_Nhập[Year]=AJ$1)*(Data_Nhập[Main SKU name_GOM]=$A6)*(Data_Nhập[SKU name_NHẬP_GOM]=AJ$3)),SUMPRODUCT(Data_Nhập[Tổng Nhập-NX]*(Data_Nhập[Year]=AJ$1)*(Data_Nhập[Month]=AJ$2)*(Data_Nhập[Main SKU name_GOM]=$A6)*(Data_Nhập[SKU name_NHẬP_GOM]=AJ$3)))</f>
        <v>6879</v>
      </c>
      <c r="AK6" s="29" cm="1">
        <f t="array" ref="AK6">IF(AK$2="FY",SUMPRODUCT(Data_Nhập[Tổng Nhập-NX]*(Data_Nhập[Year]=AK$1)*(Data_Nhập[Main SKU name_GOM]=$A6)*(Data_Nhập[SKU name_NHẬP_GOM]=AK$3)),SUMPRODUCT(Data_Nhập[Tổng Nhập-NX]*(Data_Nhập[Year]=AK$1)*(Data_Nhập[Month]=AK$2)*(Data_Nhập[Main SKU name_GOM]=$A6)*(Data_Nhập[SKU name_NHẬP_GOM]=AK$3)))</f>
        <v>0</v>
      </c>
      <c r="AL6" s="30">
        <f>SUM(W6:AK6)</f>
        <v>257738</v>
      </c>
      <c r="AN6" s="30" cm="1">
        <f t="array" ref="AN6">IF(AN$2="FY",SUMPRODUCT(Data_Xuất[Xuất-NX]*(Data_Xuất[Year]=AN$1)*(Data_Xuất[Main SKU name_GOM]=$A6)),SUMPRODUCT(Data_Xuất[Xuất-NX]*(Data_Xuất[Year]=AN$1)*(Data_Xuất[Main SKU name_GOM]=$A6)*(Data_Xuất[Month]=AN$2)))</f>
        <v>295000.00000000006</v>
      </c>
      <c r="AO6" s="29" cm="1">
        <f t="array" ref="AO6">IF(AO$2="FY",SUMPRODUCT(Data_Nhập[Tổng Nhập-NX]*(Data_Nhập[Year]=AO$1)*(Data_Nhập[Main SKU name_GOM]=$A6)*(Data_Nhập[SKU name_NHẬP_GOM]=AO$3)),SUMPRODUCT(Data_Nhập[Tổng Nhập-NX]*(Data_Nhập[Year]=AO$1)*(Data_Nhập[Month]=AO$2)*(Data_Nhập[Main SKU name_GOM]=$A6)*(Data_Nhập[SKU name_NHẬP_GOM]=AO$3)))</f>
        <v>232233</v>
      </c>
      <c r="AP6" s="29" cm="1">
        <f t="array" ref="AP6">IF(AP$2="FY",SUMPRODUCT(Data_Nhập[Tổng Nhập-NX]*(Data_Nhập[Year]=AP$1)*(Data_Nhập[Main SKU name_GOM]=$A6)*(Data_Nhập[SKU name_NHẬP_GOM]=AP$3)),SUMPRODUCT(Data_Nhập[Tổng Nhập-NX]*(Data_Nhập[Year]=AP$1)*(Data_Nhập[Month]=AP$2)*(Data_Nhập[Main SKU name_GOM]=$A6)*(Data_Nhập[SKU name_NHẬP_GOM]=AP$3)))</f>
        <v>38500</v>
      </c>
      <c r="AQ6" s="29" cm="1">
        <f t="array" ref="AQ6">IF(AQ$2="FY",SUMPRODUCT(Data_Nhập[Tổng Nhập-NX]*(Data_Nhập[Year]=AQ$1)*(Data_Nhập[Main SKU name_GOM]=$A6)*(Data_Nhập[SKU name_NHẬP_GOM]=AQ$3)),SUMPRODUCT(Data_Nhập[Tổng Nhập-NX]*(Data_Nhập[Year]=AQ$1)*(Data_Nhập[Month]=AQ$2)*(Data_Nhập[Main SKU name_GOM]=$A6)*(Data_Nhập[SKU name_NHẬP_GOM]=AQ$3)))</f>
        <v>2200</v>
      </c>
      <c r="AR6" s="29" cm="1">
        <f t="array" ref="AR6">IF(AR$2="FY",SUMPRODUCT(Data_Nhập[Tổng Nhập-NX]*(Data_Nhập[Year]=AR$1)*(Data_Nhập[Main SKU name_GOM]=$A6)*(Data_Nhập[SKU name_NHẬP_GOM]=AR$3)),SUMPRODUCT(Data_Nhập[Tổng Nhập-NX]*(Data_Nhập[Year]=AR$1)*(Data_Nhập[Month]=AR$2)*(Data_Nhập[Main SKU name_GOM]=$A6)*(Data_Nhập[SKU name_NHẬP_GOM]=AR$3)))</f>
        <v>6600</v>
      </c>
      <c r="AS6" s="29" cm="1">
        <f t="array" ref="AS6">IF(AS$2="FY",SUMPRODUCT(Data_Nhập[Tổng Nhập-NX]*(Data_Nhập[Year]=AS$1)*(Data_Nhập[Main SKU name_GOM]=$A6)*(Data_Nhập[SKU name_NHẬP_GOM]=AS$3)),SUMPRODUCT(Data_Nhập[Tổng Nhập-NX]*(Data_Nhập[Year]=AS$1)*(Data_Nhập[Month]=AS$2)*(Data_Nhập[Main SKU name_GOM]=$A6)*(Data_Nhập[SKU name_NHẬP_GOM]=AS$3)))</f>
        <v>2200</v>
      </c>
      <c r="AT6" s="29" cm="1">
        <f t="array" ref="AT6">IF(AT$2="FY",SUMPRODUCT(Data_Nhập[Tổng Nhập-NX]*(Data_Nhập[Year]=AT$1)*(Data_Nhập[Main SKU name_GOM]=$A6)*(Data_Nhập[SKU name_NHẬP_GOM]=AT$3)),SUMPRODUCT(Data_Nhập[Tổng Nhập-NX]*(Data_Nhập[Year]=AT$1)*(Data_Nhập[Month]=AT$2)*(Data_Nhập[Main SKU name_GOM]=$A6)*(Data_Nhập[SKU name_NHẬP_GOM]=AT$3)))</f>
        <v>0</v>
      </c>
      <c r="AU6" s="29" cm="1">
        <f t="array" ref="AU6">IF(AU$2="FY",SUMPRODUCT(Data_Nhập[Tổng Nhập-NX]*(Data_Nhập[Year]=AU$1)*(Data_Nhập[Main SKU name_GOM]=$A6)*(Data_Nhập[SKU name_NHẬP_GOM]=AU$3)),SUMPRODUCT(Data_Nhập[Tổng Nhập-NX]*(Data_Nhập[Year]=AU$1)*(Data_Nhập[Month]=AU$2)*(Data_Nhập[Main SKU name_GOM]=$A6)*(Data_Nhập[SKU name_NHẬP_GOM]=AU$3)))</f>
        <v>0</v>
      </c>
      <c r="AV6" s="29" cm="1">
        <f t="array" ref="AV6">IF(AV$2="FY",SUMPRODUCT(Data_Nhập[Tổng Nhập-NX]*(Data_Nhập[Year]=AV$1)*(Data_Nhập[Main SKU name_GOM]=$A6)*(Data_Nhập[SKU name_NHẬP_GOM]=AV$3)),SUMPRODUCT(Data_Nhập[Tổng Nhập-NX]*(Data_Nhập[Year]=AV$1)*(Data_Nhập[Month]=AV$2)*(Data_Nhập[Main SKU name_GOM]=$A6)*(Data_Nhập[SKU name_NHẬP_GOM]=AV$3)))</f>
        <v>0</v>
      </c>
      <c r="AW6" s="29" cm="1">
        <f t="array" ref="AW6">IF(AW$2="FY",SUMPRODUCT(Data_Nhập[Tổng Nhập-NX]*(Data_Nhập[Year]=AW$1)*(Data_Nhập[Main SKU name_GOM]=$A6)*(Data_Nhập[SKU name_NHẬP_GOM]=AW$3)),SUMPRODUCT(Data_Nhập[Tổng Nhập-NX]*(Data_Nhập[Year]=AW$1)*(Data_Nhập[Month]=AW$2)*(Data_Nhập[Main SKU name_GOM]=$A6)*(Data_Nhập[SKU name_NHẬP_GOM]=AW$3)))</f>
        <v>0</v>
      </c>
      <c r="AX6" s="29" cm="1">
        <f t="array" ref="AX6">IF(AX$2="FY",SUMPRODUCT(Data_Nhập[Tổng Nhập-NX]*(Data_Nhập[Year]=AX$1)*(Data_Nhập[Main SKU name_GOM]=$A6)*(Data_Nhập[SKU name_NHẬP_GOM]=AX$3)),SUMPRODUCT(Data_Nhập[Tổng Nhập-NX]*(Data_Nhập[Year]=AX$1)*(Data_Nhập[Month]=AX$2)*(Data_Nhập[Main SKU name_GOM]=$A6)*(Data_Nhập[SKU name_NHẬP_GOM]=AX$3)))</f>
        <v>0</v>
      </c>
      <c r="AY6" s="29" cm="1">
        <f t="array" ref="AY6">IF(AY$2="FY",SUMPRODUCT(Data_Nhập[Tổng Nhập-NX]*(Data_Nhập[Year]=AY$1)*(Data_Nhập[Main SKU name_GOM]=$A6)*(Data_Nhập[SKU name_NHẬP_GOM]=AY$3)),SUMPRODUCT(Data_Nhập[Tổng Nhập-NX]*(Data_Nhập[Year]=AY$1)*(Data_Nhập[Month]=AY$2)*(Data_Nhập[Main SKU name_GOM]=$A6)*(Data_Nhập[SKU name_NHẬP_GOM]=AY$3)))</f>
        <v>0</v>
      </c>
      <c r="AZ6" s="29" cm="1">
        <f t="array" ref="AZ6">IF(AZ$2="FY",SUMPRODUCT(Data_Nhập[Tổng Nhập-NX]*(Data_Nhập[Year]=AZ$1)*(Data_Nhập[Main SKU name_GOM]=$A6)*(Data_Nhập[SKU name_NHẬP_GOM]=AZ$3)),SUMPRODUCT(Data_Nhập[Tổng Nhập-NX]*(Data_Nhập[Year]=AZ$1)*(Data_Nhập[Month]=AZ$2)*(Data_Nhập[Main SKU name_GOM]=$A6)*(Data_Nhập[SKU name_NHẬP_GOM]=AZ$3)))</f>
        <v>0</v>
      </c>
      <c r="BA6" s="29" cm="1">
        <f t="array" ref="BA6">IF(BA$2="FY",SUMPRODUCT(Data_Nhập[Tổng Nhập-NX]*(Data_Nhập[Year]=BA$1)*(Data_Nhập[Main SKU name_GOM]=$A6)*(Data_Nhập[SKU name_NHẬP_GOM]=BA$3)),SUMPRODUCT(Data_Nhập[Tổng Nhập-NX]*(Data_Nhập[Year]=BA$1)*(Data_Nhập[Month]=BA$2)*(Data_Nhập[Main SKU name_GOM]=$A6)*(Data_Nhập[SKU name_NHẬP_GOM]=BA$3)))</f>
        <v>0</v>
      </c>
      <c r="BB6" s="29" cm="1">
        <f t="array" ref="BB6">IF(BB$2="FY",SUMPRODUCT(Data_Nhập[Tổng Nhập-NX]*(Data_Nhập[Year]=BB$1)*(Data_Nhập[Main SKU name_GOM]=$A6)*(Data_Nhập[SKU name_NHẬP_GOM]=BB$3)),SUMPRODUCT(Data_Nhập[Tổng Nhập-NX]*(Data_Nhập[Year]=BB$1)*(Data_Nhập[Month]=BB$2)*(Data_Nhập[Main SKU name_GOM]=$A6)*(Data_Nhập[SKU name_NHẬP_GOM]=BB$3)))</f>
        <v>10395</v>
      </c>
      <c r="BC6" s="29" cm="1">
        <f t="array" ref="BC6">IF(BC$2="FY",SUMPRODUCT(Data_Nhập[Tổng Nhập-NX]*(Data_Nhập[Year]=BC$1)*(Data_Nhập[Main SKU name_GOM]=$A6)*(Data_Nhập[SKU name_NHẬP_GOM]=BC$3)),SUMPRODUCT(Data_Nhập[Tổng Nhập-NX]*(Data_Nhập[Year]=BC$1)*(Data_Nhập[Month]=BC$2)*(Data_Nhập[Main SKU name_GOM]=$A6)*(Data_Nhập[SKU name_NHẬP_GOM]=BC$3)))</f>
        <v>0</v>
      </c>
      <c r="BD6" s="30">
        <f>SUM(AO6:BC6)</f>
        <v>292128</v>
      </c>
      <c r="BF6" s="30" cm="1">
        <f t="array" ref="BF6">IF(BF$2="FY",SUMPRODUCT(Data_Xuất[Xuất-NX]*(Data_Xuất[Year]=BF$1)*(Data_Xuất[Main SKU name_GOM]=$A6)),SUMPRODUCT(Data_Xuất[Xuất-NX]*(Data_Xuất[Year]=BF$1)*(Data_Xuất[Main SKU name_GOM]=$A6)*(Data_Xuất[Month]=BF$2)))</f>
        <v>41999.999999999993</v>
      </c>
      <c r="BG6" s="29" cm="1">
        <f t="array" ref="BG6">IF(BG$2="FY",SUMPRODUCT(Data_Nhập[Tổng Nhập-NX]*(Data_Nhập[Year]=BG$1)*(Data_Nhập[Main SKU name_GOM]=$A6)*(Data_Nhập[SKU name_NHẬP_GOM]=BG$3)),SUMPRODUCT(Data_Nhập[Tổng Nhập-NX]*(Data_Nhập[Year]=BG$1)*(Data_Nhập[Month]=BG$2)*(Data_Nhập[Main SKU name_GOM]=$A6)*(Data_Nhập[SKU name_NHẬP_GOM]=BG$3)))</f>
        <v>28600</v>
      </c>
      <c r="BH6" s="29" cm="1">
        <f t="array" ref="BH6">IF(BH$2="FY",SUMPRODUCT(Data_Nhập[Tổng Nhập-NX]*(Data_Nhập[Year]=BH$1)*(Data_Nhập[Main SKU name_GOM]=$A6)*(Data_Nhập[SKU name_NHẬP_GOM]=BH$3)),SUMPRODUCT(Data_Nhập[Tổng Nhập-NX]*(Data_Nhập[Year]=BH$1)*(Data_Nhập[Month]=BH$2)*(Data_Nhập[Main SKU name_GOM]=$A6)*(Data_Nhập[SKU name_NHẬP_GOM]=BH$3)))</f>
        <v>9900</v>
      </c>
      <c r="BI6" s="29" cm="1">
        <f t="array" ref="BI6">IF(BI$2="FY",SUMPRODUCT(Data_Nhập[Tổng Nhập-NX]*(Data_Nhập[Year]=BI$1)*(Data_Nhập[Main SKU name_GOM]=$A6)*(Data_Nhập[SKU name_NHẬP_GOM]=BI$3)),SUMPRODUCT(Data_Nhập[Tổng Nhập-NX]*(Data_Nhập[Year]=BI$1)*(Data_Nhập[Month]=BI$2)*(Data_Nhập[Main SKU name_GOM]=$A6)*(Data_Nhập[SKU name_NHẬP_GOM]=BI$3)))</f>
        <v>1100</v>
      </c>
      <c r="BJ6" s="29" cm="1">
        <f t="array" ref="BJ6">IF(BJ$2="FY",SUMPRODUCT(Data_Nhập[Tổng Nhập-NX]*(Data_Nhập[Year]=BJ$1)*(Data_Nhập[Main SKU name_GOM]=$A6)*(Data_Nhập[SKU name_NHẬP_GOM]=BJ$3)),SUMPRODUCT(Data_Nhập[Tổng Nhập-NX]*(Data_Nhập[Year]=BJ$1)*(Data_Nhập[Month]=BJ$2)*(Data_Nhập[Main SKU name_GOM]=$A6)*(Data_Nhập[SKU name_NHẬP_GOM]=BJ$3)))</f>
        <v>0</v>
      </c>
      <c r="BK6" s="29" cm="1">
        <f t="array" ref="BK6">IF(BK$2="FY",SUMPRODUCT(Data_Nhập[Tổng Nhập-NX]*(Data_Nhập[Year]=BK$1)*(Data_Nhập[Main SKU name_GOM]=$A6)*(Data_Nhập[SKU name_NHẬP_GOM]=BK$3)),SUMPRODUCT(Data_Nhập[Tổng Nhập-NX]*(Data_Nhập[Year]=BK$1)*(Data_Nhập[Month]=BK$2)*(Data_Nhập[Main SKU name_GOM]=$A6)*(Data_Nhập[SKU name_NHẬP_GOM]=BK$3)))</f>
        <v>2200</v>
      </c>
      <c r="BL6" s="29" cm="1">
        <f t="array" ref="BL6">IF(BL$2="FY",SUMPRODUCT(Data_Nhập[Tổng Nhập-NX]*(Data_Nhập[Year]=BL$1)*(Data_Nhập[Main SKU name_GOM]=$A6)*(Data_Nhập[SKU name_NHẬP_GOM]=BL$3)),SUMPRODUCT(Data_Nhập[Tổng Nhập-NX]*(Data_Nhập[Year]=BL$1)*(Data_Nhập[Month]=BL$2)*(Data_Nhập[Main SKU name_GOM]=$A6)*(Data_Nhập[SKU name_NHẬP_GOM]=BL$3)))</f>
        <v>0</v>
      </c>
      <c r="BM6" s="29" cm="1">
        <f t="array" ref="BM6">IF(BM$2="FY",SUMPRODUCT(Data_Nhập[Tổng Nhập-NX]*(Data_Nhập[Year]=BM$1)*(Data_Nhập[Main SKU name_GOM]=$A6)*(Data_Nhập[SKU name_NHẬP_GOM]=BM$3)),SUMPRODUCT(Data_Nhập[Tổng Nhập-NX]*(Data_Nhập[Year]=BM$1)*(Data_Nhập[Month]=BM$2)*(Data_Nhập[Main SKU name_GOM]=$A6)*(Data_Nhập[SKU name_NHẬP_GOM]=BM$3)))</f>
        <v>0</v>
      </c>
      <c r="BN6" s="29" cm="1">
        <f t="array" ref="BN6">IF(BN$2="FY",SUMPRODUCT(Data_Nhập[Tổng Nhập-NX]*(Data_Nhập[Year]=BN$1)*(Data_Nhập[Main SKU name_GOM]=$A6)*(Data_Nhập[SKU name_NHẬP_GOM]=BN$3)),SUMPRODUCT(Data_Nhập[Tổng Nhập-NX]*(Data_Nhập[Year]=BN$1)*(Data_Nhập[Month]=BN$2)*(Data_Nhập[Main SKU name_GOM]=$A6)*(Data_Nhập[SKU name_NHẬP_GOM]=BN$3)))</f>
        <v>0</v>
      </c>
      <c r="BO6" s="29" cm="1">
        <f t="array" ref="BO6">IF(BO$2="FY",SUMPRODUCT(Data_Nhập[Tổng Nhập-NX]*(Data_Nhập[Year]=BO$1)*(Data_Nhập[Main SKU name_GOM]=$A6)*(Data_Nhập[SKU name_NHẬP_GOM]=BO$3)),SUMPRODUCT(Data_Nhập[Tổng Nhập-NX]*(Data_Nhập[Year]=BO$1)*(Data_Nhập[Month]=BO$2)*(Data_Nhập[Main SKU name_GOM]=$A6)*(Data_Nhập[SKU name_NHẬP_GOM]=BO$3)))</f>
        <v>0</v>
      </c>
      <c r="BP6" s="29" cm="1">
        <f t="array" ref="BP6">IF(BP$2="FY",SUMPRODUCT(Data_Nhập[Tổng Nhập-NX]*(Data_Nhập[Year]=BP$1)*(Data_Nhập[Main SKU name_GOM]=$A6)*(Data_Nhập[SKU name_NHẬP_GOM]=BP$3)),SUMPRODUCT(Data_Nhập[Tổng Nhập-NX]*(Data_Nhập[Year]=BP$1)*(Data_Nhập[Month]=BP$2)*(Data_Nhập[Main SKU name_GOM]=$A6)*(Data_Nhập[SKU name_NHẬP_GOM]=BP$3)))</f>
        <v>0</v>
      </c>
      <c r="BQ6" s="29" cm="1">
        <f t="array" ref="BQ6">IF(BQ$2="FY",SUMPRODUCT(Data_Nhập[Tổng Nhập-NX]*(Data_Nhập[Year]=BQ$1)*(Data_Nhập[Main SKU name_GOM]=$A6)*(Data_Nhập[SKU name_NHẬP_GOM]=BQ$3)),SUMPRODUCT(Data_Nhập[Tổng Nhập-NX]*(Data_Nhập[Year]=BQ$1)*(Data_Nhập[Month]=BQ$2)*(Data_Nhập[Main SKU name_GOM]=$A6)*(Data_Nhập[SKU name_NHẬP_GOM]=BQ$3)))</f>
        <v>0</v>
      </c>
      <c r="BR6" s="29" cm="1">
        <f t="array" ref="BR6">IF(BR$2="FY",SUMPRODUCT(Data_Nhập[Tổng Nhập-NX]*(Data_Nhập[Year]=BR$1)*(Data_Nhập[Main SKU name_GOM]=$A6)*(Data_Nhập[SKU name_NHẬP_GOM]=BR$3)),SUMPRODUCT(Data_Nhập[Tổng Nhập-NX]*(Data_Nhập[Year]=BR$1)*(Data_Nhập[Month]=BR$2)*(Data_Nhập[Main SKU name_GOM]=$A6)*(Data_Nhập[SKU name_NHẬP_GOM]=BR$3)))</f>
        <v>0</v>
      </c>
      <c r="BS6" s="29" cm="1">
        <f t="array" ref="BS6">IF(BS$2="FY",SUMPRODUCT(Data_Nhập[Tổng Nhập-NX]*(Data_Nhập[Year]=BS$1)*(Data_Nhập[Main SKU name_GOM]=$A6)*(Data_Nhập[SKU name_NHẬP_GOM]=BS$3)),SUMPRODUCT(Data_Nhập[Tổng Nhập-NX]*(Data_Nhập[Year]=BS$1)*(Data_Nhập[Month]=BS$2)*(Data_Nhập[Main SKU name_GOM]=$A6)*(Data_Nhập[SKU name_NHẬP_GOM]=BS$3)))</f>
        <v>0</v>
      </c>
      <c r="BT6" s="29" cm="1">
        <f t="array" ref="BT6">IF(BT$2="FY",SUMPRODUCT(Data_Nhập[Tổng Nhập-NX]*(Data_Nhập[Year]=BT$1)*(Data_Nhập[Main SKU name_GOM]=$A6)*(Data_Nhập[SKU name_NHẬP_GOM]=BT$3)),SUMPRODUCT(Data_Nhập[Tổng Nhập-NX]*(Data_Nhập[Year]=BT$1)*(Data_Nhập[Month]=BT$2)*(Data_Nhập[Main SKU name_GOM]=$A6)*(Data_Nhập[SKU name_NHẬP_GOM]=BT$3)))</f>
        <v>414</v>
      </c>
      <c r="BU6" s="29" cm="1">
        <f t="array" ref="BU6">IF(BU$2="FY",SUMPRODUCT(Data_Nhập[Tổng Nhập-NX]*(Data_Nhập[Year]=BU$1)*(Data_Nhập[Main SKU name_GOM]=$A6)*(Data_Nhập[SKU name_NHẬP_GOM]=BU$3)),SUMPRODUCT(Data_Nhập[Tổng Nhập-NX]*(Data_Nhập[Year]=BU$1)*(Data_Nhập[Month]=BU$2)*(Data_Nhập[Main SKU name_GOM]=$A6)*(Data_Nhập[SKU name_NHẬP_GOM]=BU$3)))</f>
        <v>0</v>
      </c>
      <c r="BV6" s="30">
        <f>SUM(BG6:BU6)</f>
        <v>42214</v>
      </c>
      <c r="BX6" s="30" cm="1">
        <f t="array" ref="BX6">IF(BX$2="FY",SUMPRODUCT(Data_Xuất[Xuất-NX]*(Data_Xuất[Year]=BX$1)*(Data_Xuất[Main SKU name_GOM]=$A6)),SUMPRODUCT(Data_Xuất[Xuất-NX]*(Data_Xuất[Year]=BX$1)*(Data_Xuất[Main SKU name_GOM]=$A6)*(Data_Xuất[Month]=BX$2)))</f>
        <v>142400.00000000003</v>
      </c>
      <c r="BY6" s="29" cm="1">
        <f t="array" ref="BY6">IF(BY$2="FY",SUMPRODUCT(Data_Nhập[Tổng Nhập-NX]*(Data_Nhập[Year]=BY$1)*(Data_Nhập[Main SKU name_GOM]=$A6)*(Data_Nhập[SKU name_NHẬP_GOM]=BY$3)),SUMPRODUCT(Data_Nhập[Tổng Nhập-NX]*(Data_Nhập[Year]=BY$1)*(Data_Nhập[Month]=BY$2)*(Data_Nhập[Main SKU name_GOM]=$A6)*(Data_Nhập[SKU name_NHẬP_GOM]=BY$3)))</f>
        <v>126500.00000000001</v>
      </c>
      <c r="BZ6" s="29" cm="1">
        <f t="array" ref="BZ6">IF(BZ$2="FY",SUMPRODUCT(Data_Nhập[Tổng Nhập-NX]*(Data_Nhập[Year]=BZ$1)*(Data_Nhập[Main SKU name_GOM]=$A6)*(Data_Nhập[SKU name_NHẬP_GOM]=BZ$3)),SUMPRODUCT(Data_Nhập[Tổng Nhập-NX]*(Data_Nhập[Year]=BZ$1)*(Data_Nhập[Month]=BZ$2)*(Data_Nhập[Main SKU name_GOM]=$A6)*(Data_Nhập[SKU name_NHẬP_GOM]=BZ$3)))</f>
        <v>7700</v>
      </c>
      <c r="CA6" s="29" cm="1">
        <f t="array" ref="CA6">IF(CA$2="FY",SUMPRODUCT(Data_Nhập[Tổng Nhập-NX]*(Data_Nhập[Year]=CA$1)*(Data_Nhập[Main SKU name_GOM]=$A6)*(Data_Nhập[SKU name_NHẬP_GOM]=CA$3)),SUMPRODUCT(Data_Nhập[Tổng Nhập-NX]*(Data_Nhập[Year]=CA$1)*(Data_Nhập[Month]=CA$2)*(Data_Nhập[Main SKU name_GOM]=$A6)*(Data_Nhập[SKU name_NHẬP_GOM]=CA$3)))</f>
        <v>0</v>
      </c>
      <c r="CB6" s="29" cm="1">
        <f t="array" ref="CB6">IF(CB$2="FY",SUMPRODUCT(Data_Nhập[Tổng Nhập-NX]*(Data_Nhập[Year]=CB$1)*(Data_Nhập[Main SKU name_GOM]=$A6)*(Data_Nhập[SKU name_NHẬP_GOM]=CB$3)),SUMPRODUCT(Data_Nhập[Tổng Nhập-NX]*(Data_Nhập[Year]=CB$1)*(Data_Nhập[Month]=CB$2)*(Data_Nhập[Main SKU name_GOM]=$A6)*(Data_Nhập[SKU name_NHẬP_GOM]=CB$3)))</f>
        <v>0</v>
      </c>
      <c r="CC6" s="29" cm="1">
        <f t="array" ref="CC6">IF(CC$2="FY",SUMPRODUCT(Data_Nhập[Tổng Nhập-NX]*(Data_Nhập[Year]=CC$1)*(Data_Nhập[Main SKU name_GOM]=$A6)*(Data_Nhập[SKU name_NHẬP_GOM]=CC$3)),SUMPRODUCT(Data_Nhập[Tổng Nhập-NX]*(Data_Nhập[Year]=CC$1)*(Data_Nhập[Month]=CC$2)*(Data_Nhập[Main SKU name_GOM]=$A6)*(Data_Nhập[SKU name_NHẬP_GOM]=CC$3)))</f>
        <v>0</v>
      </c>
      <c r="CD6" s="29" cm="1">
        <f t="array" ref="CD6">IF(CD$2="FY",SUMPRODUCT(Data_Nhập[Tổng Nhập-NX]*(Data_Nhập[Year]=CD$1)*(Data_Nhập[Main SKU name_GOM]=$A6)*(Data_Nhập[SKU name_NHẬP_GOM]=CD$3)),SUMPRODUCT(Data_Nhập[Tổng Nhập-NX]*(Data_Nhập[Year]=CD$1)*(Data_Nhập[Month]=CD$2)*(Data_Nhập[Main SKU name_GOM]=$A6)*(Data_Nhập[SKU name_NHẬP_GOM]=CD$3)))</f>
        <v>0</v>
      </c>
      <c r="CE6" s="29" cm="1">
        <f t="array" ref="CE6">IF(CE$2="FY",SUMPRODUCT(Data_Nhập[Tổng Nhập-NX]*(Data_Nhập[Year]=CE$1)*(Data_Nhập[Main SKU name_GOM]=$A6)*(Data_Nhập[SKU name_NHẬP_GOM]=CE$3)),SUMPRODUCT(Data_Nhập[Tổng Nhập-NX]*(Data_Nhập[Year]=CE$1)*(Data_Nhập[Month]=CE$2)*(Data_Nhập[Main SKU name_GOM]=$A6)*(Data_Nhập[SKU name_NHẬP_GOM]=CE$3)))</f>
        <v>0</v>
      </c>
      <c r="CF6" s="29" cm="1">
        <f t="array" ref="CF6">IF(CF$2="FY",SUMPRODUCT(Data_Nhập[Tổng Nhập-NX]*(Data_Nhập[Year]=CF$1)*(Data_Nhập[Main SKU name_GOM]=$A6)*(Data_Nhập[SKU name_NHẬP_GOM]=CF$3)),SUMPRODUCT(Data_Nhập[Tổng Nhập-NX]*(Data_Nhập[Year]=CF$1)*(Data_Nhập[Month]=CF$2)*(Data_Nhập[Main SKU name_GOM]=$A6)*(Data_Nhập[SKU name_NHẬP_GOM]=CF$3)))</f>
        <v>0</v>
      </c>
      <c r="CG6" s="29" cm="1">
        <f t="array" ref="CG6">IF(CG$2="FY",SUMPRODUCT(Data_Nhập[Tổng Nhập-NX]*(Data_Nhập[Year]=CG$1)*(Data_Nhập[Main SKU name_GOM]=$A6)*(Data_Nhập[SKU name_NHẬP_GOM]=CG$3)),SUMPRODUCT(Data_Nhập[Tổng Nhập-NX]*(Data_Nhập[Year]=CG$1)*(Data_Nhập[Month]=CG$2)*(Data_Nhập[Main SKU name_GOM]=$A6)*(Data_Nhập[SKU name_NHẬP_GOM]=CG$3)))</f>
        <v>0</v>
      </c>
      <c r="CH6" s="29" cm="1">
        <f t="array" ref="CH6">IF(CH$2="FY",SUMPRODUCT(Data_Nhập[Tổng Nhập-NX]*(Data_Nhập[Year]=CH$1)*(Data_Nhập[Main SKU name_GOM]=$A6)*(Data_Nhập[SKU name_NHẬP_GOM]=CH$3)),SUMPRODUCT(Data_Nhập[Tổng Nhập-NX]*(Data_Nhập[Year]=CH$1)*(Data_Nhập[Month]=CH$2)*(Data_Nhập[Main SKU name_GOM]=$A6)*(Data_Nhập[SKU name_NHẬP_GOM]=CH$3)))</f>
        <v>0</v>
      </c>
      <c r="CI6" s="29" cm="1">
        <f t="array" ref="CI6">IF(CI$2="FY",SUMPRODUCT(Data_Nhập[Tổng Nhập-NX]*(Data_Nhập[Year]=CI$1)*(Data_Nhập[Main SKU name_GOM]=$A6)*(Data_Nhập[SKU name_NHẬP_GOM]=CI$3)),SUMPRODUCT(Data_Nhập[Tổng Nhập-NX]*(Data_Nhập[Year]=CI$1)*(Data_Nhập[Month]=CI$2)*(Data_Nhập[Main SKU name_GOM]=$A6)*(Data_Nhập[SKU name_NHẬP_GOM]=CI$3)))</f>
        <v>0</v>
      </c>
      <c r="CJ6" s="29" cm="1">
        <f t="array" ref="CJ6">IF(CJ$2="FY",SUMPRODUCT(Data_Nhập[Tổng Nhập-NX]*(Data_Nhập[Year]=CJ$1)*(Data_Nhập[Main SKU name_GOM]=$A6)*(Data_Nhập[SKU name_NHẬP_GOM]=CJ$3)),SUMPRODUCT(Data_Nhập[Tổng Nhập-NX]*(Data_Nhập[Year]=CJ$1)*(Data_Nhập[Month]=CJ$2)*(Data_Nhập[Main SKU name_GOM]=$A6)*(Data_Nhập[SKU name_NHẬP_GOM]=CJ$3)))</f>
        <v>0</v>
      </c>
      <c r="CK6" s="29" cm="1">
        <f t="array" ref="CK6">IF(CK$2="FY",SUMPRODUCT(Data_Nhập[Tổng Nhập-NX]*(Data_Nhập[Year]=CK$1)*(Data_Nhập[Main SKU name_GOM]=$A6)*(Data_Nhập[SKU name_NHẬP_GOM]=CK$3)),SUMPRODUCT(Data_Nhập[Tổng Nhập-NX]*(Data_Nhập[Year]=CK$1)*(Data_Nhập[Month]=CK$2)*(Data_Nhập[Main SKU name_GOM]=$A6)*(Data_Nhập[SKU name_NHẬP_GOM]=CK$3)))</f>
        <v>0</v>
      </c>
      <c r="CL6" s="29" cm="1">
        <f t="array" ref="CL6">IF(CL$2="FY",SUMPRODUCT(Data_Nhập[Tổng Nhập-NX]*(Data_Nhập[Year]=CL$1)*(Data_Nhập[Main SKU name_GOM]=$A6)*(Data_Nhập[SKU name_NHẬP_GOM]=CL$3)),SUMPRODUCT(Data_Nhập[Tổng Nhập-NX]*(Data_Nhập[Year]=CL$1)*(Data_Nhập[Month]=CL$2)*(Data_Nhập[Main SKU name_GOM]=$A6)*(Data_Nhập[SKU name_NHẬP_GOM]=CL$3)))</f>
        <v>5040</v>
      </c>
      <c r="CM6" s="29" cm="1">
        <f t="array" ref="CM6">IF(CM$2="FY",SUMPRODUCT(Data_Nhập[Tổng Nhập-NX]*(Data_Nhập[Year]=CM$1)*(Data_Nhập[Main SKU name_GOM]=$A6)*(Data_Nhập[SKU name_NHẬP_GOM]=CM$3)),SUMPRODUCT(Data_Nhập[Tổng Nhập-NX]*(Data_Nhập[Year]=CM$1)*(Data_Nhập[Month]=CM$2)*(Data_Nhập[Main SKU name_GOM]=$A6)*(Data_Nhập[SKU name_NHẬP_GOM]=CM$3)))</f>
        <v>0</v>
      </c>
      <c r="CN6" s="30">
        <f>SUM(BY6:CM6)</f>
        <v>139240</v>
      </c>
      <c r="CP6" s="30" cm="1">
        <f t="array" ref="CP6">IF(CP$2="FY",SUMPRODUCT(Data_Xuất[Xuất-NX]*(Data_Xuất[Year]=CP$1)*(Data_Xuất[Main SKU name_GOM]=$A6)),SUMPRODUCT(Data_Xuất[Xuất-NX]*(Data_Xuất[Year]=CP$1)*(Data_Xuất[Main SKU name_GOM]=$A6)*(Data_Xuất[Month]=CP$2)))</f>
        <v>260800.00000000006</v>
      </c>
      <c r="CQ6" s="29" cm="1">
        <f t="array" ref="CQ6">IF(CQ$2="FY",SUMPRODUCT(Data_Nhập[Tổng Nhập-NX]*(Data_Nhập[Year]=CQ$1)*(Data_Nhập[Main SKU name_GOM]=$A6)*(Data_Nhập[SKU name_NHẬP_GOM]=CQ$3)),SUMPRODUCT(Data_Nhập[Tổng Nhập-NX]*(Data_Nhập[Year]=CQ$1)*(Data_Nhập[Month]=CQ$2)*(Data_Nhập[Main SKU name_GOM]=$A6)*(Data_Nhập[SKU name_NHẬP_GOM]=CQ$3)))</f>
        <v>196900</v>
      </c>
      <c r="CR6" s="29" cm="1">
        <f t="array" ref="CR6">IF(CR$2="FY",SUMPRODUCT(Data_Nhập[Tổng Nhập-NX]*(Data_Nhập[Year]=CR$1)*(Data_Nhập[Main SKU name_GOM]=$A6)*(Data_Nhập[SKU name_NHẬP_GOM]=CR$3)),SUMPRODUCT(Data_Nhập[Tổng Nhập-NX]*(Data_Nhập[Year]=CR$1)*(Data_Nhập[Month]=CR$2)*(Data_Nhập[Main SKU name_GOM]=$A6)*(Data_Nhập[SKU name_NHẬP_GOM]=CR$3)))</f>
        <v>42900</v>
      </c>
      <c r="CS6" s="29" cm="1">
        <f t="array" ref="CS6">IF(CS$2="FY",SUMPRODUCT(Data_Nhập[Tổng Nhập-NX]*(Data_Nhập[Year]=CS$1)*(Data_Nhập[Main SKU name_GOM]=$A6)*(Data_Nhập[SKU name_NHẬP_GOM]=CS$3)),SUMPRODUCT(Data_Nhập[Tổng Nhập-NX]*(Data_Nhập[Year]=CS$1)*(Data_Nhập[Month]=CS$2)*(Data_Nhập[Main SKU name_GOM]=$A6)*(Data_Nhập[SKU name_NHẬP_GOM]=CS$3)))</f>
        <v>0</v>
      </c>
      <c r="CT6" s="29" cm="1">
        <f t="array" ref="CT6">IF(CT$2="FY",SUMPRODUCT(Data_Nhập[Tổng Nhập-NX]*(Data_Nhập[Year]=CT$1)*(Data_Nhập[Main SKU name_GOM]=$A6)*(Data_Nhập[SKU name_NHẬP_GOM]=CT$3)),SUMPRODUCT(Data_Nhập[Tổng Nhập-NX]*(Data_Nhập[Year]=CT$1)*(Data_Nhập[Month]=CT$2)*(Data_Nhập[Main SKU name_GOM]=$A6)*(Data_Nhập[SKU name_NHẬP_GOM]=CT$3)))</f>
        <v>4400</v>
      </c>
      <c r="CU6" s="29" cm="1">
        <f t="array" ref="CU6">IF(CU$2="FY",SUMPRODUCT(Data_Nhập[Tổng Nhập-NX]*(Data_Nhập[Year]=CU$1)*(Data_Nhập[Main SKU name_GOM]=$A6)*(Data_Nhập[SKU name_NHẬP_GOM]=CU$3)),SUMPRODUCT(Data_Nhập[Tổng Nhập-NX]*(Data_Nhập[Year]=CU$1)*(Data_Nhập[Month]=CU$2)*(Data_Nhập[Main SKU name_GOM]=$A6)*(Data_Nhập[SKU name_NHẬP_GOM]=CU$3)))</f>
        <v>5500</v>
      </c>
      <c r="CV6" s="29" cm="1">
        <f t="array" ref="CV6">IF(CV$2="FY",SUMPRODUCT(Data_Nhập[Tổng Nhập-NX]*(Data_Nhập[Year]=CV$1)*(Data_Nhập[Main SKU name_GOM]=$A6)*(Data_Nhập[SKU name_NHẬP_GOM]=CV$3)),SUMPRODUCT(Data_Nhập[Tổng Nhập-NX]*(Data_Nhập[Year]=CV$1)*(Data_Nhập[Month]=CV$2)*(Data_Nhập[Main SKU name_GOM]=$A6)*(Data_Nhập[SKU name_NHẬP_GOM]=CV$3)))</f>
        <v>0</v>
      </c>
      <c r="CW6" s="29" cm="1">
        <f t="array" ref="CW6">IF(CW$2="FY",SUMPRODUCT(Data_Nhập[Tổng Nhập-NX]*(Data_Nhập[Year]=CW$1)*(Data_Nhập[Main SKU name_GOM]=$A6)*(Data_Nhập[SKU name_NHẬP_GOM]=CW$3)),SUMPRODUCT(Data_Nhập[Tổng Nhập-NX]*(Data_Nhập[Year]=CW$1)*(Data_Nhập[Month]=CW$2)*(Data_Nhập[Main SKU name_GOM]=$A6)*(Data_Nhập[SKU name_NHẬP_GOM]=CW$3)))</f>
        <v>0</v>
      </c>
      <c r="CX6" s="29" cm="1">
        <f t="array" ref="CX6">IF(CX$2="FY",SUMPRODUCT(Data_Nhập[Tổng Nhập-NX]*(Data_Nhập[Year]=CX$1)*(Data_Nhập[Main SKU name_GOM]=$A6)*(Data_Nhập[SKU name_NHẬP_GOM]=CX$3)),SUMPRODUCT(Data_Nhập[Tổng Nhập-NX]*(Data_Nhập[Year]=CX$1)*(Data_Nhập[Month]=CX$2)*(Data_Nhập[Main SKU name_GOM]=$A6)*(Data_Nhập[SKU name_NHẬP_GOM]=CX$3)))</f>
        <v>0</v>
      </c>
      <c r="CY6" s="29" cm="1">
        <f t="array" ref="CY6">IF(CY$2="FY",SUMPRODUCT(Data_Nhập[Tổng Nhập-NX]*(Data_Nhập[Year]=CY$1)*(Data_Nhập[Main SKU name_GOM]=$A6)*(Data_Nhập[SKU name_NHẬP_GOM]=CY$3)),SUMPRODUCT(Data_Nhập[Tổng Nhập-NX]*(Data_Nhập[Year]=CY$1)*(Data_Nhập[Month]=CY$2)*(Data_Nhập[Main SKU name_GOM]=$A6)*(Data_Nhập[SKU name_NHẬP_GOM]=CY$3)))</f>
        <v>0</v>
      </c>
      <c r="CZ6" s="29" cm="1">
        <f t="array" ref="CZ6">IF(CZ$2="FY",SUMPRODUCT(Data_Nhập[Tổng Nhập-NX]*(Data_Nhập[Year]=CZ$1)*(Data_Nhập[Main SKU name_GOM]=$A6)*(Data_Nhập[SKU name_NHẬP_GOM]=CZ$3)),SUMPRODUCT(Data_Nhập[Tổng Nhập-NX]*(Data_Nhập[Year]=CZ$1)*(Data_Nhập[Month]=CZ$2)*(Data_Nhập[Main SKU name_GOM]=$A6)*(Data_Nhập[SKU name_NHẬP_GOM]=CZ$3)))</f>
        <v>0</v>
      </c>
      <c r="DA6" s="29" cm="1">
        <f t="array" ref="DA6">IF(DA$2="FY",SUMPRODUCT(Data_Nhập[Tổng Nhập-NX]*(Data_Nhập[Year]=DA$1)*(Data_Nhập[Main SKU name_GOM]=$A6)*(Data_Nhập[SKU name_NHẬP_GOM]=DA$3)),SUMPRODUCT(Data_Nhập[Tổng Nhập-NX]*(Data_Nhập[Year]=DA$1)*(Data_Nhập[Month]=DA$2)*(Data_Nhập[Main SKU name_GOM]=$A6)*(Data_Nhập[SKU name_NHẬP_GOM]=DA$3)))</f>
        <v>0</v>
      </c>
      <c r="DB6" s="29" cm="1">
        <f t="array" ref="DB6">IF(DB$2="FY",SUMPRODUCT(Data_Nhập[Tổng Nhập-NX]*(Data_Nhập[Year]=DB$1)*(Data_Nhập[Main SKU name_GOM]=$A6)*(Data_Nhập[SKU name_NHẬP_GOM]=DB$3)),SUMPRODUCT(Data_Nhập[Tổng Nhập-NX]*(Data_Nhập[Year]=DB$1)*(Data_Nhập[Month]=DB$2)*(Data_Nhập[Main SKU name_GOM]=$A6)*(Data_Nhập[SKU name_NHẬP_GOM]=DB$3)))</f>
        <v>0</v>
      </c>
      <c r="DC6" s="29" cm="1">
        <f t="array" ref="DC6">IF(DC$2="FY",SUMPRODUCT(Data_Nhập[Tổng Nhập-NX]*(Data_Nhập[Year]=DC$1)*(Data_Nhập[Main SKU name_GOM]=$A6)*(Data_Nhập[SKU name_NHẬP_GOM]=DC$3)),SUMPRODUCT(Data_Nhập[Tổng Nhập-NX]*(Data_Nhập[Year]=DC$1)*(Data_Nhập[Month]=DC$2)*(Data_Nhập[Main SKU name_GOM]=$A6)*(Data_Nhập[SKU name_NHẬP_GOM]=DC$3)))</f>
        <v>0</v>
      </c>
      <c r="DD6" s="29" cm="1">
        <f t="array" ref="DD6">IF(DD$2="FY",SUMPRODUCT(Data_Nhập[Tổng Nhập-NX]*(Data_Nhập[Year]=DD$1)*(Data_Nhập[Main SKU name_GOM]=$A6)*(Data_Nhập[SKU name_NHẬP_GOM]=DD$3)),SUMPRODUCT(Data_Nhập[Tổng Nhập-NX]*(Data_Nhập[Year]=DD$1)*(Data_Nhập[Month]=DD$2)*(Data_Nhập[Main SKU name_GOM]=$A6)*(Data_Nhập[SKU name_NHẬP_GOM]=DD$3)))</f>
        <v>10084.5</v>
      </c>
      <c r="DE6" s="29" cm="1">
        <f t="array" ref="DE6">IF(DE$2="FY",SUMPRODUCT(Data_Nhập[Tổng Nhập-NX]*(Data_Nhập[Year]=DE$1)*(Data_Nhập[Main SKU name_GOM]=$A6)*(Data_Nhập[SKU name_NHẬP_GOM]=DE$3)),SUMPRODUCT(Data_Nhập[Tổng Nhập-NX]*(Data_Nhập[Year]=DE$1)*(Data_Nhập[Month]=DE$2)*(Data_Nhập[Main SKU name_GOM]=$A6)*(Data_Nhập[SKU name_NHẬP_GOM]=DE$3)))</f>
        <v>0</v>
      </c>
      <c r="DF6" s="30">
        <f>SUM(CQ6:DE6)</f>
        <v>259784.5</v>
      </c>
      <c r="DH6" s="30" cm="1">
        <f t="array" ref="DH6">IF(DH$2="FY",SUMPRODUCT(Data_Xuất[Xuất-NX]*(Data_Xuất[Year]=DH$1)*(Data_Xuất[Main SKU name_GOM]=$A6)),SUMPRODUCT(Data_Xuất[Xuất-NX]*(Data_Xuất[Year]=DH$1)*(Data_Xuất[Main SKU name_GOM]=$A6)*(Data_Xuất[Month]=DH$2)))</f>
        <v>248183.00000000006</v>
      </c>
      <c r="DI6" s="29" cm="1">
        <f t="array" ref="DI6">IF(DI$2="FY",SUMPRODUCT(Data_Nhập[Tổng Nhập-NX]*(Data_Nhập[Year]=DI$1)*(Data_Nhập[Main SKU name_GOM]=$A6)*(Data_Nhập[SKU name_NHẬP_GOM]=DI$3)),SUMPRODUCT(Data_Nhập[Tổng Nhập-NX]*(Data_Nhập[Year]=DI$1)*(Data_Nhập[Month]=DI$2)*(Data_Nhập[Main SKU name_GOM]=$A6)*(Data_Nhập[SKU name_NHẬP_GOM]=DI$3)))</f>
        <v>207900</v>
      </c>
      <c r="DJ6" s="29" cm="1">
        <f t="array" ref="DJ6">IF(DJ$2="FY",SUMPRODUCT(Data_Nhập[Tổng Nhập-NX]*(Data_Nhập[Year]=DJ$1)*(Data_Nhập[Main SKU name_GOM]=$A6)*(Data_Nhập[SKU name_NHẬP_GOM]=DJ$3)),SUMPRODUCT(Data_Nhập[Tổng Nhập-NX]*(Data_Nhập[Year]=DJ$1)*(Data_Nhập[Month]=DJ$2)*(Data_Nhập[Main SKU name_GOM]=$A6)*(Data_Nhập[SKU name_NHẬP_GOM]=DJ$3)))</f>
        <v>22000</v>
      </c>
      <c r="DK6" s="29" cm="1">
        <f t="array" ref="DK6">IF(DK$2="FY",SUMPRODUCT(Data_Nhập[Tổng Nhập-NX]*(Data_Nhập[Year]=DK$1)*(Data_Nhập[Main SKU name_GOM]=$A6)*(Data_Nhập[SKU name_NHẬP_GOM]=DK$3)),SUMPRODUCT(Data_Nhập[Tổng Nhập-NX]*(Data_Nhập[Year]=DK$1)*(Data_Nhập[Month]=DK$2)*(Data_Nhập[Main SKU name_GOM]=$A6)*(Data_Nhập[SKU name_NHẬP_GOM]=DK$3)))</f>
        <v>0</v>
      </c>
      <c r="DL6" s="29" cm="1">
        <f t="array" ref="DL6">IF(DL$2="FY",SUMPRODUCT(Data_Nhập[Tổng Nhập-NX]*(Data_Nhập[Year]=DL$1)*(Data_Nhập[Main SKU name_GOM]=$A6)*(Data_Nhập[SKU name_NHẬP_GOM]=DL$3)),SUMPRODUCT(Data_Nhập[Tổng Nhập-NX]*(Data_Nhập[Year]=DL$1)*(Data_Nhập[Month]=DL$2)*(Data_Nhập[Main SKU name_GOM]=$A6)*(Data_Nhập[SKU name_NHẬP_GOM]=DL$3)))</f>
        <v>0</v>
      </c>
      <c r="DM6" s="29" cm="1">
        <f t="array" ref="DM6">IF(DM$2="FY",SUMPRODUCT(Data_Nhập[Tổng Nhập-NX]*(Data_Nhập[Year]=DM$1)*(Data_Nhập[Main SKU name_GOM]=$A6)*(Data_Nhập[SKU name_NHẬP_GOM]=DM$3)),SUMPRODUCT(Data_Nhập[Tổng Nhập-NX]*(Data_Nhập[Year]=DM$1)*(Data_Nhập[Month]=DM$2)*(Data_Nhập[Main SKU name_GOM]=$A6)*(Data_Nhập[SKU name_NHẬP_GOM]=DM$3)))</f>
        <v>1100</v>
      </c>
      <c r="DN6" s="29" cm="1">
        <f t="array" ref="DN6">IF(DN$2="FY",SUMPRODUCT(Data_Nhập[Tổng Nhập-NX]*(Data_Nhập[Year]=DN$1)*(Data_Nhập[Main SKU name_GOM]=$A6)*(Data_Nhập[SKU name_NHẬP_GOM]=DN$3)),SUMPRODUCT(Data_Nhập[Tổng Nhập-NX]*(Data_Nhập[Year]=DN$1)*(Data_Nhập[Month]=DN$2)*(Data_Nhập[Main SKU name_GOM]=$A6)*(Data_Nhập[SKU name_NHẬP_GOM]=DN$3)))</f>
        <v>0</v>
      </c>
      <c r="DO6" s="29" cm="1">
        <f t="array" ref="DO6">IF(DO$2="FY",SUMPRODUCT(Data_Nhập[Tổng Nhập-NX]*(Data_Nhập[Year]=DO$1)*(Data_Nhập[Main SKU name_GOM]=$A6)*(Data_Nhập[SKU name_NHẬP_GOM]=DO$3)),SUMPRODUCT(Data_Nhập[Tổng Nhập-NX]*(Data_Nhập[Year]=DO$1)*(Data_Nhập[Month]=DO$2)*(Data_Nhập[Main SKU name_GOM]=$A6)*(Data_Nhập[SKU name_NHẬP_GOM]=DO$3)))</f>
        <v>0</v>
      </c>
      <c r="DP6" s="29" cm="1">
        <f t="array" ref="DP6">IF(DP$2="FY",SUMPRODUCT(Data_Nhập[Tổng Nhập-NX]*(Data_Nhập[Year]=DP$1)*(Data_Nhập[Main SKU name_GOM]=$A6)*(Data_Nhập[SKU name_NHẬP_GOM]=DP$3)),SUMPRODUCT(Data_Nhập[Tổng Nhập-NX]*(Data_Nhập[Year]=DP$1)*(Data_Nhập[Month]=DP$2)*(Data_Nhập[Main SKU name_GOM]=$A6)*(Data_Nhập[SKU name_NHẬP_GOM]=DP$3)))</f>
        <v>0</v>
      </c>
      <c r="DQ6" s="29" cm="1">
        <f t="array" ref="DQ6">IF(DQ$2="FY",SUMPRODUCT(Data_Nhập[Tổng Nhập-NX]*(Data_Nhập[Year]=DQ$1)*(Data_Nhập[Main SKU name_GOM]=$A6)*(Data_Nhập[SKU name_NHẬP_GOM]=DQ$3)),SUMPRODUCT(Data_Nhập[Tổng Nhập-NX]*(Data_Nhập[Year]=DQ$1)*(Data_Nhập[Month]=DQ$2)*(Data_Nhập[Main SKU name_GOM]=$A6)*(Data_Nhập[SKU name_NHẬP_GOM]=DQ$3)))</f>
        <v>0</v>
      </c>
      <c r="DR6" s="29" cm="1">
        <f t="array" ref="DR6">IF(DR$2="FY",SUMPRODUCT(Data_Nhập[Tổng Nhập-NX]*(Data_Nhập[Year]=DR$1)*(Data_Nhập[Main SKU name_GOM]=$A6)*(Data_Nhập[SKU name_NHẬP_GOM]=DR$3)),SUMPRODUCT(Data_Nhập[Tổng Nhập-NX]*(Data_Nhập[Year]=DR$1)*(Data_Nhập[Month]=DR$2)*(Data_Nhập[Main SKU name_GOM]=$A6)*(Data_Nhập[SKU name_NHẬP_GOM]=DR$3)))</f>
        <v>0</v>
      </c>
      <c r="DS6" s="29" cm="1">
        <f t="array" ref="DS6">IF(DS$2="FY",SUMPRODUCT(Data_Nhập[Tổng Nhập-NX]*(Data_Nhập[Year]=DS$1)*(Data_Nhập[Main SKU name_GOM]=$A6)*(Data_Nhập[SKU name_NHẬP_GOM]=DS$3)),SUMPRODUCT(Data_Nhập[Tổng Nhập-NX]*(Data_Nhập[Year]=DS$1)*(Data_Nhập[Month]=DS$2)*(Data_Nhập[Main SKU name_GOM]=$A6)*(Data_Nhập[SKU name_NHẬP_GOM]=DS$3)))</f>
        <v>0</v>
      </c>
      <c r="DT6" s="29" cm="1">
        <f t="array" ref="DT6">IF(DT$2="FY",SUMPRODUCT(Data_Nhập[Tổng Nhập-NX]*(Data_Nhập[Year]=DT$1)*(Data_Nhập[Main SKU name_GOM]=$A6)*(Data_Nhập[SKU name_NHẬP_GOM]=DT$3)),SUMPRODUCT(Data_Nhập[Tổng Nhập-NX]*(Data_Nhập[Year]=DT$1)*(Data_Nhập[Month]=DT$2)*(Data_Nhập[Main SKU name_GOM]=$A6)*(Data_Nhập[SKU name_NHẬP_GOM]=DT$3)))</f>
        <v>0</v>
      </c>
      <c r="DU6" s="29" cm="1">
        <f t="array" ref="DU6">IF(DU$2="FY",SUMPRODUCT(Data_Nhập[Tổng Nhập-NX]*(Data_Nhập[Year]=DU$1)*(Data_Nhập[Main SKU name_GOM]=$A6)*(Data_Nhập[SKU name_NHẬP_GOM]=DU$3)),SUMPRODUCT(Data_Nhập[Tổng Nhập-NX]*(Data_Nhập[Year]=DU$1)*(Data_Nhập[Month]=DU$2)*(Data_Nhập[Main SKU name_GOM]=$A6)*(Data_Nhập[SKU name_NHẬP_GOM]=DU$3)))</f>
        <v>0</v>
      </c>
      <c r="DV6" s="29" cm="1">
        <f t="array" ref="DV6">IF(DV$2="FY",SUMPRODUCT(Data_Nhập[Tổng Nhập-NX]*(Data_Nhập[Year]=DV$1)*(Data_Nhập[Main SKU name_GOM]=$A6)*(Data_Nhập[SKU name_NHẬP_GOM]=DV$3)),SUMPRODUCT(Data_Nhập[Tổng Nhập-NX]*(Data_Nhập[Year]=DV$1)*(Data_Nhập[Month]=DV$2)*(Data_Nhập[Main SKU name_GOM]=$A6)*(Data_Nhập[SKU name_NHẬP_GOM]=DV$3)))</f>
        <v>15658.5</v>
      </c>
      <c r="DW6" s="29" cm="1">
        <f t="array" ref="DW6">IF(DW$2="FY",SUMPRODUCT(Data_Nhập[Tổng Nhập-NX]*(Data_Nhập[Year]=DW$1)*(Data_Nhập[Main SKU name_GOM]=$A6)*(Data_Nhập[SKU name_NHẬP_GOM]=DW$3)),SUMPRODUCT(Data_Nhập[Tổng Nhập-NX]*(Data_Nhập[Year]=DW$1)*(Data_Nhập[Month]=DW$2)*(Data_Nhập[Main SKU name_GOM]=$A6)*(Data_Nhập[SKU name_NHẬP_GOM]=DW$3)))</f>
        <v>0</v>
      </c>
      <c r="DX6" s="30">
        <f>SUM(DI6:DW6)</f>
        <v>246658.5</v>
      </c>
      <c r="DZ6" s="30" cm="1">
        <f t="array" ref="DZ6">IF(DZ$2="FY",SUMPRODUCT(Data_Xuất[Xuất-NX]*(Data_Xuất[Year]=DZ$1)*(Data_Xuất[Main SKU name_GOM]=$A6)),SUMPRODUCT(Data_Xuất[Xuất-NX]*(Data_Xuất[Year]=DZ$1)*(Data_Xuất[Main SKU name_GOM]=$A6)*(Data_Xuất[Month]=DZ$2)))</f>
        <v>461551.679</v>
      </c>
      <c r="EA6" s="29" cm="1">
        <f t="array" ref="EA6">IF(EA$2="FY",SUMPRODUCT(Data_Nhập[Tổng Nhập-NX]*(Data_Nhập[Year]=EA$1)*(Data_Nhập[Main SKU name_GOM]=$A6)*(Data_Nhập[SKU name_NHẬP_GOM]=EA$3)),SUMPRODUCT(Data_Nhập[Tổng Nhập-NX]*(Data_Nhập[Year]=EA$1)*(Data_Nhập[Month]=EA$2)*(Data_Nhập[Main SKU name_GOM]=$A6)*(Data_Nhập[SKU name_NHẬP_GOM]=EA$3)))</f>
        <v>334399.99999999994</v>
      </c>
      <c r="EB6" s="29" cm="1">
        <f t="array" ref="EB6">IF(EB$2="FY",SUMPRODUCT(Data_Nhập[Tổng Nhập-NX]*(Data_Nhập[Year]=EB$1)*(Data_Nhập[Main SKU name_GOM]=$A6)*(Data_Nhập[SKU name_NHẬP_GOM]=EB$3)),SUMPRODUCT(Data_Nhập[Tổng Nhập-NX]*(Data_Nhập[Year]=EB$1)*(Data_Nhập[Month]=EB$2)*(Data_Nhập[Main SKU name_GOM]=$A6)*(Data_Nhập[SKU name_NHẬP_GOM]=EB$3)))</f>
        <v>70400</v>
      </c>
      <c r="EC6" s="29" cm="1">
        <f t="array" ref="EC6">IF(EC$2="FY",SUMPRODUCT(Data_Nhập[Tổng Nhập-NX]*(Data_Nhập[Year]=EC$1)*(Data_Nhập[Main SKU name_GOM]=$A6)*(Data_Nhập[SKU name_NHẬP_GOM]=EC$3)),SUMPRODUCT(Data_Nhập[Tổng Nhập-NX]*(Data_Nhập[Year]=EC$1)*(Data_Nhập[Month]=EC$2)*(Data_Nhập[Main SKU name_GOM]=$A6)*(Data_Nhập[SKU name_NHẬP_GOM]=EC$3)))</f>
        <v>7700</v>
      </c>
      <c r="ED6" s="29" cm="1">
        <f t="array" ref="ED6">IF(ED$2="FY",SUMPRODUCT(Data_Nhập[Tổng Nhập-NX]*(Data_Nhập[Year]=ED$1)*(Data_Nhập[Main SKU name_GOM]=$A6)*(Data_Nhập[SKU name_NHẬP_GOM]=ED$3)),SUMPRODUCT(Data_Nhập[Tổng Nhập-NX]*(Data_Nhập[Year]=ED$1)*(Data_Nhập[Month]=ED$2)*(Data_Nhập[Main SKU name_GOM]=$A6)*(Data_Nhập[SKU name_NHẬP_GOM]=ED$3)))</f>
        <v>0</v>
      </c>
      <c r="EE6" s="29" cm="1">
        <f t="array" ref="EE6">IF(EE$2="FY",SUMPRODUCT(Data_Nhập[Tổng Nhập-NX]*(Data_Nhập[Year]=EE$1)*(Data_Nhập[Main SKU name_GOM]=$A6)*(Data_Nhập[SKU name_NHẬP_GOM]=EE$3)),SUMPRODUCT(Data_Nhập[Tổng Nhập-NX]*(Data_Nhập[Year]=EE$1)*(Data_Nhập[Month]=EE$2)*(Data_Nhập[Main SKU name_GOM]=$A6)*(Data_Nhập[SKU name_NHẬP_GOM]=EE$3)))</f>
        <v>4400</v>
      </c>
      <c r="EF6" s="29" cm="1">
        <f t="array" ref="EF6">IF(EF$2="FY",SUMPRODUCT(Data_Nhập[Tổng Nhập-NX]*(Data_Nhập[Year]=EF$1)*(Data_Nhập[Main SKU name_GOM]=$A6)*(Data_Nhập[SKU name_NHẬP_GOM]=EF$3)),SUMPRODUCT(Data_Nhập[Tổng Nhập-NX]*(Data_Nhập[Year]=EF$1)*(Data_Nhập[Month]=EF$2)*(Data_Nhập[Main SKU name_GOM]=$A6)*(Data_Nhập[SKU name_NHẬP_GOM]=EF$3)))</f>
        <v>0</v>
      </c>
      <c r="EG6" s="29" cm="1">
        <f t="array" ref="EG6">IF(EG$2="FY",SUMPRODUCT(Data_Nhập[Tổng Nhập-NX]*(Data_Nhập[Year]=EG$1)*(Data_Nhập[Main SKU name_GOM]=$A6)*(Data_Nhập[SKU name_NHẬP_GOM]=EG$3)),SUMPRODUCT(Data_Nhập[Tổng Nhập-NX]*(Data_Nhập[Year]=EG$1)*(Data_Nhập[Month]=EG$2)*(Data_Nhập[Main SKU name_GOM]=$A6)*(Data_Nhập[SKU name_NHẬP_GOM]=EG$3)))</f>
        <v>0</v>
      </c>
      <c r="EH6" s="29" cm="1">
        <f t="array" ref="EH6">IF(EH$2="FY",SUMPRODUCT(Data_Nhập[Tổng Nhập-NX]*(Data_Nhập[Year]=EH$1)*(Data_Nhập[Main SKU name_GOM]=$A6)*(Data_Nhập[SKU name_NHẬP_GOM]=EH$3)),SUMPRODUCT(Data_Nhập[Tổng Nhập-NX]*(Data_Nhập[Year]=EH$1)*(Data_Nhập[Month]=EH$2)*(Data_Nhập[Main SKU name_GOM]=$A6)*(Data_Nhập[SKU name_NHẬP_GOM]=EH$3)))</f>
        <v>0</v>
      </c>
      <c r="EI6" s="29" cm="1">
        <f t="array" ref="EI6">IF(EI$2="FY",SUMPRODUCT(Data_Nhập[Tổng Nhập-NX]*(Data_Nhập[Year]=EI$1)*(Data_Nhập[Main SKU name_GOM]=$A6)*(Data_Nhập[SKU name_NHẬP_GOM]=EI$3)),SUMPRODUCT(Data_Nhập[Tổng Nhập-NX]*(Data_Nhập[Year]=EI$1)*(Data_Nhập[Month]=EI$2)*(Data_Nhập[Main SKU name_GOM]=$A6)*(Data_Nhập[SKU name_NHẬP_GOM]=EI$3)))</f>
        <v>0</v>
      </c>
      <c r="EJ6" s="29" cm="1">
        <f t="array" ref="EJ6">IF(EJ$2="FY",SUMPRODUCT(Data_Nhập[Tổng Nhập-NX]*(Data_Nhập[Year]=EJ$1)*(Data_Nhập[Main SKU name_GOM]=$A6)*(Data_Nhập[SKU name_NHẬP_GOM]=EJ$3)),SUMPRODUCT(Data_Nhập[Tổng Nhập-NX]*(Data_Nhập[Year]=EJ$1)*(Data_Nhập[Month]=EJ$2)*(Data_Nhập[Main SKU name_GOM]=$A6)*(Data_Nhập[SKU name_NHẬP_GOM]=EJ$3)))</f>
        <v>0</v>
      </c>
      <c r="EK6" s="29" cm="1">
        <f t="array" ref="EK6">IF(EK$2="FY",SUMPRODUCT(Data_Nhập[Tổng Nhập-NX]*(Data_Nhập[Year]=EK$1)*(Data_Nhập[Main SKU name_GOM]=$A6)*(Data_Nhập[SKU name_NHẬP_GOM]=EK$3)),SUMPRODUCT(Data_Nhập[Tổng Nhập-NX]*(Data_Nhập[Year]=EK$1)*(Data_Nhập[Month]=EK$2)*(Data_Nhập[Main SKU name_GOM]=$A6)*(Data_Nhập[SKU name_NHẬP_GOM]=EK$3)))</f>
        <v>0</v>
      </c>
      <c r="EL6" s="29" cm="1">
        <f t="array" ref="EL6">IF(EL$2="FY",SUMPRODUCT(Data_Nhập[Tổng Nhập-NX]*(Data_Nhập[Year]=EL$1)*(Data_Nhập[Main SKU name_GOM]=$A6)*(Data_Nhập[SKU name_NHẬP_GOM]=EL$3)),SUMPRODUCT(Data_Nhập[Tổng Nhập-NX]*(Data_Nhập[Year]=EL$1)*(Data_Nhập[Month]=EL$2)*(Data_Nhập[Main SKU name_GOM]=$A6)*(Data_Nhập[SKU name_NHẬP_GOM]=EL$3)))</f>
        <v>0</v>
      </c>
      <c r="EM6" s="29" cm="1">
        <f t="array" ref="EM6">IF(EM$2="FY",SUMPRODUCT(Data_Nhập[Tổng Nhập-NX]*(Data_Nhập[Year]=EM$1)*(Data_Nhập[Main SKU name_GOM]=$A6)*(Data_Nhập[SKU name_NHẬP_GOM]=EM$3)),SUMPRODUCT(Data_Nhập[Tổng Nhập-NX]*(Data_Nhập[Year]=EM$1)*(Data_Nhập[Month]=EM$2)*(Data_Nhập[Main SKU name_GOM]=$A6)*(Data_Nhập[SKU name_NHẬP_GOM]=EM$3)))</f>
        <v>0</v>
      </c>
      <c r="EN6" s="29" cm="1">
        <f t="array" ref="EN6">IF(EN$2="FY",SUMPRODUCT(Data_Nhập[Tổng Nhập-NX]*(Data_Nhập[Year]=EN$1)*(Data_Nhập[Main SKU name_GOM]=$A6)*(Data_Nhập[SKU name_NHẬP_GOM]=EN$3)),SUMPRODUCT(Data_Nhập[Tổng Nhập-NX]*(Data_Nhập[Year]=EN$1)*(Data_Nhập[Month]=EN$2)*(Data_Nhập[Main SKU name_GOM]=$A6)*(Data_Nhập[SKU name_NHẬP_GOM]=EN$3)))</f>
        <v>44651.399999999994</v>
      </c>
      <c r="EO6" s="29" cm="1">
        <f t="array" ref="EO6">IF(EO$2="FY",SUMPRODUCT(Data_Nhập[Tổng Nhập-NX]*(Data_Nhập[Year]=EO$1)*(Data_Nhập[Main SKU name_GOM]=$A6)*(Data_Nhập[SKU name_NHẬP_GOM]=EO$3)),SUMPRODUCT(Data_Nhập[Tổng Nhập-NX]*(Data_Nhập[Year]=EO$1)*(Data_Nhập[Month]=EO$2)*(Data_Nhập[Main SKU name_GOM]=$A6)*(Data_Nhập[SKU name_NHẬP_GOM]=EO$3)))</f>
        <v>0</v>
      </c>
      <c r="EP6" s="30">
        <f>SUM(EA6:EO6)</f>
        <v>461551.39999999991</v>
      </c>
      <c r="ER6" s="30" cm="1">
        <f t="array" ref="ER6">IF(ER$2="FY",SUMPRODUCT(Data_Xuất[Xuất-NX]*(Data_Xuất[Year]=ER$1)*(Data_Xuất[Main SKU name_GOM]=$A6)),SUMPRODUCT(Data_Xuất[Xuất-NX]*(Data_Xuất[Year]=ER$1)*(Data_Xuất[Main SKU name_GOM]=$A6)*(Data_Xuất[Month]=ER$2)))</f>
        <v>548444.9219999999</v>
      </c>
      <c r="ES6" s="29" cm="1">
        <f t="array" ref="ES6">IF(ES$2="FY",SUMPRODUCT(Data_Nhập[Tổng Nhập-NX]*(Data_Nhập[Year]=ES$1)*(Data_Nhập[Main SKU name_GOM]=$A6)*(Data_Nhập[SKU name_NHẬP_GOM]=ES$3)),SUMPRODUCT(Data_Nhập[Tổng Nhập-NX]*(Data_Nhập[Year]=ES$1)*(Data_Nhập[Month]=ES$2)*(Data_Nhập[Main SKU name_GOM]=$A6)*(Data_Nhập[SKU name_NHẬP_GOM]=ES$3)))</f>
        <v>495000</v>
      </c>
      <c r="ET6" s="29" cm="1">
        <f t="array" ref="ET6">IF(ET$2="FY",SUMPRODUCT(Data_Nhập[Tổng Nhập-NX]*(Data_Nhập[Year]=ET$1)*(Data_Nhập[Main SKU name_GOM]=$A6)*(Data_Nhập[SKU name_NHẬP_GOM]=ET$3)),SUMPRODUCT(Data_Nhập[Tổng Nhập-NX]*(Data_Nhập[Year]=ET$1)*(Data_Nhập[Month]=ET$2)*(Data_Nhập[Main SKU name_GOM]=$A6)*(Data_Nhập[SKU name_NHẬP_GOM]=ET$3)))</f>
        <v>14545</v>
      </c>
      <c r="EU6" s="29" cm="1">
        <f t="array" ref="EU6">IF(EU$2="FY",SUMPRODUCT(Data_Nhập[Tổng Nhập-NX]*(Data_Nhập[Year]=EU$1)*(Data_Nhập[Main SKU name_GOM]=$A6)*(Data_Nhập[SKU name_NHẬP_GOM]=EU$3)),SUMPRODUCT(Data_Nhập[Tổng Nhập-NX]*(Data_Nhập[Year]=EU$1)*(Data_Nhập[Month]=EU$2)*(Data_Nhập[Main SKU name_GOM]=$A6)*(Data_Nhập[SKU name_NHẬP_GOM]=EU$3)))</f>
        <v>0</v>
      </c>
      <c r="EV6" s="29" cm="1">
        <f t="array" ref="EV6">IF(EV$2="FY",SUMPRODUCT(Data_Nhập[Tổng Nhập-NX]*(Data_Nhập[Year]=EV$1)*(Data_Nhập[Main SKU name_GOM]=$A6)*(Data_Nhập[SKU name_NHẬP_GOM]=EV$3)),SUMPRODUCT(Data_Nhập[Tổng Nhập-NX]*(Data_Nhập[Year]=EV$1)*(Data_Nhập[Month]=EV$2)*(Data_Nhập[Main SKU name_GOM]=$A6)*(Data_Nhập[SKU name_NHẬP_GOM]=EV$3)))</f>
        <v>0</v>
      </c>
      <c r="EW6" s="29" cm="1">
        <f t="array" ref="EW6">IF(EW$2="FY",SUMPRODUCT(Data_Nhập[Tổng Nhập-NX]*(Data_Nhập[Year]=EW$1)*(Data_Nhập[Main SKU name_GOM]=$A6)*(Data_Nhập[SKU name_NHẬP_GOM]=EW$3)),SUMPRODUCT(Data_Nhập[Tổng Nhập-NX]*(Data_Nhập[Year]=EW$1)*(Data_Nhập[Month]=EW$2)*(Data_Nhập[Main SKU name_GOM]=$A6)*(Data_Nhập[SKU name_NHẬP_GOM]=EW$3)))</f>
        <v>18699</v>
      </c>
      <c r="EX6" s="29" cm="1">
        <f t="array" ref="EX6">IF(EX$2="FY",SUMPRODUCT(Data_Nhập[Tổng Nhập-NX]*(Data_Nhập[Year]=EX$1)*(Data_Nhập[Main SKU name_GOM]=$A6)*(Data_Nhập[SKU name_NHẬP_GOM]=EX$3)),SUMPRODUCT(Data_Nhập[Tổng Nhập-NX]*(Data_Nhập[Year]=EX$1)*(Data_Nhập[Month]=EX$2)*(Data_Nhập[Main SKU name_GOM]=$A6)*(Data_Nhập[SKU name_NHẬP_GOM]=EX$3)))</f>
        <v>0</v>
      </c>
      <c r="EY6" s="29" cm="1">
        <f t="array" ref="EY6">IF(EY$2="FY",SUMPRODUCT(Data_Nhập[Tổng Nhập-NX]*(Data_Nhập[Year]=EY$1)*(Data_Nhập[Main SKU name_GOM]=$A6)*(Data_Nhập[SKU name_NHẬP_GOM]=EY$3)),SUMPRODUCT(Data_Nhập[Tổng Nhập-NX]*(Data_Nhập[Year]=EY$1)*(Data_Nhập[Month]=EY$2)*(Data_Nhập[Main SKU name_GOM]=$A6)*(Data_Nhập[SKU name_NHẬP_GOM]=EY$3)))</f>
        <v>0</v>
      </c>
      <c r="EZ6" s="29" cm="1">
        <f t="array" ref="EZ6">IF(EZ$2="FY",SUMPRODUCT(Data_Nhập[Tổng Nhập-NX]*(Data_Nhập[Year]=EZ$1)*(Data_Nhập[Main SKU name_GOM]=$A6)*(Data_Nhập[SKU name_NHẬP_GOM]=EZ$3)),SUMPRODUCT(Data_Nhập[Tổng Nhập-NX]*(Data_Nhập[Year]=EZ$1)*(Data_Nhập[Month]=EZ$2)*(Data_Nhập[Main SKU name_GOM]=$A6)*(Data_Nhập[SKU name_NHẬP_GOM]=EZ$3)))</f>
        <v>0</v>
      </c>
      <c r="FA6" s="29" cm="1">
        <f t="array" ref="FA6">IF(FA$2="FY",SUMPRODUCT(Data_Nhập[Tổng Nhập-NX]*(Data_Nhập[Year]=FA$1)*(Data_Nhập[Main SKU name_GOM]=$A6)*(Data_Nhập[SKU name_NHẬP_GOM]=FA$3)),SUMPRODUCT(Data_Nhập[Tổng Nhập-NX]*(Data_Nhập[Year]=FA$1)*(Data_Nhập[Month]=FA$2)*(Data_Nhập[Main SKU name_GOM]=$A6)*(Data_Nhập[SKU name_NHẬP_GOM]=FA$3)))</f>
        <v>0</v>
      </c>
      <c r="FB6" s="29" cm="1">
        <f t="array" ref="FB6">IF(FB$2="FY",SUMPRODUCT(Data_Nhập[Tổng Nhập-NX]*(Data_Nhập[Year]=FB$1)*(Data_Nhập[Main SKU name_GOM]=$A6)*(Data_Nhập[SKU name_NHẬP_GOM]=FB$3)),SUMPRODUCT(Data_Nhập[Tổng Nhập-NX]*(Data_Nhập[Year]=FB$1)*(Data_Nhập[Month]=FB$2)*(Data_Nhập[Main SKU name_GOM]=$A6)*(Data_Nhập[SKU name_NHẬP_GOM]=FB$3)))</f>
        <v>0</v>
      </c>
      <c r="FC6" s="29" cm="1">
        <f t="array" ref="FC6">IF(FC$2="FY",SUMPRODUCT(Data_Nhập[Tổng Nhập-NX]*(Data_Nhập[Year]=FC$1)*(Data_Nhập[Main SKU name_GOM]=$A6)*(Data_Nhập[SKU name_NHẬP_GOM]=FC$3)),SUMPRODUCT(Data_Nhập[Tổng Nhập-NX]*(Data_Nhập[Year]=FC$1)*(Data_Nhập[Month]=FC$2)*(Data_Nhập[Main SKU name_GOM]=$A6)*(Data_Nhập[SKU name_NHẬP_GOM]=FC$3)))</f>
        <v>0</v>
      </c>
      <c r="FD6" s="29" cm="1">
        <f t="array" ref="FD6">IF(FD$2="FY",SUMPRODUCT(Data_Nhập[Tổng Nhập-NX]*(Data_Nhập[Year]=FD$1)*(Data_Nhập[Main SKU name_GOM]=$A6)*(Data_Nhập[SKU name_NHẬP_GOM]=FD$3)),SUMPRODUCT(Data_Nhập[Tổng Nhập-NX]*(Data_Nhập[Year]=FD$1)*(Data_Nhập[Month]=FD$2)*(Data_Nhập[Main SKU name_GOM]=$A6)*(Data_Nhập[SKU name_NHẬP_GOM]=FD$3)))</f>
        <v>0</v>
      </c>
      <c r="FE6" s="29" cm="1">
        <f t="array" ref="FE6">IF(FE$2="FY",SUMPRODUCT(Data_Nhập[Tổng Nhập-NX]*(Data_Nhập[Year]=FE$1)*(Data_Nhập[Main SKU name_GOM]=$A6)*(Data_Nhập[SKU name_NHẬP_GOM]=FE$3)),SUMPRODUCT(Data_Nhập[Tổng Nhập-NX]*(Data_Nhập[Year]=FE$1)*(Data_Nhập[Month]=FE$2)*(Data_Nhập[Main SKU name_GOM]=$A6)*(Data_Nhập[SKU name_NHẬP_GOM]=FE$3)))</f>
        <v>0</v>
      </c>
      <c r="FF6" s="29" cm="1">
        <f t="array" ref="FF6">IF(FF$2="FY",SUMPRODUCT(Data_Nhập[Tổng Nhập-NX]*(Data_Nhập[Year]=FF$1)*(Data_Nhập[Main SKU name_GOM]=$A6)*(Data_Nhập[SKU name_NHẬP_GOM]=FF$3)),SUMPRODUCT(Data_Nhập[Tổng Nhập-NX]*(Data_Nhập[Year]=FF$1)*(Data_Nhập[Month]=FF$2)*(Data_Nhập[Main SKU name_GOM]=$A6)*(Data_Nhập[SKU name_NHẬP_GOM]=FF$3)))</f>
        <v>19998</v>
      </c>
      <c r="FG6" s="29" cm="1">
        <f t="array" ref="FG6">IF(FG$2="FY",SUMPRODUCT(Data_Nhập[Tổng Nhập-NX]*(Data_Nhập[Year]=FG$1)*(Data_Nhập[Main SKU name_GOM]=$A6)*(Data_Nhập[SKU name_NHẬP_GOM]=FG$3)),SUMPRODUCT(Data_Nhập[Tổng Nhập-NX]*(Data_Nhập[Year]=FG$1)*(Data_Nhập[Month]=FG$2)*(Data_Nhập[Main SKU name_GOM]=$A6)*(Data_Nhập[SKU name_NHẬP_GOM]=FG$3)))</f>
        <v>0</v>
      </c>
      <c r="FH6" s="30">
        <f>SUM(ES6:FG6)</f>
        <v>548242</v>
      </c>
      <c r="FJ6" s="30" cm="1">
        <f t="array" ref="FJ6">IF(FJ$2="FY",SUMPRODUCT(Data_Xuất[Xuất-NX]*(Data_Xuất[Year]=FJ$1)*(Data_Xuất[Main SKU name_GOM]=$A6)),SUMPRODUCT(Data_Xuất[Xuất-NX]*(Data_Xuất[Year]=FJ$1)*(Data_Xuất[Main SKU name_GOM]=$A6)*(Data_Xuất[Month]=FJ$2)))</f>
        <v>1491413.6510000003</v>
      </c>
      <c r="FK6" s="29" cm="1">
        <f t="array" ref="FK6">IF(FK$2="FY",SUMPRODUCT(Data_Nhập[Tổng Nhập-NX]*(Data_Nhập[Year]=FK$1)*(Data_Nhập[Main SKU name_GOM]=$A6)*(Data_Nhập[SKU name_NHẬP_GOM]=FK$3)),SUMPRODUCT(Data_Nhập[Tổng Nhập-NX]*(Data_Nhập[Year]=FK$1)*(Data_Nhập[Month]=FK$2)*(Data_Nhập[Main SKU name_GOM]=$A6)*(Data_Nhập[SKU name_NHẬP_GOM]=FK$3)))</f>
        <v>1210000.0000000002</v>
      </c>
      <c r="FL6" s="29" cm="1">
        <f t="array" ref="FL6">IF(FL$2="FY",SUMPRODUCT(Data_Nhập[Tổng Nhập-NX]*(Data_Nhập[Year]=FL$1)*(Data_Nhập[Main SKU name_GOM]=$A6)*(Data_Nhập[SKU name_NHẬP_GOM]=FL$3)),SUMPRODUCT(Data_Nhập[Tổng Nhập-NX]*(Data_Nhập[Year]=FL$1)*(Data_Nhập[Month]=FL$2)*(Data_Nhập[Main SKU name_GOM]=$A6)*(Data_Nhập[SKU name_NHẬP_GOM]=FL$3)))</f>
        <v>90555</v>
      </c>
      <c r="FM6" s="29" cm="1">
        <f t="array" ref="FM6">IF(FM$2="FY",SUMPRODUCT(Data_Nhập[Tổng Nhập-NX]*(Data_Nhập[Year]=FM$1)*(Data_Nhập[Main SKU name_GOM]=$A6)*(Data_Nhập[SKU name_NHẬP_GOM]=FM$3)),SUMPRODUCT(Data_Nhập[Tổng Nhập-NX]*(Data_Nhập[Year]=FM$1)*(Data_Nhập[Month]=FM$2)*(Data_Nhập[Main SKU name_GOM]=$A6)*(Data_Nhập[SKU name_NHẬP_GOM]=FM$3)))</f>
        <v>0</v>
      </c>
      <c r="FN6" s="29" cm="1">
        <f t="array" ref="FN6">IF(FN$2="FY",SUMPRODUCT(Data_Nhập[Tổng Nhập-NX]*(Data_Nhập[Year]=FN$1)*(Data_Nhập[Main SKU name_GOM]=$A6)*(Data_Nhập[SKU name_NHẬP_GOM]=FN$3)),SUMPRODUCT(Data_Nhập[Tổng Nhập-NX]*(Data_Nhập[Year]=FN$1)*(Data_Nhập[Month]=FN$2)*(Data_Nhập[Main SKU name_GOM]=$A6)*(Data_Nhập[SKU name_NHẬP_GOM]=FN$3)))</f>
        <v>0</v>
      </c>
      <c r="FO6" s="29" cm="1">
        <f t="array" ref="FO6">IF(FO$2="FY",SUMPRODUCT(Data_Nhập[Tổng Nhập-NX]*(Data_Nhập[Year]=FO$1)*(Data_Nhập[Main SKU name_GOM]=$A6)*(Data_Nhập[SKU name_NHẬP_GOM]=FO$3)),SUMPRODUCT(Data_Nhập[Tổng Nhập-NX]*(Data_Nhập[Year]=FO$1)*(Data_Nhập[Month]=FO$2)*(Data_Nhập[Main SKU name_GOM]=$A6)*(Data_Nhập[SKU name_NHẬP_GOM]=FO$3)))</f>
        <v>139904.5</v>
      </c>
      <c r="FP6" s="29" cm="1">
        <f t="array" ref="FP6">IF(FP$2="FY",SUMPRODUCT(Data_Nhập[Tổng Nhập-NX]*(Data_Nhập[Year]=FP$1)*(Data_Nhập[Main SKU name_GOM]=$A6)*(Data_Nhập[SKU name_NHẬP_GOM]=FP$3)),SUMPRODUCT(Data_Nhập[Tổng Nhập-NX]*(Data_Nhập[Year]=FP$1)*(Data_Nhập[Month]=FP$2)*(Data_Nhập[Main SKU name_GOM]=$A6)*(Data_Nhập[SKU name_NHẬP_GOM]=FP$3)))</f>
        <v>0</v>
      </c>
      <c r="FQ6" s="29" cm="1">
        <f t="array" ref="FQ6">IF(FQ$2="FY",SUMPRODUCT(Data_Nhập[Tổng Nhập-NX]*(Data_Nhập[Year]=FQ$1)*(Data_Nhập[Main SKU name_GOM]=$A6)*(Data_Nhập[SKU name_NHẬP_GOM]=FQ$3)),SUMPRODUCT(Data_Nhập[Tổng Nhập-NX]*(Data_Nhập[Year]=FQ$1)*(Data_Nhập[Month]=FQ$2)*(Data_Nhập[Main SKU name_GOM]=$A6)*(Data_Nhập[SKU name_NHẬP_GOM]=FQ$3)))</f>
        <v>0</v>
      </c>
      <c r="FR6" s="29" cm="1">
        <f t="array" ref="FR6">IF(FR$2="FY",SUMPRODUCT(Data_Nhập[Tổng Nhập-NX]*(Data_Nhập[Year]=FR$1)*(Data_Nhập[Main SKU name_GOM]=$A6)*(Data_Nhập[SKU name_NHẬP_GOM]=FR$3)),SUMPRODUCT(Data_Nhập[Tổng Nhập-NX]*(Data_Nhập[Year]=FR$1)*(Data_Nhập[Month]=FR$2)*(Data_Nhập[Main SKU name_GOM]=$A6)*(Data_Nhập[SKU name_NHẬP_GOM]=FR$3)))</f>
        <v>0</v>
      </c>
      <c r="FS6" s="29" cm="1">
        <f t="array" ref="FS6">IF(FS$2="FY",SUMPRODUCT(Data_Nhập[Tổng Nhập-NX]*(Data_Nhập[Year]=FS$1)*(Data_Nhập[Main SKU name_GOM]=$A6)*(Data_Nhập[SKU name_NHẬP_GOM]=FS$3)),SUMPRODUCT(Data_Nhập[Tổng Nhập-NX]*(Data_Nhập[Year]=FS$1)*(Data_Nhập[Month]=FS$2)*(Data_Nhập[Main SKU name_GOM]=$A6)*(Data_Nhập[SKU name_NHẬP_GOM]=FS$3)))</f>
        <v>0</v>
      </c>
      <c r="FT6" s="29" cm="1">
        <f t="array" ref="FT6">IF(FT$2="FY",SUMPRODUCT(Data_Nhập[Tổng Nhập-NX]*(Data_Nhập[Year]=FT$1)*(Data_Nhập[Main SKU name_GOM]=$A6)*(Data_Nhập[SKU name_NHẬP_GOM]=FT$3)),SUMPRODUCT(Data_Nhập[Tổng Nhập-NX]*(Data_Nhập[Year]=FT$1)*(Data_Nhập[Month]=FT$2)*(Data_Nhập[Main SKU name_GOM]=$A6)*(Data_Nhập[SKU name_NHẬP_GOM]=FT$3)))</f>
        <v>0</v>
      </c>
      <c r="FU6" s="29" cm="1">
        <f t="array" ref="FU6">IF(FU$2="FY",SUMPRODUCT(Data_Nhập[Tổng Nhập-NX]*(Data_Nhập[Year]=FU$1)*(Data_Nhập[Main SKU name_GOM]=$A6)*(Data_Nhập[SKU name_NHẬP_GOM]=FU$3)),SUMPRODUCT(Data_Nhập[Tổng Nhập-NX]*(Data_Nhập[Year]=FU$1)*(Data_Nhập[Month]=FU$2)*(Data_Nhập[Main SKU name_GOM]=$A6)*(Data_Nhập[SKU name_NHẬP_GOM]=FU$3)))</f>
        <v>0</v>
      </c>
      <c r="FV6" s="29" cm="1">
        <f t="array" ref="FV6">IF(FV$2="FY",SUMPRODUCT(Data_Nhập[Tổng Nhập-NX]*(Data_Nhập[Year]=FV$1)*(Data_Nhập[Main SKU name_GOM]=$A6)*(Data_Nhập[SKU name_NHẬP_GOM]=FV$3)),SUMPRODUCT(Data_Nhập[Tổng Nhập-NX]*(Data_Nhập[Year]=FV$1)*(Data_Nhập[Month]=FV$2)*(Data_Nhập[Main SKU name_GOM]=$A6)*(Data_Nhập[SKU name_NHẬP_GOM]=FV$3)))</f>
        <v>0</v>
      </c>
      <c r="FW6" s="29" cm="1">
        <f t="array" ref="FW6">IF(FW$2="FY",SUMPRODUCT(Data_Nhập[Tổng Nhập-NX]*(Data_Nhập[Year]=FW$1)*(Data_Nhập[Main SKU name_GOM]=$A6)*(Data_Nhập[SKU name_NHẬP_GOM]=FW$3)),SUMPRODUCT(Data_Nhập[Tổng Nhập-NX]*(Data_Nhập[Year]=FW$1)*(Data_Nhập[Month]=FW$2)*(Data_Nhập[Main SKU name_GOM]=$A6)*(Data_Nhập[SKU name_NHẬP_GOM]=FW$3)))</f>
        <v>0</v>
      </c>
      <c r="FX6" s="29" cm="1">
        <f t="array" ref="FX6">IF(FX$2="FY",SUMPRODUCT(Data_Nhập[Tổng Nhập-NX]*(Data_Nhập[Year]=FX$1)*(Data_Nhập[Main SKU name_GOM]=$A6)*(Data_Nhập[SKU name_NHẬP_GOM]=FX$3)),SUMPRODUCT(Data_Nhập[Tổng Nhập-NX]*(Data_Nhập[Year]=FX$1)*(Data_Nhập[Month]=FX$2)*(Data_Nhập[Main SKU name_GOM]=$A6)*(Data_Nhập[SKU name_NHẬP_GOM]=FX$3)))</f>
        <v>49821.445</v>
      </c>
      <c r="FY6" s="29" cm="1">
        <f t="array" ref="FY6">IF(FY$2="FY",SUMPRODUCT(Data_Nhập[Tổng Nhập-NX]*(Data_Nhập[Year]=FY$1)*(Data_Nhập[Main SKU name_GOM]=$A6)*(Data_Nhập[SKU name_NHẬP_GOM]=FY$3)),SUMPRODUCT(Data_Nhập[Tổng Nhập-NX]*(Data_Nhập[Year]=FY$1)*(Data_Nhập[Month]=FY$2)*(Data_Nhập[Main SKU name_GOM]=$A6)*(Data_Nhập[SKU name_NHẬP_GOM]=FY$3)))</f>
        <v>0</v>
      </c>
      <c r="FZ6" s="30">
        <f>SUM(FK6:FY6)</f>
        <v>1490280.9450000003</v>
      </c>
      <c r="GB6" s="30" cm="1">
        <f t="array" ref="GB6">IF(GB$2="FY",SUMPRODUCT(Data_Xuất[Xuất-NX]*(Data_Xuất[Year]=GB$1)*(Data_Xuất[Main SKU name_GOM]=$A6)),SUMPRODUCT(Data_Xuất[Xuất-NX]*(Data_Xuất[Year]=GB$1)*(Data_Xuất[Main SKU name_GOM]=$A6)*(Data_Xuất[Month]=GB$2)))</f>
        <v>890764.99999999977</v>
      </c>
      <c r="GC6" s="29" cm="1">
        <f t="array" ref="GC6">IF(GC$2="FY",SUMPRODUCT(Data_Nhập[Tổng Nhập-NX]*(Data_Nhập[Year]=GC$1)*(Data_Nhập[Main SKU name_GOM]=$A6)*(Data_Nhập[SKU name_NHẬP_GOM]=GC$3)),SUMPRODUCT(Data_Nhập[Tổng Nhập-NX]*(Data_Nhập[Year]=GC$1)*(Data_Nhập[Month]=GC$2)*(Data_Nhập[Main SKU name_GOM]=$A6)*(Data_Nhập[SKU name_NHẬP_GOM]=GC$3)))</f>
        <v>700702.00000000012</v>
      </c>
      <c r="GD6" s="29" cm="1">
        <f t="array" ref="GD6">IF(GD$2="FY",SUMPRODUCT(Data_Nhập[Tổng Nhập-NX]*(Data_Nhập[Year]=GD$1)*(Data_Nhập[Main SKU name_GOM]=$A6)*(Data_Nhập[SKU name_NHẬP_GOM]=GD$3)),SUMPRODUCT(Data_Nhập[Tổng Nhập-NX]*(Data_Nhập[Year]=GD$1)*(Data_Nhập[Month]=GD$2)*(Data_Nhập[Main SKU name_GOM]=$A6)*(Data_Nhập[SKU name_NHẬP_GOM]=GD$3)))</f>
        <v>16500</v>
      </c>
      <c r="GE6" s="29" cm="1">
        <f t="array" ref="GE6">IF(GE$2="FY",SUMPRODUCT(Data_Nhập[Tổng Nhập-NX]*(Data_Nhập[Year]=GE$1)*(Data_Nhập[Main SKU name_GOM]=$A6)*(Data_Nhập[SKU name_NHẬP_GOM]=GE$3)),SUMPRODUCT(Data_Nhập[Tổng Nhập-NX]*(Data_Nhập[Year]=GE$1)*(Data_Nhập[Month]=GE$2)*(Data_Nhập[Main SKU name_GOM]=$A6)*(Data_Nhập[SKU name_NHẬP_GOM]=GE$3)))</f>
        <v>0</v>
      </c>
      <c r="GF6" s="29" cm="1">
        <f t="array" ref="GF6">IF(GF$2="FY",SUMPRODUCT(Data_Nhập[Tổng Nhập-NX]*(Data_Nhập[Year]=GF$1)*(Data_Nhập[Main SKU name_GOM]=$A6)*(Data_Nhập[SKU name_NHẬP_GOM]=GF$3)),SUMPRODUCT(Data_Nhập[Tổng Nhập-NX]*(Data_Nhập[Year]=GF$1)*(Data_Nhập[Month]=GF$2)*(Data_Nhập[Main SKU name_GOM]=$A6)*(Data_Nhập[SKU name_NHẬP_GOM]=GF$3)))</f>
        <v>1100</v>
      </c>
      <c r="GG6" s="29" cm="1">
        <f t="array" ref="GG6">IF(GG$2="FY",SUMPRODUCT(Data_Nhập[Tổng Nhập-NX]*(Data_Nhập[Year]=GG$1)*(Data_Nhập[Main SKU name_GOM]=$A6)*(Data_Nhập[SKU name_NHẬP_GOM]=GG$3)),SUMPRODUCT(Data_Nhập[Tổng Nhập-NX]*(Data_Nhập[Year]=GG$1)*(Data_Nhập[Month]=GG$2)*(Data_Nhập[Main SKU name_GOM]=$A6)*(Data_Nhập[SKU name_NHẬP_GOM]=GG$3)))</f>
        <v>132000</v>
      </c>
      <c r="GH6" s="29" cm="1">
        <f t="array" ref="GH6">IF(GH$2="FY",SUMPRODUCT(Data_Nhập[Tổng Nhập-NX]*(Data_Nhập[Year]=GH$1)*(Data_Nhập[Main SKU name_GOM]=$A6)*(Data_Nhập[SKU name_NHẬP_GOM]=GH$3)),SUMPRODUCT(Data_Nhập[Tổng Nhập-NX]*(Data_Nhập[Year]=GH$1)*(Data_Nhập[Month]=GH$2)*(Data_Nhập[Main SKU name_GOM]=$A6)*(Data_Nhập[SKU name_NHẬP_GOM]=GH$3)))</f>
        <v>0</v>
      </c>
      <c r="GI6" s="29" cm="1">
        <f t="array" ref="GI6">IF(GI$2="FY",SUMPRODUCT(Data_Nhập[Tổng Nhập-NX]*(Data_Nhập[Year]=GI$1)*(Data_Nhập[Main SKU name_GOM]=$A6)*(Data_Nhập[SKU name_NHẬP_GOM]=GI$3)),SUMPRODUCT(Data_Nhập[Tổng Nhập-NX]*(Data_Nhập[Year]=GI$1)*(Data_Nhập[Month]=GI$2)*(Data_Nhập[Main SKU name_GOM]=$A6)*(Data_Nhập[SKU name_NHẬP_GOM]=GI$3)))</f>
        <v>0</v>
      </c>
      <c r="GJ6" s="29" cm="1">
        <f t="array" ref="GJ6">IF(GJ$2="FY",SUMPRODUCT(Data_Nhập[Tổng Nhập-NX]*(Data_Nhập[Year]=GJ$1)*(Data_Nhập[Main SKU name_GOM]=$A6)*(Data_Nhập[SKU name_NHẬP_GOM]=GJ$3)),SUMPRODUCT(Data_Nhập[Tổng Nhập-NX]*(Data_Nhập[Year]=GJ$1)*(Data_Nhập[Month]=GJ$2)*(Data_Nhập[Main SKU name_GOM]=$A6)*(Data_Nhập[SKU name_NHẬP_GOM]=GJ$3)))</f>
        <v>0</v>
      </c>
      <c r="GK6" s="29" cm="1">
        <f t="array" ref="GK6">IF(GK$2="FY",SUMPRODUCT(Data_Nhập[Tổng Nhập-NX]*(Data_Nhập[Year]=GK$1)*(Data_Nhập[Main SKU name_GOM]=$A6)*(Data_Nhập[SKU name_NHẬP_GOM]=GK$3)),SUMPRODUCT(Data_Nhập[Tổng Nhập-NX]*(Data_Nhập[Year]=GK$1)*(Data_Nhập[Month]=GK$2)*(Data_Nhập[Main SKU name_GOM]=$A6)*(Data_Nhập[SKU name_NHẬP_GOM]=GK$3)))</f>
        <v>0</v>
      </c>
      <c r="GL6" s="29" cm="1">
        <f t="array" ref="GL6">IF(GL$2="FY",SUMPRODUCT(Data_Nhập[Tổng Nhập-NX]*(Data_Nhập[Year]=GL$1)*(Data_Nhập[Main SKU name_GOM]=$A6)*(Data_Nhập[SKU name_NHẬP_GOM]=GL$3)),SUMPRODUCT(Data_Nhập[Tổng Nhập-NX]*(Data_Nhập[Year]=GL$1)*(Data_Nhập[Month]=GL$2)*(Data_Nhập[Main SKU name_GOM]=$A6)*(Data_Nhập[SKU name_NHẬP_GOM]=GL$3)))</f>
        <v>0</v>
      </c>
      <c r="GM6" s="29" cm="1">
        <f t="array" ref="GM6">IF(GM$2="FY",SUMPRODUCT(Data_Nhập[Tổng Nhập-NX]*(Data_Nhập[Year]=GM$1)*(Data_Nhập[Main SKU name_GOM]=$A6)*(Data_Nhập[SKU name_NHẬP_GOM]=GM$3)),SUMPRODUCT(Data_Nhập[Tổng Nhập-NX]*(Data_Nhập[Year]=GM$1)*(Data_Nhập[Month]=GM$2)*(Data_Nhập[Main SKU name_GOM]=$A6)*(Data_Nhập[SKU name_NHẬP_GOM]=GM$3)))</f>
        <v>0</v>
      </c>
      <c r="GN6" s="29" cm="1">
        <f t="array" ref="GN6">IF(GN$2="FY",SUMPRODUCT(Data_Nhập[Tổng Nhập-NX]*(Data_Nhập[Year]=GN$1)*(Data_Nhập[Main SKU name_GOM]=$A6)*(Data_Nhập[SKU name_NHẬP_GOM]=GN$3)),SUMPRODUCT(Data_Nhập[Tổng Nhập-NX]*(Data_Nhập[Year]=GN$1)*(Data_Nhập[Month]=GN$2)*(Data_Nhập[Main SKU name_GOM]=$A6)*(Data_Nhập[SKU name_NHẬP_GOM]=GN$3)))</f>
        <v>0</v>
      </c>
      <c r="GO6" s="29" cm="1">
        <f t="array" ref="GO6">IF(GO$2="FY",SUMPRODUCT(Data_Nhập[Tổng Nhập-NX]*(Data_Nhập[Year]=GO$1)*(Data_Nhập[Main SKU name_GOM]=$A6)*(Data_Nhập[SKU name_NHẬP_GOM]=GO$3)),SUMPRODUCT(Data_Nhập[Tổng Nhập-NX]*(Data_Nhập[Year]=GO$1)*(Data_Nhập[Month]=GO$2)*(Data_Nhập[Main SKU name_GOM]=$A6)*(Data_Nhập[SKU name_NHẬP_GOM]=GO$3)))</f>
        <v>0</v>
      </c>
      <c r="GP6" s="29" cm="1">
        <f t="array" ref="GP6">IF(GP$2="FY",SUMPRODUCT(Data_Nhập[Tổng Nhập-NX]*(Data_Nhập[Year]=GP$1)*(Data_Nhập[Main SKU name_GOM]=$A6)*(Data_Nhập[SKU name_NHẬP_GOM]=GP$3)),SUMPRODUCT(Data_Nhập[Tổng Nhập-NX]*(Data_Nhập[Year]=GP$1)*(Data_Nhập[Month]=GP$2)*(Data_Nhập[Main SKU name_GOM]=$A6)*(Data_Nhập[SKU name_NHẬP_GOM]=GP$3)))</f>
        <v>39039</v>
      </c>
      <c r="GQ6" s="29" cm="1">
        <f t="array" ref="GQ6">IF(GQ$2="FY",SUMPRODUCT(Data_Nhập[Tổng Nhập-NX]*(Data_Nhập[Year]=GQ$1)*(Data_Nhập[Main SKU name_GOM]=$A6)*(Data_Nhập[SKU name_NHẬP_GOM]=GQ$3)),SUMPRODUCT(Data_Nhập[Tổng Nhập-NX]*(Data_Nhập[Year]=GQ$1)*(Data_Nhập[Month]=GQ$2)*(Data_Nhập[Main SKU name_GOM]=$A6)*(Data_Nhập[SKU name_NHẬP_GOM]=GQ$3)))</f>
        <v>0</v>
      </c>
      <c r="GR6" s="30">
        <f>SUM(GC6:GQ6)</f>
        <v>889341.00000000012</v>
      </c>
      <c r="GT6" s="30" cm="1">
        <f t="array" ref="GT6">IF(GT$2="FY",SUMPRODUCT(Data_Xuất[Xuất-NX]*(Data_Xuất[Year]=GT$1)*(Data_Xuất[Main SKU name_GOM]=$A6)),SUMPRODUCT(Data_Xuất[Xuất-NX]*(Data_Xuất[Year]=GT$1)*(Data_Xuất[Main SKU name_GOM]=$A6)*(Data_Xuất[Month]=GT$2)))</f>
        <v>1023445.755</v>
      </c>
      <c r="GU6" s="29" cm="1">
        <f t="array" ref="GU6">IF(GU$2="FY",SUMPRODUCT(Data_Nhập[Tổng Nhập-NX]*(Data_Nhập[Year]=GU$1)*(Data_Nhập[Main SKU name_GOM]=$A6)*(Data_Nhập[SKU name_NHẬP_GOM]=GU$3)),SUMPRODUCT(Data_Nhập[Tổng Nhập-NX]*(Data_Nhập[Year]=GU$1)*(Data_Nhập[Month]=GU$2)*(Data_Nhập[Main SKU name_GOM]=$A6)*(Data_Nhập[SKU name_NHẬP_GOM]=GU$3)))</f>
        <v>896499.99999999988</v>
      </c>
      <c r="GV6" s="29" cm="1">
        <f t="array" ref="GV6">IF(GV$2="FY",SUMPRODUCT(Data_Nhập[Tổng Nhập-NX]*(Data_Nhập[Year]=GV$1)*(Data_Nhập[Main SKU name_GOM]=$A6)*(Data_Nhập[SKU name_NHẬP_GOM]=GV$3)),SUMPRODUCT(Data_Nhập[Tổng Nhập-NX]*(Data_Nhập[Year]=GV$1)*(Data_Nhập[Month]=GV$2)*(Data_Nhập[Main SKU name_GOM]=$A6)*(Data_Nhập[SKU name_NHẬP_GOM]=GV$3)))</f>
        <v>6600</v>
      </c>
      <c r="GW6" s="29" cm="1">
        <f t="array" ref="GW6">IF(GW$2="FY",SUMPRODUCT(Data_Nhập[Tổng Nhập-NX]*(Data_Nhập[Year]=GW$1)*(Data_Nhập[Main SKU name_GOM]=$A6)*(Data_Nhập[SKU name_NHẬP_GOM]=GW$3)),SUMPRODUCT(Data_Nhập[Tổng Nhập-NX]*(Data_Nhập[Year]=GW$1)*(Data_Nhập[Month]=GW$2)*(Data_Nhập[Main SKU name_GOM]=$A6)*(Data_Nhập[SKU name_NHẬP_GOM]=GW$3)))</f>
        <v>0</v>
      </c>
      <c r="GX6" s="29" cm="1">
        <f t="array" ref="GX6">IF(GX$2="FY",SUMPRODUCT(Data_Nhập[Tổng Nhập-NX]*(Data_Nhập[Year]=GX$1)*(Data_Nhập[Main SKU name_GOM]=$A6)*(Data_Nhập[SKU name_NHẬP_GOM]=GX$3)),SUMPRODUCT(Data_Nhập[Tổng Nhập-NX]*(Data_Nhập[Year]=GX$1)*(Data_Nhập[Month]=GX$2)*(Data_Nhập[Main SKU name_GOM]=$A6)*(Data_Nhập[SKU name_NHẬP_GOM]=GX$3)))</f>
        <v>0</v>
      </c>
      <c r="GY6" s="29" cm="1">
        <f t="array" ref="GY6">IF(GY$2="FY",SUMPRODUCT(Data_Nhập[Tổng Nhập-NX]*(Data_Nhập[Year]=GY$1)*(Data_Nhập[Main SKU name_GOM]=$A6)*(Data_Nhập[SKU name_NHẬP_GOM]=GY$3)),SUMPRODUCT(Data_Nhập[Tổng Nhập-NX]*(Data_Nhập[Year]=GY$1)*(Data_Nhập[Month]=GY$2)*(Data_Nhập[Main SKU name_GOM]=$A6)*(Data_Nhập[SKU name_NHẬP_GOM]=GY$3)))</f>
        <v>68200.000000000015</v>
      </c>
      <c r="GZ6" s="29" cm="1">
        <f t="array" ref="GZ6">IF(GZ$2="FY",SUMPRODUCT(Data_Nhập[Tổng Nhập-NX]*(Data_Nhập[Year]=GZ$1)*(Data_Nhập[Main SKU name_GOM]=$A6)*(Data_Nhập[SKU name_NHẬP_GOM]=GZ$3)),SUMPRODUCT(Data_Nhập[Tổng Nhập-NX]*(Data_Nhập[Year]=GZ$1)*(Data_Nhập[Month]=GZ$2)*(Data_Nhập[Main SKU name_GOM]=$A6)*(Data_Nhập[SKU name_NHẬP_GOM]=GZ$3)))</f>
        <v>0</v>
      </c>
      <c r="HA6" s="29" cm="1">
        <f t="array" ref="HA6">IF(HA$2="FY",SUMPRODUCT(Data_Nhập[Tổng Nhập-NX]*(Data_Nhập[Year]=HA$1)*(Data_Nhập[Main SKU name_GOM]=$A6)*(Data_Nhập[SKU name_NHẬP_GOM]=HA$3)),SUMPRODUCT(Data_Nhập[Tổng Nhập-NX]*(Data_Nhập[Year]=HA$1)*(Data_Nhập[Month]=HA$2)*(Data_Nhập[Main SKU name_GOM]=$A6)*(Data_Nhập[SKU name_NHẬP_GOM]=HA$3)))</f>
        <v>0</v>
      </c>
      <c r="HB6" s="29" cm="1">
        <f t="array" ref="HB6">IF(HB$2="FY",SUMPRODUCT(Data_Nhập[Tổng Nhập-NX]*(Data_Nhập[Year]=HB$1)*(Data_Nhập[Main SKU name_GOM]=$A6)*(Data_Nhập[SKU name_NHẬP_GOM]=HB$3)),SUMPRODUCT(Data_Nhập[Tổng Nhập-NX]*(Data_Nhập[Year]=HB$1)*(Data_Nhập[Month]=HB$2)*(Data_Nhập[Main SKU name_GOM]=$A6)*(Data_Nhập[SKU name_NHẬP_GOM]=HB$3)))</f>
        <v>0</v>
      </c>
      <c r="HC6" s="29" cm="1">
        <f t="array" ref="HC6">IF(HC$2="FY",SUMPRODUCT(Data_Nhập[Tổng Nhập-NX]*(Data_Nhập[Year]=HC$1)*(Data_Nhập[Main SKU name_GOM]=$A6)*(Data_Nhập[SKU name_NHẬP_GOM]=HC$3)),SUMPRODUCT(Data_Nhập[Tổng Nhập-NX]*(Data_Nhập[Year]=HC$1)*(Data_Nhập[Month]=HC$2)*(Data_Nhập[Main SKU name_GOM]=$A6)*(Data_Nhập[SKU name_NHẬP_GOM]=HC$3)))</f>
        <v>0</v>
      </c>
      <c r="HD6" s="29" cm="1">
        <f t="array" ref="HD6">IF(HD$2="FY",SUMPRODUCT(Data_Nhập[Tổng Nhập-NX]*(Data_Nhập[Year]=HD$1)*(Data_Nhập[Main SKU name_GOM]=$A6)*(Data_Nhập[SKU name_NHẬP_GOM]=HD$3)),SUMPRODUCT(Data_Nhập[Tổng Nhập-NX]*(Data_Nhập[Year]=HD$1)*(Data_Nhập[Month]=HD$2)*(Data_Nhập[Main SKU name_GOM]=$A6)*(Data_Nhập[SKU name_NHẬP_GOM]=HD$3)))</f>
        <v>0</v>
      </c>
      <c r="HE6" s="29" cm="1">
        <f t="array" ref="HE6">IF(HE$2="FY",SUMPRODUCT(Data_Nhập[Tổng Nhập-NX]*(Data_Nhập[Year]=HE$1)*(Data_Nhập[Main SKU name_GOM]=$A6)*(Data_Nhập[SKU name_NHẬP_GOM]=HE$3)),SUMPRODUCT(Data_Nhập[Tổng Nhập-NX]*(Data_Nhập[Year]=HE$1)*(Data_Nhập[Month]=HE$2)*(Data_Nhập[Main SKU name_GOM]=$A6)*(Data_Nhập[SKU name_NHẬP_GOM]=HE$3)))</f>
        <v>0</v>
      </c>
      <c r="HF6" s="29" cm="1">
        <f t="array" ref="HF6">IF(HF$2="FY",SUMPRODUCT(Data_Nhập[Tổng Nhập-NX]*(Data_Nhập[Year]=HF$1)*(Data_Nhập[Main SKU name_GOM]=$A6)*(Data_Nhập[SKU name_NHẬP_GOM]=HF$3)),SUMPRODUCT(Data_Nhập[Tổng Nhập-NX]*(Data_Nhập[Year]=HF$1)*(Data_Nhập[Month]=HF$2)*(Data_Nhập[Main SKU name_GOM]=$A6)*(Data_Nhập[SKU name_NHẬP_GOM]=HF$3)))</f>
        <v>0</v>
      </c>
      <c r="HG6" s="29" cm="1">
        <f t="array" ref="HG6">IF(HG$2="FY",SUMPRODUCT(Data_Nhập[Tổng Nhập-NX]*(Data_Nhập[Year]=HG$1)*(Data_Nhập[Main SKU name_GOM]=$A6)*(Data_Nhập[SKU name_NHẬP_GOM]=HG$3)),SUMPRODUCT(Data_Nhập[Tổng Nhập-NX]*(Data_Nhập[Year]=HG$1)*(Data_Nhập[Month]=HG$2)*(Data_Nhập[Main SKU name_GOM]=$A6)*(Data_Nhập[SKU name_NHẬP_GOM]=HG$3)))</f>
        <v>0</v>
      </c>
      <c r="HH6" s="29" cm="1">
        <f t="array" ref="HH6">IF(HH$2="FY",SUMPRODUCT(Data_Nhập[Tổng Nhập-NX]*(Data_Nhập[Year]=HH$1)*(Data_Nhập[Main SKU name_GOM]=$A6)*(Data_Nhập[SKU name_NHẬP_GOM]=HH$3)),SUMPRODUCT(Data_Nhập[Tổng Nhập-NX]*(Data_Nhập[Year]=HH$1)*(Data_Nhập[Month]=HH$2)*(Data_Nhập[Main SKU name_GOM]=$A6)*(Data_Nhập[SKU name_NHẬP_GOM]=HH$3)))</f>
        <v>49980</v>
      </c>
      <c r="HI6" s="29" cm="1">
        <f t="array" ref="HI6">IF(HI$2="FY",SUMPRODUCT(Data_Nhập[Tổng Nhập-NX]*(Data_Nhập[Year]=HI$1)*(Data_Nhập[Main SKU name_GOM]=$A6)*(Data_Nhập[SKU name_NHẬP_GOM]=HI$3)),SUMPRODUCT(Data_Nhập[Tổng Nhập-NX]*(Data_Nhập[Year]=HI$1)*(Data_Nhập[Month]=HI$2)*(Data_Nhập[Main SKU name_GOM]=$A6)*(Data_Nhập[SKU name_NHẬP_GOM]=HI$3)))</f>
        <v>0</v>
      </c>
      <c r="HJ6" s="30">
        <f>SUM(GU6:HI6)</f>
        <v>1021279.9999999999</v>
      </c>
      <c r="HL6" s="30" cm="1">
        <f t="array" ref="HL6">IF(HL$2="FY",SUMPRODUCT(Data_Xuất[Xuất-NX]*(Data_Xuất[Year]=HL$1)*(Data_Xuất[Main SKU name_GOM]=$A6)),SUMPRODUCT(Data_Xuất[Xuất-NX]*(Data_Xuất[Year]=HL$1)*(Data_Xuất[Main SKU name_GOM]=$A6)*(Data_Xuất[Month]=HL$2)))</f>
        <v>1049399.9999999998</v>
      </c>
      <c r="HM6" s="29" cm="1">
        <f t="array" ref="HM6">IF(HM$2="FY",SUMPRODUCT(Data_Nhập[Tổng Nhập-NX]*(Data_Nhập[Year]=HM$1)*(Data_Nhập[Main SKU name_GOM]=$A6)*(Data_Nhập[SKU name_NHẬP_GOM]=HM$3)),SUMPRODUCT(Data_Nhập[Tổng Nhập-NX]*(Data_Nhập[Year]=HM$1)*(Data_Nhập[Month]=HM$2)*(Data_Nhập[Main SKU name_GOM]=$A6)*(Data_Nhập[SKU name_NHẬP_GOM]=HM$3)))</f>
        <v>969100</v>
      </c>
      <c r="HN6" s="29" cm="1">
        <f t="array" ref="HN6">IF(HN$2="FY",SUMPRODUCT(Data_Nhập[Tổng Nhập-NX]*(Data_Nhập[Year]=HN$1)*(Data_Nhập[Main SKU name_GOM]=$A6)*(Data_Nhập[SKU name_NHẬP_GOM]=HN$3)),SUMPRODUCT(Data_Nhập[Tổng Nhập-NX]*(Data_Nhập[Year]=HN$1)*(Data_Nhập[Month]=HN$2)*(Data_Nhập[Main SKU name_GOM]=$A6)*(Data_Nhập[SKU name_NHẬP_GOM]=HN$3)))</f>
        <v>1100</v>
      </c>
      <c r="HO6" s="29" cm="1">
        <f t="array" ref="HO6">IF(HO$2="FY",SUMPRODUCT(Data_Nhập[Tổng Nhập-NX]*(Data_Nhập[Year]=HO$1)*(Data_Nhập[Main SKU name_GOM]=$A6)*(Data_Nhập[SKU name_NHẬP_GOM]=HO$3)),SUMPRODUCT(Data_Nhập[Tổng Nhập-NX]*(Data_Nhập[Year]=HO$1)*(Data_Nhập[Month]=HO$2)*(Data_Nhập[Main SKU name_GOM]=$A6)*(Data_Nhập[SKU name_NHẬP_GOM]=HO$3)))</f>
        <v>0</v>
      </c>
      <c r="HP6" s="29" cm="1">
        <f t="array" ref="HP6">IF(HP$2="FY",SUMPRODUCT(Data_Nhập[Tổng Nhập-NX]*(Data_Nhập[Year]=HP$1)*(Data_Nhập[Main SKU name_GOM]=$A6)*(Data_Nhập[SKU name_NHẬP_GOM]=HP$3)),SUMPRODUCT(Data_Nhập[Tổng Nhập-NX]*(Data_Nhập[Year]=HP$1)*(Data_Nhập[Month]=HP$2)*(Data_Nhập[Main SKU name_GOM]=$A6)*(Data_Nhập[SKU name_NHẬP_GOM]=HP$3)))</f>
        <v>0</v>
      </c>
      <c r="HQ6" s="29" cm="1">
        <f t="array" ref="HQ6">IF(HQ$2="FY",SUMPRODUCT(Data_Nhập[Tổng Nhập-NX]*(Data_Nhập[Year]=HQ$1)*(Data_Nhập[Main SKU name_GOM]=$A6)*(Data_Nhập[SKU name_NHẬP_GOM]=HQ$3)),SUMPRODUCT(Data_Nhập[Tổng Nhập-NX]*(Data_Nhập[Year]=HQ$1)*(Data_Nhập[Month]=HQ$2)*(Data_Nhập[Main SKU name_GOM]=$A6)*(Data_Nhập[SKU name_NHẬP_GOM]=HQ$3)))</f>
        <v>26399.999999999996</v>
      </c>
      <c r="HR6" s="29" cm="1">
        <f t="array" ref="HR6">IF(HR$2="FY",SUMPRODUCT(Data_Nhập[Tổng Nhập-NX]*(Data_Nhập[Year]=HR$1)*(Data_Nhập[Main SKU name_GOM]=$A6)*(Data_Nhập[SKU name_NHẬP_GOM]=HR$3)),SUMPRODUCT(Data_Nhập[Tổng Nhập-NX]*(Data_Nhập[Year]=HR$1)*(Data_Nhập[Month]=HR$2)*(Data_Nhập[Main SKU name_GOM]=$A6)*(Data_Nhập[SKU name_NHẬP_GOM]=HR$3)))</f>
        <v>0</v>
      </c>
      <c r="HS6" s="29" cm="1">
        <f t="array" ref="HS6">IF(HS$2="FY",SUMPRODUCT(Data_Nhập[Tổng Nhập-NX]*(Data_Nhập[Year]=HS$1)*(Data_Nhập[Main SKU name_GOM]=$A6)*(Data_Nhập[SKU name_NHẬP_GOM]=HS$3)),SUMPRODUCT(Data_Nhập[Tổng Nhập-NX]*(Data_Nhập[Year]=HS$1)*(Data_Nhập[Month]=HS$2)*(Data_Nhập[Main SKU name_GOM]=$A6)*(Data_Nhập[SKU name_NHẬP_GOM]=HS$3)))</f>
        <v>0</v>
      </c>
      <c r="HT6" s="29" cm="1">
        <f t="array" ref="HT6">IF(HT$2="FY",SUMPRODUCT(Data_Nhập[Tổng Nhập-NX]*(Data_Nhập[Year]=HT$1)*(Data_Nhập[Main SKU name_GOM]=$A6)*(Data_Nhập[SKU name_NHẬP_GOM]=HT$3)),SUMPRODUCT(Data_Nhập[Tổng Nhập-NX]*(Data_Nhập[Year]=HT$1)*(Data_Nhập[Month]=HT$2)*(Data_Nhập[Main SKU name_GOM]=$A6)*(Data_Nhập[SKU name_NHẬP_GOM]=HT$3)))</f>
        <v>0</v>
      </c>
      <c r="HU6" s="29" cm="1">
        <f t="array" ref="HU6">IF(HU$2="FY",SUMPRODUCT(Data_Nhập[Tổng Nhập-NX]*(Data_Nhập[Year]=HU$1)*(Data_Nhập[Main SKU name_GOM]=$A6)*(Data_Nhập[SKU name_NHẬP_GOM]=HU$3)),SUMPRODUCT(Data_Nhập[Tổng Nhập-NX]*(Data_Nhập[Year]=HU$1)*(Data_Nhập[Month]=HU$2)*(Data_Nhập[Main SKU name_GOM]=$A6)*(Data_Nhập[SKU name_NHẬP_GOM]=HU$3)))</f>
        <v>13200</v>
      </c>
      <c r="HV6" s="29" cm="1">
        <f t="array" ref="HV6">IF(HV$2="FY",SUMPRODUCT(Data_Nhập[Tổng Nhập-NX]*(Data_Nhập[Year]=HV$1)*(Data_Nhập[Main SKU name_GOM]=$A6)*(Data_Nhập[SKU name_NHẬP_GOM]=HV$3)),SUMPRODUCT(Data_Nhập[Tổng Nhập-NX]*(Data_Nhập[Year]=HV$1)*(Data_Nhập[Month]=HV$2)*(Data_Nhập[Main SKU name_GOM]=$A6)*(Data_Nhập[SKU name_NHẬP_GOM]=HV$3)))</f>
        <v>0</v>
      </c>
      <c r="HW6" s="29" cm="1">
        <f t="array" ref="HW6">IF(HW$2="FY",SUMPRODUCT(Data_Nhập[Tổng Nhập-NX]*(Data_Nhập[Year]=HW$1)*(Data_Nhập[Main SKU name_GOM]=$A6)*(Data_Nhập[SKU name_NHẬP_GOM]=HW$3)),SUMPRODUCT(Data_Nhập[Tổng Nhập-NX]*(Data_Nhập[Year]=HW$1)*(Data_Nhập[Month]=HW$2)*(Data_Nhập[Main SKU name_GOM]=$A6)*(Data_Nhập[SKU name_NHẬP_GOM]=HW$3)))</f>
        <v>0</v>
      </c>
      <c r="HX6" s="29" cm="1">
        <f t="array" ref="HX6">IF(HX$2="FY",SUMPRODUCT(Data_Nhập[Tổng Nhập-NX]*(Data_Nhập[Year]=HX$1)*(Data_Nhập[Main SKU name_GOM]=$A6)*(Data_Nhập[SKU name_NHẬP_GOM]=HX$3)),SUMPRODUCT(Data_Nhập[Tổng Nhập-NX]*(Data_Nhập[Year]=HX$1)*(Data_Nhập[Month]=HX$2)*(Data_Nhập[Main SKU name_GOM]=$A6)*(Data_Nhập[SKU name_NHẬP_GOM]=HX$3)))</f>
        <v>3300</v>
      </c>
      <c r="HY6" s="29" cm="1">
        <f t="array" ref="HY6">IF(HY$2="FY",SUMPRODUCT(Data_Nhập[Tổng Nhập-NX]*(Data_Nhập[Year]=HY$1)*(Data_Nhập[Main SKU name_GOM]=$A6)*(Data_Nhập[SKU name_NHẬP_GOM]=HY$3)),SUMPRODUCT(Data_Nhập[Tổng Nhập-NX]*(Data_Nhập[Year]=HY$1)*(Data_Nhập[Month]=HY$2)*(Data_Nhập[Main SKU name_GOM]=$A6)*(Data_Nhập[SKU name_NHẬP_GOM]=HY$3)))</f>
        <v>0</v>
      </c>
      <c r="HZ6" s="29" cm="1">
        <f t="array" ref="HZ6">IF(HZ$2="FY",SUMPRODUCT(Data_Nhập[Tổng Nhập-NX]*(Data_Nhập[Year]=HZ$1)*(Data_Nhập[Main SKU name_GOM]=$A6)*(Data_Nhập[SKU name_NHẬP_GOM]=HZ$3)),SUMPRODUCT(Data_Nhập[Tổng Nhập-NX]*(Data_Nhập[Year]=HZ$1)*(Data_Nhập[Month]=HZ$2)*(Data_Nhập[Main SKU name_GOM]=$A6)*(Data_Nhập[SKU name_NHẬP_GOM]=HZ$3)))</f>
        <v>34370</v>
      </c>
      <c r="IA6" s="29" cm="1">
        <f t="array" ref="IA6">IF(IA$2="FY",SUMPRODUCT(Data_Nhập[Tổng Nhập-NX]*(Data_Nhập[Year]=IA$1)*(Data_Nhập[Main SKU name_GOM]=$A6)*(Data_Nhập[SKU name_NHẬP_GOM]=IA$3)),SUMPRODUCT(Data_Nhập[Tổng Nhập-NX]*(Data_Nhập[Year]=IA$1)*(Data_Nhập[Month]=IA$2)*(Data_Nhập[Main SKU name_GOM]=$A6)*(Data_Nhập[SKU name_NHẬP_GOM]=IA$3)))</f>
        <v>0</v>
      </c>
      <c r="IB6" s="30">
        <f>SUM(HM6:IA6)</f>
        <v>1047470</v>
      </c>
    </row>
    <row r="7" spans="1:236" x14ac:dyDescent="0.35">
      <c r="A7" s="5" t="s">
        <v>69</v>
      </c>
      <c r="B7" s="22" t="s">
        <v>69</v>
      </c>
      <c r="D7" s="42" cm="1">
        <f t="array" ref="D7">IF(D$2="FY",SUMPRODUCT(Data_Xuất[Xuất-NX]*(Data_Xuất[Year]=D$1)*(Data_Xuất[Main SKU name_GOM]=$A7)),SUMPRODUCT(Data_Xuất[Xuất-NX]*(Data_Xuất[Year]=D$1)*(Data_Xuất[Main SKU name_GOM]=$A7)*Data_Xuất[Month]=D$2))</f>
        <v>2959915.8930000011</v>
      </c>
      <c r="E7" s="24" cm="1">
        <f t="array" ref="E7">IF(E$2="FY",SUMPRODUCT(Data_Nhập[Tổng Nhập-NX]*(Data_Nhập[Year]=E$1)*(Data_Nhập[Main SKU name_GOM]=$A7)*(Data_Nhập[SKU name_NHẬP_GOM]=E$3)),SUMPRODUCT(Data_Nhập[Tổng Nhập-NX]*(Data_Nhập[Year]=E$1)*(Data_Nhập[Month]=E$2)*(Data_Nhập[Main SKU name_GOM]=$A7)*(Data_Nhập[SKU name_NHẬP_GOM]=E$3)))</f>
        <v>233038</v>
      </c>
      <c r="F7" s="24" cm="1">
        <f t="array" ref="F7">IF(F$2="FY",SUMPRODUCT(Data_Nhập[Tổng Nhập-NX]*(Data_Nhập[Year]=F$1)*(Data_Nhập[Main SKU name_GOM]=$A7)*(Data_Nhập[SKU name_NHẬP_GOM]=F$3)),SUMPRODUCT(Data_Nhập[Tổng Nhập-NX]*(Data_Nhập[Year]=F$1)*(Data_Nhập[Month]=F$2)*(Data_Nhập[Main SKU name_GOM]=$A7)*(Data_Nhập[SKU name_NHẬP_GOM]=F$3)))</f>
        <v>2322001</v>
      </c>
      <c r="G7" s="24" cm="1">
        <f t="array" ref="G7">IF(G$2="FY",SUMPRODUCT(Data_Nhập[Tổng Nhập-NX]*(Data_Nhập[Year]=G$1)*(Data_Nhập[Main SKU name_GOM]=$A7)*(Data_Nhập[SKU name_NHẬP_GOM]=G$3)),SUMPRODUCT(Data_Nhập[Tổng Nhập-NX]*(Data_Nhập[Year]=G$1)*(Data_Nhập[Month]=G$2)*(Data_Nhập[Main SKU name_GOM]=$A7)*(Data_Nhập[SKU name_NHẬP_GOM]=G$3)))</f>
        <v>117700</v>
      </c>
      <c r="H7" s="24" cm="1">
        <f t="array" ref="H7">IF(H$2="FY",SUMPRODUCT(Data_Nhập[Tổng Nhập-NX]*(Data_Nhập[Year]=H$1)*(Data_Nhập[Main SKU name_GOM]=$A7)*(Data_Nhập[SKU name_NHẬP_GOM]=H$3)),SUMPRODUCT(Data_Nhập[Tổng Nhập-NX]*(Data_Nhập[Year]=H$1)*(Data_Nhập[Month]=H$2)*(Data_Nhập[Main SKU name_GOM]=$A7)*(Data_Nhập[SKU name_NHẬP_GOM]=H$3)))</f>
        <v>0</v>
      </c>
      <c r="I7" s="24" cm="1">
        <f t="array" ref="I7">IF(I$2="FY",SUMPRODUCT(Data_Nhập[Tổng Nhập-NX]*(Data_Nhập[Year]=I$1)*(Data_Nhập[Main SKU name_GOM]=$A7)*(Data_Nhập[SKU name_NHẬP_GOM]=I$3)),SUMPRODUCT(Data_Nhập[Tổng Nhập-NX]*(Data_Nhập[Year]=I$1)*(Data_Nhập[Month]=I$2)*(Data_Nhập[Main SKU name_GOM]=$A7)*(Data_Nhập[SKU name_NHẬP_GOM]=I$3)))</f>
        <v>77616.5</v>
      </c>
      <c r="J7" s="24" cm="1">
        <f t="array" ref="J7">IF(J$2="FY",SUMPRODUCT(Data_Nhập[Tổng Nhập-NX]*(Data_Nhập[Year]=J$1)*(Data_Nhập[Main SKU name_GOM]=$A7)*(Data_Nhập[SKU name_NHẬP_GOM]=J$3)),SUMPRODUCT(Data_Nhập[Tổng Nhập-NX]*(Data_Nhập[Year]=J$1)*(Data_Nhập[Month]=J$2)*(Data_Nhập[Main SKU name_GOM]=$A7)*(Data_Nhập[SKU name_NHẬP_GOM]=J$3)))</f>
        <v>0</v>
      </c>
      <c r="K7" s="24" cm="1">
        <f t="array" ref="K7">IF(K$2="FY",SUMPRODUCT(Data_Nhập[Tổng Nhập-NX]*(Data_Nhập[Year]=K$1)*(Data_Nhập[Main SKU name_GOM]=$A7)*(Data_Nhập[SKU name_NHẬP_GOM]=K$3)),SUMPRODUCT(Data_Nhập[Tổng Nhập-NX]*(Data_Nhập[Year]=K$1)*(Data_Nhập[Month]=K$2)*(Data_Nhập[Main SKU name_GOM]=$A7)*(Data_Nhập[SKU name_NHẬP_GOM]=K$3)))</f>
        <v>0</v>
      </c>
      <c r="L7" s="24" cm="1">
        <f t="array" ref="L7">IF(L$2="FY",SUMPRODUCT(Data_Nhập[Tổng Nhập-NX]*(Data_Nhập[Year]=L$1)*(Data_Nhập[Main SKU name_GOM]=$A7)*(Data_Nhập[SKU name_NHẬP_GOM]=L$3)),SUMPRODUCT(Data_Nhập[Tổng Nhập-NX]*(Data_Nhập[Year]=L$1)*(Data_Nhập[Month]=L$2)*(Data_Nhập[Main SKU name_GOM]=$A7)*(Data_Nhập[SKU name_NHẬP_GOM]=L$3)))</f>
        <v>0</v>
      </c>
      <c r="M7" s="24" cm="1">
        <f t="array" ref="M7">IF(M$2="FY",SUMPRODUCT(Data_Nhập[Tổng Nhập-NX]*(Data_Nhập[Year]=M$1)*(Data_Nhập[Main SKU name_GOM]=$A7)*(Data_Nhập[SKU name_NHẬP_GOM]=M$3)),SUMPRODUCT(Data_Nhập[Tổng Nhập-NX]*(Data_Nhập[Year]=M$1)*(Data_Nhập[Month]=M$2)*(Data_Nhập[Main SKU name_GOM]=$A7)*(Data_Nhập[SKU name_NHẬP_GOM]=M$3)))</f>
        <v>3300</v>
      </c>
      <c r="N7" s="24" cm="1">
        <f t="array" ref="N7">IF(N$2="FY",SUMPRODUCT(Data_Nhập[Tổng Nhập-NX]*(Data_Nhập[Year]=N$1)*(Data_Nhập[Main SKU name_GOM]=$A7)*(Data_Nhập[SKU name_NHẬP_GOM]=N$3)),SUMPRODUCT(Data_Nhập[Tổng Nhập-NX]*(Data_Nhập[Year]=N$1)*(Data_Nhập[Month]=N$2)*(Data_Nhập[Main SKU name_GOM]=$A7)*(Data_Nhập[SKU name_NHẬP_GOM]=N$3)))</f>
        <v>0</v>
      </c>
      <c r="O7" s="24" cm="1">
        <f t="array" ref="O7">IF(O$2="FY",SUMPRODUCT(Data_Nhập[Tổng Nhập-NX]*(Data_Nhập[Year]=O$1)*(Data_Nhập[Main SKU name_GOM]=$A7)*(Data_Nhập[SKU name_NHẬP_GOM]=O$3)),SUMPRODUCT(Data_Nhập[Tổng Nhập-NX]*(Data_Nhập[Year]=O$1)*(Data_Nhập[Month]=O$2)*(Data_Nhập[Main SKU name_GOM]=$A7)*(Data_Nhập[SKU name_NHẬP_GOM]=O$3)))</f>
        <v>0</v>
      </c>
      <c r="P7" s="24" cm="1">
        <f t="array" ref="P7">IF(P$2="FY",SUMPRODUCT(Data_Nhập[Tổng Nhập-NX]*(Data_Nhập[Year]=P$1)*(Data_Nhập[Main SKU name_GOM]=$A7)*(Data_Nhập[SKU name_NHẬP_GOM]=P$3)),SUMPRODUCT(Data_Nhập[Tổng Nhập-NX]*(Data_Nhập[Year]=P$1)*(Data_Nhập[Month]=P$2)*(Data_Nhập[Main SKU name_GOM]=$A7)*(Data_Nhập[SKU name_NHẬP_GOM]=P$3)))</f>
        <v>0</v>
      </c>
      <c r="Q7" s="24" cm="1">
        <f t="array" ref="Q7">IF(Q$2="FY",SUMPRODUCT(Data_Nhập[Tổng Nhập-NX]*(Data_Nhập[Year]=Q$1)*(Data_Nhập[Main SKU name_GOM]=$A7)*(Data_Nhập[SKU name_NHẬP_GOM]=Q$3)),SUMPRODUCT(Data_Nhập[Tổng Nhập-NX]*(Data_Nhập[Year]=Q$1)*(Data_Nhập[Month]=Q$2)*(Data_Nhập[Main SKU name_GOM]=$A7)*(Data_Nhập[SKU name_NHẬP_GOM]=Q$3)))</f>
        <v>0</v>
      </c>
      <c r="R7" s="24" cm="1">
        <f t="array" ref="R7">IF(R$2="FY",SUMPRODUCT(Data_Nhập[Tổng Nhập-NX]*(Data_Nhập[Year]=R$1)*(Data_Nhập[Main SKU name_GOM]=$A7)*(Data_Nhập[SKU name_NHẬP_GOM]=R$3)),SUMPRODUCT(Data_Nhập[Tổng Nhập-NX]*(Data_Nhập[Year]=R$1)*(Data_Nhập[Month]=R$2)*(Data_Nhập[Main SKU name_GOM]=$A7)*(Data_Nhập[SKU name_NHẬP_GOM]=R$3)))</f>
        <v>196244.5</v>
      </c>
      <c r="S7" s="24" cm="1">
        <f t="array" ref="S7">IF(S$2="FY",SUMPRODUCT(Data_Nhập[Tổng Nhập-NX]*(Data_Nhập[Year]=S$1)*(Data_Nhập[Main SKU name_GOM]=$A7)*(Data_Nhập[SKU name_NHẬP_GOM]=S$3)),SUMPRODUCT(Data_Nhập[Tổng Nhập-NX]*(Data_Nhập[Year]=S$1)*(Data_Nhập[Month]=S$2)*(Data_Nhập[Main SKU name_GOM]=$A7)*(Data_Nhập[SKU name_NHẬP_GOM]=S$3)))</f>
        <v>0</v>
      </c>
      <c r="T7" s="25">
        <f t="shared" ref="T7:T12" si="12">SUM(E7:S7)</f>
        <v>2949900</v>
      </c>
      <c r="V7" s="25" cm="1">
        <f t="array" ref="V7">IF(V$2="FY",SUMPRODUCT(Data_Xuất[Xuất-NX]*(Data_Xuất[Year]=V$1)*(Data_Xuất[Main SKU name_GOM]=$A7)),SUMPRODUCT(Data_Xuất[Xuất-NX]*(Data_Xuất[Year]=V$1)*(Data_Xuất[Main SKU name_GOM]=$A7)*(Data_Xuất[Month]=V$2)))</f>
        <v>299000</v>
      </c>
      <c r="W7" s="24" cm="1">
        <f t="array" ref="W7">IF(W$2="FY",SUMPRODUCT(Data_Nhập[Tổng Nhập-NX]*(Data_Nhập[Year]=W$1)*(Data_Nhập[Main SKU name_GOM]=$A7)*(Data_Nhập[SKU name_NHẬP_GOM]=W$3)),SUMPRODUCT(Data_Nhập[Tổng Nhập-NX]*(Data_Nhập[Year]=W$1)*(Data_Nhập[Month]=W$2)*(Data_Nhập[Main SKU name_GOM]=$A7)*(Data_Nhập[SKU name_NHẬP_GOM]=W$3)))</f>
        <v>0</v>
      </c>
      <c r="X7" s="24" cm="1">
        <f t="array" ref="X7">IF(X$2="FY",SUMPRODUCT(Data_Nhập[Tổng Nhập-NX]*(Data_Nhập[Year]=X$1)*(Data_Nhập[Main SKU name_GOM]=$A7)*(Data_Nhập[SKU name_NHẬP_GOM]=X$3)),SUMPRODUCT(Data_Nhập[Tổng Nhập-NX]*(Data_Nhập[Year]=X$1)*(Data_Nhập[Month]=X$2)*(Data_Nhập[Main SKU name_GOM]=$A7)*(Data_Nhập[SKU name_NHẬP_GOM]=X$3)))</f>
        <v>280500</v>
      </c>
      <c r="Y7" s="24" cm="1">
        <f t="array" ref="Y7">IF(Y$2="FY",SUMPRODUCT(Data_Nhập[Tổng Nhập-NX]*(Data_Nhập[Year]=Y$1)*(Data_Nhập[Main SKU name_GOM]=$A7)*(Data_Nhập[SKU name_NHẬP_GOM]=Y$3)),SUMPRODUCT(Data_Nhập[Tổng Nhập-NX]*(Data_Nhập[Year]=Y$1)*(Data_Nhập[Month]=Y$2)*(Data_Nhập[Main SKU name_GOM]=$A7)*(Data_Nhập[SKU name_NHẬP_GOM]=Y$3)))</f>
        <v>2200</v>
      </c>
      <c r="Z7" s="24" cm="1">
        <f t="array" ref="Z7">IF(Z$2="FY",SUMPRODUCT(Data_Nhập[Tổng Nhập-NX]*(Data_Nhập[Year]=Z$1)*(Data_Nhập[Main SKU name_GOM]=$A7)*(Data_Nhập[SKU name_NHẬP_GOM]=Z$3)),SUMPRODUCT(Data_Nhập[Tổng Nhập-NX]*(Data_Nhập[Year]=Z$1)*(Data_Nhập[Month]=Z$2)*(Data_Nhập[Main SKU name_GOM]=$A7)*(Data_Nhập[SKU name_NHẬP_GOM]=Z$3)))</f>
        <v>0</v>
      </c>
      <c r="AA7" s="24" cm="1">
        <f t="array" ref="AA7">IF(AA$2="FY",SUMPRODUCT(Data_Nhập[Tổng Nhập-NX]*(Data_Nhập[Year]=AA$1)*(Data_Nhập[Main SKU name_GOM]=$A7)*(Data_Nhập[SKU name_NHẬP_GOM]=AA$3)),SUMPRODUCT(Data_Nhập[Tổng Nhập-NX]*(Data_Nhập[Year]=AA$1)*(Data_Nhập[Month]=AA$2)*(Data_Nhập[Main SKU name_GOM]=$A7)*(Data_Nhập[SKU name_NHẬP_GOM]=AA$3)))</f>
        <v>2200</v>
      </c>
      <c r="AB7" s="24" cm="1">
        <f t="array" ref="AB7">IF(AB$2="FY",SUMPRODUCT(Data_Nhập[Tổng Nhập-NX]*(Data_Nhập[Year]=AB$1)*(Data_Nhập[Main SKU name_GOM]=$A7)*(Data_Nhập[SKU name_NHẬP_GOM]=AB$3)),SUMPRODUCT(Data_Nhập[Tổng Nhập-NX]*(Data_Nhập[Year]=AB$1)*(Data_Nhập[Month]=AB$2)*(Data_Nhập[Main SKU name_GOM]=$A7)*(Data_Nhập[SKU name_NHẬP_GOM]=AB$3)))</f>
        <v>0</v>
      </c>
      <c r="AC7" s="24" cm="1">
        <f t="array" ref="AC7">IF(AC$2="FY",SUMPRODUCT(Data_Nhập[Tổng Nhập-NX]*(Data_Nhập[Year]=AC$1)*(Data_Nhập[Main SKU name_GOM]=$A7)*(Data_Nhập[SKU name_NHẬP_GOM]=AC$3)),SUMPRODUCT(Data_Nhập[Tổng Nhập-NX]*(Data_Nhập[Year]=AC$1)*(Data_Nhập[Month]=AC$2)*(Data_Nhập[Main SKU name_GOM]=$A7)*(Data_Nhập[SKU name_NHẬP_GOM]=AC$3)))</f>
        <v>0</v>
      </c>
      <c r="AD7" s="24" cm="1">
        <f t="array" ref="AD7">IF(AD$2="FY",SUMPRODUCT(Data_Nhập[Tổng Nhập-NX]*(Data_Nhập[Year]=AD$1)*(Data_Nhập[Main SKU name_GOM]=$A7)*(Data_Nhập[SKU name_NHẬP_GOM]=AD$3)),SUMPRODUCT(Data_Nhập[Tổng Nhập-NX]*(Data_Nhập[Year]=AD$1)*(Data_Nhập[Month]=AD$2)*(Data_Nhập[Main SKU name_GOM]=$A7)*(Data_Nhập[SKU name_NHẬP_GOM]=AD$3)))</f>
        <v>0</v>
      </c>
      <c r="AE7" s="24" cm="1">
        <f t="array" ref="AE7">IF(AE$2="FY",SUMPRODUCT(Data_Nhập[Tổng Nhập-NX]*(Data_Nhập[Year]=AE$1)*(Data_Nhập[Main SKU name_GOM]=$A7)*(Data_Nhập[SKU name_NHẬP_GOM]=AE$3)),SUMPRODUCT(Data_Nhập[Tổng Nhập-NX]*(Data_Nhập[Year]=AE$1)*(Data_Nhập[Month]=AE$2)*(Data_Nhập[Main SKU name_GOM]=$A7)*(Data_Nhập[SKU name_NHẬP_GOM]=AE$3)))</f>
        <v>0</v>
      </c>
      <c r="AF7" s="24" cm="1">
        <f t="array" ref="AF7">IF(AF$2="FY",SUMPRODUCT(Data_Nhập[Tổng Nhập-NX]*(Data_Nhập[Year]=AF$1)*(Data_Nhập[Main SKU name_GOM]=$A7)*(Data_Nhập[SKU name_NHẬP_GOM]=AF$3)),SUMPRODUCT(Data_Nhập[Tổng Nhập-NX]*(Data_Nhập[Year]=AF$1)*(Data_Nhập[Month]=AF$2)*(Data_Nhập[Main SKU name_GOM]=$A7)*(Data_Nhập[SKU name_NHẬP_GOM]=AF$3)))</f>
        <v>0</v>
      </c>
      <c r="AG7" s="24" cm="1">
        <f t="array" ref="AG7">IF(AG$2="FY",SUMPRODUCT(Data_Nhập[Tổng Nhập-NX]*(Data_Nhập[Year]=AG$1)*(Data_Nhập[Main SKU name_GOM]=$A7)*(Data_Nhập[SKU name_NHẬP_GOM]=AG$3)),SUMPRODUCT(Data_Nhập[Tổng Nhập-NX]*(Data_Nhập[Year]=AG$1)*(Data_Nhập[Month]=AG$2)*(Data_Nhập[Main SKU name_GOM]=$A7)*(Data_Nhập[SKU name_NHẬP_GOM]=AG$3)))</f>
        <v>0</v>
      </c>
      <c r="AH7" s="24" cm="1">
        <f t="array" ref="AH7">IF(AH$2="FY",SUMPRODUCT(Data_Nhập[Tổng Nhập-NX]*(Data_Nhập[Year]=AH$1)*(Data_Nhập[Main SKU name_GOM]=$A7)*(Data_Nhập[SKU name_NHẬP_GOM]=AH$3)),SUMPRODUCT(Data_Nhập[Tổng Nhập-NX]*(Data_Nhập[Year]=AH$1)*(Data_Nhập[Month]=AH$2)*(Data_Nhập[Main SKU name_GOM]=$A7)*(Data_Nhập[SKU name_NHẬP_GOM]=AH$3)))</f>
        <v>0</v>
      </c>
      <c r="AI7" s="24" cm="1">
        <f t="array" ref="AI7">IF(AI$2="FY",SUMPRODUCT(Data_Nhập[Tổng Nhập-NX]*(Data_Nhập[Year]=AI$1)*(Data_Nhập[Main SKU name_GOM]=$A7)*(Data_Nhập[SKU name_NHẬP_GOM]=AI$3)),SUMPRODUCT(Data_Nhập[Tổng Nhập-NX]*(Data_Nhập[Year]=AI$1)*(Data_Nhập[Month]=AI$2)*(Data_Nhập[Main SKU name_GOM]=$A7)*(Data_Nhập[SKU name_NHẬP_GOM]=AI$3)))</f>
        <v>0</v>
      </c>
      <c r="AJ7" s="24" cm="1">
        <f t="array" ref="AJ7">IF(AJ$2="FY",SUMPRODUCT(Data_Nhập[Tổng Nhập-NX]*(Data_Nhập[Year]=AJ$1)*(Data_Nhập[Main SKU name_GOM]=$A7)*(Data_Nhập[SKU name_NHẬP_GOM]=AJ$3)),SUMPRODUCT(Data_Nhập[Tổng Nhập-NX]*(Data_Nhập[Year]=AJ$1)*(Data_Nhập[Month]=AJ$2)*(Data_Nhập[Main SKU name_GOM]=$A7)*(Data_Nhập[SKU name_NHẬP_GOM]=AJ$3)))</f>
        <v>10587.5</v>
      </c>
      <c r="AK7" s="24" cm="1">
        <f t="array" ref="AK7">IF(AK$2="FY",SUMPRODUCT(Data_Nhập[Tổng Nhập-NX]*(Data_Nhập[Year]=AK$1)*(Data_Nhập[Main SKU name_GOM]=$A7)*(Data_Nhập[SKU name_NHẬP_GOM]=AK$3)),SUMPRODUCT(Data_Nhập[Tổng Nhập-NX]*(Data_Nhập[Year]=AK$1)*(Data_Nhập[Month]=AK$2)*(Data_Nhập[Main SKU name_GOM]=$A7)*(Data_Nhập[SKU name_NHẬP_GOM]=AK$3)))</f>
        <v>0</v>
      </c>
      <c r="AL7" s="25">
        <f t="shared" ref="AL7:AL12" si="13">SUM(W7:AK7)</f>
        <v>295487.5</v>
      </c>
      <c r="AN7" s="25" cm="1">
        <f t="array" ref="AN7">IF(AN$2="FY",SUMPRODUCT(Data_Xuất[Xuất-NX]*(Data_Xuất[Year]=AN$1)*(Data_Xuất[Main SKU name_GOM]=$A7)),SUMPRODUCT(Data_Xuất[Xuất-NX]*(Data_Xuất[Year]=AN$1)*(Data_Xuất[Main SKU name_GOM]=$A7)*(Data_Xuất[Month]=AN$2)))</f>
        <v>0</v>
      </c>
      <c r="AO7" s="24" cm="1">
        <f t="array" ref="AO7">IF(AO$2="FY",SUMPRODUCT(Data_Nhập[Tổng Nhập-NX]*(Data_Nhập[Year]=AO$1)*(Data_Nhập[Main SKU name_GOM]=$A7)*(Data_Nhập[SKU name_NHẬP_GOM]=AO$3)),SUMPRODUCT(Data_Nhập[Tổng Nhập-NX]*(Data_Nhập[Year]=AO$1)*(Data_Nhập[Month]=AO$2)*(Data_Nhập[Main SKU name_GOM]=$A7)*(Data_Nhập[SKU name_NHẬP_GOM]=AO$3)))</f>
        <v>0</v>
      </c>
      <c r="AP7" s="24" cm="1">
        <f t="array" ref="AP7">IF(AP$2="FY",SUMPRODUCT(Data_Nhập[Tổng Nhập-NX]*(Data_Nhập[Year]=AP$1)*(Data_Nhập[Main SKU name_GOM]=$A7)*(Data_Nhập[SKU name_NHẬP_GOM]=AP$3)),SUMPRODUCT(Data_Nhập[Tổng Nhập-NX]*(Data_Nhập[Year]=AP$1)*(Data_Nhập[Month]=AP$2)*(Data_Nhập[Main SKU name_GOM]=$A7)*(Data_Nhập[SKU name_NHẬP_GOM]=AP$3)))</f>
        <v>0</v>
      </c>
      <c r="AQ7" s="24" cm="1">
        <f t="array" ref="AQ7">IF(AQ$2="FY",SUMPRODUCT(Data_Nhập[Tổng Nhập-NX]*(Data_Nhập[Year]=AQ$1)*(Data_Nhập[Main SKU name_GOM]=$A7)*(Data_Nhập[SKU name_NHẬP_GOM]=AQ$3)),SUMPRODUCT(Data_Nhập[Tổng Nhập-NX]*(Data_Nhập[Year]=AQ$1)*(Data_Nhập[Month]=AQ$2)*(Data_Nhập[Main SKU name_GOM]=$A7)*(Data_Nhập[SKU name_NHẬP_GOM]=AQ$3)))</f>
        <v>0</v>
      </c>
      <c r="AR7" s="24" cm="1">
        <f t="array" ref="AR7">IF(AR$2="FY",SUMPRODUCT(Data_Nhập[Tổng Nhập-NX]*(Data_Nhập[Year]=AR$1)*(Data_Nhập[Main SKU name_GOM]=$A7)*(Data_Nhập[SKU name_NHẬP_GOM]=AR$3)),SUMPRODUCT(Data_Nhập[Tổng Nhập-NX]*(Data_Nhập[Year]=AR$1)*(Data_Nhập[Month]=AR$2)*(Data_Nhập[Main SKU name_GOM]=$A7)*(Data_Nhập[SKU name_NHẬP_GOM]=AR$3)))</f>
        <v>0</v>
      </c>
      <c r="AS7" s="24" cm="1">
        <f t="array" ref="AS7">IF(AS$2="FY",SUMPRODUCT(Data_Nhập[Tổng Nhập-NX]*(Data_Nhập[Year]=AS$1)*(Data_Nhập[Main SKU name_GOM]=$A7)*(Data_Nhập[SKU name_NHẬP_GOM]=AS$3)),SUMPRODUCT(Data_Nhập[Tổng Nhập-NX]*(Data_Nhập[Year]=AS$1)*(Data_Nhập[Month]=AS$2)*(Data_Nhập[Main SKU name_GOM]=$A7)*(Data_Nhập[SKU name_NHẬP_GOM]=AS$3)))</f>
        <v>0</v>
      </c>
      <c r="AT7" s="24" cm="1">
        <f t="array" ref="AT7">IF(AT$2="FY",SUMPRODUCT(Data_Nhập[Tổng Nhập-NX]*(Data_Nhập[Year]=AT$1)*(Data_Nhập[Main SKU name_GOM]=$A7)*(Data_Nhập[SKU name_NHẬP_GOM]=AT$3)),SUMPRODUCT(Data_Nhập[Tổng Nhập-NX]*(Data_Nhập[Year]=AT$1)*(Data_Nhập[Month]=AT$2)*(Data_Nhập[Main SKU name_GOM]=$A7)*(Data_Nhập[SKU name_NHẬP_GOM]=AT$3)))</f>
        <v>0</v>
      </c>
      <c r="AU7" s="24" cm="1">
        <f t="array" ref="AU7">IF(AU$2="FY",SUMPRODUCT(Data_Nhập[Tổng Nhập-NX]*(Data_Nhập[Year]=AU$1)*(Data_Nhập[Main SKU name_GOM]=$A7)*(Data_Nhập[SKU name_NHẬP_GOM]=AU$3)),SUMPRODUCT(Data_Nhập[Tổng Nhập-NX]*(Data_Nhập[Year]=AU$1)*(Data_Nhập[Month]=AU$2)*(Data_Nhập[Main SKU name_GOM]=$A7)*(Data_Nhập[SKU name_NHẬP_GOM]=AU$3)))</f>
        <v>0</v>
      </c>
      <c r="AV7" s="24" cm="1">
        <f t="array" ref="AV7">IF(AV$2="FY",SUMPRODUCT(Data_Nhập[Tổng Nhập-NX]*(Data_Nhập[Year]=AV$1)*(Data_Nhập[Main SKU name_GOM]=$A7)*(Data_Nhập[SKU name_NHẬP_GOM]=AV$3)),SUMPRODUCT(Data_Nhập[Tổng Nhập-NX]*(Data_Nhập[Year]=AV$1)*(Data_Nhập[Month]=AV$2)*(Data_Nhập[Main SKU name_GOM]=$A7)*(Data_Nhập[SKU name_NHẬP_GOM]=AV$3)))</f>
        <v>0</v>
      </c>
      <c r="AW7" s="24" cm="1">
        <f t="array" ref="AW7">IF(AW$2="FY",SUMPRODUCT(Data_Nhập[Tổng Nhập-NX]*(Data_Nhập[Year]=AW$1)*(Data_Nhập[Main SKU name_GOM]=$A7)*(Data_Nhập[SKU name_NHẬP_GOM]=AW$3)),SUMPRODUCT(Data_Nhập[Tổng Nhập-NX]*(Data_Nhập[Year]=AW$1)*(Data_Nhập[Month]=AW$2)*(Data_Nhập[Main SKU name_GOM]=$A7)*(Data_Nhập[SKU name_NHẬP_GOM]=AW$3)))</f>
        <v>0</v>
      </c>
      <c r="AX7" s="24" cm="1">
        <f t="array" ref="AX7">IF(AX$2="FY",SUMPRODUCT(Data_Nhập[Tổng Nhập-NX]*(Data_Nhập[Year]=AX$1)*(Data_Nhập[Main SKU name_GOM]=$A7)*(Data_Nhập[SKU name_NHẬP_GOM]=AX$3)),SUMPRODUCT(Data_Nhập[Tổng Nhập-NX]*(Data_Nhập[Year]=AX$1)*(Data_Nhập[Month]=AX$2)*(Data_Nhập[Main SKU name_GOM]=$A7)*(Data_Nhập[SKU name_NHẬP_GOM]=AX$3)))</f>
        <v>0</v>
      </c>
      <c r="AY7" s="24" cm="1">
        <f t="array" ref="AY7">IF(AY$2="FY",SUMPRODUCT(Data_Nhập[Tổng Nhập-NX]*(Data_Nhập[Year]=AY$1)*(Data_Nhập[Main SKU name_GOM]=$A7)*(Data_Nhập[SKU name_NHẬP_GOM]=AY$3)),SUMPRODUCT(Data_Nhập[Tổng Nhập-NX]*(Data_Nhập[Year]=AY$1)*(Data_Nhập[Month]=AY$2)*(Data_Nhập[Main SKU name_GOM]=$A7)*(Data_Nhập[SKU name_NHẬP_GOM]=AY$3)))</f>
        <v>0</v>
      </c>
      <c r="AZ7" s="24" cm="1">
        <f t="array" ref="AZ7">IF(AZ$2="FY",SUMPRODUCT(Data_Nhập[Tổng Nhập-NX]*(Data_Nhập[Year]=AZ$1)*(Data_Nhập[Main SKU name_GOM]=$A7)*(Data_Nhập[SKU name_NHẬP_GOM]=AZ$3)),SUMPRODUCT(Data_Nhập[Tổng Nhập-NX]*(Data_Nhập[Year]=AZ$1)*(Data_Nhập[Month]=AZ$2)*(Data_Nhập[Main SKU name_GOM]=$A7)*(Data_Nhập[SKU name_NHẬP_GOM]=AZ$3)))</f>
        <v>0</v>
      </c>
      <c r="BA7" s="24" cm="1">
        <f t="array" ref="BA7">IF(BA$2="FY",SUMPRODUCT(Data_Nhập[Tổng Nhập-NX]*(Data_Nhập[Year]=BA$1)*(Data_Nhập[Main SKU name_GOM]=$A7)*(Data_Nhập[SKU name_NHẬP_GOM]=BA$3)),SUMPRODUCT(Data_Nhập[Tổng Nhập-NX]*(Data_Nhập[Year]=BA$1)*(Data_Nhập[Month]=BA$2)*(Data_Nhập[Main SKU name_GOM]=$A7)*(Data_Nhập[SKU name_NHẬP_GOM]=BA$3)))</f>
        <v>0</v>
      </c>
      <c r="BB7" s="24" cm="1">
        <f t="array" ref="BB7">IF(BB$2="FY",SUMPRODUCT(Data_Nhập[Tổng Nhập-NX]*(Data_Nhập[Year]=BB$1)*(Data_Nhập[Main SKU name_GOM]=$A7)*(Data_Nhập[SKU name_NHẬP_GOM]=BB$3)),SUMPRODUCT(Data_Nhập[Tổng Nhập-NX]*(Data_Nhập[Year]=BB$1)*(Data_Nhập[Month]=BB$2)*(Data_Nhập[Main SKU name_GOM]=$A7)*(Data_Nhập[SKU name_NHẬP_GOM]=BB$3)))</f>
        <v>0</v>
      </c>
      <c r="BC7" s="24" cm="1">
        <f t="array" ref="BC7">IF(BC$2="FY",SUMPRODUCT(Data_Nhập[Tổng Nhập-NX]*(Data_Nhập[Year]=BC$1)*(Data_Nhập[Main SKU name_GOM]=$A7)*(Data_Nhập[SKU name_NHẬP_GOM]=BC$3)),SUMPRODUCT(Data_Nhập[Tổng Nhập-NX]*(Data_Nhập[Year]=BC$1)*(Data_Nhập[Month]=BC$2)*(Data_Nhập[Main SKU name_GOM]=$A7)*(Data_Nhập[SKU name_NHẬP_GOM]=BC$3)))</f>
        <v>0</v>
      </c>
      <c r="BD7" s="25">
        <f t="shared" ref="BD7:BD12" si="14">SUM(AO7:BC7)</f>
        <v>0</v>
      </c>
      <c r="BF7" s="25" cm="1">
        <f t="array" ref="BF7">IF(BF$2="FY",SUMPRODUCT(Data_Xuất[Xuất-NX]*(Data_Xuất[Year]=BF$1)*(Data_Xuất[Main SKU name_GOM]=$A7)),SUMPRODUCT(Data_Xuất[Xuất-NX]*(Data_Xuất[Year]=BF$1)*(Data_Xuất[Main SKU name_GOM]=$A7)*(Data_Xuất[Month]=BF$2)))</f>
        <v>0</v>
      </c>
      <c r="BG7" s="24" cm="1">
        <f t="array" ref="BG7">IF(BG$2="FY",SUMPRODUCT(Data_Nhập[Tổng Nhập-NX]*(Data_Nhập[Year]=BG$1)*(Data_Nhập[Main SKU name_GOM]=$A7)*(Data_Nhập[SKU name_NHẬP_GOM]=BG$3)),SUMPRODUCT(Data_Nhập[Tổng Nhập-NX]*(Data_Nhập[Year]=BG$1)*(Data_Nhập[Month]=BG$2)*(Data_Nhập[Main SKU name_GOM]=$A7)*(Data_Nhập[SKU name_NHẬP_GOM]=BG$3)))</f>
        <v>0</v>
      </c>
      <c r="BH7" s="24" cm="1">
        <f t="array" ref="BH7">IF(BH$2="FY",SUMPRODUCT(Data_Nhập[Tổng Nhập-NX]*(Data_Nhập[Year]=BH$1)*(Data_Nhập[Main SKU name_GOM]=$A7)*(Data_Nhập[SKU name_NHẬP_GOM]=BH$3)),SUMPRODUCT(Data_Nhập[Tổng Nhập-NX]*(Data_Nhập[Year]=BH$1)*(Data_Nhập[Month]=BH$2)*(Data_Nhập[Main SKU name_GOM]=$A7)*(Data_Nhập[SKU name_NHẬP_GOM]=BH$3)))</f>
        <v>0</v>
      </c>
      <c r="BI7" s="24" cm="1">
        <f t="array" ref="BI7">IF(BI$2="FY",SUMPRODUCT(Data_Nhập[Tổng Nhập-NX]*(Data_Nhập[Year]=BI$1)*(Data_Nhập[Main SKU name_GOM]=$A7)*(Data_Nhập[SKU name_NHẬP_GOM]=BI$3)),SUMPRODUCT(Data_Nhập[Tổng Nhập-NX]*(Data_Nhập[Year]=BI$1)*(Data_Nhập[Month]=BI$2)*(Data_Nhập[Main SKU name_GOM]=$A7)*(Data_Nhập[SKU name_NHẬP_GOM]=BI$3)))</f>
        <v>0</v>
      </c>
      <c r="BJ7" s="24" cm="1">
        <f t="array" ref="BJ7">IF(BJ$2="FY",SUMPRODUCT(Data_Nhập[Tổng Nhập-NX]*(Data_Nhập[Year]=BJ$1)*(Data_Nhập[Main SKU name_GOM]=$A7)*(Data_Nhập[SKU name_NHẬP_GOM]=BJ$3)),SUMPRODUCT(Data_Nhập[Tổng Nhập-NX]*(Data_Nhập[Year]=BJ$1)*(Data_Nhập[Month]=BJ$2)*(Data_Nhập[Main SKU name_GOM]=$A7)*(Data_Nhập[SKU name_NHẬP_GOM]=BJ$3)))</f>
        <v>0</v>
      </c>
      <c r="BK7" s="24" cm="1">
        <f t="array" ref="BK7">IF(BK$2="FY",SUMPRODUCT(Data_Nhập[Tổng Nhập-NX]*(Data_Nhập[Year]=BK$1)*(Data_Nhập[Main SKU name_GOM]=$A7)*(Data_Nhập[SKU name_NHẬP_GOM]=BK$3)),SUMPRODUCT(Data_Nhập[Tổng Nhập-NX]*(Data_Nhập[Year]=BK$1)*(Data_Nhập[Month]=BK$2)*(Data_Nhập[Main SKU name_GOM]=$A7)*(Data_Nhập[SKU name_NHẬP_GOM]=BK$3)))</f>
        <v>0</v>
      </c>
      <c r="BL7" s="24" cm="1">
        <f t="array" ref="BL7">IF(BL$2="FY",SUMPRODUCT(Data_Nhập[Tổng Nhập-NX]*(Data_Nhập[Year]=BL$1)*(Data_Nhập[Main SKU name_GOM]=$A7)*(Data_Nhập[SKU name_NHẬP_GOM]=BL$3)),SUMPRODUCT(Data_Nhập[Tổng Nhập-NX]*(Data_Nhập[Year]=BL$1)*(Data_Nhập[Month]=BL$2)*(Data_Nhập[Main SKU name_GOM]=$A7)*(Data_Nhập[SKU name_NHẬP_GOM]=BL$3)))</f>
        <v>0</v>
      </c>
      <c r="BM7" s="24" cm="1">
        <f t="array" ref="BM7">IF(BM$2="FY",SUMPRODUCT(Data_Nhập[Tổng Nhập-NX]*(Data_Nhập[Year]=BM$1)*(Data_Nhập[Main SKU name_GOM]=$A7)*(Data_Nhập[SKU name_NHẬP_GOM]=BM$3)),SUMPRODUCT(Data_Nhập[Tổng Nhập-NX]*(Data_Nhập[Year]=BM$1)*(Data_Nhập[Month]=BM$2)*(Data_Nhập[Main SKU name_GOM]=$A7)*(Data_Nhập[SKU name_NHẬP_GOM]=BM$3)))</f>
        <v>0</v>
      </c>
      <c r="BN7" s="24" cm="1">
        <f t="array" ref="BN7">IF(BN$2="FY",SUMPRODUCT(Data_Nhập[Tổng Nhập-NX]*(Data_Nhập[Year]=BN$1)*(Data_Nhập[Main SKU name_GOM]=$A7)*(Data_Nhập[SKU name_NHẬP_GOM]=BN$3)),SUMPRODUCT(Data_Nhập[Tổng Nhập-NX]*(Data_Nhập[Year]=BN$1)*(Data_Nhập[Month]=BN$2)*(Data_Nhập[Main SKU name_GOM]=$A7)*(Data_Nhập[SKU name_NHẬP_GOM]=BN$3)))</f>
        <v>0</v>
      </c>
      <c r="BO7" s="24" cm="1">
        <f t="array" ref="BO7">IF(BO$2="FY",SUMPRODUCT(Data_Nhập[Tổng Nhập-NX]*(Data_Nhập[Year]=BO$1)*(Data_Nhập[Main SKU name_GOM]=$A7)*(Data_Nhập[SKU name_NHẬP_GOM]=BO$3)),SUMPRODUCT(Data_Nhập[Tổng Nhập-NX]*(Data_Nhập[Year]=BO$1)*(Data_Nhập[Month]=BO$2)*(Data_Nhập[Main SKU name_GOM]=$A7)*(Data_Nhập[SKU name_NHẬP_GOM]=BO$3)))</f>
        <v>0</v>
      </c>
      <c r="BP7" s="24" cm="1">
        <f t="array" ref="BP7">IF(BP$2="FY",SUMPRODUCT(Data_Nhập[Tổng Nhập-NX]*(Data_Nhập[Year]=BP$1)*(Data_Nhập[Main SKU name_GOM]=$A7)*(Data_Nhập[SKU name_NHẬP_GOM]=BP$3)),SUMPRODUCT(Data_Nhập[Tổng Nhập-NX]*(Data_Nhập[Year]=BP$1)*(Data_Nhập[Month]=BP$2)*(Data_Nhập[Main SKU name_GOM]=$A7)*(Data_Nhập[SKU name_NHẬP_GOM]=BP$3)))</f>
        <v>0</v>
      </c>
      <c r="BQ7" s="24" cm="1">
        <f t="array" ref="BQ7">IF(BQ$2="FY",SUMPRODUCT(Data_Nhập[Tổng Nhập-NX]*(Data_Nhập[Year]=BQ$1)*(Data_Nhập[Main SKU name_GOM]=$A7)*(Data_Nhập[SKU name_NHẬP_GOM]=BQ$3)),SUMPRODUCT(Data_Nhập[Tổng Nhập-NX]*(Data_Nhập[Year]=BQ$1)*(Data_Nhập[Month]=BQ$2)*(Data_Nhập[Main SKU name_GOM]=$A7)*(Data_Nhập[SKU name_NHẬP_GOM]=BQ$3)))</f>
        <v>0</v>
      </c>
      <c r="BR7" s="24" cm="1">
        <f t="array" ref="BR7">IF(BR$2="FY",SUMPRODUCT(Data_Nhập[Tổng Nhập-NX]*(Data_Nhập[Year]=BR$1)*(Data_Nhập[Main SKU name_GOM]=$A7)*(Data_Nhập[SKU name_NHẬP_GOM]=BR$3)),SUMPRODUCT(Data_Nhập[Tổng Nhập-NX]*(Data_Nhập[Year]=BR$1)*(Data_Nhập[Month]=BR$2)*(Data_Nhập[Main SKU name_GOM]=$A7)*(Data_Nhập[SKU name_NHẬP_GOM]=BR$3)))</f>
        <v>0</v>
      </c>
      <c r="BS7" s="24" cm="1">
        <f t="array" ref="BS7">IF(BS$2="FY",SUMPRODUCT(Data_Nhập[Tổng Nhập-NX]*(Data_Nhập[Year]=BS$1)*(Data_Nhập[Main SKU name_GOM]=$A7)*(Data_Nhập[SKU name_NHẬP_GOM]=BS$3)),SUMPRODUCT(Data_Nhập[Tổng Nhập-NX]*(Data_Nhập[Year]=BS$1)*(Data_Nhập[Month]=BS$2)*(Data_Nhập[Main SKU name_GOM]=$A7)*(Data_Nhập[SKU name_NHẬP_GOM]=BS$3)))</f>
        <v>0</v>
      </c>
      <c r="BT7" s="24" cm="1">
        <f t="array" ref="BT7">IF(BT$2="FY",SUMPRODUCT(Data_Nhập[Tổng Nhập-NX]*(Data_Nhập[Year]=BT$1)*(Data_Nhập[Main SKU name_GOM]=$A7)*(Data_Nhập[SKU name_NHẬP_GOM]=BT$3)),SUMPRODUCT(Data_Nhập[Tổng Nhập-NX]*(Data_Nhập[Year]=BT$1)*(Data_Nhập[Month]=BT$2)*(Data_Nhập[Main SKU name_GOM]=$A7)*(Data_Nhập[SKU name_NHẬP_GOM]=BT$3)))</f>
        <v>0</v>
      </c>
      <c r="BU7" s="24" cm="1">
        <f t="array" ref="BU7">IF(BU$2="FY",SUMPRODUCT(Data_Nhập[Tổng Nhập-NX]*(Data_Nhập[Year]=BU$1)*(Data_Nhập[Main SKU name_GOM]=$A7)*(Data_Nhập[SKU name_NHẬP_GOM]=BU$3)),SUMPRODUCT(Data_Nhập[Tổng Nhập-NX]*(Data_Nhập[Year]=BU$1)*(Data_Nhập[Month]=BU$2)*(Data_Nhập[Main SKU name_GOM]=$A7)*(Data_Nhập[SKU name_NHẬP_GOM]=BU$3)))</f>
        <v>0</v>
      </c>
      <c r="BV7" s="25">
        <f t="shared" ref="BV7:BV12" si="15">SUM(BG7:BU7)</f>
        <v>0</v>
      </c>
      <c r="BX7" s="25" cm="1">
        <f t="array" ref="BX7">IF(BX$2="FY",SUMPRODUCT(Data_Xuất[Xuất-NX]*(Data_Xuất[Year]=BX$1)*(Data_Xuất[Main SKU name_GOM]=$A7)),SUMPRODUCT(Data_Xuất[Xuất-NX]*(Data_Xuất[Year]=BX$1)*(Data_Xuất[Main SKU name_GOM]=$A7)*(Data_Xuất[Month]=BX$2)))</f>
        <v>0</v>
      </c>
      <c r="BY7" s="24" cm="1">
        <f t="array" ref="BY7">IF(BY$2="FY",SUMPRODUCT(Data_Nhập[Tổng Nhập-NX]*(Data_Nhập[Year]=BY$1)*(Data_Nhập[Main SKU name_GOM]=$A7)*(Data_Nhập[SKU name_NHẬP_GOM]=BY$3)),SUMPRODUCT(Data_Nhập[Tổng Nhập-NX]*(Data_Nhập[Year]=BY$1)*(Data_Nhập[Month]=BY$2)*(Data_Nhập[Main SKU name_GOM]=$A7)*(Data_Nhập[SKU name_NHẬP_GOM]=BY$3)))</f>
        <v>0</v>
      </c>
      <c r="BZ7" s="24" cm="1">
        <f t="array" ref="BZ7">IF(BZ$2="FY",SUMPRODUCT(Data_Nhập[Tổng Nhập-NX]*(Data_Nhập[Year]=BZ$1)*(Data_Nhập[Main SKU name_GOM]=$A7)*(Data_Nhập[SKU name_NHẬP_GOM]=BZ$3)),SUMPRODUCT(Data_Nhập[Tổng Nhập-NX]*(Data_Nhập[Year]=BZ$1)*(Data_Nhập[Month]=BZ$2)*(Data_Nhập[Main SKU name_GOM]=$A7)*(Data_Nhập[SKU name_NHẬP_GOM]=BZ$3)))</f>
        <v>0</v>
      </c>
      <c r="CA7" s="24" cm="1">
        <f t="array" ref="CA7">IF(CA$2="FY",SUMPRODUCT(Data_Nhập[Tổng Nhập-NX]*(Data_Nhập[Year]=CA$1)*(Data_Nhập[Main SKU name_GOM]=$A7)*(Data_Nhập[SKU name_NHẬP_GOM]=CA$3)),SUMPRODUCT(Data_Nhập[Tổng Nhập-NX]*(Data_Nhập[Year]=CA$1)*(Data_Nhập[Month]=CA$2)*(Data_Nhập[Main SKU name_GOM]=$A7)*(Data_Nhập[SKU name_NHẬP_GOM]=CA$3)))</f>
        <v>0</v>
      </c>
      <c r="CB7" s="24" cm="1">
        <f t="array" ref="CB7">IF(CB$2="FY",SUMPRODUCT(Data_Nhập[Tổng Nhập-NX]*(Data_Nhập[Year]=CB$1)*(Data_Nhập[Main SKU name_GOM]=$A7)*(Data_Nhập[SKU name_NHẬP_GOM]=CB$3)),SUMPRODUCT(Data_Nhập[Tổng Nhập-NX]*(Data_Nhập[Year]=CB$1)*(Data_Nhập[Month]=CB$2)*(Data_Nhập[Main SKU name_GOM]=$A7)*(Data_Nhập[SKU name_NHẬP_GOM]=CB$3)))</f>
        <v>0</v>
      </c>
      <c r="CC7" s="24" cm="1">
        <f t="array" ref="CC7">IF(CC$2="FY",SUMPRODUCT(Data_Nhập[Tổng Nhập-NX]*(Data_Nhập[Year]=CC$1)*(Data_Nhập[Main SKU name_GOM]=$A7)*(Data_Nhập[SKU name_NHẬP_GOM]=CC$3)),SUMPRODUCT(Data_Nhập[Tổng Nhập-NX]*(Data_Nhập[Year]=CC$1)*(Data_Nhập[Month]=CC$2)*(Data_Nhập[Main SKU name_GOM]=$A7)*(Data_Nhập[SKU name_NHẬP_GOM]=CC$3)))</f>
        <v>0</v>
      </c>
      <c r="CD7" s="24" cm="1">
        <f t="array" ref="CD7">IF(CD$2="FY",SUMPRODUCT(Data_Nhập[Tổng Nhập-NX]*(Data_Nhập[Year]=CD$1)*(Data_Nhập[Main SKU name_GOM]=$A7)*(Data_Nhập[SKU name_NHẬP_GOM]=CD$3)),SUMPRODUCT(Data_Nhập[Tổng Nhập-NX]*(Data_Nhập[Year]=CD$1)*(Data_Nhập[Month]=CD$2)*(Data_Nhập[Main SKU name_GOM]=$A7)*(Data_Nhập[SKU name_NHẬP_GOM]=CD$3)))</f>
        <v>0</v>
      </c>
      <c r="CE7" s="24" cm="1">
        <f t="array" ref="CE7">IF(CE$2="FY",SUMPRODUCT(Data_Nhập[Tổng Nhập-NX]*(Data_Nhập[Year]=CE$1)*(Data_Nhập[Main SKU name_GOM]=$A7)*(Data_Nhập[SKU name_NHẬP_GOM]=CE$3)),SUMPRODUCT(Data_Nhập[Tổng Nhập-NX]*(Data_Nhập[Year]=CE$1)*(Data_Nhập[Month]=CE$2)*(Data_Nhập[Main SKU name_GOM]=$A7)*(Data_Nhập[SKU name_NHẬP_GOM]=CE$3)))</f>
        <v>0</v>
      </c>
      <c r="CF7" s="24" cm="1">
        <f t="array" ref="CF7">IF(CF$2="FY",SUMPRODUCT(Data_Nhập[Tổng Nhập-NX]*(Data_Nhập[Year]=CF$1)*(Data_Nhập[Main SKU name_GOM]=$A7)*(Data_Nhập[SKU name_NHẬP_GOM]=CF$3)),SUMPRODUCT(Data_Nhập[Tổng Nhập-NX]*(Data_Nhập[Year]=CF$1)*(Data_Nhập[Month]=CF$2)*(Data_Nhập[Main SKU name_GOM]=$A7)*(Data_Nhập[SKU name_NHẬP_GOM]=CF$3)))</f>
        <v>0</v>
      </c>
      <c r="CG7" s="24" cm="1">
        <f t="array" ref="CG7">IF(CG$2="FY",SUMPRODUCT(Data_Nhập[Tổng Nhập-NX]*(Data_Nhập[Year]=CG$1)*(Data_Nhập[Main SKU name_GOM]=$A7)*(Data_Nhập[SKU name_NHẬP_GOM]=CG$3)),SUMPRODUCT(Data_Nhập[Tổng Nhập-NX]*(Data_Nhập[Year]=CG$1)*(Data_Nhập[Month]=CG$2)*(Data_Nhập[Main SKU name_GOM]=$A7)*(Data_Nhập[SKU name_NHẬP_GOM]=CG$3)))</f>
        <v>0</v>
      </c>
      <c r="CH7" s="24" cm="1">
        <f t="array" ref="CH7">IF(CH$2="FY",SUMPRODUCT(Data_Nhập[Tổng Nhập-NX]*(Data_Nhập[Year]=CH$1)*(Data_Nhập[Main SKU name_GOM]=$A7)*(Data_Nhập[SKU name_NHẬP_GOM]=CH$3)),SUMPRODUCT(Data_Nhập[Tổng Nhập-NX]*(Data_Nhập[Year]=CH$1)*(Data_Nhập[Month]=CH$2)*(Data_Nhập[Main SKU name_GOM]=$A7)*(Data_Nhập[SKU name_NHẬP_GOM]=CH$3)))</f>
        <v>0</v>
      </c>
      <c r="CI7" s="24" cm="1">
        <f t="array" ref="CI7">IF(CI$2="FY",SUMPRODUCT(Data_Nhập[Tổng Nhập-NX]*(Data_Nhập[Year]=CI$1)*(Data_Nhập[Main SKU name_GOM]=$A7)*(Data_Nhập[SKU name_NHẬP_GOM]=CI$3)),SUMPRODUCT(Data_Nhập[Tổng Nhập-NX]*(Data_Nhập[Year]=CI$1)*(Data_Nhập[Month]=CI$2)*(Data_Nhập[Main SKU name_GOM]=$A7)*(Data_Nhập[SKU name_NHẬP_GOM]=CI$3)))</f>
        <v>0</v>
      </c>
      <c r="CJ7" s="24" cm="1">
        <f t="array" ref="CJ7">IF(CJ$2="FY",SUMPRODUCT(Data_Nhập[Tổng Nhập-NX]*(Data_Nhập[Year]=CJ$1)*(Data_Nhập[Main SKU name_GOM]=$A7)*(Data_Nhập[SKU name_NHẬP_GOM]=CJ$3)),SUMPRODUCT(Data_Nhập[Tổng Nhập-NX]*(Data_Nhập[Year]=CJ$1)*(Data_Nhập[Month]=CJ$2)*(Data_Nhập[Main SKU name_GOM]=$A7)*(Data_Nhập[SKU name_NHẬP_GOM]=CJ$3)))</f>
        <v>0</v>
      </c>
      <c r="CK7" s="24" cm="1">
        <f t="array" ref="CK7">IF(CK$2="FY",SUMPRODUCT(Data_Nhập[Tổng Nhập-NX]*(Data_Nhập[Year]=CK$1)*(Data_Nhập[Main SKU name_GOM]=$A7)*(Data_Nhập[SKU name_NHẬP_GOM]=CK$3)),SUMPRODUCT(Data_Nhập[Tổng Nhập-NX]*(Data_Nhập[Year]=CK$1)*(Data_Nhập[Month]=CK$2)*(Data_Nhập[Main SKU name_GOM]=$A7)*(Data_Nhập[SKU name_NHẬP_GOM]=CK$3)))</f>
        <v>0</v>
      </c>
      <c r="CL7" s="24" cm="1">
        <f t="array" ref="CL7">IF(CL$2="FY",SUMPRODUCT(Data_Nhập[Tổng Nhập-NX]*(Data_Nhập[Year]=CL$1)*(Data_Nhập[Main SKU name_GOM]=$A7)*(Data_Nhập[SKU name_NHẬP_GOM]=CL$3)),SUMPRODUCT(Data_Nhập[Tổng Nhập-NX]*(Data_Nhập[Year]=CL$1)*(Data_Nhập[Month]=CL$2)*(Data_Nhập[Main SKU name_GOM]=$A7)*(Data_Nhập[SKU name_NHẬP_GOM]=CL$3)))</f>
        <v>0</v>
      </c>
      <c r="CM7" s="24" cm="1">
        <f t="array" ref="CM7">IF(CM$2="FY",SUMPRODUCT(Data_Nhập[Tổng Nhập-NX]*(Data_Nhập[Year]=CM$1)*(Data_Nhập[Main SKU name_GOM]=$A7)*(Data_Nhập[SKU name_NHẬP_GOM]=CM$3)),SUMPRODUCT(Data_Nhập[Tổng Nhập-NX]*(Data_Nhập[Year]=CM$1)*(Data_Nhập[Month]=CM$2)*(Data_Nhập[Main SKU name_GOM]=$A7)*(Data_Nhập[SKU name_NHẬP_GOM]=CM$3)))</f>
        <v>0</v>
      </c>
      <c r="CN7" s="25">
        <f t="shared" ref="CN7:CN12" si="16">SUM(BY7:CM7)</f>
        <v>0</v>
      </c>
      <c r="CP7" s="25" cm="1">
        <f t="array" ref="CP7">IF(CP$2="FY",SUMPRODUCT(Data_Xuất[Xuất-NX]*(Data_Xuất[Year]=CP$1)*(Data_Xuất[Main SKU name_GOM]=$A7)),SUMPRODUCT(Data_Xuất[Xuất-NX]*(Data_Xuất[Year]=CP$1)*(Data_Xuất[Main SKU name_GOM]=$A7)*(Data_Xuất[Month]=CP$2)))</f>
        <v>0</v>
      </c>
      <c r="CQ7" s="24" cm="1">
        <f t="array" ref="CQ7">IF(CQ$2="FY",SUMPRODUCT(Data_Nhập[Tổng Nhập-NX]*(Data_Nhập[Year]=CQ$1)*(Data_Nhập[Main SKU name_GOM]=$A7)*(Data_Nhập[SKU name_NHẬP_GOM]=CQ$3)),SUMPRODUCT(Data_Nhập[Tổng Nhập-NX]*(Data_Nhập[Year]=CQ$1)*(Data_Nhập[Month]=CQ$2)*(Data_Nhập[Main SKU name_GOM]=$A7)*(Data_Nhập[SKU name_NHẬP_GOM]=CQ$3)))</f>
        <v>0</v>
      </c>
      <c r="CR7" s="24" cm="1">
        <f t="array" ref="CR7">IF(CR$2="FY",SUMPRODUCT(Data_Nhập[Tổng Nhập-NX]*(Data_Nhập[Year]=CR$1)*(Data_Nhập[Main SKU name_GOM]=$A7)*(Data_Nhập[SKU name_NHẬP_GOM]=CR$3)),SUMPRODUCT(Data_Nhập[Tổng Nhập-NX]*(Data_Nhập[Year]=CR$1)*(Data_Nhập[Month]=CR$2)*(Data_Nhập[Main SKU name_GOM]=$A7)*(Data_Nhập[SKU name_NHẬP_GOM]=CR$3)))</f>
        <v>0</v>
      </c>
      <c r="CS7" s="24" cm="1">
        <f t="array" ref="CS7">IF(CS$2="FY",SUMPRODUCT(Data_Nhập[Tổng Nhập-NX]*(Data_Nhập[Year]=CS$1)*(Data_Nhập[Main SKU name_GOM]=$A7)*(Data_Nhập[SKU name_NHẬP_GOM]=CS$3)),SUMPRODUCT(Data_Nhập[Tổng Nhập-NX]*(Data_Nhập[Year]=CS$1)*(Data_Nhập[Month]=CS$2)*(Data_Nhập[Main SKU name_GOM]=$A7)*(Data_Nhập[SKU name_NHẬP_GOM]=CS$3)))</f>
        <v>0</v>
      </c>
      <c r="CT7" s="24" cm="1">
        <f t="array" ref="CT7">IF(CT$2="FY",SUMPRODUCT(Data_Nhập[Tổng Nhập-NX]*(Data_Nhập[Year]=CT$1)*(Data_Nhập[Main SKU name_GOM]=$A7)*(Data_Nhập[SKU name_NHẬP_GOM]=CT$3)),SUMPRODUCT(Data_Nhập[Tổng Nhập-NX]*(Data_Nhập[Year]=CT$1)*(Data_Nhập[Month]=CT$2)*(Data_Nhập[Main SKU name_GOM]=$A7)*(Data_Nhập[SKU name_NHẬP_GOM]=CT$3)))</f>
        <v>0</v>
      </c>
      <c r="CU7" s="24" cm="1">
        <f t="array" ref="CU7">IF(CU$2="FY",SUMPRODUCT(Data_Nhập[Tổng Nhập-NX]*(Data_Nhập[Year]=CU$1)*(Data_Nhập[Main SKU name_GOM]=$A7)*(Data_Nhập[SKU name_NHẬP_GOM]=CU$3)),SUMPRODUCT(Data_Nhập[Tổng Nhập-NX]*(Data_Nhập[Year]=CU$1)*(Data_Nhập[Month]=CU$2)*(Data_Nhập[Main SKU name_GOM]=$A7)*(Data_Nhập[SKU name_NHẬP_GOM]=CU$3)))</f>
        <v>0</v>
      </c>
      <c r="CV7" s="24" cm="1">
        <f t="array" ref="CV7">IF(CV$2="FY",SUMPRODUCT(Data_Nhập[Tổng Nhập-NX]*(Data_Nhập[Year]=CV$1)*(Data_Nhập[Main SKU name_GOM]=$A7)*(Data_Nhập[SKU name_NHẬP_GOM]=CV$3)),SUMPRODUCT(Data_Nhập[Tổng Nhập-NX]*(Data_Nhập[Year]=CV$1)*(Data_Nhập[Month]=CV$2)*(Data_Nhập[Main SKU name_GOM]=$A7)*(Data_Nhập[SKU name_NHẬP_GOM]=CV$3)))</f>
        <v>0</v>
      </c>
      <c r="CW7" s="24" cm="1">
        <f t="array" ref="CW7">IF(CW$2="FY",SUMPRODUCT(Data_Nhập[Tổng Nhập-NX]*(Data_Nhập[Year]=CW$1)*(Data_Nhập[Main SKU name_GOM]=$A7)*(Data_Nhập[SKU name_NHẬP_GOM]=CW$3)),SUMPRODUCT(Data_Nhập[Tổng Nhập-NX]*(Data_Nhập[Year]=CW$1)*(Data_Nhập[Month]=CW$2)*(Data_Nhập[Main SKU name_GOM]=$A7)*(Data_Nhập[SKU name_NHẬP_GOM]=CW$3)))</f>
        <v>0</v>
      </c>
      <c r="CX7" s="24" cm="1">
        <f t="array" ref="CX7">IF(CX$2="FY",SUMPRODUCT(Data_Nhập[Tổng Nhập-NX]*(Data_Nhập[Year]=CX$1)*(Data_Nhập[Main SKU name_GOM]=$A7)*(Data_Nhập[SKU name_NHẬP_GOM]=CX$3)),SUMPRODUCT(Data_Nhập[Tổng Nhập-NX]*(Data_Nhập[Year]=CX$1)*(Data_Nhập[Month]=CX$2)*(Data_Nhập[Main SKU name_GOM]=$A7)*(Data_Nhập[SKU name_NHẬP_GOM]=CX$3)))</f>
        <v>0</v>
      </c>
      <c r="CY7" s="24" cm="1">
        <f t="array" ref="CY7">IF(CY$2="FY",SUMPRODUCT(Data_Nhập[Tổng Nhập-NX]*(Data_Nhập[Year]=CY$1)*(Data_Nhập[Main SKU name_GOM]=$A7)*(Data_Nhập[SKU name_NHẬP_GOM]=CY$3)),SUMPRODUCT(Data_Nhập[Tổng Nhập-NX]*(Data_Nhập[Year]=CY$1)*(Data_Nhập[Month]=CY$2)*(Data_Nhập[Main SKU name_GOM]=$A7)*(Data_Nhập[SKU name_NHẬP_GOM]=CY$3)))</f>
        <v>0</v>
      </c>
      <c r="CZ7" s="24" cm="1">
        <f t="array" ref="CZ7">IF(CZ$2="FY",SUMPRODUCT(Data_Nhập[Tổng Nhập-NX]*(Data_Nhập[Year]=CZ$1)*(Data_Nhập[Main SKU name_GOM]=$A7)*(Data_Nhập[SKU name_NHẬP_GOM]=CZ$3)),SUMPRODUCT(Data_Nhập[Tổng Nhập-NX]*(Data_Nhập[Year]=CZ$1)*(Data_Nhập[Month]=CZ$2)*(Data_Nhập[Main SKU name_GOM]=$A7)*(Data_Nhập[SKU name_NHẬP_GOM]=CZ$3)))</f>
        <v>0</v>
      </c>
      <c r="DA7" s="24" cm="1">
        <f t="array" ref="DA7">IF(DA$2="FY",SUMPRODUCT(Data_Nhập[Tổng Nhập-NX]*(Data_Nhập[Year]=DA$1)*(Data_Nhập[Main SKU name_GOM]=$A7)*(Data_Nhập[SKU name_NHẬP_GOM]=DA$3)),SUMPRODUCT(Data_Nhập[Tổng Nhập-NX]*(Data_Nhập[Year]=DA$1)*(Data_Nhập[Month]=DA$2)*(Data_Nhập[Main SKU name_GOM]=$A7)*(Data_Nhập[SKU name_NHẬP_GOM]=DA$3)))</f>
        <v>0</v>
      </c>
      <c r="DB7" s="24" cm="1">
        <f t="array" ref="DB7">IF(DB$2="FY",SUMPRODUCT(Data_Nhập[Tổng Nhập-NX]*(Data_Nhập[Year]=DB$1)*(Data_Nhập[Main SKU name_GOM]=$A7)*(Data_Nhập[SKU name_NHẬP_GOM]=DB$3)),SUMPRODUCT(Data_Nhập[Tổng Nhập-NX]*(Data_Nhập[Year]=DB$1)*(Data_Nhập[Month]=DB$2)*(Data_Nhập[Main SKU name_GOM]=$A7)*(Data_Nhập[SKU name_NHẬP_GOM]=DB$3)))</f>
        <v>0</v>
      </c>
      <c r="DC7" s="24" cm="1">
        <f t="array" ref="DC7">IF(DC$2="FY",SUMPRODUCT(Data_Nhập[Tổng Nhập-NX]*(Data_Nhập[Year]=DC$1)*(Data_Nhập[Main SKU name_GOM]=$A7)*(Data_Nhập[SKU name_NHẬP_GOM]=DC$3)),SUMPRODUCT(Data_Nhập[Tổng Nhập-NX]*(Data_Nhập[Year]=DC$1)*(Data_Nhập[Month]=DC$2)*(Data_Nhập[Main SKU name_GOM]=$A7)*(Data_Nhập[SKU name_NHẬP_GOM]=DC$3)))</f>
        <v>0</v>
      </c>
      <c r="DD7" s="24" cm="1">
        <f t="array" ref="DD7">IF(DD$2="FY",SUMPRODUCT(Data_Nhập[Tổng Nhập-NX]*(Data_Nhập[Year]=DD$1)*(Data_Nhập[Main SKU name_GOM]=$A7)*(Data_Nhập[SKU name_NHẬP_GOM]=DD$3)),SUMPRODUCT(Data_Nhập[Tổng Nhập-NX]*(Data_Nhập[Year]=DD$1)*(Data_Nhập[Month]=DD$2)*(Data_Nhập[Main SKU name_GOM]=$A7)*(Data_Nhập[SKU name_NHẬP_GOM]=DD$3)))</f>
        <v>0</v>
      </c>
      <c r="DE7" s="24" cm="1">
        <f t="array" ref="DE7">IF(DE$2="FY",SUMPRODUCT(Data_Nhập[Tổng Nhập-NX]*(Data_Nhập[Year]=DE$1)*(Data_Nhập[Main SKU name_GOM]=$A7)*(Data_Nhập[SKU name_NHẬP_GOM]=DE$3)),SUMPRODUCT(Data_Nhập[Tổng Nhập-NX]*(Data_Nhập[Year]=DE$1)*(Data_Nhập[Month]=DE$2)*(Data_Nhập[Main SKU name_GOM]=$A7)*(Data_Nhập[SKU name_NHẬP_GOM]=DE$3)))</f>
        <v>0</v>
      </c>
      <c r="DF7" s="25">
        <f t="shared" ref="DF7:DF12" si="17">SUM(CQ7:DE7)</f>
        <v>0</v>
      </c>
      <c r="DH7" s="25" cm="1">
        <f t="array" ref="DH7">IF(DH$2="FY",SUMPRODUCT(Data_Xuất[Xuất-NX]*(Data_Xuất[Year]=DH$1)*(Data_Xuất[Main SKU name_GOM]=$A7)),SUMPRODUCT(Data_Xuất[Xuất-NX]*(Data_Xuất[Year]=DH$1)*(Data_Xuất[Main SKU name_GOM]=$A7)*(Data_Xuất[Month]=DH$2)))</f>
        <v>0</v>
      </c>
      <c r="DI7" s="24" cm="1">
        <f t="array" ref="DI7">IF(DI$2="FY",SUMPRODUCT(Data_Nhập[Tổng Nhập-NX]*(Data_Nhập[Year]=DI$1)*(Data_Nhập[Main SKU name_GOM]=$A7)*(Data_Nhập[SKU name_NHẬP_GOM]=DI$3)),SUMPRODUCT(Data_Nhập[Tổng Nhập-NX]*(Data_Nhập[Year]=DI$1)*(Data_Nhập[Month]=DI$2)*(Data_Nhập[Main SKU name_GOM]=$A7)*(Data_Nhập[SKU name_NHẬP_GOM]=DI$3)))</f>
        <v>0</v>
      </c>
      <c r="DJ7" s="24" cm="1">
        <f t="array" ref="DJ7">IF(DJ$2="FY",SUMPRODUCT(Data_Nhập[Tổng Nhập-NX]*(Data_Nhập[Year]=DJ$1)*(Data_Nhập[Main SKU name_GOM]=$A7)*(Data_Nhập[SKU name_NHẬP_GOM]=DJ$3)),SUMPRODUCT(Data_Nhập[Tổng Nhập-NX]*(Data_Nhập[Year]=DJ$1)*(Data_Nhập[Month]=DJ$2)*(Data_Nhập[Main SKU name_GOM]=$A7)*(Data_Nhập[SKU name_NHẬP_GOM]=DJ$3)))</f>
        <v>0</v>
      </c>
      <c r="DK7" s="24" cm="1">
        <f t="array" ref="DK7">IF(DK$2="FY",SUMPRODUCT(Data_Nhập[Tổng Nhập-NX]*(Data_Nhập[Year]=DK$1)*(Data_Nhập[Main SKU name_GOM]=$A7)*(Data_Nhập[SKU name_NHẬP_GOM]=DK$3)),SUMPRODUCT(Data_Nhập[Tổng Nhập-NX]*(Data_Nhập[Year]=DK$1)*(Data_Nhập[Month]=DK$2)*(Data_Nhập[Main SKU name_GOM]=$A7)*(Data_Nhập[SKU name_NHẬP_GOM]=DK$3)))</f>
        <v>0</v>
      </c>
      <c r="DL7" s="24" cm="1">
        <f t="array" ref="DL7">IF(DL$2="FY",SUMPRODUCT(Data_Nhập[Tổng Nhập-NX]*(Data_Nhập[Year]=DL$1)*(Data_Nhập[Main SKU name_GOM]=$A7)*(Data_Nhập[SKU name_NHẬP_GOM]=DL$3)),SUMPRODUCT(Data_Nhập[Tổng Nhập-NX]*(Data_Nhập[Year]=DL$1)*(Data_Nhập[Month]=DL$2)*(Data_Nhập[Main SKU name_GOM]=$A7)*(Data_Nhập[SKU name_NHẬP_GOM]=DL$3)))</f>
        <v>0</v>
      </c>
      <c r="DM7" s="24" cm="1">
        <f t="array" ref="DM7">IF(DM$2="FY",SUMPRODUCT(Data_Nhập[Tổng Nhập-NX]*(Data_Nhập[Year]=DM$1)*(Data_Nhập[Main SKU name_GOM]=$A7)*(Data_Nhập[SKU name_NHẬP_GOM]=DM$3)),SUMPRODUCT(Data_Nhập[Tổng Nhập-NX]*(Data_Nhập[Year]=DM$1)*(Data_Nhập[Month]=DM$2)*(Data_Nhập[Main SKU name_GOM]=$A7)*(Data_Nhập[SKU name_NHẬP_GOM]=DM$3)))</f>
        <v>0</v>
      </c>
      <c r="DN7" s="24" cm="1">
        <f t="array" ref="DN7">IF(DN$2="FY",SUMPRODUCT(Data_Nhập[Tổng Nhập-NX]*(Data_Nhập[Year]=DN$1)*(Data_Nhập[Main SKU name_GOM]=$A7)*(Data_Nhập[SKU name_NHẬP_GOM]=DN$3)),SUMPRODUCT(Data_Nhập[Tổng Nhập-NX]*(Data_Nhập[Year]=DN$1)*(Data_Nhập[Month]=DN$2)*(Data_Nhập[Main SKU name_GOM]=$A7)*(Data_Nhập[SKU name_NHẬP_GOM]=DN$3)))</f>
        <v>0</v>
      </c>
      <c r="DO7" s="24" cm="1">
        <f t="array" ref="DO7">IF(DO$2="FY",SUMPRODUCT(Data_Nhập[Tổng Nhập-NX]*(Data_Nhập[Year]=DO$1)*(Data_Nhập[Main SKU name_GOM]=$A7)*(Data_Nhập[SKU name_NHẬP_GOM]=DO$3)),SUMPRODUCT(Data_Nhập[Tổng Nhập-NX]*(Data_Nhập[Year]=DO$1)*(Data_Nhập[Month]=DO$2)*(Data_Nhập[Main SKU name_GOM]=$A7)*(Data_Nhập[SKU name_NHẬP_GOM]=DO$3)))</f>
        <v>0</v>
      </c>
      <c r="DP7" s="24" cm="1">
        <f t="array" ref="DP7">IF(DP$2="FY",SUMPRODUCT(Data_Nhập[Tổng Nhập-NX]*(Data_Nhập[Year]=DP$1)*(Data_Nhập[Main SKU name_GOM]=$A7)*(Data_Nhập[SKU name_NHẬP_GOM]=DP$3)),SUMPRODUCT(Data_Nhập[Tổng Nhập-NX]*(Data_Nhập[Year]=DP$1)*(Data_Nhập[Month]=DP$2)*(Data_Nhập[Main SKU name_GOM]=$A7)*(Data_Nhập[SKU name_NHẬP_GOM]=DP$3)))</f>
        <v>0</v>
      </c>
      <c r="DQ7" s="24" cm="1">
        <f t="array" ref="DQ7">IF(DQ$2="FY",SUMPRODUCT(Data_Nhập[Tổng Nhập-NX]*(Data_Nhập[Year]=DQ$1)*(Data_Nhập[Main SKU name_GOM]=$A7)*(Data_Nhập[SKU name_NHẬP_GOM]=DQ$3)),SUMPRODUCT(Data_Nhập[Tổng Nhập-NX]*(Data_Nhập[Year]=DQ$1)*(Data_Nhập[Month]=DQ$2)*(Data_Nhập[Main SKU name_GOM]=$A7)*(Data_Nhập[SKU name_NHẬP_GOM]=DQ$3)))</f>
        <v>0</v>
      </c>
      <c r="DR7" s="24" cm="1">
        <f t="array" ref="DR7">IF(DR$2="FY",SUMPRODUCT(Data_Nhập[Tổng Nhập-NX]*(Data_Nhập[Year]=DR$1)*(Data_Nhập[Main SKU name_GOM]=$A7)*(Data_Nhập[SKU name_NHẬP_GOM]=DR$3)),SUMPRODUCT(Data_Nhập[Tổng Nhập-NX]*(Data_Nhập[Year]=DR$1)*(Data_Nhập[Month]=DR$2)*(Data_Nhập[Main SKU name_GOM]=$A7)*(Data_Nhập[SKU name_NHẬP_GOM]=DR$3)))</f>
        <v>0</v>
      </c>
      <c r="DS7" s="24" cm="1">
        <f t="array" ref="DS7">IF(DS$2="FY",SUMPRODUCT(Data_Nhập[Tổng Nhập-NX]*(Data_Nhập[Year]=DS$1)*(Data_Nhập[Main SKU name_GOM]=$A7)*(Data_Nhập[SKU name_NHẬP_GOM]=DS$3)),SUMPRODUCT(Data_Nhập[Tổng Nhập-NX]*(Data_Nhập[Year]=DS$1)*(Data_Nhập[Month]=DS$2)*(Data_Nhập[Main SKU name_GOM]=$A7)*(Data_Nhập[SKU name_NHẬP_GOM]=DS$3)))</f>
        <v>0</v>
      </c>
      <c r="DT7" s="24" cm="1">
        <f t="array" ref="DT7">IF(DT$2="FY",SUMPRODUCT(Data_Nhập[Tổng Nhập-NX]*(Data_Nhập[Year]=DT$1)*(Data_Nhập[Main SKU name_GOM]=$A7)*(Data_Nhập[SKU name_NHẬP_GOM]=DT$3)),SUMPRODUCT(Data_Nhập[Tổng Nhập-NX]*(Data_Nhập[Year]=DT$1)*(Data_Nhập[Month]=DT$2)*(Data_Nhập[Main SKU name_GOM]=$A7)*(Data_Nhập[SKU name_NHẬP_GOM]=DT$3)))</f>
        <v>0</v>
      </c>
      <c r="DU7" s="24" cm="1">
        <f t="array" ref="DU7">IF(DU$2="FY",SUMPRODUCT(Data_Nhập[Tổng Nhập-NX]*(Data_Nhập[Year]=DU$1)*(Data_Nhập[Main SKU name_GOM]=$A7)*(Data_Nhập[SKU name_NHẬP_GOM]=DU$3)),SUMPRODUCT(Data_Nhập[Tổng Nhập-NX]*(Data_Nhập[Year]=DU$1)*(Data_Nhập[Month]=DU$2)*(Data_Nhập[Main SKU name_GOM]=$A7)*(Data_Nhập[SKU name_NHẬP_GOM]=DU$3)))</f>
        <v>0</v>
      </c>
      <c r="DV7" s="24" cm="1">
        <f t="array" ref="DV7">IF(DV$2="FY",SUMPRODUCT(Data_Nhập[Tổng Nhập-NX]*(Data_Nhập[Year]=DV$1)*(Data_Nhập[Main SKU name_GOM]=$A7)*(Data_Nhập[SKU name_NHẬP_GOM]=DV$3)),SUMPRODUCT(Data_Nhập[Tổng Nhập-NX]*(Data_Nhập[Year]=DV$1)*(Data_Nhập[Month]=DV$2)*(Data_Nhập[Main SKU name_GOM]=$A7)*(Data_Nhập[SKU name_NHẬP_GOM]=DV$3)))</f>
        <v>0</v>
      </c>
      <c r="DW7" s="24" cm="1">
        <f t="array" ref="DW7">IF(DW$2="FY",SUMPRODUCT(Data_Nhập[Tổng Nhập-NX]*(Data_Nhập[Year]=DW$1)*(Data_Nhập[Main SKU name_GOM]=$A7)*(Data_Nhập[SKU name_NHẬP_GOM]=DW$3)),SUMPRODUCT(Data_Nhập[Tổng Nhập-NX]*(Data_Nhập[Year]=DW$1)*(Data_Nhập[Month]=DW$2)*(Data_Nhập[Main SKU name_GOM]=$A7)*(Data_Nhập[SKU name_NHẬP_GOM]=DW$3)))</f>
        <v>0</v>
      </c>
      <c r="DX7" s="25">
        <f t="shared" ref="DX7:DX12" si="18">SUM(DI7:DW7)</f>
        <v>0</v>
      </c>
      <c r="DZ7" s="25" cm="1">
        <f t="array" ref="DZ7">IF(DZ$2="FY",SUMPRODUCT(Data_Xuất[Xuất-NX]*(Data_Xuất[Year]=DZ$1)*(Data_Xuất[Main SKU name_GOM]=$A7)),SUMPRODUCT(Data_Xuất[Xuất-NX]*(Data_Xuất[Year]=DZ$1)*(Data_Xuất[Main SKU name_GOM]=$A7)*(Data_Xuất[Month]=DZ$2)))</f>
        <v>349959.79000000004</v>
      </c>
      <c r="EA7" s="24" cm="1">
        <f t="array" ref="EA7">IF(EA$2="FY",SUMPRODUCT(Data_Nhập[Tổng Nhập-NX]*(Data_Nhập[Year]=EA$1)*(Data_Nhập[Main SKU name_GOM]=$A7)*(Data_Nhập[SKU name_NHẬP_GOM]=EA$3)),SUMPRODUCT(Data_Nhập[Tổng Nhập-NX]*(Data_Nhập[Year]=EA$1)*(Data_Nhập[Month]=EA$2)*(Data_Nhập[Main SKU name_GOM]=$A7)*(Data_Nhập[SKU name_NHẬP_GOM]=EA$3)))</f>
        <v>112200</v>
      </c>
      <c r="EB7" s="24" cm="1">
        <f t="array" ref="EB7">IF(EB$2="FY",SUMPRODUCT(Data_Nhập[Tổng Nhập-NX]*(Data_Nhập[Year]=EB$1)*(Data_Nhập[Main SKU name_GOM]=$A7)*(Data_Nhập[SKU name_NHẬP_GOM]=EB$3)),SUMPRODUCT(Data_Nhập[Tổng Nhập-NX]*(Data_Nhập[Year]=EB$1)*(Data_Nhập[Month]=EB$2)*(Data_Nhập[Main SKU name_GOM]=$A7)*(Data_Nhập[SKU name_NHẬP_GOM]=EB$3)))</f>
        <v>214499.99999999997</v>
      </c>
      <c r="EC7" s="24" cm="1">
        <f t="array" ref="EC7">IF(EC$2="FY",SUMPRODUCT(Data_Nhập[Tổng Nhập-NX]*(Data_Nhập[Year]=EC$1)*(Data_Nhập[Main SKU name_GOM]=$A7)*(Data_Nhập[SKU name_NHẬP_GOM]=EC$3)),SUMPRODUCT(Data_Nhập[Tổng Nhập-NX]*(Data_Nhập[Year]=EC$1)*(Data_Nhập[Month]=EC$2)*(Data_Nhập[Main SKU name_GOM]=$A7)*(Data_Nhập[SKU name_NHẬP_GOM]=EC$3)))</f>
        <v>0</v>
      </c>
      <c r="ED7" s="24" cm="1">
        <f t="array" ref="ED7">IF(ED$2="FY",SUMPRODUCT(Data_Nhập[Tổng Nhập-NX]*(Data_Nhập[Year]=ED$1)*(Data_Nhập[Main SKU name_GOM]=$A7)*(Data_Nhập[SKU name_NHẬP_GOM]=ED$3)),SUMPRODUCT(Data_Nhập[Tổng Nhập-NX]*(Data_Nhập[Year]=ED$1)*(Data_Nhập[Month]=ED$2)*(Data_Nhập[Main SKU name_GOM]=$A7)*(Data_Nhập[SKU name_NHẬP_GOM]=ED$3)))</f>
        <v>0</v>
      </c>
      <c r="EE7" s="24" cm="1">
        <f t="array" ref="EE7">IF(EE$2="FY",SUMPRODUCT(Data_Nhập[Tổng Nhập-NX]*(Data_Nhập[Year]=EE$1)*(Data_Nhập[Main SKU name_GOM]=$A7)*(Data_Nhập[SKU name_NHẬP_GOM]=EE$3)),SUMPRODUCT(Data_Nhập[Tổng Nhập-NX]*(Data_Nhập[Year]=EE$1)*(Data_Nhập[Month]=EE$2)*(Data_Nhập[Main SKU name_GOM]=$A7)*(Data_Nhập[SKU name_NHẬP_GOM]=EE$3)))</f>
        <v>2200</v>
      </c>
      <c r="EF7" s="24" cm="1">
        <f t="array" ref="EF7">IF(EF$2="FY",SUMPRODUCT(Data_Nhập[Tổng Nhập-NX]*(Data_Nhập[Year]=EF$1)*(Data_Nhập[Main SKU name_GOM]=$A7)*(Data_Nhập[SKU name_NHẬP_GOM]=EF$3)),SUMPRODUCT(Data_Nhập[Tổng Nhập-NX]*(Data_Nhập[Year]=EF$1)*(Data_Nhập[Month]=EF$2)*(Data_Nhập[Main SKU name_GOM]=$A7)*(Data_Nhập[SKU name_NHẬP_GOM]=EF$3)))</f>
        <v>0</v>
      </c>
      <c r="EG7" s="24" cm="1">
        <f t="array" ref="EG7">IF(EG$2="FY",SUMPRODUCT(Data_Nhập[Tổng Nhập-NX]*(Data_Nhập[Year]=EG$1)*(Data_Nhập[Main SKU name_GOM]=$A7)*(Data_Nhập[SKU name_NHẬP_GOM]=EG$3)),SUMPRODUCT(Data_Nhập[Tổng Nhập-NX]*(Data_Nhập[Year]=EG$1)*(Data_Nhập[Month]=EG$2)*(Data_Nhập[Main SKU name_GOM]=$A7)*(Data_Nhập[SKU name_NHẬP_GOM]=EG$3)))</f>
        <v>0</v>
      </c>
      <c r="EH7" s="24" cm="1">
        <f t="array" ref="EH7">IF(EH$2="FY",SUMPRODUCT(Data_Nhập[Tổng Nhập-NX]*(Data_Nhập[Year]=EH$1)*(Data_Nhập[Main SKU name_GOM]=$A7)*(Data_Nhập[SKU name_NHẬP_GOM]=EH$3)),SUMPRODUCT(Data_Nhập[Tổng Nhập-NX]*(Data_Nhập[Year]=EH$1)*(Data_Nhập[Month]=EH$2)*(Data_Nhập[Main SKU name_GOM]=$A7)*(Data_Nhập[SKU name_NHẬP_GOM]=EH$3)))</f>
        <v>0</v>
      </c>
      <c r="EI7" s="24" cm="1">
        <f t="array" ref="EI7">IF(EI$2="FY",SUMPRODUCT(Data_Nhập[Tổng Nhập-NX]*(Data_Nhập[Year]=EI$1)*(Data_Nhập[Main SKU name_GOM]=$A7)*(Data_Nhập[SKU name_NHẬP_GOM]=EI$3)),SUMPRODUCT(Data_Nhập[Tổng Nhập-NX]*(Data_Nhập[Year]=EI$1)*(Data_Nhập[Month]=EI$2)*(Data_Nhập[Main SKU name_GOM]=$A7)*(Data_Nhập[SKU name_NHẬP_GOM]=EI$3)))</f>
        <v>0</v>
      </c>
      <c r="EJ7" s="24" cm="1">
        <f t="array" ref="EJ7">IF(EJ$2="FY",SUMPRODUCT(Data_Nhập[Tổng Nhập-NX]*(Data_Nhập[Year]=EJ$1)*(Data_Nhập[Main SKU name_GOM]=$A7)*(Data_Nhập[SKU name_NHẬP_GOM]=EJ$3)),SUMPRODUCT(Data_Nhập[Tổng Nhập-NX]*(Data_Nhập[Year]=EJ$1)*(Data_Nhập[Month]=EJ$2)*(Data_Nhập[Main SKU name_GOM]=$A7)*(Data_Nhập[SKU name_NHẬP_GOM]=EJ$3)))</f>
        <v>0</v>
      </c>
      <c r="EK7" s="24" cm="1">
        <f t="array" ref="EK7">IF(EK$2="FY",SUMPRODUCT(Data_Nhập[Tổng Nhập-NX]*(Data_Nhập[Year]=EK$1)*(Data_Nhập[Main SKU name_GOM]=$A7)*(Data_Nhập[SKU name_NHẬP_GOM]=EK$3)),SUMPRODUCT(Data_Nhập[Tổng Nhập-NX]*(Data_Nhập[Year]=EK$1)*(Data_Nhập[Month]=EK$2)*(Data_Nhập[Main SKU name_GOM]=$A7)*(Data_Nhập[SKU name_NHẬP_GOM]=EK$3)))</f>
        <v>0</v>
      </c>
      <c r="EL7" s="24" cm="1">
        <f t="array" ref="EL7">IF(EL$2="FY",SUMPRODUCT(Data_Nhập[Tổng Nhập-NX]*(Data_Nhập[Year]=EL$1)*(Data_Nhập[Main SKU name_GOM]=$A7)*(Data_Nhập[SKU name_NHẬP_GOM]=EL$3)),SUMPRODUCT(Data_Nhập[Tổng Nhập-NX]*(Data_Nhập[Year]=EL$1)*(Data_Nhập[Month]=EL$2)*(Data_Nhập[Main SKU name_GOM]=$A7)*(Data_Nhập[SKU name_NHẬP_GOM]=EL$3)))</f>
        <v>0</v>
      </c>
      <c r="EM7" s="24" cm="1">
        <f t="array" ref="EM7">IF(EM$2="FY",SUMPRODUCT(Data_Nhập[Tổng Nhập-NX]*(Data_Nhập[Year]=EM$1)*(Data_Nhập[Main SKU name_GOM]=$A7)*(Data_Nhập[SKU name_NHẬP_GOM]=EM$3)),SUMPRODUCT(Data_Nhập[Tổng Nhập-NX]*(Data_Nhập[Year]=EM$1)*(Data_Nhập[Month]=EM$2)*(Data_Nhập[Main SKU name_GOM]=$A7)*(Data_Nhập[SKU name_NHẬP_GOM]=EM$3)))</f>
        <v>0</v>
      </c>
      <c r="EN7" s="24" cm="1">
        <f t="array" ref="EN7">IF(EN$2="FY",SUMPRODUCT(Data_Nhập[Tổng Nhập-NX]*(Data_Nhập[Year]=EN$1)*(Data_Nhập[Main SKU name_GOM]=$A7)*(Data_Nhập[SKU name_NHẬP_GOM]=EN$3)),SUMPRODUCT(Data_Nhập[Tổng Nhập-NX]*(Data_Nhập[Year]=EN$1)*(Data_Nhập[Month]=EN$2)*(Data_Nhập[Main SKU name_GOM]=$A7)*(Data_Nhập[SKU name_NHẬP_GOM]=EN$3)))</f>
        <v>21000</v>
      </c>
      <c r="EO7" s="24" cm="1">
        <f t="array" ref="EO7">IF(EO$2="FY",SUMPRODUCT(Data_Nhập[Tổng Nhập-NX]*(Data_Nhập[Year]=EO$1)*(Data_Nhập[Main SKU name_GOM]=$A7)*(Data_Nhập[SKU name_NHẬP_GOM]=EO$3)),SUMPRODUCT(Data_Nhập[Tổng Nhập-NX]*(Data_Nhập[Year]=EO$1)*(Data_Nhập[Month]=EO$2)*(Data_Nhập[Main SKU name_GOM]=$A7)*(Data_Nhập[SKU name_NHẬP_GOM]=EO$3)))</f>
        <v>0</v>
      </c>
      <c r="EP7" s="25">
        <f t="shared" ref="EP7:EP12" si="19">SUM(EA7:EO7)</f>
        <v>349900</v>
      </c>
      <c r="ER7" s="25" cm="1">
        <f t="array" ref="ER7">IF(ER$2="FY",SUMPRODUCT(Data_Xuất[Xuất-NX]*(Data_Xuất[Year]=ER$1)*(Data_Xuất[Main SKU name_GOM]=$A7)),SUMPRODUCT(Data_Xuất[Xuất-NX]*(Data_Xuất[Year]=ER$1)*(Data_Xuất[Main SKU name_GOM]=$A7)*(Data_Xuất[Month]=ER$2)))</f>
        <v>218804.60299999997</v>
      </c>
      <c r="ES7" s="24" cm="1">
        <f t="array" ref="ES7">IF(ES$2="FY",SUMPRODUCT(Data_Nhập[Tổng Nhập-NX]*(Data_Nhập[Year]=ES$1)*(Data_Nhập[Main SKU name_GOM]=$A7)*(Data_Nhập[SKU name_NHẬP_GOM]=ES$3)),SUMPRODUCT(Data_Nhập[Tổng Nhập-NX]*(Data_Nhập[Year]=ES$1)*(Data_Nhập[Month]=ES$2)*(Data_Nhập[Main SKU name_GOM]=$A7)*(Data_Nhập[SKU name_NHẬP_GOM]=ES$3)))</f>
        <v>91299.999999999985</v>
      </c>
      <c r="ET7" s="24" cm="1">
        <f t="array" ref="ET7">IF(ET$2="FY",SUMPRODUCT(Data_Nhập[Tổng Nhập-NX]*(Data_Nhập[Year]=ET$1)*(Data_Nhập[Main SKU name_GOM]=$A7)*(Data_Nhập[SKU name_NHẬP_GOM]=ET$3)),SUMPRODUCT(Data_Nhập[Tổng Nhập-NX]*(Data_Nhập[Year]=ET$1)*(Data_Nhập[Month]=ET$2)*(Data_Nhập[Main SKU name_GOM]=$A7)*(Data_Nhập[SKU name_NHẬP_GOM]=ET$3)))</f>
        <v>92400</v>
      </c>
      <c r="EU7" s="24" cm="1">
        <f t="array" ref="EU7">IF(EU$2="FY",SUMPRODUCT(Data_Nhập[Tổng Nhập-NX]*(Data_Nhập[Year]=EU$1)*(Data_Nhập[Main SKU name_GOM]=$A7)*(Data_Nhập[SKU name_NHẬP_GOM]=EU$3)),SUMPRODUCT(Data_Nhập[Tổng Nhập-NX]*(Data_Nhập[Year]=EU$1)*(Data_Nhập[Month]=EU$2)*(Data_Nhập[Main SKU name_GOM]=$A7)*(Data_Nhập[SKU name_NHẬP_GOM]=EU$3)))</f>
        <v>0</v>
      </c>
      <c r="EV7" s="24" cm="1">
        <f t="array" ref="EV7">IF(EV$2="FY",SUMPRODUCT(Data_Nhập[Tổng Nhập-NX]*(Data_Nhập[Year]=EV$1)*(Data_Nhập[Main SKU name_GOM]=$A7)*(Data_Nhập[SKU name_NHẬP_GOM]=EV$3)),SUMPRODUCT(Data_Nhập[Tổng Nhập-NX]*(Data_Nhập[Year]=EV$1)*(Data_Nhập[Month]=EV$2)*(Data_Nhập[Main SKU name_GOM]=$A7)*(Data_Nhập[SKU name_NHẬP_GOM]=EV$3)))</f>
        <v>0</v>
      </c>
      <c r="EW7" s="24" cm="1">
        <f t="array" ref="EW7">IF(EW$2="FY",SUMPRODUCT(Data_Nhập[Tổng Nhập-NX]*(Data_Nhập[Year]=EW$1)*(Data_Nhập[Main SKU name_GOM]=$A7)*(Data_Nhập[SKU name_NHẬP_GOM]=EW$3)),SUMPRODUCT(Data_Nhập[Tổng Nhập-NX]*(Data_Nhập[Year]=EW$1)*(Data_Nhập[Month]=EW$2)*(Data_Nhập[Main SKU name_GOM]=$A7)*(Data_Nhập[SKU name_NHẬP_GOM]=EW$3)))</f>
        <v>6599.9999999999991</v>
      </c>
      <c r="EX7" s="24" cm="1">
        <f t="array" ref="EX7">IF(EX$2="FY",SUMPRODUCT(Data_Nhập[Tổng Nhập-NX]*(Data_Nhập[Year]=EX$1)*(Data_Nhập[Main SKU name_GOM]=$A7)*(Data_Nhập[SKU name_NHẬP_GOM]=EX$3)),SUMPRODUCT(Data_Nhập[Tổng Nhập-NX]*(Data_Nhập[Year]=EX$1)*(Data_Nhập[Month]=EX$2)*(Data_Nhập[Main SKU name_GOM]=$A7)*(Data_Nhập[SKU name_NHẬP_GOM]=EX$3)))</f>
        <v>0</v>
      </c>
      <c r="EY7" s="24" cm="1">
        <f t="array" ref="EY7">IF(EY$2="FY",SUMPRODUCT(Data_Nhập[Tổng Nhập-NX]*(Data_Nhập[Year]=EY$1)*(Data_Nhập[Main SKU name_GOM]=$A7)*(Data_Nhập[SKU name_NHẬP_GOM]=EY$3)),SUMPRODUCT(Data_Nhập[Tổng Nhập-NX]*(Data_Nhập[Year]=EY$1)*(Data_Nhập[Month]=EY$2)*(Data_Nhập[Main SKU name_GOM]=$A7)*(Data_Nhập[SKU name_NHẬP_GOM]=EY$3)))</f>
        <v>0</v>
      </c>
      <c r="EZ7" s="24" cm="1">
        <f t="array" ref="EZ7">IF(EZ$2="FY",SUMPRODUCT(Data_Nhập[Tổng Nhập-NX]*(Data_Nhập[Year]=EZ$1)*(Data_Nhập[Main SKU name_GOM]=$A7)*(Data_Nhập[SKU name_NHẬP_GOM]=EZ$3)),SUMPRODUCT(Data_Nhập[Tổng Nhập-NX]*(Data_Nhập[Year]=EZ$1)*(Data_Nhập[Month]=EZ$2)*(Data_Nhập[Main SKU name_GOM]=$A7)*(Data_Nhập[SKU name_NHẬP_GOM]=EZ$3)))</f>
        <v>0</v>
      </c>
      <c r="FA7" s="24" cm="1">
        <f t="array" ref="FA7">IF(FA$2="FY",SUMPRODUCT(Data_Nhập[Tổng Nhập-NX]*(Data_Nhập[Year]=FA$1)*(Data_Nhập[Main SKU name_GOM]=$A7)*(Data_Nhập[SKU name_NHẬP_GOM]=FA$3)),SUMPRODUCT(Data_Nhập[Tổng Nhập-NX]*(Data_Nhập[Year]=FA$1)*(Data_Nhập[Month]=FA$2)*(Data_Nhập[Main SKU name_GOM]=$A7)*(Data_Nhập[SKU name_NHẬP_GOM]=FA$3)))</f>
        <v>0</v>
      </c>
      <c r="FB7" s="24" cm="1">
        <f t="array" ref="FB7">IF(FB$2="FY",SUMPRODUCT(Data_Nhập[Tổng Nhập-NX]*(Data_Nhập[Year]=FB$1)*(Data_Nhập[Main SKU name_GOM]=$A7)*(Data_Nhập[SKU name_NHẬP_GOM]=FB$3)),SUMPRODUCT(Data_Nhập[Tổng Nhập-NX]*(Data_Nhập[Year]=FB$1)*(Data_Nhập[Month]=FB$2)*(Data_Nhập[Main SKU name_GOM]=$A7)*(Data_Nhập[SKU name_NHẬP_GOM]=FB$3)))</f>
        <v>0</v>
      </c>
      <c r="FC7" s="24" cm="1">
        <f t="array" ref="FC7">IF(FC$2="FY",SUMPRODUCT(Data_Nhập[Tổng Nhập-NX]*(Data_Nhập[Year]=FC$1)*(Data_Nhập[Main SKU name_GOM]=$A7)*(Data_Nhập[SKU name_NHẬP_GOM]=FC$3)),SUMPRODUCT(Data_Nhập[Tổng Nhập-NX]*(Data_Nhập[Year]=FC$1)*(Data_Nhập[Month]=FC$2)*(Data_Nhập[Main SKU name_GOM]=$A7)*(Data_Nhập[SKU name_NHẬP_GOM]=FC$3)))</f>
        <v>0</v>
      </c>
      <c r="FD7" s="24" cm="1">
        <f t="array" ref="FD7">IF(FD$2="FY",SUMPRODUCT(Data_Nhập[Tổng Nhập-NX]*(Data_Nhập[Year]=FD$1)*(Data_Nhập[Main SKU name_GOM]=$A7)*(Data_Nhập[SKU name_NHẬP_GOM]=FD$3)),SUMPRODUCT(Data_Nhập[Tổng Nhập-NX]*(Data_Nhập[Year]=FD$1)*(Data_Nhập[Month]=FD$2)*(Data_Nhập[Main SKU name_GOM]=$A7)*(Data_Nhập[SKU name_NHẬP_GOM]=FD$3)))</f>
        <v>0</v>
      </c>
      <c r="FE7" s="24" cm="1">
        <f t="array" ref="FE7">IF(FE$2="FY",SUMPRODUCT(Data_Nhập[Tổng Nhập-NX]*(Data_Nhập[Year]=FE$1)*(Data_Nhập[Main SKU name_GOM]=$A7)*(Data_Nhập[SKU name_NHẬP_GOM]=FE$3)),SUMPRODUCT(Data_Nhập[Tổng Nhập-NX]*(Data_Nhập[Year]=FE$1)*(Data_Nhập[Month]=FE$2)*(Data_Nhập[Main SKU name_GOM]=$A7)*(Data_Nhập[SKU name_NHẬP_GOM]=FE$3)))</f>
        <v>0</v>
      </c>
      <c r="FF7" s="24" cm="1">
        <f t="array" ref="FF7">IF(FF$2="FY",SUMPRODUCT(Data_Nhập[Tổng Nhập-NX]*(Data_Nhập[Year]=FF$1)*(Data_Nhập[Main SKU name_GOM]=$A7)*(Data_Nhập[SKU name_NHẬP_GOM]=FF$3)),SUMPRODUCT(Data_Nhập[Tổng Nhập-NX]*(Data_Nhập[Year]=FF$1)*(Data_Nhập[Month]=FF$2)*(Data_Nhập[Main SKU name_GOM]=$A7)*(Data_Nhập[SKU name_NHẬP_GOM]=FF$3)))</f>
        <v>28504</v>
      </c>
      <c r="FG7" s="24" cm="1">
        <f t="array" ref="FG7">IF(FG$2="FY",SUMPRODUCT(Data_Nhập[Tổng Nhập-NX]*(Data_Nhập[Year]=FG$1)*(Data_Nhập[Main SKU name_GOM]=$A7)*(Data_Nhập[SKU name_NHẬP_GOM]=FG$3)),SUMPRODUCT(Data_Nhập[Tổng Nhập-NX]*(Data_Nhập[Year]=FG$1)*(Data_Nhập[Month]=FG$2)*(Data_Nhập[Main SKU name_GOM]=$A7)*(Data_Nhập[SKU name_NHẬP_GOM]=FG$3)))</f>
        <v>0</v>
      </c>
      <c r="FH7" s="25">
        <f t="shared" ref="FH7:FH12" si="20">SUM(ES7:FG7)</f>
        <v>218804</v>
      </c>
      <c r="FJ7" s="25" cm="1">
        <f t="array" ref="FJ7">IF(FJ$2="FY",SUMPRODUCT(Data_Xuất[Xuất-NX]*(Data_Xuất[Year]=FJ$1)*(Data_Xuất[Main SKU name_GOM]=$A7)),SUMPRODUCT(Data_Xuất[Xuất-NX]*(Data_Xuất[Year]=FJ$1)*(Data_Xuất[Main SKU name_GOM]=$A7)*(Data_Xuất[Month]=FJ$2)))</f>
        <v>63173</v>
      </c>
      <c r="FK7" s="24" cm="1">
        <f t="array" ref="FK7">IF(FK$2="FY",SUMPRODUCT(Data_Nhập[Tổng Nhập-NX]*(Data_Nhập[Year]=FK$1)*(Data_Nhập[Main SKU name_GOM]=$A7)*(Data_Nhập[SKU name_NHẬP_GOM]=FK$3)),SUMPRODUCT(Data_Nhập[Tổng Nhập-NX]*(Data_Nhập[Year]=FK$1)*(Data_Nhập[Month]=FK$2)*(Data_Nhập[Main SKU name_GOM]=$A7)*(Data_Nhập[SKU name_NHẬP_GOM]=FK$3)))</f>
        <v>0</v>
      </c>
      <c r="FL7" s="24" cm="1">
        <f t="array" ref="FL7">IF(FL$2="FY",SUMPRODUCT(Data_Nhập[Tổng Nhập-NX]*(Data_Nhập[Year]=FL$1)*(Data_Nhập[Main SKU name_GOM]=$A7)*(Data_Nhập[SKU name_NHẬP_GOM]=FL$3)),SUMPRODUCT(Data_Nhập[Tổng Nhập-NX]*(Data_Nhập[Year]=FL$1)*(Data_Nhập[Month]=FL$2)*(Data_Nhập[Main SKU name_GOM]=$A7)*(Data_Nhập[SKU name_NHẬP_GOM]=FL$3)))</f>
        <v>40700</v>
      </c>
      <c r="FM7" s="24" cm="1">
        <f t="array" ref="FM7">IF(FM$2="FY",SUMPRODUCT(Data_Nhập[Tổng Nhập-NX]*(Data_Nhập[Year]=FM$1)*(Data_Nhập[Main SKU name_GOM]=$A7)*(Data_Nhập[SKU name_NHẬP_GOM]=FM$3)),SUMPRODUCT(Data_Nhập[Tổng Nhập-NX]*(Data_Nhập[Year]=FM$1)*(Data_Nhập[Month]=FM$2)*(Data_Nhập[Main SKU name_GOM]=$A7)*(Data_Nhập[SKU name_NHẬP_GOM]=FM$3)))</f>
        <v>5500</v>
      </c>
      <c r="FN7" s="24" cm="1">
        <f t="array" ref="FN7">IF(FN$2="FY",SUMPRODUCT(Data_Nhập[Tổng Nhập-NX]*(Data_Nhập[Year]=FN$1)*(Data_Nhập[Main SKU name_GOM]=$A7)*(Data_Nhập[SKU name_NHẬP_GOM]=FN$3)),SUMPRODUCT(Data_Nhập[Tổng Nhập-NX]*(Data_Nhập[Year]=FN$1)*(Data_Nhập[Month]=FN$2)*(Data_Nhập[Main SKU name_GOM]=$A7)*(Data_Nhập[SKU name_NHẬP_GOM]=FN$3)))</f>
        <v>0</v>
      </c>
      <c r="FO7" s="24" cm="1">
        <f t="array" ref="FO7">IF(FO$2="FY",SUMPRODUCT(Data_Nhập[Tổng Nhập-NX]*(Data_Nhập[Year]=FO$1)*(Data_Nhập[Main SKU name_GOM]=$A7)*(Data_Nhập[SKU name_NHẬP_GOM]=FO$3)),SUMPRODUCT(Data_Nhập[Tổng Nhập-NX]*(Data_Nhập[Year]=FO$1)*(Data_Nhập[Month]=FO$2)*(Data_Nhập[Main SKU name_GOM]=$A7)*(Data_Nhập[SKU name_NHẬP_GOM]=FO$3)))</f>
        <v>12100</v>
      </c>
      <c r="FP7" s="24" cm="1">
        <f t="array" ref="FP7">IF(FP$2="FY",SUMPRODUCT(Data_Nhập[Tổng Nhập-NX]*(Data_Nhập[Year]=FP$1)*(Data_Nhập[Main SKU name_GOM]=$A7)*(Data_Nhập[SKU name_NHẬP_GOM]=FP$3)),SUMPRODUCT(Data_Nhập[Tổng Nhập-NX]*(Data_Nhập[Year]=FP$1)*(Data_Nhập[Month]=FP$2)*(Data_Nhập[Main SKU name_GOM]=$A7)*(Data_Nhập[SKU name_NHẬP_GOM]=FP$3)))</f>
        <v>0</v>
      </c>
      <c r="FQ7" s="24" cm="1">
        <f t="array" ref="FQ7">IF(FQ$2="FY",SUMPRODUCT(Data_Nhập[Tổng Nhập-NX]*(Data_Nhập[Year]=FQ$1)*(Data_Nhập[Main SKU name_GOM]=$A7)*(Data_Nhập[SKU name_NHẬP_GOM]=FQ$3)),SUMPRODUCT(Data_Nhập[Tổng Nhập-NX]*(Data_Nhập[Year]=FQ$1)*(Data_Nhập[Month]=FQ$2)*(Data_Nhập[Main SKU name_GOM]=$A7)*(Data_Nhập[SKU name_NHẬP_GOM]=FQ$3)))</f>
        <v>0</v>
      </c>
      <c r="FR7" s="24" cm="1">
        <f t="array" ref="FR7">IF(FR$2="FY",SUMPRODUCT(Data_Nhập[Tổng Nhập-NX]*(Data_Nhập[Year]=FR$1)*(Data_Nhập[Main SKU name_GOM]=$A7)*(Data_Nhập[SKU name_NHẬP_GOM]=FR$3)),SUMPRODUCT(Data_Nhập[Tổng Nhập-NX]*(Data_Nhập[Year]=FR$1)*(Data_Nhập[Month]=FR$2)*(Data_Nhập[Main SKU name_GOM]=$A7)*(Data_Nhập[SKU name_NHẬP_GOM]=FR$3)))</f>
        <v>0</v>
      </c>
      <c r="FS7" s="24" cm="1">
        <f t="array" ref="FS7">IF(FS$2="FY",SUMPRODUCT(Data_Nhập[Tổng Nhập-NX]*(Data_Nhập[Year]=FS$1)*(Data_Nhập[Main SKU name_GOM]=$A7)*(Data_Nhập[SKU name_NHẬP_GOM]=FS$3)),SUMPRODUCT(Data_Nhập[Tổng Nhập-NX]*(Data_Nhập[Year]=FS$1)*(Data_Nhập[Month]=FS$2)*(Data_Nhập[Main SKU name_GOM]=$A7)*(Data_Nhập[SKU name_NHẬP_GOM]=FS$3)))</f>
        <v>0</v>
      </c>
      <c r="FT7" s="24" cm="1">
        <f t="array" ref="FT7">IF(FT$2="FY",SUMPRODUCT(Data_Nhập[Tổng Nhập-NX]*(Data_Nhập[Year]=FT$1)*(Data_Nhập[Main SKU name_GOM]=$A7)*(Data_Nhập[SKU name_NHẬP_GOM]=FT$3)),SUMPRODUCT(Data_Nhập[Tổng Nhập-NX]*(Data_Nhập[Year]=FT$1)*(Data_Nhập[Month]=FT$2)*(Data_Nhập[Main SKU name_GOM]=$A7)*(Data_Nhập[SKU name_NHẬP_GOM]=FT$3)))</f>
        <v>0</v>
      </c>
      <c r="FU7" s="24" cm="1">
        <f t="array" ref="FU7">IF(FU$2="FY",SUMPRODUCT(Data_Nhập[Tổng Nhập-NX]*(Data_Nhập[Year]=FU$1)*(Data_Nhập[Main SKU name_GOM]=$A7)*(Data_Nhập[SKU name_NHẬP_GOM]=FU$3)),SUMPRODUCT(Data_Nhập[Tổng Nhập-NX]*(Data_Nhập[Year]=FU$1)*(Data_Nhập[Month]=FU$2)*(Data_Nhập[Main SKU name_GOM]=$A7)*(Data_Nhập[SKU name_NHẬP_GOM]=FU$3)))</f>
        <v>0</v>
      </c>
      <c r="FV7" s="24" cm="1">
        <f t="array" ref="FV7">IF(FV$2="FY",SUMPRODUCT(Data_Nhập[Tổng Nhập-NX]*(Data_Nhập[Year]=FV$1)*(Data_Nhập[Main SKU name_GOM]=$A7)*(Data_Nhập[SKU name_NHẬP_GOM]=FV$3)),SUMPRODUCT(Data_Nhập[Tổng Nhập-NX]*(Data_Nhập[Year]=FV$1)*(Data_Nhập[Month]=FV$2)*(Data_Nhập[Main SKU name_GOM]=$A7)*(Data_Nhập[SKU name_NHẬP_GOM]=FV$3)))</f>
        <v>0</v>
      </c>
      <c r="FW7" s="24" cm="1">
        <f t="array" ref="FW7">IF(FW$2="FY",SUMPRODUCT(Data_Nhập[Tổng Nhập-NX]*(Data_Nhập[Year]=FW$1)*(Data_Nhập[Main SKU name_GOM]=$A7)*(Data_Nhập[SKU name_NHẬP_GOM]=FW$3)),SUMPRODUCT(Data_Nhập[Tổng Nhập-NX]*(Data_Nhập[Year]=FW$1)*(Data_Nhập[Month]=FW$2)*(Data_Nhập[Main SKU name_GOM]=$A7)*(Data_Nhập[SKU name_NHẬP_GOM]=FW$3)))</f>
        <v>0</v>
      </c>
      <c r="FX7" s="24" cm="1">
        <f t="array" ref="FX7">IF(FX$2="FY",SUMPRODUCT(Data_Nhập[Tổng Nhập-NX]*(Data_Nhập[Year]=FX$1)*(Data_Nhập[Main SKU name_GOM]=$A7)*(Data_Nhập[SKU name_NHẬP_GOM]=FX$3)),SUMPRODUCT(Data_Nhập[Tổng Nhập-NX]*(Data_Nhập[Year]=FX$1)*(Data_Nhập[Month]=FX$2)*(Data_Nhập[Main SKU name_GOM]=$A7)*(Data_Nhập[SKU name_NHẬP_GOM]=FX$3)))</f>
        <v>4792</v>
      </c>
      <c r="FY7" s="24" cm="1">
        <f t="array" ref="FY7">IF(FY$2="FY",SUMPRODUCT(Data_Nhập[Tổng Nhập-NX]*(Data_Nhập[Year]=FY$1)*(Data_Nhập[Main SKU name_GOM]=$A7)*(Data_Nhập[SKU name_NHẬP_GOM]=FY$3)),SUMPRODUCT(Data_Nhập[Tổng Nhập-NX]*(Data_Nhập[Year]=FY$1)*(Data_Nhập[Month]=FY$2)*(Data_Nhập[Main SKU name_GOM]=$A7)*(Data_Nhập[SKU name_NHẬP_GOM]=FY$3)))</f>
        <v>0</v>
      </c>
      <c r="FZ7" s="25">
        <f t="shared" ref="FZ7:FZ12" si="21">SUM(FK7:FY7)</f>
        <v>63092</v>
      </c>
      <c r="GB7" s="25" cm="1">
        <f t="array" ref="GB7">IF(GB$2="FY",SUMPRODUCT(Data_Xuất[Xuất-NX]*(Data_Xuất[Year]=GB$1)*(Data_Xuất[Main SKU name_GOM]=$A7)),SUMPRODUCT(Data_Xuất[Xuất-NX]*(Data_Xuất[Year]=GB$1)*(Data_Xuất[Main SKU name_GOM]=$A7)*(Data_Xuất[Month]=GB$2)))</f>
        <v>441094.5</v>
      </c>
      <c r="GC7" s="24" cm="1">
        <f t="array" ref="GC7">IF(GC$2="FY",SUMPRODUCT(Data_Nhập[Tổng Nhập-NX]*(Data_Nhập[Year]=GC$1)*(Data_Nhập[Main SKU name_GOM]=$A7)*(Data_Nhập[SKU name_NHẬP_GOM]=GC$3)),SUMPRODUCT(Data_Nhập[Tổng Nhập-NX]*(Data_Nhập[Year]=GC$1)*(Data_Nhập[Month]=GC$2)*(Data_Nhập[Main SKU name_GOM]=$A7)*(Data_Nhập[SKU name_NHẬP_GOM]=GC$3)))</f>
        <v>16338</v>
      </c>
      <c r="GD7" s="24" cm="1">
        <f t="array" ref="GD7">IF(GD$2="FY",SUMPRODUCT(Data_Nhập[Tổng Nhập-NX]*(Data_Nhập[Year]=GD$1)*(Data_Nhập[Main SKU name_GOM]=$A7)*(Data_Nhập[SKU name_NHẬP_GOM]=GD$3)),SUMPRODUCT(Data_Nhập[Tổng Nhập-NX]*(Data_Nhập[Year]=GD$1)*(Data_Nhập[Month]=GD$2)*(Data_Nhập[Main SKU name_GOM]=$A7)*(Data_Nhập[SKU name_NHẬP_GOM]=GD$3)))</f>
        <v>371800</v>
      </c>
      <c r="GE7" s="24" cm="1">
        <f t="array" ref="GE7">IF(GE$2="FY",SUMPRODUCT(Data_Nhập[Tổng Nhập-NX]*(Data_Nhập[Year]=GE$1)*(Data_Nhập[Main SKU name_GOM]=$A7)*(Data_Nhập[SKU name_NHẬP_GOM]=GE$3)),SUMPRODUCT(Data_Nhập[Tổng Nhập-NX]*(Data_Nhập[Year]=GE$1)*(Data_Nhập[Month]=GE$2)*(Data_Nhập[Main SKU name_GOM]=$A7)*(Data_Nhập[SKU name_NHẬP_GOM]=GE$3)))</f>
        <v>11000</v>
      </c>
      <c r="GF7" s="24" cm="1">
        <f t="array" ref="GF7">IF(GF$2="FY",SUMPRODUCT(Data_Nhập[Tổng Nhập-NX]*(Data_Nhập[Year]=GF$1)*(Data_Nhập[Main SKU name_GOM]=$A7)*(Data_Nhập[SKU name_NHẬP_GOM]=GF$3)),SUMPRODUCT(Data_Nhập[Tổng Nhập-NX]*(Data_Nhập[Year]=GF$1)*(Data_Nhập[Month]=GF$2)*(Data_Nhập[Main SKU name_GOM]=$A7)*(Data_Nhập[SKU name_NHẬP_GOM]=GF$3)))</f>
        <v>0</v>
      </c>
      <c r="GG7" s="24" cm="1">
        <f t="array" ref="GG7">IF(GG$2="FY",SUMPRODUCT(Data_Nhập[Tổng Nhập-NX]*(Data_Nhập[Year]=GG$1)*(Data_Nhập[Main SKU name_GOM]=$A7)*(Data_Nhập[SKU name_NHẬP_GOM]=GG$3)),SUMPRODUCT(Data_Nhập[Tổng Nhập-NX]*(Data_Nhập[Year]=GG$1)*(Data_Nhập[Month]=GG$2)*(Data_Nhập[Main SKU name_GOM]=$A7)*(Data_Nhập[SKU name_NHẬP_GOM]=GG$3)))</f>
        <v>13816.5</v>
      </c>
      <c r="GH7" s="24" cm="1">
        <f t="array" ref="GH7">IF(GH$2="FY",SUMPRODUCT(Data_Nhập[Tổng Nhập-NX]*(Data_Nhập[Year]=GH$1)*(Data_Nhập[Main SKU name_GOM]=$A7)*(Data_Nhập[SKU name_NHẬP_GOM]=GH$3)),SUMPRODUCT(Data_Nhập[Tổng Nhập-NX]*(Data_Nhập[Year]=GH$1)*(Data_Nhập[Month]=GH$2)*(Data_Nhập[Main SKU name_GOM]=$A7)*(Data_Nhập[SKU name_NHẬP_GOM]=GH$3)))</f>
        <v>0</v>
      </c>
      <c r="GI7" s="24" cm="1">
        <f t="array" ref="GI7">IF(GI$2="FY",SUMPRODUCT(Data_Nhập[Tổng Nhập-NX]*(Data_Nhập[Year]=GI$1)*(Data_Nhập[Main SKU name_GOM]=$A7)*(Data_Nhập[SKU name_NHẬP_GOM]=GI$3)),SUMPRODUCT(Data_Nhập[Tổng Nhập-NX]*(Data_Nhập[Year]=GI$1)*(Data_Nhập[Month]=GI$2)*(Data_Nhập[Main SKU name_GOM]=$A7)*(Data_Nhập[SKU name_NHẬP_GOM]=GI$3)))</f>
        <v>0</v>
      </c>
      <c r="GJ7" s="24" cm="1">
        <f t="array" ref="GJ7">IF(GJ$2="FY",SUMPRODUCT(Data_Nhập[Tổng Nhập-NX]*(Data_Nhập[Year]=GJ$1)*(Data_Nhập[Main SKU name_GOM]=$A7)*(Data_Nhập[SKU name_NHẬP_GOM]=GJ$3)),SUMPRODUCT(Data_Nhập[Tổng Nhập-NX]*(Data_Nhập[Year]=GJ$1)*(Data_Nhập[Month]=GJ$2)*(Data_Nhập[Main SKU name_GOM]=$A7)*(Data_Nhập[SKU name_NHẬP_GOM]=GJ$3)))</f>
        <v>0</v>
      </c>
      <c r="GK7" s="24" cm="1">
        <f t="array" ref="GK7">IF(GK$2="FY",SUMPRODUCT(Data_Nhập[Tổng Nhập-NX]*(Data_Nhập[Year]=GK$1)*(Data_Nhập[Main SKU name_GOM]=$A7)*(Data_Nhập[SKU name_NHẬP_GOM]=GK$3)),SUMPRODUCT(Data_Nhập[Tổng Nhập-NX]*(Data_Nhập[Year]=GK$1)*(Data_Nhập[Month]=GK$2)*(Data_Nhập[Main SKU name_GOM]=$A7)*(Data_Nhập[SKU name_NHẬP_GOM]=GK$3)))</f>
        <v>0</v>
      </c>
      <c r="GL7" s="24" cm="1">
        <f t="array" ref="GL7">IF(GL$2="FY",SUMPRODUCT(Data_Nhập[Tổng Nhập-NX]*(Data_Nhập[Year]=GL$1)*(Data_Nhập[Main SKU name_GOM]=$A7)*(Data_Nhập[SKU name_NHẬP_GOM]=GL$3)),SUMPRODUCT(Data_Nhập[Tổng Nhập-NX]*(Data_Nhập[Year]=GL$1)*(Data_Nhập[Month]=GL$2)*(Data_Nhập[Main SKU name_GOM]=$A7)*(Data_Nhập[SKU name_NHẬP_GOM]=GL$3)))</f>
        <v>0</v>
      </c>
      <c r="GM7" s="24" cm="1">
        <f t="array" ref="GM7">IF(GM$2="FY",SUMPRODUCT(Data_Nhập[Tổng Nhập-NX]*(Data_Nhập[Year]=GM$1)*(Data_Nhập[Main SKU name_GOM]=$A7)*(Data_Nhập[SKU name_NHẬP_GOM]=GM$3)),SUMPRODUCT(Data_Nhập[Tổng Nhập-NX]*(Data_Nhập[Year]=GM$1)*(Data_Nhập[Month]=GM$2)*(Data_Nhập[Main SKU name_GOM]=$A7)*(Data_Nhập[SKU name_NHẬP_GOM]=GM$3)))</f>
        <v>0</v>
      </c>
      <c r="GN7" s="24" cm="1">
        <f t="array" ref="GN7">IF(GN$2="FY",SUMPRODUCT(Data_Nhập[Tổng Nhập-NX]*(Data_Nhập[Year]=GN$1)*(Data_Nhập[Main SKU name_GOM]=$A7)*(Data_Nhập[SKU name_NHẬP_GOM]=GN$3)),SUMPRODUCT(Data_Nhập[Tổng Nhập-NX]*(Data_Nhập[Year]=GN$1)*(Data_Nhập[Month]=GN$2)*(Data_Nhập[Main SKU name_GOM]=$A7)*(Data_Nhập[SKU name_NHẬP_GOM]=GN$3)))</f>
        <v>0</v>
      </c>
      <c r="GO7" s="24" cm="1">
        <f t="array" ref="GO7">IF(GO$2="FY",SUMPRODUCT(Data_Nhập[Tổng Nhập-NX]*(Data_Nhập[Year]=GO$1)*(Data_Nhập[Main SKU name_GOM]=$A7)*(Data_Nhập[SKU name_NHẬP_GOM]=GO$3)),SUMPRODUCT(Data_Nhập[Tổng Nhập-NX]*(Data_Nhập[Year]=GO$1)*(Data_Nhập[Month]=GO$2)*(Data_Nhập[Main SKU name_GOM]=$A7)*(Data_Nhập[SKU name_NHẬP_GOM]=GO$3)))</f>
        <v>0</v>
      </c>
      <c r="GP7" s="24" cm="1">
        <f t="array" ref="GP7">IF(GP$2="FY",SUMPRODUCT(Data_Nhập[Tổng Nhập-NX]*(Data_Nhập[Year]=GP$1)*(Data_Nhập[Main SKU name_GOM]=$A7)*(Data_Nhập[SKU name_NHẬP_GOM]=GP$3)),SUMPRODUCT(Data_Nhập[Tổng Nhập-NX]*(Data_Nhập[Year]=GP$1)*(Data_Nhập[Month]=GP$2)*(Data_Nhập[Main SKU name_GOM]=$A7)*(Data_Nhập[SKU name_NHẬP_GOM]=GP$3)))</f>
        <v>26938</v>
      </c>
      <c r="GQ7" s="24" cm="1">
        <f t="array" ref="GQ7">IF(GQ$2="FY",SUMPRODUCT(Data_Nhập[Tổng Nhập-NX]*(Data_Nhập[Year]=GQ$1)*(Data_Nhập[Main SKU name_GOM]=$A7)*(Data_Nhập[SKU name_NHẬP_GOM]=GQ$3)),SUMPRODUCT(Data_Nhập[Tổng Nhập-NX]*(Data_Nhập[Year]=GQ$1)*(Data_Nhập[Month]=GQ$2)*(Data_Nhập[Main SKU name_GOM]=$A7)*(Data_Nhập[SKU name_NHẬP_GOM]=GQ$3)))</f>
        <v>0</v>
      </c>
      <c r="GR7" s="25">
        <f t="shared" ref="GR7:GR12" si="22">SUM(GC7:GQ7)</f>
        <v>439892.5</v>
      </c>
      <c r="GT7" s="25" cm="1">
        <f t="array" ref="GT7">IF(GT$2="FY",SUMPRODUCT(Data_Xuất[Xuất-NX]*(Data_Xuất[Year]=GT$1)*(Data_Xuất[Main SKU name_GOM]=$A7)),SUMPRODUCT(Data_Xuất[Xuất-NX]*(Data_Xuất[Year]=GT$1)*(Data_Xuất[Main SKU name_GOM]=$A7)*(Data_Xuất[Month]=GT$2)))</f>
        <v>1417204.0000000002</v>
      </c>
      <c r="GU7" s="24" cm="1">
        <f t="array" ref="GU7">IF(GU$2="FY",SUMPRODUCT(Data_Nhập[Tổng Nhập-NX]*(Data_Nhập[Year]=GU$1)*(Data_Nhập[Main SKU name_GOM]=$A7)*(Data_Nhập[SKU name_NHẬP_GOM]=GU$3)),SUMPRODUCT(Data_Nhập[Tổng Nhập-NX]*(Data_Nhập[Year]=GU$1)*(Data_Nhập[Month]=GU$2)*(Data_Nhập[Main SKU name_GOM]=$A7)*(Data_Nhập[SKU name_NHẬP_GOM]=GU$3)))</f>
        <v>13200</v>
      </c>
      <c r="GV7" s="24" cm="1">
        <f t="array" ref="GV7">IF(GV$2="FY",SUMPRODUCT(Data_Nhập[Tổng Nhập-NX]*(Data_Nhập[Year]=GV$1)*(Data_Nhập[Main SKU name_GOM]=$A7)*(Data_Nhập[SKU name_NHẬP_GOM]=GV$3)),SUMPRODUCT(Data_Nhập[Tổng Nhập-NX]*(Data_Nhập[Year]=GV$1)*(Data_Nhập[Month]=GV$2)*(Data_Nhập[Main SKU name_GOM]=$A7)*(Data_Nhập[SKU name_NHẬP_GOM]=GV$3)))</f>
        <v>1187901.0000000002</v>
      </c>
      <c r="GW7" s="24" cm="1">
        <f t="array" ref="GW7">IF(GW$2="FY",SUMPRODUCT(Data_Nhập[Tổng Nhập-NX]*(Data_Nhập[Year]=GW$1)*(Data_Nhập[Main SKU name_GOM]=$A7)*(Data_Nhập[SKU name_NHẬP_GOM]=GW$3)),SUMPRODUCT(Data_Nhập[Tổng Nhập-NX]*(Data_Nhập[Year]=GW$1)*(Data_Nhập[Month]=GW$2)*(Data_Nhập[Main SKU name_GOM]=$A7)*(Data_Nhập[SKU name_NHẬP_GOM]=GW$3)))</f>
        <v>80300</v>
      </c>
      <c r="GX7" s="24" cm="1">
        <f t="array" ref="GX7">IF(GX$2="FY",SUMPRODUCT(Data_Nhập[Tổng Nhập-NX]*(Data_Nhập[Year]=GX$1)*(Data_Nhập[Main SKU name_GOM]=$A7)*(Data_Nhập[SKU name_NHẬP_GOM]=GX$3)),SUMPRODUCT(Data_Nhập[Tổng Nhập-NX]*(Data_Nhập[Year]=GX$1)*(Data_Nhập[Month]=GX$2)*(Data_Nhập[Main SKU name_GOM]=$A7)*(Data_Nhập[SKU name_NHẬP_GOM]=GX$3)))</f>
        <v>0</v>
      </c>
      <c r="GY7" s="24" cm="1">
        <f t="array" ref="GY7">IF(GY$2="FY",SUMPRODUCT(Data_Nhập[Tổng Nhập-NX]*(Data_Nhập[Year]=GY$1)*(Data_Nhập[Main SKU name_GOM]=$A7)*(Data_Nhập[SKU name_NHẬP_GOM]=GY$3)),SUMPRODUCT(Data_Nhập[Tổng Nhập-NX]*(Data_Nhập[Year]=GY$1)*(Data_Nhập[Month]=GY$2)*(Data_Nhập[Main SKU name_GOM]=$A7)*(Data_Nhập[SKU name_NHẬP_GOM]=GY$3)))</f>
        <v>40700</v>
      </c>
      <c r="GZ7" s="24" cm="1">
        <f t="array" ref="GZ7">IF(GZ$2="FY",SUMPRODUCT(Data_Nhập[Tổng Nhập-NX]*(Data_Nhập[Year]=GZ$1)*(Data_Nhập[Main SKU name_GOM]=$A7)*(Data_Nhập[SKU name_NHẬP_GOM]=GZ$3)),SUMPRODUCT(Data_Nhập[Tổng Nhập-NX]*(Data_Nhập[Year]=GZ$1)*(Data_Nhập[Month]=GZ$2)*(Data_Nhập[Main SKU name_GOM]=$A7)*(Data_Nhập[SKU name_NHẬP_GOM]=GZ$3)))</f>
        <v>0</v>
      </c>
      <c r="HA7" s="24" cm="1">
        <f t="array" ref="HA7">IF(HA$2="FY",SUMPRODUCT(Data_Nhập[Tổng Nhập-NX]*(Data_Nhập[Year]=HA$1)*(Data_Nhập[Main SKU name_GOM]=$A7)*(Data_Nhập[SKU name_NHẬP_GOM]=HA$3)),SUMPRODUCT(Data_Nhập[Tổng Nhập-NX]*(Data_Nhập[Year]=HA$1)*(Data_Nhập[Month]=HA$2)*(Data_Nhập[Main SKU name_GOM]=$A7)*(Data_Nhập[SKU name_NHẬP_GOM]=HA$3)))</f>
        <v>0</v>
      </c>
      <c r="HB7" s="24" cm="1">
        <f t="array" ref="HB7">IF(HB$2="FY",SUMPRODUCT(Data_Nhập[Tổng Nhập-NX]*(Data_Nhập[Year]=HB$1)*(Data_Nhập[Main SKU name_GOM]=$A7)*(Data_Nhập[SKU name_NHẬP_GOM]=HB$3)),SUMPRODUCT(Data_Nhập[Tổng Nhập-NX]*(Data_Nhập[Year]=HB$1)*(Data_Nhập[Month]=HB$2)*(Data_Nhập[Main SKU name_GOM]=$A7)*(Data_Nhập[SKU name_NHẬP_GOM]=HB$3)))</f>
        <v>0</v>
      </c>
      <c r="HC7" s="24" cm="1">
        <f t="array" ref="HC7">IF(HC$2="FY",SUMPRODUCT(Data_Nhập[Tổng Nhập-NX]*(Data_Nhập[Year]=HC$1)*(Data_Nhập[Main SKU name_GOM]=$A7)*(Data_Nhập[SKU name_NHẬP_GOM]=HC$3)),SUMPRODUCT(Data_Nhập[Tổng Nhập-NX]*(Data_Nhập[Year]=HC$1)*(Data_Nhập[Month]=HC$2)*(Data_Nhập[Main SKU name_GOM]=$A7)*(Data_Nhập[SKU name_NHẬP_GOM]=HC$3)))</f>
        <v>0</v>
      </c>
      <c r="HD7" s="24" cm="1">
        <f t="array" ref="HD7">IF(HD$2="FY",SUMPRODUCT(Data_Nhập[Tổng Nhập-NX]*(Data_Nhập[Year]=HD$1)*(Data_Nhập[Main SKU name_GOM]=$A7)*(Data_Nhập[SKU name_NHẬP_GOM]=HD$3)),SUMPRODUCT(Data_Nhập[Tổng Nhập-NX]*(Data_Nhập[Year]=HD$1)*(Data_Nhập[Month]=HD$2)*(Data_Nhập[Main SKU name_GOM]=$A7)*(Data_Nhập[SKU name_NHẬP_GOM]=HD$3)))</f>
        <v>0</v>
      </c>
      <c r="HE7" s="24" cm="1">
        <f t="array" ref="HE7">IF(HE$2="FY",SUMPRODUCT(Data_Nhập[Tổng Nhập-NX]*(Data_Nhập[Year]=HE$1)*(Data_Nhập[Main SKU name_GOM]=$A7)*(Data_Nhập[SKU name_NHẬP_GOM]=HE$3)),SUMPRODUCT(Data_Nhập[Tổng Nhập-NX]*(Data_Nhập[Year]=HE$1)*(Data_Nhập[Month]=HE$2)*(Data_Nhập[Main SKU name_GOM]=$A7)*(Data_Nhập[SKU name_NHẬP_GOM]=HE$3)))</f>
        <v>0</v>
      </c>
      <c r="HF7" s="24" cm="1">
        <f t="array" ref="HF7">IF(HF$2="FY",SUMPRODUCT(Data_Nhập[Tổng Nhập-NX]*(Data_Nhập[Year]=HF$1)*(Data_Nhập[Main SKU name_GOM]=$A7)*(Data_Nhập[SKU name_NHẬP_GOM]=HF$3)),SUMPRODUCT(Data_Nhập[Tổng Nhập-NX]*(Data_Nhập[Year]=HF$1)*(Data_Nhập[Month]=HF$2)*(Data_Nhập[Main SKU name_GOM]=$A7)*(Data_Nhập[SKU name_NHẬP_GOM]=HF$3)))</f>
        <v>0</v>
      </c>
      <c r="HG7" s="24" cm="1">
        <f t="array" ref="HG7">IF(HG$2="FY",SUMPRODUCT(Data_Nhập[Tổng Nhập-NX]*(Data_Nhập[Year]=HG$1)*(Data_Nhập[Main SKU name_GOM]=$A7)*(Data_Nhập[SKU name_NHẬP_GOM]=HG$3)),SUMPRODUCT(Data_Nhập[Tổng Nhập-NX]*(Data_Nhập[Year]=HG$1)*(Data_Nhập[Month]=HG$2)*(Data_Nhập[Main SKU name_GOM]=$A7)*(Data_Nhập[SKU name_NHẬP_GOM]=HG$3)))</f>
        <v>0</v>
      </c>
      <c r="HH7" s="24" cm="1">
        <f t="array" ref="HH7">IF(HH$2="FY",SUMPRODUCT(Data_Nhập[Tổng Nhập-NX]*(Data_Nhập[Year]=HH$1)*(Data_Nhập[Main SKU name_GOM]=$A7)*(Data_Nhập[SKU name_NHẬP_GOM]=HH$3)),SUMPRODUCT(Data_Nhập[Tổng Nhập-NX]*(Data_Nhập[Year]=HH$1)*(Data_Nhập[Month]=HH$2)*(Data_Nhập[Main SKU name_GOM]=$A7)*(Data_Nhập[SKU name_NHẬP_GOM]=HH$3)))</f>
        <v>90837.999999999985</v>
      </c>
      <c r="HI7" s="24" cm="1">
        <f t="array" ref="HI7">IF(HI$2="FY",SUMPRODUCT(Data_Nhập[Tổng Nhập-NX]*(Data_Nhập[Year]=HI$1)*(Data_Nhập[Main SKU name_GOM]=$A7)*(Data_Nhập[SKU name_NHẬP_GOM]=HI$3)),SUMPRODUCT(Data_Nhập[Tổng Nhập-NX]*(Data_Nhập[Year]=HI$1)*(Data_Nhập[Month]=HI$2)*(Data_Nhập[Main SKU name_GOM]=$A7)*(Data_Nhập[SKU name_NHẬP_GOM]=HI$3)))</f>
        <v>0</v>
      </c>
      <c r="HJ7" s="25">
        <f t="shared" ref="HJ7:HJ12" si="23">SUM(GU7:HI7)</f>
        <v>1412939.0000000002</v>
      </c>
      <c r="HL7" s="25" cm="1">
        <f t="array" ref="HL7">IF(HL$2="FY",SUMPRODUCT(Data_Xuất[Xuất-NX]*(Data_Xuất[Year]=HL$1)*(Data_Xuất[Main SKU name_GOM]=$A7)),SUMPRODUCT(Data_Xuất[Xuất-NX]*(Data_Xuất[Year]=HL$1)*(Data_Xuất[Main SKU name_GOM]=$A7)*(Data_Xuất[Month]=HL$2)))</f>
        <v>170680.00000000003</v>
      </c>
      <c r="HM7" s="24" cm="1">
        <f t="array" ref="HM7">IF(HM$2="FY",SUMPRODUCT(Data_Nhập[Tổng Nhập-NX]*(Data_Nhập[Year]=HM$1)*(Data_Nhập[Main SKU name_GOM]=$A7)*(Data_Nhập[SKU name_NHẬP_GOM]=HM$3)),SUMPRODUCT(Data_Nhập[Tổng Nhập-NX]*(Data_Nhập[Year]=HM$1)*(Data_Nhập[Month]=HM$2)*(Data_Nhập[Main SKU name_GOM]=$A7)*(Data_Nhập[SKU name_NHẬP_GOM]=HM$3)))</f>
        <v>0</v>
      </c>
      <c r="HN7" s="24" cm="1">
        <f t="array" ref="HN7">IF(HN$2="FY",SUMPRODUCT(Data_Nhập[Tổng Nhập-NX]*(Data_Nhập[Year]=HN$1)*(Data_Nhập[Main SKU name_GOM]=$A7)*(Data_Nhập[SKU name_NHẬP_GOM]=HN$3)),SUMPRODUCT(Data_Nhập[Tổng Nhập-NX]*(Data_Nhập[Year]=HN$1)*(Data_Nhập[Month]=HN$2)*(Data_Nhập[Main SKU name_GOM]=$A7)*(Data_Nhập[SKU name_NHẬP_GOM]=HN$3)))</f>
        <v>134200</v>
      </c>
      <c r="HO7" s="24" cm="1">
        <f t="array" ref="HO7">IF(HO$2="FY",SUMPRODUCT(Data_Nhập[Tổng Nhập-NX]*(Data_Nhập[Year]=HO$1)*(Data_Nhập[Main SKU name_GOM]=$A7)*(Data_Nhập[SKU name_NHẬP_GOM]=HO$3)),SUMPRODUCT(Data_Nhập[Tổng Nhập-NX]*(Data_Nhập[Year]=HO$1)*(Data_Nhập[Month]=HO$2)*(Data_Nhập[Main SKU name_GOM]=$A7)*(Data_Nhập[SKU name_NHẬP_GOM]=HO$3)))</f>
        <v>18700</v>
      </c>
      <c r="HP7" s="24" cm="1">
        <f t="array" ref="HP7">IF(HP$2="FY",SUMPRODUCT(Data_Nhập[Tổng Nhập-NX]*(Data_Nhập[Year]=HP$1)*(Data_Nhập[Main SKU name_GOM]=$A7)*(Data_Nhập[SKU name_NHẬP_GOM]=HP$3)),SUMPRODUCT(Data_Nhập[Tổng Nhập-NX]*(Data_Nhập[Year]=HP$1)*(Data_Nhập[Month]=HP$2)*(Data_Nhập[Main SKU name_GOM]=$A7)*(Data_Nhập[SKU name_NHẬP_GOM]=HP$3)))</f>
        <v>0</v>
      </c>
      <c r="HQ7" s="24" cm="1">
        <f t="array" ref="HQ7">IF(HQ$2="FY",SUMPRODUCT(Data_Nhập[Tổng Nhập-NX]*(Data_Nhập[Year]=HQ$1)*(Data_Nhập[Main SKU name_GOM]=$A7)*(Data_Nhập[SKU name_NHẬP_GOM]=HQ$3)),SUMPRODUCT(Data_Nhập[Tổng Nhập-NX]*(Data_Nhập[Year]=HQ$1)*(Data_Nhập[Month]=HQ$2)*(Data_Nhập[Main SKU name_GOM]=$A7)*(Data_Nhập[SKU name_NHẬP_GOM]=HQ$3)))</f>
        <v>0</v>
      </c>
      <c r="HR7" s="24" cm="1">
        <f t="array" ref="HR7">IF(HR$2="FY",SUMPRODUCT(Data_Nhập[Tổng Nhập-NX]*(Data_Nhập[Year]=HR$1)*(Data_Nhập[Main SKU name_GOM]=$A7)*(Data_Nhập[SKU name_NHẬP_GOM]=HR$3)),SUMPRODUCT(Data_Nhập[Tổng Nhập-NX]*(Data_Nhập[Year]=HR$1)*(Data_Nhập[Month]=HR$2)*(Data_Nhập[Main SKU name_GOM]=$A7)*(Data_Nhập[SKU name_NHẬP_GOM]=HR$3)))</f>
        <v>0</v>
      </c>
      <c r="HS7" s="24" cm="1">
        <f t="array" ref="HS7">IF(HS$2="FY",SUMPRODUCT(Data_Nhập[Tổng Nhập-NX]*(Data_Nhập[Year]=HS$1)*(Data_Nhập[Main SKU name_GOM]=$A7)*(Data_Nhập[SKU name_NHẬP_GOM]=HS$3)),SUMPRODUCT(Data_Nhập[Tổng Nhập-NX]*(Data_Nhập[Year]=HS$1)*(Data_Nhập[Month]=HS$2)*(Data_Nhập[Main SKU name_GOM]=$A7)*(Data_Nhập[SKU name_NHẬP_GOM]=HS$3)))</f>
        <v>0</v>
      </c>
      <c r="HT7" s="24" cm="1">
        <f t="array" ref="HT7">IF(HT$2="FY",SUMPRODUCT(Data_Nhập[Tổng Nhập-NX]*(Data_Nhập[Year]=HT$1)*(Data_Nhập[Main SKU name_GOM]=$A7)*(Data_Nhập[SKU name_NHẬP_GOM]=HT$3)),SUMPRODUCT(Data_Nhập[Tổng Nhập-NX]*(Data_Nhập[Year]=HT$1)*(Data_Nhập[Month]=HT$2)*(Data_Nhập[Main SKU name_GOM]=$A7)*(Data_Nhập[SKU name_NHẬP_GOM]=HT$3)))</f>
        <v>0</v>
      </c>
      <c r="HU7" s="24" cm="1">
        <f t="array" ref="HU7">IF(HU$2="FY",SUMPRODUCT(Data_Nhập[Tổng Nhập-NX]*(Data_Nhập[Year]=HU$1)*(Data_Nhập[Main SKU name_GOM]=$A7)*(Data_Nhập[SKU name_NHẬP_GOM]=HU$3)),SUMPRODUCT(Data_Nhập[Tổng Nhập-NX]*(Data_Nhập[Year]=HU$1)*(Data_Nhập[Month]=HU$2)*(Data_Nhập[Main SKU name_GOM]=$A7)*(Data_Nhập[SKU name_NHẬP_GOM]=HU$3)))</f>
        <v>3300</v>
      </c>
      <c r="HV7" s="24" cm="1">
        <f t="array" ref="HV7">IF(HV$2="FY",SUMPRODUCT(Data_Nhập[Tổng Nhập-NX]*(Data_Nhập[Year]=HV$1)*(Data_Nhập[Main SKU name_GOM]=$A7)*(Data_Nhập[SKU name_NHẬP_GOM]=HV$3)),SUMPRODUCT(Data_Nhập[Tổng Nhập-NX]*(Data_Nhập[Year]=HV$1)*(Data_Nhập[Month]=HV$2)*(Data_Nhập[Main SKU name_GOM]=$A7)*(Data_Nhập[SKU name_NHẬP_GOM]=HV$3)))</f>
        <v>0</v>
      </c>
      <c r="HW7" s="24" cm="1">
        <f t="array" ref="HW7">IF(HW$2="FY",SUMPRODUCT(Data_Nhập[Tổng Nhập-NX]*(Data_Nhập[Year]=HW$1)*(Data_Nhập[Main SKU name_GOM]=$A7)*(Data_Nhập[SKU name_NHẬP_GOM]=HW$3)),SUMPRODUCT(Data_Nhập[Tổng Nhập-NX]*(Data_Nhập[Year]=HW$1)*(Data_Nhập[Month]=HW$2)*(Data_Nhập[Main SKU name_GOM]=$A7)*(Data_Nhập[SKU name_NHẬP_GOM]=HW$3)))</f>
        <v>0</v>
      </c>
      <c r="HX7" s="24" cm="1">
        <f t="array" ref="HX7">IF(HX$2="FY",SUMPRODUCT(Data_Nhập[Tổng Nhập-NX]*(Data_Nhập[Year]=HX$1)*(Data_Nhập[Main SKU name_GOM]=$A7)*(Data_Nhập[SKU name_NHẬP_GOM]=HX$3)),SUMPRODUCT(Data_Nhập[Tổng Nhập-NX]*(Data_Nhập[Year]=HX$1)*(Data_Nhập[Month]=HX$2)*(Data_Nhập[Main SKU name_GOM]=$A7)*(Data_Nhập[SKU name_NHẬP_GOM]=HX$3)))</f>
        <v>0</v>
      </c>
      <c r="HY7" s="24" cm="1">
        <f t="array" ref="HY7">IF(HY$2="FY",SUMPRODUCT(Data_Nhập[Tổng Nhập-NX]*(Data_Nhập[Year]=HY$1)*(Data_Nhập[Main SKU name_GOM]=$A7)*(Data_Nhập[SKU name_NHẬP_GOM]=HY$3)),SUMPRODUCT(Data_Nhập[Tổng Nhập-NX]*(Data_Nhập[Year]=HY$1)*(Data_Nhập[Month]=HY$2)*(Data_Nhập[Main SKU name_GOM]=$A7)*(Data_Nhập[SKU name_NHẬP_GOM]=HY$3)))</f>
        <v>0</v>
      </c>
      <c r="HZ7" s="24" cm="1">
        <f t="array" ref="HZ7">IF(HZ$2="FY",SUMPRODUCT(Data_Nhập[Tổng Nhập-NX]*(Data_Nhập[Year]=HZ$1)*(Data_Nhập[Main SKU name_GOM]=$A7)*(Data_Nhập[SKU name_NHẬP_GOM]=HZ$3)),SUMPRODUCT(Data_Nhập[Tổng Nhập-NX]*(Data_Nhập[Year]=HZ$1)*(Data_Nhập[Month]=HZ$2)*(Data_Nhập[Main SKU name_GOM]=$A7)*(Data_Nhập[SKU name_NHẬP_GOM]=HZ$3)))</f>
        <v>13585</v>
      </c>
      <c r="IA7" s="24" cm="1">
        <f t="array" ref="IA7">IF(IA$2="FY",SUMPRODUCT(Data_Nhập[Tổng Nhập-NX]*(Data_Nhập[Year]=IA$1)*(Data_Nhập[Main SKU name_GOM]=$A7)*(Data_Nhập[SKU name_NHẬP_GOM]=IA$3)),SUMPRODUCT(Data_Nhập[Tổng Nhập-NX]*(Data_Nhập[Year]=IA$1)*(Data_Nhập[Month]=IA$2)*(Data_Nhập[Main SKU name_GOM]=$A7)*(Data_Nhập[SKU name_NHẬP_GOM]=IA$3)))</f>
        <v>0</v>
      </c>
      <c r="IB7" s="25">
        <f t="shared" ref="IB7:IB12" si="24">SUM(HM7:IA7)</f>
        <v>169785</v>
      </c>
    </row>
    <row r="8" spans="1:236" x14ac:dyDescent="0.35">
      <c r="A8" s="5" t="s">
        <v>70</v>
      </c>
      <c r="B8" s="22" t="s">
        <v>70</v>
      </c>
      <c r="D8" s="42" cm="1">
        <f t="array" ref="D8">IF(D$2="FY",SUMPRODUCT(Data_Xuất[Xuất-NX]*(Data_Xuất[Year]=D$1)*(Data_Xuất[Main SKU name_GOM]=$A8)),SUMPRODUCT(Data_Xuất[Xuất-NX]*(Data_Xuất[Year]=D$1)*(Data_Xuất[Main SKU name_GOM]=$A8)*Data_Xuất[Month]=D$2))</f>
        <v>29409355.713000022</v>
      </c>
      <c r="E8" s="24" cm="1">
        <f t="array" ref="E8">IF(E$2="FY",SUMPRODUCT(Data_Nhập[Tổng Nhập-NX]*(Data_Nhập[Year]=E$1)*(Data_Nhập[Main SKU name_GOM]=$A8)*(Data_Nhập[SKU name_NHẬP_GOM]=E$3)),SUMPRODUCT(Data_Nhập[Tổng Nhập-NX]*(Data_Nhập[Year]=E$1)*(Data_Nhập[Month]=E$2)*(Data_Nhập[Main SKU name_GOM]=$A8)*(Data_Nhập[SKU name_NHẬP_GOM]=E$3)))</f>
        <v>3300</v>
      </c>
      <c r="F8" s="24" cm="1">
        <f t="array" ref="F8">IF(F$2="FY",SUMPRODUCT(Data_Nhập[Tổng Nhập-NX]*(Data_Nhập[Year]=F$1)*(Data_Nhập[Main SKU name_GOM]=$A8)*(Data_Nhập[SKU name_NHẬP_GOM]=F$3)),SUMPRODUCT(Data_Nhập[Tổng Nhập-NX]*(Data_Nhập[Year]=F$1)*(Data_Nhập[Month]=F$2)*(Data_Nhập[Main SKU name_GOM]=$A8)*(Data_Nhập[SKU name_NHẬP_GOM]=F$3)))</f>
        <v>2772220</v>
      </c>
      <c r="G8" s="24" cm="1">
        <f t="array" ref="G8">IF(G$2="FY",SUMPRODUCT(Data_Nhập[Tổng Nhập-NX]*(Data_Nhập[Year]=G$1)*(Data_Nhập[Main SKU name_GOM]=$A8)*(Data_Nhập[SKU name_NHẬP_GOM]=G$3)),SUMPRODUCT(Data_Nhập[Tổng Nhập-NX]*(Data_Nhập[Year]=G$1)*(Data_Nhập[Month]=G$2)*(Data_Nhập[Main SKU name_GOM]=$A8)*(Data_Nhập[SKU name_NHẬP_GOM]=G$3)))</f>
        <v>23137314</v>
      </c>
      <c r="H8" s="24" cm="1">
        <f t="array" ref="H8">IF(H$2="FY",SUMPRODUCT(Data_Nhập[Tổng Nhập-NX]*(Data_Nhập[Year]=H$1)*(Data_Nhập[Main SKU name_GOM]=$A8)*(Data_Nhập[SKU name_NHẬP_GOM]=H$3)),SUMPRODUCT(Data_Nhập[Tổng Nhập-NX]*(Data_Nhập[Year]=H$1)*(Data_Nhập[Month]=H$2)*(Data_Nhập[Main SKU name_GOM]=$A8)*(Data_Nhập[SKU name_NHẬP_GOM]=H$3)))</f>
        <v>895544</v>
      </c>
      <c r="I8" s="24" cm="1">
        <f t="array" ref="I8">IF(I$2="FY",SUMPRODUCT(Data_Nhập[Tổng Nhập-NX]*(Data_Nhập[Year]=I$1)*(Data_Nhập[Main SKU name_GOM]=$A8)*(Data_Nhập[SKU name_NHẬP_GOM]=I$3)),SUMPRODUCT(Data_Nhập[Tổng Nhập-NX]*(Data_Nhập[Year]=I$1)*(Data_Nhập[Month]=I$2)*(Data_Nhập[Main SKU name_GOM]=$A8)*(Data_Nhập[SKU name_NHẬP_GOM]=I$3)))</f>
        <v>1529555.5</v>
      </c>
      <c r="J8" s="24" cm="1">
        <f t="array" ref="J8">IF(J$2="FY",SUMPRODUCT(Data_Nhập[Tổng Nhập-NX]*(Data_Nhập[Year]=J$1)*(Data_Nhập[Main SKU name_GOM]=$A8)*(Data_Nhập[SKU name_NHẬP_GOM]=J$3)),SUMPRODUCT(Data_Nhập[Tổng Nhập-NX]*(Data_Nhập[Year]=J$1)*(Data_Nhập[Month]=J$2)*(Data_Nhập[Main SKU name_GOM]=$A8)*(Data_Nhập[SKU name_NHẬP_GOM]=J$3)))</f>
        <v>0</v>
      </c>
      <c r="K8" s="24" cm="1">
        <f t="array" ref="K8">IF(K$2="FY",SUMPRODUCT(Data_Nhập[Tổng Nhập-NX]*(Data_Nhập[Year]=K$1)*(Data_Nhập[Main SKU name_GOM]=$A8)*(Data_Nhập[SKU name_NHẬP_GOM]=K$3)),SUMPRODUCT(Data_Nhập[Tổng Nhập-NX]*(Data_Nhập[Year]=K$1)*(Data_Nhập[Month]=K$2)*(Data_Nhập[Main SKU name_GOM]=$A8)*(Data_Nhập[SKU name_NHẬP_GOM]=K$3)))</f>
        <v>0</v>
      </c>
      <c r="L8" s="24" cm="1">
        <f t="array" ref="L8">IF(L$2="FY",SUMPRODUCT(Data_Nhập[Tổng Nhập-NX]*(Data_Nhập[Year]=L$1)*(Data_Nhập[Main SKU name_GOM]=$A8)*(Data_Nhập[SKU name_NHẬP_GOM]=L$3)),SUMPRODUCT(Data_Nhập[Tổng Nhập-NX]*(Data_Nhập[Year]=L$1)*(Data_Nhập[Month]=L$2)*(Data_Nhập[Main SKU name_GOM]=$A8)*(Data_Nhập[SKU name_NHẬP_GOM]=L$3)))</f>
        <v>0</v>
      </c>
      <c r="M8" s="24" cm="1">
        <f t="array" ref="M8">IF(M$2="FY",SUMPRODUCT(Data_Nhập[Tổng Nhập-NX]*(Data_Nhập[Year]=M$1)*(Data_Nhập[Main SKU name_GOM]=$A8)*(Data_Nhập[SKU name_NHẬP_GOM]=M$3)),SUMPRODUCT(Data_Nhập[Tổng Nhập-NX]*(Data_Nhập[Year]=M$1)*(Data_Nhập[Month]=M$2)*(Data_Nhập[Main SKU name_GOM]=$A8)*(Data_Nhập[SKU name_NHẬP_GOM]=M$3)))</f>
        <v>0</v>
      </c>
      <c r="N8" s="24" cm="1">
        <f t="array" ref="N8">IF(N$2="FY",SUMPRODUCT(Data_Nhập[Tổng Nhập-NX]*(Data_Nhập[Year]=N$1)*(Data_Nhập[Main SKU name_GOM]=$A8)*(Data_Nhập[SKU name_NHẬP_GOM]=N$3)),SUMPRODUCT(Data_Nhập[Tổng Nhập-NX]*(Data_Nhập[Year]=N$1)*(Data_Nhập[Month]=N$2)*(Data_Nhập[Main SKU name_GOM]=$A8)*(Data_Nhập[SKU name_NHẬP_GOM]=N$3)))</f>
        <v>0</v>
      </c>
      <c r="O8" s="24" cm="1">
        <f t="array" ref="O8">IF(O$2="FY",SUMPRODUCT(Data_Nhập[Tổng Nhập-NX]*(Data_Nhập[Year]=O$1)*(Data_Nhập[Main SKU name_GOM]=$A8)*(Data_Nhập[SKU name_NHẬP_GOM]=O$3)),SUMPRODUCT(Data_Nhập[Tổng Nhập-NX]*(Data_Nhập[Year]=O$1)*(Data_Nhập[Month]=O$2)*(Data_Nhập[Main SKU name_GOM]=$A8)*(Data_Nhập[SKU name_NHẬP_GOM]=O$3)))</f>
        <v>13200</v>
      </c>
      <c r="P8" s="24" cm="1">
        <f t="array" ref="P8">IF(P$2="FY",SUMPRODUCT(Data_Nhập[Tổng Nhập-NX]*(Data_Nhập[Year]=P$1)*(Data_Nhập[Main SKU name_GOM]=$A8)*(Data_Nhập[SKU name_NHẬP_GOM]=P$3)),SUMPRODUCT(Data_Nhập[Tổng Nhập-NX]*(Data_Nhập[Year]=P$1)*(Data_Nhập[Month]=P$2)*(Data_Nhập[Main SKU name_GOM]=$A8)*(Data_Nhập[SKU name_NHẬP_GOM]=P$3)))</f>
        <v>3300</v>
      </c>
      <c r="Q8" s="24" cm="1">
        <f t="array" ref="Q8">IF(Q$2="FY",SUMPRODUCT(Data_Nhập[Tổng Nhập-NX]*(Data_Nhập[Year]=Q$1)*(Data_Nhập[Main SKU name_GOM]=$A8)*(Data_Nhập[SKU name_NHẬP_GOM]=Q$3)),SUMPRODUCT(Data_Nhập[Tổng Nhập-NX]*(Data_Nhập[Year]=Q$1)*(Data_Nhập[Month]=Q$2)*(Data_Nhập[Main SKU name_GOM]=$A8)*(Data_Nhập[SKU name_NHẬP_GOM]=Q$3)))</f>
        <v>0</v>
      </c>
      <c r="R8" s="24" cm="1">
        <f t="array" ref="R8">IF(R$2="FY",SUMPRODUCT(Data_Nhập[Tổng Nhập-NX]*(Data_Nhập[Year]=R$1)*(Data_Nhập[Main SKU name_GOM]=$A8)*(Data_Nhập[SKU name_NHẬP_GOM]=R$3)),SUMPRODUCT(Data_Nhập[Tổng Nhập-NX]*(Data_Nhập[Year]=R$1)*(Data_Nhập[Month]=R$2)*(Data_Nhập[Main SKU name_GOM]=$A8)*(Data_Nhập[SKU name_NHẬP_GOM]=R$3)))</f>
        <v>950563.26500000001</v>
      </c>
      <c r="S8" s="24" cm="1">
        <f t="array" ref="S8">IF(S$2="FY",SUMPRODUCT(Data_Nhập[Tổng Nhập-NX]*(Data_Nhập[Year]=S$1)*(Data_Nhập[Main SKU name_GOM]=$A8)*(Data_Nhập[SKU name_NHẬP_GOM]=S$3)),SUMPRODUCT(Data_Nhập[Tổng Nhập-NX]*(Data_Nhập[Year]=S$1)*(Data_Nhập[Month]=S$2)*(Data_Nhập[Main SKU name_GOM]=$A8)*(Data_Nhập[SKU name_NHẬP_GOM]=S$3)))</f>
        <v>0</v>
      </c>
      <c r="T8" s="25">
        <f t="shared" si="12"/>
        <v>29304996.765000001</v>
      </c>
      <c r="V8" s="25" cm="1">
        <f t="array" ref="V8">IF(V$2="FY",SUMPRODUCT(Data_Xuất[Xuất-NX]*(Data_Xuất[Year]=V$1)*(Data_Xuất[Main SKU name_GOM]=$A8)),SUMPRODUCT(Data_Xuất[Xuất-NX]*(Data_Xuất[Year]=V$1)*(Data_Xuất[Main SKU name_GOM]=$A8)*(Data_Xuất[Month]=V$2)))</f>
        <v>4044077.0000000005</v>
      </c>
      <c r="W8" s="24" cm="1">
        <f t="array" ref="W8">IF(W$2="FY",SUMPRODUCT(Data_Nhập[Tổng Nhập-NX]*(Data_Nhập[Year]=W$1)*(Data_Nhập[Main SKU name_GOM]=$A8)*(Data_Nhập[SKU name_NHẬP_GOM]=W$3)),SUMPRODUCT(Data_Nhập[Tổng Nhập-NX]*(Data_Nhập[Year]=W$1)*(Data_Nhập[Month]=W$2)*(Data_Nhập[Main SKU name_GOM]=$A8)*(Data_Nhập[SKU name_NHẬP_GOM]=W$3)))</f>
        <v>1100</v>
      </c>
      <c r="X8" s="24" cm="1">
        <f t="array" ref="X8">IF(X$2="FY",SUMPRODUCT(Data_Nhập[Tổng Nhập-NX]*(Data_Nhập[Year]=X$1)*(Data_Nhập[Main SKU name_GOM]=$A8)*(Data_Nhập[SKU name_NHẬP_GOM]=X$3)),SUMPRODUCT(Data_Nhập[Tổng Nhập-NX]*(Data_Nhập[Year]=X$1)*(Data_Nhập[Month]=X$2)*(Data_Nhập[Main SKU name_GOM]=$A8)*(Data_Nhập[SKU name_NHẬP_GOM]=X$3)))</f>
        <v>463100</v>
      </c>
      <c r="Y8" s="24" cm="1">
        <f t="array" ref="Y8">IF(Y$2="FY",SUMPRODUCT(Data_Nhập[Tổng Nhập-NX]*(Data_Nhập[Year]=Y$1)*(Data_Nhập[Main SKU name_GOM]=$A8)*(Data_Nhập[SKU name_NHẬP_GOM]=Y$3)),SUMPRODUCT(Data_Nhập[Tổng Nhập-NX]*(Data_Nhập[Year]=Y$1)*(Data_Nhập[Month]=Y$2)*(Data_Nhập[Main SKU name_GOM]=$A8)*(Data_Nhập[SKU name_NHẬP_GOM]=Y$3)))</f>
        <v>3266015.9999999995</v>
      </c>
      <c r="Z8" s="24" cm="1">
        <f t="array" ref="Z8">IF(Z$2="FY",SUMPRODUCT(Data_Nhập[Tổng Nhập-NX]*(Data_Nhập[Year]=Z$1)*(Data_Nhập[Main SKU name_GOM]=$A8)*(Data_Nhập[SKU name_NHẬP_GOM]=Z$3)),SUMPRODUCT(Data_Nhập[Tổng Nhập-NX]*(Data_Nhập[Year]=Z$1)*(Data_Nhập[Month]=Z$2)*(Data_Nhập[Main SKU name_GOM]=$A8)*(Data_Nhập[SKU name_NHẬP_GOM]=Z$3)))</f>
        <v>164344</v>
      </c>
      <c r="AA8" s="24" cm="1">
        <f t="array" ref="AA8">IF(AA$2="FY",SUMPRODUCT(Data_Nhập[Tổng Nhập-NX]*(Data_Nhập[Year]=AA$1)*(Data_Nhập[Main SKU name_GOM]=$A8)*(Data_Nhập[SKU name_NHẬP_GOM]=AA$3)),SUMPRODUCT(Data_Nhập[Tổng Nhập-NX]*(Data_Nhập[Year]=AA$1)*(Data_Nhập[Month]=AA$2)*(Data_Nhập[Main SKU name_GOM]=$A8)*(Data_Nhập[SKU name_NHẬP_GOM]=AA$3)))</f>
        <v>20900</v>
      </c>
      <c r="AB8" s="24" cm="1">
        <f t="array" ref="AB8">IF(AB$2="FY",SUMPRODUCT(Data_Nhập[Tổng Nhập-NX]*(Data_Nhập[Year]=AB$1)*(Data_Nhập[Main SKU name_GOM]=$A8)*(Data_Nhập[SKU name_NHẬP_GOM]=AB$3)),SUMPRODUCT(Data_Nhập[Tổng Nhập-NX]*(Data_Nhập[Year]=AB$1)*(Data_Nhập[Month]=AB$2)*(Data_Nhập[Main SKU name_GOM]=$A8)*(Data_Nhập[SKU name_NHẬP_GOM]=AB$3)))</f>
        <v>0</v>
      </c>
      <c r="AC8" s="24" cm="1">
        <f t="array" ref="AC8">IF(AC$2="FY",SUMPRODUCT(Data_Nhập[Tổng Nhập-NX]*(Data_Nhập[Year]=AC$1)*(Data_Nhập[Main SKU name_GOM]=$A8)*(Data_Nhập[SKU name_NHẬP_GOM]=AC$3)),SUMPRODUCT(Data_Nhập[Tổng Nhập-NX]*(Data_Nhập[Year]=AC$1)*(Data_Nhập[Month]=AC$2)*(Data_Nhập[Main SKU name_GOM]=$A8)*(Data_Nhập[SKU name_NHẬP_GOM]=AC$3)))</f>
        <v>0</v>
      </c>
      <c r="AD8" s="24" cm="1">
        <f t="array" ref="AD8">IF(AD$2="FY",SUMPRODUCT(Data_Nhập[Tổng Nhập-NX]*(Data_Nhập[Year]=AD$1)*(Data_Nhập[Main SKU name_GOM]=$A8)*(Data_Nhập[SKU name_NHẬP_GOM]=AD$3)),SUMPRODUCT(Data_Nhập[Tổng Nhập-NX]*(Data_Nhập[Year]=AD$1)*(Data_Nhập[Month]=AD$2)*(Data_Nhập[Main SKU name_GOM]=$A8)*(Data_Nhập[SKU name_NHẬP_GOM]=AD$3)))</f>
        <v>0</v>
      </c>
      <c r="AE8" s="24" cm="1">
        <f t="array" ref="AE8">IF(AE$2="FY",SUMPRODUCT(Data_Nhập[Tổng Nhập-NX]*(Data_Nhập[Year]=AE$1)*(Data_Nhập[Main SKU name_GOM]=$A8)*(Data_Nhập[SKU name_NHẬP_GOM]=AE$3)),SUMPRODUCT(Data_Nhập[Tổng Nhập-NX]*(Data_Nhập[Year]=AE$1)*(Data_Nhập[Month]=AE$2)*(Data_Nhập[Main SKU name_GOM]=$A8)*(Data_Nhập[SKU name_NHẬP_GOM]=AE$3)))</f>
        <v>0</v>
      </c>
      <c r="AF8" s="24" cm="1">
        <f t="array" ref="AF8">IF(AF$2="FY",SUMPRODUCT(Data_Nhập[Tổng Nhập-NX]*(Data_Nhập[Year]=AF$1)*(Data_Nhập[Main SKU name_GOM]=$A8)*(Data_Nhập[SKU name_NHẬP_GOM]=AF$3)),SUMPRODUCT(Data_Nhập[Tổng Nhập-NX]*(Data_Nhập[Year]=AF$1)*(Data_Nhập[Month]=AF$2)*(Data_Nhập[Main SKU name_GOM]=$A8)*(Data_Nhập[SKU name_NHẬP_GOM]=AF$3)))</f>
        <v>0</v>
      </c>
      <c r="AG8" s="24" cm="1">
        <f t="array" ref="AG8">IF(AG$2="FY",SUMPRODUCT(Data_Nhập[Tổng Nhập-NX]*(Data_Nhập[Year]=AG$1)*(Data_Nhập[Main SKU name_GOM]=$A8)*(Data_Nhập[SKU name_NHẬP_GOM]=AG$3)),SUMPRODUCT(Data_Nhập[Tổng Nhập-NX]*(Data_Nhập[Year]=AG$1)*(Data_Nhập[Month]=AG$2)*(Data_Nhập[Main SKU name_GOM]=$A8)*(Data_Nhập[SKU name_NHẬP_GOM]=AG$3)))</f>
        <v>0</v>
      </c>
      <c r="AH8" s="24" cm="1">
        <f t="array" ref="AH8">IF(AH$2="FY",SUMPRODUCT(Data_Nhập[Tổng Nhập-NX]*(Data_Nhập[Year]=AH$1)*(Data_Nhập[Main SKU name_GOM]=$A8)*(Data_Nhập[SKU name_NHẬP_GOM]=AH$3)),SUMPRODUCT(Data_Nhập[Tổng Nhập-NX]*(Data_Nhập[Year]=AH$1)*(Data_Nhập[Month]=AH$2)*(Data_Nhập[Main SKU name_GOM]=$A8)*(Data_Nhập[SKU name_NHẬP_GOM]=AH$3)))</f>
        <v>0</v>
      </c>
      <c r="AI8" s="24" cm="1">
        <f t="array" ref="AI8">IF(AI$2="FY",SUMPRODUCT(Data_Nhập[Tổng Nhập-NX]*(Data_Nhập[Year]=AI$1)*(Data_Nhập[Main SKU name_GOM]=$A8)*(Data_Nhập[SKU name_NHẬP_GOM]=AI$3)),SUMPRODUCT(Data_Nhập[Tổng Nhập-NX]*(Data_Nhập[Year]=AI$1)*(Data_Nhập[Month]=AI$2)*(Data_Nhập[Main SKU name_GOM]=$A8)*(Data_Nhập[SKU name_NHẬP_GOM]=AI$3)))</f>
        <v>0</v>
      </c>
      <c r="AJ8" s="24" cm="1">
        <f t="array" ref="AJ8">IF(AJ$2="FY",SUMPRODUCT(Data_Nhập[Tổng Nhập-NX]*(Data_Nhập[Year]=AJ$1)*(Data_Nhập[Main SKU name_GOM]=$A8)*(Data_Nhập[SKU name_NHẬP_GOM]=AJ$3)),SUMPRODUCT(Data_Nhập[Tổng Nhập-NX]*(Data_Nhập[Year]=AJ$1)*(Data_Nhập[Month]=AJ$2)*(Data_Nhập[Main SKU name_GOM]=$A8)*(Data_Nhập[SKU name_NHẬP_GOM]=AJ$3)))</f>
        <v>107288.5</v>
      </c>
      <c r="AK8" s="24" cm="1">
        <f t="array" ref="AK8">IF(AK$2="FY",SUMPRODUCT(Data_Nhập[Tổng Nhập-NX]*(Data_Nhập[Year]=AK$1)*(Data_Nhập[Main SKU name_GOM]=$A8)*(Data_Nhập[SKU name_NHẬP_GOM]=AK$3)),SUMPRODUCT(Data_Nhập[Tổng Nhập-NX]*(Data_Nhập[Year]=AK$1)*(Data_Nhập[Month]=AK$2)*(Data_Nhập[Main SKU name_GOM]=$A8)*(Data_Nhập[SKU name_NHẬP_GOM]=AK$3)))</f>
        <v>0</v>
      </c>
      <c r="AL8" s="25">
        <f t="shared" si="13"/>
        <v>4022748.4999999995</v>
      </c>
      <c r="AN8" s="25" cm="1">
        <f t="array" ref="AN8">IF(AN$2="FY",SUMPRODUCT(Data_Xuất[Xuất-NX]*(Data_Xuất[Year]=AN$1)*(Data_Xuất[Main SKU name_GOM]=$A8)),SUMPRODUCT(Data_Xuất[Xuất-NX]*(Data_Xuất[Year]=AN$1)*(Data_Xuất[Main SKU name_GOM]=$A8)*(Data_Xuất[Month]=AN$2)))</f>
        <v>2840814.5000000005</v>
      </c>
      <c r="AO8" s="24" cm="1">
        <f t="array" ref="AO8">IF(AO$2="FY",SUMPRODUCT(Data_Nhập[Tổng Nhập-NX]*(Data_Nhập[Year]=AO$1)*(Data_Nhập[Main SKU name_GOM]=$A8)*(Data_Nhập[SKU name_NHẬP_GOM]=AO$3)),SUMPRODUCT(Data_Nhập[Tổng Nhập-NX]*(Data_Nhập[Year]=AO$1)*(Data_Nhập[Month]=AO$2)*(Data_Nhập[Main SKU name_GOM]=$A8)*(Data_Nhập[SKU name_NHẬP_GOM]=AO$3)))</f>
        <v>0</v>
      </c>
      <c r="AP8" s="24" cm="1">
        <f t="array" ref="AP8">IF(AP$2="FY",SUMPRODUCT(Data_Nhập[Tổng Nhập-NX]*(Data_Nhập[Year]=AP$1)*(Data_Nhập[Main SKU name_GOM]=$A8)*(Data_Nhập[SKU name_NHẬP_GOM]=AP$3)),SUMPRODUCT(Data_Nhập[Tổng Nhập-NX]*(Data_Nhập[Year]=AP$1)*(Data_Nhập[Month]=AP$2)*(Data_Nhập[Main SKU name_GOM]=$A8)*(Data_Nhập[SKU name_NHẬP_GOM]=AP$3)))</f>
        <v>162800</v>
      </c>
      <c r="AQ8" s="24" cm="1">
        <f t="array" ref="AQ8">IF(AQ$2="FY",SUMPRODUCT(Data_Nhập[Tổng Nhập-NX]*(Data_Nhập[Year]=AQ$1)*(Data_Nhập[Main SKU name_GOM]=$A8)*(Data_Nhập[SKU name_NHẬP_GOM]=AQ$3)),SUMPRODUCT(Data_Nhập[Tổng Nhập-NX]*(Data_Nhập[Year]=AQ$1)*(Data_Nhập[Month]=AQ$2)*(Data_Nhập[Main SKU name_GOM]=$A8)*(Data_Nhập[SKU name_NHẬP_GOM]=AQ$3)))</f>
        <v>2438202</v>
      </c>
      <c r="AR8" s="24" cm="1">
        <f t="array" ref="AR8">IF(AR$2="FY",SUMPRODUCT(Data_Nhập[Tổng Nhập-NX]*(Data_Nhập[Year]=AR$1)*(Data_Nhập[Main SKU name_GOM]=$A8)*(Data_Nhập[SKU name_NHẬP_GOM]=AR$3)),SUMPRODUCT(Data_Nhập[Tổng Nhập-NX]*(Data_Nhập[Year]=AR$1)*(Data_Nhập[Month]=AR$2)*(Data_Nhập[Main SKU name_GOM]=$A8)*(Data_Nhập[SKU name_NHẬP_GOM]=AR$3)))</f>
        <v>150700</v>
      </c>
      <c r="AS8" s="24" cm="1">
        <f t="array" ref="AS8">IF(AS$2="FY",SUMPRODUCT(Data_Nhập[Tổng Nhập-NX]*(Data_Nhập[Year]=AS$1)*(Data_Nhập[Main SKU name_GOM]=$A8)*(Data_Nhập[SKU name_NHẬP_GOM]=AS$3)),SUMPRODUCT(Data_Nhập[Tổng Nhập-NX]*(Data_Nhập[Year]=AS$1)*(Data_Nhập[Month]=AS$2)*(Data_Nhập[Main SKU name_GOM]=$A8)*(Data_Nhập[SKU name_NHẬP_GOM]=AS$3)))</f>
        <v>5431</v>
      </c>
      <c r="AT8" s="24" cm="1">
        <f t="array" ref="AT8">IF(AT$2="FY",SUMPRODUCT(Data_Nhập[Tổng Nhập-NX]*(Data_Nhập[Year]=AT$1)*(Data_Nhập[Main SKU name_GOM]=$A8)*(Data_Nhập[SKU name_NHẬP_GOM]=AT$3)),SUMPRODUCT(Data_Nhập[Tổng Nhập-NX]*(Data_Nhập[Year]=AT$1)*(Data_Nhập[Month]=AT$2)*(Data_Nhập[Main SKU name_GOM]=$A8)*(Data_Nhập[SKU name_NHẬP_GOM]=AT$3)))</f>
        <v>0</v>
      </c>
      <c r="AU8" s="24" cm="1">
        <f t="array" ref="AU8">IF(AU$2="FY",SUMPRODUCT(Data_Nhập[Tổng Nhập-NX]*(Data_Nhập[Year]=AU$1)*(Data_Nhập[Main SKU name_GOM]=$A8)*(Data_Nhập[SKU name_NHẬP_GOM]=AU$3)),SUMPRODUCT(Data_Nhập[Tổng Nhập-NX]*(Data_Nhập[Year]=AU$1)*(Data_Nhập[Month]=AU$2)*(Data_Nhập[Main SKU name_GOM]=$A8)*(Data_Nhập[SKU name_NHẬP_GOM]=AU$3)))</f>
        <v>0</v>
      </c>
      <c r="AV8" s="24" cm="1">
        <f t="array" ref="AV8">IF(AV$2="FY",SUMPRODUCT(Data_Nhập[Tổng Nhập-NX]*(Data_Nhập[Year]=AV$1)*(Data_Nhập[Main SKU name_GOM]=$A8)*(Data_Nhập[SKU name_NHẬP_GOM]=AV$3)),SUMPRODUCT(Data_Nhập[Tổng Nhập-NX]*(Data_Nhập[Year]=AV$1)*(Data_Nhập[Month]=AV$2)*(Data_Nhập[Main SKU name_GOM]=$A8)*(Data_Nhập[SKU name_NHẬP_GOM]=AV$3)))</f>
        <v>0</v>
      </c>
      <c r="AW8" s="24" cm="1">
        <f t="array" ref="AW8">IF(AW$2="FY",SUMPRODUCT(Data_Nhập[Tổng Nhập-NX]*(Data_Nhập[Year]=AW$1)*(Data_Nhập[Main SKU name_GOM]=$A8)*(Data_Nhập[SKU name_NHẬP_GOM]=AW$3)),SUMPRODUCT(Data_Nhập[Tổng Nhập-NX]*(Data_Nhập[Year]=AW$1)*(Data_Nhập[Month]=AW$2)*(Data_Nhập[Main SKU name_GOM]=$A8)*(Data_Nhập[SKU name_NHẬP_GOM]=AW$3)))</f>
        <v>0</v>
      </c>
      <c r="AX8" s="24" cm="1">
        <f t="array" ref="AX8">IF(AX$2="FY",SUMPRODUCT(Data_Nhập[Tổng Nhập-NX]*(Data_Nhập[Year]=AX$1)*(Data_Nhập[Main SKU name_GOM]=$A8)*(Data_Nhập[SKU name_NHẬP_GOM]=AX$3)),SUMPRODUCT(Data_Nhập[Tổng Nhập-NX]*(Data_Nhập[Year]=AX$1)*(Data_Nhập[Month]=AX$2)*(Data_Nhập[Main SKU name_GOM]=$A8)*(Data_Nhập[SKU name_NHẬP_GOM]=AX$3)))</f>
        <v>0</v>
      </c>
      <c r="AY8" s="24" cm="1">
        <f t="array" ref="AY8">IF(AY$2="FY",SUMPRODUCT(Data_Nhập[Tổng Nhập-NX]*(Data_Nhập[Year]=AY$1)*(Data_Nhập[Main SKU name_GOM]=$A8)*(Data_Nhập[SKU name_NHẬP_GOM]=AY$3)),SUMPRODUCT(Data_Nhập[Tổng Nhập-NX]*(Data_Nhập[Year]=AY$1)*(Data_Nhập[Month]=AY$2)*(Data_Nhập[Main SKU name_GOM]=$A8)*(Data_Nhập[SKU name_NHẬP_GOM]=AY$3)))</f>
        <v>0</v>
      </c>
      <c r="AZ8" s="24" cm="1">
        <f t="array" ref="AZ8">IF(AZ$2="FY",SUMPRODUCT(Data_Nhập[Tổng Nhập-NX]*(Data_Nhập[Year]=AZ$1)*(Data_Nhập[Main SKU name_GOM]=$A8)*(Data_Nhập[SKU name_NHẬP_GOM]=AZ$3)),SUMPRODUCT(Data_Nhập[Tổng Nhập-NX]*(Data_Nhập[Year]=AZ$1)*(Data_Nhập[Month]=AZ$2)*(Data_Nhập[Main SKU name_GOM]=$A8)*(Data_Nhập[SKU name_NHẬP_GOM]=AZ$3)))</f>
        <v>0</v>
      </c>
      <c r="BA8" s="24" cm="1">
        <f t="array" ref="BA8">IF(BA$2="FY",SUMPRODUCT(Data_Nhập[Tổng Nhập-NX]*(Data_Nhập[Year]=BA$1)*(Data_Nhập[Main SKU name_GOM]=$A8)*(Data_Nhập[SKU name_NHẬP_GOM]=BA$3)),SUMPRODUCT(Data_Nhập[Tổng Nhập-NX]*(Data_Nhập[Year]=BA$1)*(Data_Nhập[Month]=BA$2)*(Data_Nhập[Main SKU name_GOM]=$A8)*(Data_Nhập[SKU name_NHẬP_GOM]=BA$3)))</f>
        <v>0</v>
      </c>
      <c r="BB8" s="24" cm="1">
        <f t="array" ref="BB8">IF(BB$2="FY",SUMPRODUCT(Data_Nhập[Tổng Nhập-NX]*(Data_Nhập[Year]=BB$1)*(Data_Nhập[Main SKU name_GOM]=$A8)*(Data_Nhập[SKU name_NHẬP_GOM]=BB$3)),SUMPRODUCT(Data_Nhập[Tổng Nhập-NX]*(Data_Nhập[Year]=BB$1)*(Data_Nhập[Month]=BB$2)*(Data_Nhập[Main SKU name_GOM]=$A8)*(Data_Nhập[SKU name_NHẬP_GOM]=BB$3)))</f>
        <v>69040</v>
      </c>
      <c r="BC8" s="24" cm="1">
        <f t="array" ref="BC8">IF(BC$2="FY",SUMPRODUCT(Data_Nhập[Tổng Nhập-NX]*(Data_Nhập[Year]=BC$1)*(Data_Nhập[Main SKU name_GOM]=$A8)*(Data_Nhập[SKU name_NHẬP_GOM]=BC$3)),SUMPRODUCT(Data_Nhập[Tổng Nhập-NX]*(Data_Nhập[Year]=BC$1)*(Data_Nhập[Month]=BC$2)*(Data_Nhập[Main SKU name_GOM]=$A8)*(Data_Nhập[SKU name_NHẬP_GOM]=BC$3)))</f>
        <v>0</v>
      </c>
      <c r="BD8" s="25">
        <f t="shared" si="14"/>
        <v>2826173</v>
      </c>
      <c r="BF8" s="25" cm="1">
        <f t="array" ref="BF8">IF(BF$2="FY",SUMPRODUCT(Data_Xuất[Xuất-NX]*(Data_Xuất[Year]=BF$1)*(Data_Xuất[Main SKU name_GOM]=$A8)),SUMPRODUCT(Data_Xuất[Xuất-NX]*(Data_Xuất[Year]=BF$1)*(Data_Xuất[Main SKU name_GOM]=$A8)*(Data_Xuất[Month]=BF$2)))</f>
        <v>4060000.0000000014</v>
      </c>
      <c r="BG8" s="24" cm="1">
        <f t="array" ref="BG8">IF(BG$2="FY",SUMPRODUCT(Data_Nhập[Tổng Nhập-NX]*(Data_Nhập[Year]=BG$1)*(Data_Nhập[Main SKU name_GOM]=$A8)*(Data_Nhập[SKU name_NHẬP_GOM]=BG$3)),SUMPRODUCT(Data_Nhập[Tổng Nhập-NX]*(Data_Nhập[Year]=BG$1)*(Data_Nhập[Month]=BG$2)*(Data_Nhập[Main SKU name_GOM]=$A8)*(Data_Nhập[SKU name_NHẬP_GOM]=BG$3)))</f>
        <v>0</v>
      </c>
      <c r="BH8" s="24" cm="1">
        <f t="array" ref="BH8">IF(BH$2="FY",SUMPRODUCT(Data_Nhập[Tổng Nhập-NX]*(Data_Nhập[Year]=BH$1)*(Data_Nhập[Main SKU name_GOM]=$A8)*(Data_Nhập[SKU name_NHẬP_GOM]=BH$3)),SUMPRODUCT(Data_Nhập[Tổng Nhập-NX]*(Data_Nhập[Year]=BH$1)*(Data_Nhập[Month]=BH$2)*(Data_Nhập[Main SKU name_GOM]=$A8)*(Data_Nhập[SKU name_NHẬP_GOM]=BH$3)))</f>
        <v>431200</v>
      </c>
      <c r="BI8" s="24" cm="1">
        <f t="array" ref="BI8">IF(BI$2="FY",SUMPRODUCT(Data_Nhập[Tổng Nhập-NX]*(Data_Nhập[Year]=BI$1)*(Data_Nhập[Main SKU name_GOM]=$A8)*(Data_Nhập[SKU name_NHẬP_GOM]=BI$3)),SUMPRODUCT(Data_Nhập[Tổng Nhập-NX]*(Data_Nhập[Year]=BI$1)*(Data_Nhập[Month]=BI$2)*(Data_Nhập[Main SKU name_GOM]=$A8)*(Data_Nhập[SKU name_NHẬP_GOM]=BI$3)))</f>
        <v>3342828.9999999995</v>
      </c>
      <c r="BJ8" s="24" cm="1">
        <f t="array" ref="BJ8">IF(BJ$2="FY",SUMPRODUCT(Data_Nhập[Tổng Nhập-NX]*(Data_Nhập[Year]=BJ$1)*(Data_Nhập[Main SKU name_GOM]=$A8)*(Data_Nhập[SKU name_NHẬP_GOM]=BJ$3)),SUMPRODUCT(Data_Nhập[Tổng Nhập-NX]*(Data_Nhập[Year]=BJ$1)*(Data_Nhập[Month]=BJ$2)*(Data_Nhập[Main SKU name_GOM]=$A8)*(Data_Nhập[SKU name_NHẬP_GOM]=BJ$3)))</f>
        <v>118800</v>
      </c>
      <c r="BK8" s="24" cm="1">
        <f t="array" ref="BK8">IF(BK$2="FY",SUMPRODUCT(Data_Nhập[Tổng Nhập-NX]*(Data_Nhập[Year]=BK$1)*(Data_Nhập[Main SKU name_GOM]=$A8)*(Data_Nhập[SKU name_NHẬP_GOM]=BK$3)),SUMPRODUCT(Data_Nhập[Tổng Nhập-NX]*(Data_Nhập[Year]=BK$1)*(Data_Nhập[Month]=BK$2)*(Data_Nhập[Main SKU name_GOM]=$A8)*(Data_Nhập[SKU name_NHẬP_GOM]=BK$3)))</f>
        <v>15400</v>
      </c>
      <c r="BL8" s="24" cm="1">
        <f t="array" ref="BL8">IF(BL$2="FY",SUMPRODUCT(Data_Nhập[Tổng Nhập-NX]*(Data_Nhập[Year]=BL$1)*(Data_Nhập[Main SKU name_GOM]=$A8)*(Data_Nhập[SKU name_NHẬP_GOM]=BL$3)),SUMPRODUCT(Data_Nhập[Tổng Nhập-NX]*(Data_Nhập[Year]=BL$1)*(Data_Nhập[Month]=BL$2)*(Data_Nhập[Main SKU name_GOM]=$A8)*(Data_Nhập[SKU name_NHẬP_GOM]=BL$3)))</f>
        <v>0</v>
      </c>
      <c r="BM8" s="24" cm="1">
        <f t="array" ref="BM8">IF(BM$2="FY",SUMPRODUCT(Data_Nhập[Tổng Nhập-NX]*(Data_Nhập[Year]=BM$1)*(Data_Nhập[Main SKU name_GOM]=$A8)*(Data_Nhập[SKU name_NHẬP_GOM]=BM$3)),SUMPRODUCT(Data_Nhập[Tổng Nhập-NX]*(Data_Nhập[Year]=BM$1)*(Data_Nhập[Month]=BM$2)*(Data_Nhập[Main SKU name_GOM]=$A8)*(Data_Nhập[SKU name_NHẬP_GOM]=BM$3)))</f>
        <v>0</v>
      </c>
      <c r="BN8" s="24" cm="1">
        <f t="array" ref="BN8">IF(BN$2="FY",SUMPRODUCT(Data_Nhập[Tổng Nhập-NX]*(Data_Nhập[Year]=BN$1)*(Data_Nhập[Main SKU name_GOM]=$A8)*(Data_Nhập[SKU name_NHẬP_GOM]=BN$3)),SUMPRODUCT(Data_Nhập[Tổng Nhập-NX]*(Data_Nhập[Year]=BN$1)*(Data_Nhập[Month]=BN$2)*(Data_Nhập[Main SKU name_GOM]=$A8)*(Data_Nhập[SKU name_NHẬP_GOM]=BN$3)))</f>
        <v>0</v>
      </c>
      <c r="BO8" s="24" cm="1">
        <f t="array" ref="BO8">IF(BO$2="FY",SUMPRODUCT(Data_Nhập[Tổng Nhập-NX]*(Data_Nhập[Year]=BO$1)*(Data_Nhập[Main SKU name_GOM]=$A8)*(Data_Nhập[SKU name_NHẬP_GOM]=BO$3)),SUMPRODUCT(Data_Nhập[Tổng Nhập-NX]*(Data_Nhập[Year]=BO$1)*(Data_Nhập[Month]=BO$2)*(Data_Nhập[Main SKU name_GOM]=$A8)*(Data_Nhập[SKU name_NHẬP_GOM]=BO$3)))</f>
        <v>0</v>
      </c>
      <c r="BP8" s="24" cm="1">
        <f t="array" ref="BP8">IF(BP$2="FY",SUMPRODUCT(Data_Nhập[Tổng Nhập-NX]*(Data_Nhập[Year]=BP$1)*(Data_Nhập[Main SKU name_GOM]=$A8)*(Data_Nhập[SKU name_NHẬP_GOM]=BP$3)),SUMPRODUCT(Data_Nhập[Tổng Nhập-NX]*(Data_Nhập[Year]=BP$1)*(Data_Nhập[Month]=BP$2)*(Data_Nhập[Main SKU name_GOM]=$A8)*(Data_Nhập[SKU name_NHẬP_GOM]=BP$3)))</f>
        <v>0</v>
      </c>
      <c r="BQ8" s="24" cm="1">
        <f t="array" ref="BQ8">IF(BQ$2="FY",SUMPRODUCT(Data_Nhập[Tổng Nhập-NX]*(Data_Nhập[Year]=BQ$1)*(Data_Nhập[Main SKU name_GOM]=$A8)*(Data_Nhập[SKU name_NHẬP_GOM]=BQ$3)),SUMPRODUCT(Data_Nhập[Tổng Nhập-NX]*(Data_Nhập[Year]=BQ$1)*(Data_Nhập[Month]=BQ$2)*(Data_Nhập[Main SKU name_GOM]=$A8)*(Data_Nhập[SKU name_NHẬP_GOM]=BQ$3)))</f>
        <v>0</v>
      </c>
      <c r="BR8" s="24" cm="1">
        <f t="array" ref="BR8">IF(BR$2="FY",SUMPRODUCT(Data_Nhập[Tổng Nhập-NX]*(Data_Nhập[Year]=BR$1)*(Data_Nhập[Main SKU name_GOM]=$A8)*(Data_Nhập[SKU name_NHẬP_GOM]=BR$3)),SUMPRODUCT(Data_Nhập[Tổng Nhập-NX]*(Data_Nhập[Year]=BR$1)*(Data_Nhập[Month]=BR$2)*(Data_Nhập[Main SKU name_GOM]=$A8)*(Data_Nhập[SKU name_NHẬP_GOM]=BR$3)))</f>
        <v>0</v>
      </c>
      <c r="BS8" s="24" cm="1">
        <f t="array" ref="BS8">IF(BS$2="FY",SUMPRODUCT(Data_Nhập[Tổng Nhập-NX]*(Data_Nhập[Year]=BS$1)*(Data_Nhập[Main SKU name_GOM]=$A8)*(Data_Nhập[SKU name_NHẬP_GOM]=BS$3)),SUMPRODUCT(Data_Nhập[Tổng Nhập-NX]*(Data_Nhập[Year]=BS$1)*(Data_Nhập[Month]=BS$2)*(Data_Nhập[Main SKU name_GOM]=$A8)*(Data_Nhập[SKU name_NHẬP_GOM]=BS$3)))</f>
        <v>0</v>
      </c>
      <c r="BT8" s="24" cm="1">
        <f t="array" ref="BT8">IF(BT$2="FY",SUMPRODUCT(Data_Nhập[Tổng Nhập-NX]*(Data_Nhập[Year]=BT$1)*(Data_Nhập[Main SKU name_GOM]=$A8)*(Data_Nhập[SKU name_NHẬP_GOM]=BT$3)),SUMPRODUCT(Data_Nhập[Tổng Nhập-NX]*(Data_Nhập[Year]=BT$1)*(Data_Nhập[Month]=BT$2)*(Data_Nhập[Main SKU name_GOM]=$A8)*(Data_Nhập[SKU name_NHẬP_GOM]=BT$3)))</f>
        <v>138820.99999999997</v>
      </c>
      <c r="BU8" s="24" cm="1">
        <f t="array" ref="BU8">IF(BU$2="FY",SUMPRODUCT(Data_Nhập[Tổng Nhập-NX]*(Data_Nhập[Year]=BU$1)*(Data_Nhập[Main SKU name_GOM]=$A8)*(Data_Nhập[SKU name_NHẬP_GOM]=BU$3)),SUMPRODUCT(Data_Nhập[Tổng Nhập-NX]*(Data_Nhập[Year]=BU$1)*(Data_Nhập[Month]=BU$2)*(Data_Nhập[Main SKU name_GOM]=$A8)*(Data_Nhập[SKU name_NHẬP_GOM]=BU$3)))</f>
        <v>0</v>
      </c>
      <c r="BV8" s="25">
        <f t="shared" si="15"/>
        <v>4047049.9999999995</v>
      </c>
      <c r="BX8" s="25" cm="1">
        <f t="array" ref="BX8">IF(BX$2="FY",SUMPRODUCT(Data_Xuất[Xuất-NX]*(Data_Xuất[Year]=BX$1)*(Data_Xuất[Main SKU name_GOM]=$A8)),SUMPRODUCT(Data_Xuất[Xuất-NX]*(Data_Xuất[Year]=BX$1)*(Data_Xuất[Main SKU name_GOM]=$A8)*(Data_Xuất[Month]=BX$2)))</f>
        <v>1381820</v>
      </c>
      <c r="BY8" s="24" cm="1">
        <f t="array" ref="BY8">IF(BY$2="FY",SUMPRODUCT(Data_Nhập[Tổng Nhập-NX]*(Data_Nhập[Year]=BY$1)*(Data_Nhập[Main SKU name_GOM]=$A8)*(Data_Nhập[SKU name_NHẬP_GOM]=BY$3)),SUMPRODUCT(Data_Nhập[Tổng Nhập-NX]*(Data_Nhập[Year]=BY$1)*(Data_Nhập[Month]=BY$2)*(Data_Nhập[Main SKU name_GOM]=$A8)*(Data_Nhập[SKU name_NHẬP_GOM]=BY$3)))</f>
        <v>1100</v>
      </c>
      <c r="BZ8" s="24" cm="1">
        <f t="array" ref="BZ8">IF(BZ$2="FY",SUMPRODUCT(Data_Nhập[Tổng Nhập-NX]*(Data_Nhập[Year]=BZ$1)*(Data_Nhập[Main SKU name_GOM]=$A8)*(Data_Nhập[SKU name_NHẬP_GOM]=BZ$3)),SUMPRODUCT(Data_Nhập[Tổng Nhập-NX]*(Data_Nhập[Year]=BZ$1)*(Data_Nhập[Month]=BZ$2)*(Data_Nhập[Main SKU name_GOM]=$A8)*(Data_Nhập[SKU name_NHẬP_GOM]=BZ$3)))</f>
        <v>233201.00000000003</v>
      </c>
      <c r="CA8" s="24" cm="1">
        <f t="array" ref="CA8">IF(CA$2="FY",SUMPRODUCT(Data_Nhập[Tổng Nhập-NX]*(Data_Nhập[Year]=CA$1)*(Data_Nhập[Main SKU name_GOM]=$A8)*(Data_Nhập[SKU name_NHẬP_GOM]=CA$3)),SUMPRODUCT(Data_Nhập[Tổng Nhập-NX]*(Data_Nhập[Year]=CA$1)*(Data_Nhập[Month]=CA$2)*(Data_Nhập[Main SKU name_GOM]=$A8)*(Data_Nhập[SKU name_NHẬP_GOM]=CA$3)))</f>
        <v>1045000</v>
      </c>
      <c r="CB8" s="24" cm="1">
        <f t="array" ref="CB8">IF(CB$2="FY",SUMPRODUCT(Data_Nhập[Tổng Nhập-NX]*(Data_Nhập[Year]=CB$1)*(Data_Nhập[Main SKU name_GOM]=$A8)*(Data_Nhập[SKU name_NHẬP_GOM]=CB$3)),SUMPRODUCT(Data_Nhập[Tổng Nhập-NX]*(Data_Nhập[Year]=CB$1)*(Data_Nhập[Month]=CB$2)*(Data_Nhập[Main SKU name_GOM]=$A8)*(Data_Nhập[SKU name_NHẬP_GOM]=CB$3)))</f>
        <v>47300</v>
      </c>
      <c r="CC8" s="24" cm="1">
        <f t="array" ref="CC8">IF(CC$2="FY",SUMPRODUCT(Data_Nhập[Tổng Nhập-NX]*(Data_Nhập[Year]=CC$1)*(Data_Nhập[Main SKU name_GOM]=$A8)*(Data_Nhập[SKU name_NHẬP_GOM]=CC$3)),SUMPRODUCT(Data_Nhập[Tổng Nhập-NX]*(Data_Nhập[Year]=CC$1)*(Data_Nhập[Month]=CC$2)*(Data_Nhập[Main SKU name_GOM]=$A8)*(Data_Nhập[SKU name_NHẬP_GOM]=CC$3)))</f>
        <v>15400</v>
      </c>
      <c r="CD8" s="24" cm="1">
        <f t="array" ref="CD8">IF(CD$2="FY",SUMPRODUCT(Data_Nhập[Tổng Nhập-NX]*(Data_Nhập[Year]=CD$1)*(Data_Nhập[Main SKU name_GOM]=$A8)*(Data_Nhập[SKU name_NHẬP_GOM]=CD$3)),SUMPRODUCT(Data_Nhập[Tổng Nhập-NX]*(Data_Nhập[Year]=CD$1)*(Data_Nhập[Month]=CD$2)*(Data_Nhập[Main SKU name_GOM]=$A8)*(Data_Nhập[SKU name_NHẬP_GOM]=CD$3)))</f>
        <v>0</v>
      </c>
      <c r="CE8" s="24" cm="1">
        <f t="array" ref="CE8">IF(CE$2="FY",SUMPRODUCT(Data_Nhập[Tổng Nhập-NX]*(Data_Nhập[Year]=CE$1)*(Data_Nhập[Main SKU name_GOM]=$A8)*(Data_Nhập[SKU name_NHẬP_GOM]=CE$3)),SUMPRODUCT(Data_Nhập[Tổng Nhập-NX]*(Data_Nhập[Year]=CE$1)*(Data_Nhập[Month]=CE$2)*(Data_Nhập[Main SKU name_GOM]=$A8)*(Data_Nhập[SKU name_NHẬP_GOM]=CE$3)))</f>
        <v>0</v>
      </c>
      <c r="CF8" s="24" cm="1">
        <f t="array" ref="CF8">IF(CF$2="FY",SUMPRODUCT(Data_Nhập[Tổng Nhập-NX]*(Data_Nhập[Year]=CF$1)*(Data_Nhập[Main SKU name_GOM]=$A8)*(Data_Nhập[SKU name_NHẬP_GOM]=CF$3)),SUMPRODUCT(Data_Nhập[Tổng Nhập-NX]*(Data_Nhập[Year]=CF$1)*(Data_Nhập[Month]=CF$2)*(Data_Nhập[Main SKU name_GOM]=$A8)*(Data_Nhập[SKU name_NHẬP_GOM]=CF$3)))</f>
        <v>0</v>
      </c>
      <c r="CG8" s="24" cm="1">
        <f t="array" ref="CG8">IF(CG$2="FY",SUMPRODUCT(Data_Nhập[Tổng Nhập-NX]*(Data_Nhập[Year]=CG$1)*(Data_Nhập[Main SKU name_GOM]=$A8)*(Data_Nhập[SKU name_NHẬP_GOM]=CG$3)),SUMPRODUCT(Data_Nhập[Tổng Nhập-NX]*(Data_Nhập[Year]=CG$1)*(Data_Nhập[Month]=CG$2)*(Data_Nhập[Main SKU name_GOM]=$A8)*(Data_Nhập[SKU name_NHẬP_GOM]=CG$3)))</f>
        <v>0</v>
      </c>
      <c r="CH8" s="24" cm="1">
        <f t="array" ref="CH8">IF(CH$2="FY",SUMPRODUCT(Data_Nhập[Tổng Nhập-NX]*(Data_Nhập[Year]=CH$1)*(Data_Nhập[Main SKU name_GOM]=$A8)*(Data_Nhập[SKU name_NHẬP_GOM]=CH$3)),SUMPRODUCT(Data_Nhập[Tổng Nhập-NX]*(Data_Nhập[Year]=CH$1)*(Data_Nhập[Month]=CH$2)*(Data_Nhập[Main SKU name_GOM]=$A8)*(Data_Nhập[SKU name_NHẬP_GOM]=CH$3)))</f>
        <v>0</v>
      </c>
      <c r="CI8" s="24" cm="1">
        <f t="array" ref="CI8">IF(CI$2="FY",SUMPRODUCT(Data_Nhập[Tổng Nhập-NX]*(Data_Nhập[Year]=CI$1)*(Data_Nhập[Main SKU name_GOM]=$A8)*(Data_Nhập[SKU name_NHẬP_GOM]=CI$3)),SUMPRODUCT(Data_Nhập[Tổng Nhập-NX]*(Data_Nhập[Year]=CI$1)*(Data_Nhập[Month]=CI$2)*(Data_Nhập[Main SKU name_GOM]=$A8)*(Data_Nhập[SKU name_NHẬP_GOM]=CI$3)))</f>
        <v>0</v>
      </c>
      <c r="CJ8" s="24" cm="1">
        <f t="array" ref="CJ8">IF(CJ$2="FY",SUMPRODUCT(Data_Nhập[Tổng Nhập-NX]*(Data_Nhập[Year]=CJ$1)*(Data_Nhập[Main SKU name_GOM]=$A8)*(Data_Nhập[SKU name_NHẬP_GOM]=CJ$3)),SUMPRODUCT(Data_Nhập[Tổng Nhập-NX]*(Data_Nhập[Year]=CJ$1)*(Data_Nhập[Month]=CJ$2)*(Data_Nhập[Main SKU name_GOM]=$A8)*(Data_Nhập[SKU name_NHẬP_GOM]=CJ$3)))</f>
        <v>0</v>
      </c>
      <c r="CK8" s="24" cm="1">
        <f t="array" ref="CK8">IF(CK$2="FY",SUMPRODUCT(Data_Nhập[Tổng Nhập-NX]*(Data_Nhập[Year]=CK$1)*(Data_Nhập[Main SKU name_GOM]=$A8)*(Data_Nhập[SKU name_NHẬP_GOM]=CK$3)),SUMPRODUCT(Data_Nhập[Tổng Nhập-NX]*(Data_Nhập[Year]=CK$1)*(Data_Nhập[Month]=CK$2)*(Data_Nhập[Main SKU name_GOM]=$A8)*(Data_Nhập[SKU name_NHẬP_GOM]=CK$3)))</f>
        <v>0</v>
      </c>
      <c r="CL8" s="24" cm="1">
        <f t="array" ref="CL8">IF(CL$2="FY",SUMPRODUCT(Data_Nhập[Tổng Nhập-NX]*(Data_Nhập[Year]=CL$1)*(Data_Nhập[Main SKU name_GOM]=$A8)*(Data_Nhập[SKU name_NHẬP_GOM]=CL$3)),SUMPRODUCT(Data_Nhập[Tổng Nhập-NX]*(Data_Nhập[Year]=CL$1)*(Data_Nhập[Month]=CL$2)*(Data_Nhập[Main SKU name_GOM]=$A8)*(Data_Nhập[SKU name_NHẬP_GOM]=CL$3)))</f>
        <v>38685</v>
      </c>
      <c r="CM8" s="24" cm="1">
        <f t="array" ref="CM8">IF(CM$2="FY",SUMPRODUCT(Data_Nhập[Tổng Nhập-NX]*(Data_Nhập[Year]=CM$1)*(Data_Nhập[Main SKU name_GOM]=$A8)*(Data_Nhập[SKU name_NHẬP_GOM]=CM$3)),SUMPRODUCT(Data_Nhập[Tổng Nhập-NX]*(Data_Nhập[Year]=CM$1)*(Data_Nhập[Month]=CM$2)*(Data_Nhập[Main SKU name_GOM]=$A8)*(Data_Nhập[SKU name_NHẬP_GOM]=CM$3)))</f>
        <v>0</v>
      </c>
      <c r="CN8" s="25">
        <f t="shared" si="16"/>
        <v>1380686</v>
      </c>
      <c r="CP8" s="25" cm="1">
        <f t="array" ref="CP8">IF(CP$2="FY",SUMPRODUCT(Data_Xuất[Xuất-NX]*(Data_Xuất[Year]=CP$1)*(Data_Xuất[Main SKU name_GOM]=$A8)),SUMPRODUCT(Data_Xuất[Xuất-NX]*(Data_Xuất[Year]=CP$1)*(Data_Xuất[Main SKU name_GOM]=$A8)*(Data_Xuất[Month]=CP$2)))</f>
        <v>4302959.5999999996</v>
      </c>
      <c r="CQ8" s="24" cm="1">
        <f t="array" ref="CQ8">IF(CQ$2="FY",SUMPRODUCT(Data_Nhập[Tổng Nhập-NX]*(Data_Nhập[Year]=CQ$1)*(Data_Nhập[Main SKU name_GOM]=$A8)*(Data_Nhập[SKU name_NHẬP_GOM]=CQ$3)),SUMPRODUCT(Data_Nhập[Tổng Nhập-NX]*(Data_Nhập[Year]=CQ$1)*(Data_Nhập[Month]=CQ$2)*(Data_Nhập[Main SKU name_GOM]=$A8)*(Data_Nhập[SKU name_NHẬP_GOM]=CQ$3)))</f>
        <v>0</v>
      </c>
      <c r="CR8" s="24" cm="1">
        <f t="array" ref="CR8">IF(CR$2="FY",SUMPRODUCT(Data_Nhập[Tổng Nhập-NX]*(Data_Nhập[Year]=CR$1)*(Data_Nhập[Main SKU name_GOM]=$A8)*(Data_Nhập[SKU name_NHẬP_GOM]=CR$3)),SUMPRODUCT(Data_Nhập[Tổng Nhập-NX]*(Data_Nhập[Year]=CR$1)*(Data_Nhập[Month]=CR$2)*(Data_Nhập[Main SKU name_GOM]=$A8)*(Data_Nhập[SKU name_NHẬP_GOM]=CR$3)))</f>
        <v>432300</v>
      </c>
      <c r="CS8" s="24" cm="1">
        <f t="array" ref="CS8">IF(CS$2="FY",SUMPRODUCT(Data_Nhập[Tổng Nhập-NX]*(Data_Nhập[Year]=CS$1)*(Data_Nhập[Main SKU name_GOM]=$A8)*(Data_Nhập[SKU name_NHẬP_GOM]=CS$3)),SUMPRODUCT(Data_Nhập[Tổng Nhập-NX]*(Data_Nhập[Year]=CS$1)*(Data_Nhập[Month]=CS$2)*(Data_Nhập[Main SKU name_GOM]=$A8)*(Data_Nhập[SKU name_NHẬP_GOM]=CS$3)))</f>
        <v>3210900.0000000005</v>
      </c>
      <c r="CT8" s="24" cm="1">
        <f t="array" ref="CT8">IF(CT$2="FY",SUMPRODUCT(Data_Nhập[Tổng Nhập-NX]*(Data_Nhập[Year]=CT$1)*(Data_Nhập[Main SKU name_GOM]=$A8)*(Data_Nhập[SKU name_NHẬP_GOM]=CT$3)),SUMPRODUCT(Data_Nhập[Tổng Nhập-NX]*(Data_Nhập[Year]=CT$1)*(Data_Nhập[Month]=CT$2)*(Data_Nhập[Main SKU name_GOM]=$A8)*(Data_Nhập[SKU name_NHẬP_GOM]=CT$3)))</f>
        <v>238700</v>
      </c>
      <c r="CU8" s="24" cm="1">
        <f t="array" ref="CU8">IF(CU$2="FY",SUMPRODUCT(Data_Nhập[Tổng Nhập-NX]*(Data_Nhập[Year]=CU$1)*(Data_Nhập[Main SKU name_GOM]=$A8)*(Data_Nhập[SKU name_NHẬP_GOM]=CU$3)),SUMPRODUCT(Data_Nhập[Tổng Nhập-NX]*(Data_Nhập[Year]=CU$1)*(Data_Nhập[Month]=CU$2)*(Data_Nhập[Main SKU name_GOM]=$A8)*(Data_Nhập[SKU name_NHẬP_GOM]=CU$3)))</f>
        <v>274999.99999999994</v>
      </c>
      <c r="CV8" s="24" cm="1">
        <f t="array" ref="CV8">IF(CV$2="FY",SUMPRODUCT(Data_Nhập[Tổng Nhập-NX]*(Data_Nhập[Year]=CV$1)*(Data_Nhập[Main SKU name_GOM]=$A8)*(Data_Nhập[SKU name_NHẬP_GOM]=CV$3)),SUMPRODUCT(Data_Nhập[Tổng Nhập-NX]*(Data_Nhập[Year]=CV$1)*(Data_Nhập[Month]=CV$2)*(Data_Nhập[Main SKU name_GOM]=$A8)*(Data_Nhập[SKU name_NHẬP_GOM]=CV$3)))</f>
        <v>0</v>
      </c>
      <c r="CW8" s="24" cm="1">
        <f t="array" ref="CW8">IF(CW$2="FY",SUMPRODUCT(Data_Nhập[Tổng Nhập-NX]*(Data_Nhập[Year]=CW$1)*(Data_Nhập[Main SKU name_GOM]=$A8)*(Data_Nhập[SKU name_NHẬP_GOM]=CW$3)),SUMPRODUCT(Data_Nhập[Tổng Nhập-NX]*(Data_Nhập[Year]=CW$1)*(Data_Nhập[Month]=CW$2)*(Data_Nhập[Main SKU name_GOM]=$A8)*(Data_Nhập[SKU name_NHẬP_GOM]=CW$3)))</f>
        <v>0</v>
      </c>
      <c r="CX8" s="24" cm="1">
        <f t="array" ref="CX8">IF(CX$2="FY",SUMPRODUCT(Data_Nhập[Tổng Nhập-NX]*(Data_Nhập[Year]=CX$1)*(Data_Nhập[Main SKU name_GOM]=$A8)*(Data_Nhập[SKU name_NHẬP_GOM]=CX$3)),SUMPRODUCT(Data_Nhập[Tổng Nhập-NX]*(Data_Nhập[Year]=CX$1)*(Data_Nhập[Month]=CX$2)*(Data_Nhập[Main SKU name_GOM]=$A8)*(Data_Nhập[SKU name_NHẬP_GOM]=CX$3)))</f>
        <v>0</v>
      </c>
      <c r="CY8" s="24" cm="1">
        <f t="array" ref="CY8">IF(CY$2="FY",SUMPRODUCT(Data_Nhập[Tổng Nhập-NX]*(Data_Nhập[Year]=CY$1)*(Data_Nhập[Main SKU name_GOM]=$A8)*(Data_Nhập[SKU name_NHẬP_GOM]=CY$3)),SUMPRODUCT(Data_Nhập[Tổng Nhập-NX]*(Data_Nhập[Year]=CY$1)*(Data_Nhập[Month]=CY$2)*(Data_Nhập[Main SKU name_GOM]=$A8)*(Data_Nhập[SKU name_NHẬP_GOM]=CY$3)))</f>
        <v>0</v>
      </c>
      <c r="CZ8" s="24" cm="1">
        <f t="array" ref="CZ8">IF(CZ$2="FY",SUMPRODUCT(Data_Nhập[Tổng Nhập-NX]*(Data_Nhập[Year]=CZ$1)*(Data_Nhập[Main SKU name_GOM]=$A8)*(Data_Nhập[SKU name_NHẬP_GOM]=CZ$3)),SUMPRODUCT(Data_Nhập[Tổng Nhập-NX]*(Data_Nhập[Year]=CZ$1)*(Data_Nhập[Month]=CZ$2)*(Data_Nhập[Main SKU name_GOM]=$A8)*(Data_Nhập[SKU name_NHẬP_GOM]=CZ$3)))</f>
        <v>0</v>
      </c>
      <c r="DA8" s="24" cm="1">
        <f t="array" ref="DA8">IF(DA$2="FY",SUMPRODUCT(Data_Nhập[Tổng Nhập-NX]*(Data_Nhập[Year]=DA$1)*(Data_Nhập[Main SKU name_GOM]=$A8)*(Data_Nhập[SKU name_NHẬP_GOM]=DA$3)),SUMPRODUCT(Data_Nhập[Tổng Nhập-NX]*(Data_Nhập[Year]=DA$1)*(Data_Nhập[Month]=DA$2)*(Data_Nhập[Main SKU name_GOM]=$A8)*(Data_Nhập[SKU name_NHẬP_GOM]=DA$3)))</f>
        <v>0</v>
      </c>
      <c r="DB8" s="24" cm="1">
        <f t="array" ref="DB8">IF(DB$2="FY",SUMPRODUCT(Data_Nhập[Tổng Nhập-NX]*(Data_Nhập[Year]=DB$1)*(Data_Nhập[Main SKU name_GOM]=$A8)*(Data_Nhập[SKU name_NHẬP_GOM]=DB$3)),SUMPRODUCT(Data_Nhập[Tổng Nhập-NX]*(Data_Nhập[Year]=DB$1)*(Data_Nhập[Month]=DB$2)*(Data_Nhập[Main SKU name_GOM]=$A8)*(Data_Nhập[SKU name_NHẬP_GOM]=DB$3)))</f>
        <v>0</v>
      </c>
      <c r="DC8" s="24" cm="1">
        <f t="array" ref="DC8">IF(DC$2="FY",SUMPRODUCT(Data_Nhập[Tổng Nhập-NX]*(Data_Nhập[Year]=DC$1)*(Data_Nhập[Main SKU name_GOM]=$A8)*(Data_Nhập[SKU name_NHẬP_GOM]=DC$3)),SUMPRODUCT(Data_Nhập[Tổng Nhập-NX]*(Data_Nhập[Year]=DC$1)*(Data_Nhập[Month]=DC$2)*(Data_Nhập[Main SKU name_GOM]=$A8)*(Data_Nhập[SKU name_NHẬP_GOM]=DC$3)))</f>
        <v>0</v>
      </c>
      <c r="DD8" s="24" cm="1">
        <f t="array" ref="DD8">IF(DD$2="FY",SUMPRODUCT(Data_Nhập[Tổng Nhập-NX]*(Data_Nhập[Year]=DD$1)*(Data_Nhập[Main SKU name_GOM]=$A8)*(Data_Nhập[SKU name_NHẬP_GOM]=DD$3)),SUMPRODUCT(Data_Nhập[Tổng Nhập-NX]*(Data_Nhập[Year]=DD$1)*(Data_Nhập[Month]=DD$2)*(Data_Nhập[Main SKU name_GOM]=$A8)*(Data_Nhập[SKU name_NHẬP_GOM]=DD$3)))</f>
        <v>124620.19999999998</v>
      </c>
      <c r="DE8" s="24" cm="1">
        <f t="array" ref="DE8">IF(DE$2="FY",SUMPRODUCT(Data_Nhập[Tổng Nhập-NX]*(Data_Nhập[Year]=DE$1)*(Data_Nhập[Main SKU name_GOM]=$A8)*(Data_Nhập[SKU name_NHẬP_GOM]=DE$3)),SUMPRODUCT(Data_Nhập[Tổng Nhập-NX]*(Data_Nhập[Year]=DE$1)*(Data_Nhập[Month]=DE$2)*(Data_Nhập[Main SKU name_GOM]=$A8)*(Data_Nhập[SKU name_NHẬP_GOM]=DE$3)))</f>
        <v>0</v>
      </c>
      <c r="DF8" s="25">
        <f t="shared" si="17"/>
        <v>4281520.2</v>
      </c>
      <c r="DH8" s="25" cm="1">
        <f t="array" ref="DH8">IF(DH$2="FY",SUMPRODUCT(Data_Xuất[Xuất-NX]*(Data_Xuất[Year]=DH$1)*(Data_Xuất[Main SKU name_GOM]=$A8)),SUMPRODUCT(Data_Xuất[Xuất-NX]*(Data_Xuất[Year]=DH$1)*(Data_Xuất[Main SKU name_GOM]=$A8)*(Data_Xuất[Month]=DH$2)))</f>
        <v>3994843.2999999993</v>
      </c>
      <c r="DI8" s="24" cm="1">
        <f t="array" ref="DI8">IF(DI$2="FY",SUMPRODUCT(Data_Nhập[Tổng Nhập-NX]*(Data_Nhập[Year]=DI$1)*(Data_Nhập[Main SKU name_GOM]=$A8)*(Data_Nhập[SKU name_NHẬP_GOM]=DI$3)),SUMPRODUCT(Data_Nhập[Tổng Nhập-NX]*(Data_Nhập[Year]=DI$1)*(Data_Nhập[Month]=DI$2)*(Data_Nhập[Main SKU name_GOM]=$A8)*(Data_Nhập[SKU name_NHẬP_GOM]=DI$3)))</f>
        <v>0</v>
      </c>
      <c r="DJ8" s="24" cm="1">
        <f t="array" ref="DJ8">IF(DJ$2="FY",SUMPRODUCT(Data_Nhập[Tổng Nhập-NX]*(Data_Nhập[Year]=DJ$1)*(Data_Nhập[Main SKU name_GOM]=$A8)*(Data_Nhập[SKU name_NHẬP_GOM]=DJ$3)),SUMPRODUCT(Data_Nhập[Tổng Nhập-NX]*(Data_Nhập[Year]=DJ$1)*(Data_Nhập[Month]=DJ$2)*(Data_Nhập[Main SKU name_GOM]=$A8)*(Data_Nhập[SKU name_NHẬP_GOM]=DJ$3)))</f>
        <v>467500.00000000006</v>
      </c>
      <c r="DK8" s="24" cm="1">
        <f t="array" ref="DK8">IF(DK$2="FY",SUMPRODUCT(Data_Nhập[Tổng Nhập-NX]*(Data_Nhập[Year]=DK$1)*(Data_Nhập[Main SKU name_GOM]=$A8)*(Data_Nhập[SKU name_NHẬP_GOM]=DK$3)),SUMPRODUCT(Data_Nhập[Tổng Nhập-NX]*(Data_Nhập[Year]=DK$1)*(Data_Nhập[Month]=DK$2)*(Data_Nhập[Main SKU name_GOM]=$A8)*(Data_Nhập[SKU name_NHẬP_GOM]=DK$3)))</f>
        <v>2899599.9999999995</v>
      </c>
      <c r="DL8" s="24" cm="1">
        <f t="array" ref="DL8">IF(DL$2="FY",SUMPRODUCT(Data_Nhập[Tổng Nhập-NX]*(Data_Nhập[Year]=DL$1)*(Data_Nhập[Main SKU name_GOM]=$A8)*(Data_Nhập[SKU name_NHẬP_GOM]=DL$3)),SUMPRODUCT(Data_Nhập[Tổng Nhập-NX]*(Data_Nhập[Year]=DL$1)*(Data_Nhập[Month]=DL$2)*(Data_Nhập[Main SKU name_GOM]=$A8)*(Data_Nhập[SKU name_NHẬP_GOM]=DL$3)))</f>
        <v>105600.00000000001</v>
      </c>
      <c r="DM8" s="24" cm="1">
        <f t="array" ref="DM8">IF(DM$2="FY",SUMPRODUCT(Data_Nhập[Tổng Nhập-NX]*(Data_Nhập[Year]=DM$1)*(Data_Nhập[Main SKU name_GOM]=$A8)*(Data_Nhập[SKU name_NHẬP_GOM]=DM$3)),SUMPRODUCT(Data_Nhập[Tổng Nhập-NX]*(Data_Nhập[Year]=DM$1)*(Data_Nhập[Month]=DM$2)*(Data_Nhập[Main SKU name_GOM]=$A8)*(Data_Nhập[SKU name_NHẬP_GOM]=DM$3)))</f>
        <v>378600</v>
      </c>
      <c r="DN8" s="24" cm="1">
        <f t="array" ref="DN8">IF(DN$2="FY",SUMPRODUCT(Data_Nhập[Tổng Nhập-NX]*(Data_Nhập[Year]=DN$1)*(Data_Nhập[Main SKU name_GOM]=$A8)*(Data_Nhập[SKU name_NHẬP_GOM]=DN$3)),SUMPRODUCT(Data_Nhập[Tổng Nhập-NX]*(Data_Nhập[Year]=DN$1)*(Data_Nhập[Month]=DN$2)*(Data_Nhập[Main SKU name_GOM]=$A8)*(Data_Nhập[SKU name_NHẬP_GOM]=DN$3)))</f>
        <v>0</v>
      </c>
      <c r="DO8" s="24" cm="1">
        <f t="array" ref="DO8">IF(DO$2="FY",SUMPRODUCT(Data_Nhập[Tổng Nhập-NX]*(Data_Nhập[Year]=DO$1)*(Data_Nhập[Main SKU name_GOM]=$A8)*(Data_Nhập[SKU name_NHẬP_GOM]=DO$3)),SUMPRODUCT(Data_Nhập[Tổng Nhập-NX]*(Data_Nhập[Year]=DO$1)*(Data_Nhập[Month]=DO$2)*(Data_Nhập[Main SKU name_GOM]=$A8)*(Data_Nhập[SKU name_NHẬP_GOM]=DO$3)))</f>
        <v>0</v>
      </c>
      <c r="DP8" s="24" cm="1">
        <f t="array" ref="DP8">IF(DP$2="FY",SUMPRODUCT(Data_Nhập[Tổng Nhập-NX]*(Data_Nhập[Year]=DP$1)*(Data_Nhập[Main SKU name_GOM]=$A8)*(Data_Nhập[SKU name_NHẬP_GOM]=DP$3)),SUMPRODUCT(Data_Nhập[Tổng Nhập-NX]*(Data_Nhập[Year]=DP$1)*(Data_Nhập[Month]=DP$2)*(Data_Nhập[Main SKU name_GOM]=$A8)*(Data_Nhập[SKU name_NHẬP_GOM]=DP$3)))</f>
        <v>0</v>
      </c>
      <c r="DQ8" s="24" cm="1">
        <f t="array" ref="DQ8">IF(DQ$2="FY",SUMPRODUCT(Data_Nhập[Tổng Nhập-NX]*(Data_Nhập[Year]=DQ$1)*(Data_Nhập[Main SKU name_GOM]=$A8)*(Data_Nhập[SKU name_NHẬP_GOM]=DQ$3)),SUMPRODUCT(Data_Nhập[Tổng Nhập-NX]*(Data_Nhập[Year]=DQ$1)*(Data_Nhập[Month]=DQ$2)*(Data_Nhập[Main SKU name_GOM]=$A8)*(Data_Nhập[SKU name_NHẬP_GOM]=DQ$3)))</f>
        <v>0</v>
      </c>
      <c r="DR8" s="24" cm="1">
        <f t="array" ref="DR8">IF(DR$2="FY",SUMPRODUCT(Data_Nhập[Tổng Nhập-NX]*(Data_Nhập[Year]=DR$1)*(Data_Nhập[Main SKU name_GOM]=$A8)*(Data_Nhập[SKU name_NHẬP_GOM]=DR$3)),SUMPRODUCT(Data_Nhập[Tổng Nhập-NX]*(Data_Nhập[Year]=DR$1)*(Data_Nhập[Month]=DR$2)*(Data_Nhập[Main SKU name_GOM]=$A8)*(Data_Nhập[SKU name_NHẬP_GOM]=DR$3)))</f>
        <v>0</v>
      </c>
      <c r="DS8" s="24" cm="1">
        <f t="array" ref="DS8">IF(DS$2="FY",SUMPRODUCT(Data_Nhập[Tổng Nhập-NX]*(Data_Nhập[Year]=DS$1)*(Data_Nhập[Main SKU name_GOM]=$A8)*(Data_Nhập[SKU name_NHẬP_GOM]=DS$3)),SUMPRODUCT(Data_Nhập[Tổng Nhập-NX]*(Data_Nhập[Year]=DS$1)*(Data_Nhập[Month]=DS$2)*(Data_Nhập[Main SKU name_GOM]=$A8)*(Data_Nhập[SKU name_NHẬP_GOM]=DS$3)))</f>
        <v>0</v>
      </c>
      <c r="DT8" s="24" cm="1">
        <f t="array" ref="DT8">IF(DT$2="FY",SUMPRODUCT(Data_Nhập[Tổng Nhập-NX]*(Data_Nhập[Year]=DT$1)*(Data_Nhập[Main SKU name_GOM]=$A8)*(Data_Nhập[SKU name_NHẬP_GOM]=DT$3)),SUMPRODUCT(Data_Nhập[Tổng Nhập-NX]*(Data_Nhập[Year]=DT$1)*(Data_Nhập[Month]=DT$2)*(Data_Nhập[Main SKU name_GOM]=$A8)*(Data_Nhập[SKU name_NHẬP_GOM]=DT$3)))</f>
        <v>0</v>
      </c>
      <c r="DU8" s="24" cm="1">
        <f t="array" ref="DU8">IF(DU$2="FY",SUMPRODUCT(Data_Nhập[Tổng Nhập-NX]*(Data_Nhập[Year]=DU$1)*(Data_Nhập[Main SKU name_GOM]=$A8)*(Data_Nhập[SKU name_NHẬP_GOM]=DU$3)),SUMPRODUCT(Data_Nhập[Tổng Nhập-NX]*(Data_Nhập[Year]=DU$1)*(Data_Nhập[Month]=DU$2)*(Data_Nhập[Main SKU name_GOM]=$A8)*(Data_Nhập[SKU name_NHẬP_GOM]=DU$3)))</f>
        <v>0</v>
      </c>
      <c r="DV8" s="24" cm="1">
        <f t="array" ref="DV8">IF(DV$2="FY",SUMPRODUCT(Data_Nhập[Tổng Nhập-NX]*(Data_Nhập[Year]=DV$1)*(Data_Nhập[Main SKU name_GOM]=$A8)*(Data_Nhập[SKU name_NHẬP_GOM]=DV$3)),SUMPRODUCT(Data_Nhập[Tổng Nhập-NX]*(Data_Nhập[Year]=DV$1)*(Data_Nhập[Month]=DV$2)*(Data_Nhập[Main SKU name_GOM]=$A8)*(Data_Nhập[SKU name_NHẬP_GOM]=DV$3)))</f>
        <v>125497.40000000001</v>
      </c>
      <c r="DW8" s="24" cm="1">
        <f t="array" ref="DW8">IF(DW$2="FY",SUMPRODUCT(Data_Nhập[Tổng Nhập-NX]*(Data_Nhập[Year]=DW$1)*(Data_Nhập[Main SKU name_GOM]=$A8)*(Data_Nhập[SKU name_NHẬP_GOM]=DW$3)),SUMPRODUCT(Data_Nhập[Tổng Nhập-NX]*(Data_Nhập[Year]=DW$1)*(Data_Nhập[Month]=DW$2)*(Data_Nhập[Main SKU name_GOM]=$A8)*(Data_Nhập[SKU name_NHẬP_GOM]=DW$3)))</f>
        <v>0</v>
      </c>
      <c r="DX8" s="25">
        <f t="shared" si="18"/>
        <v>3976797.3999999994</v>
      </c>
      <c r="DZ8" s="25" cm="1">
        <f t="array" ref="DZ8">IF(DZ$2="FY",SUMPRODUCT(Data_Xuất[Xuất-NX]*(Data_Xuất[Year]=DZ$1)*(Data_Xuất[Main SKU name_GOM]=$A8)),SUMPRODUCT(Data_Xuất[Xuất-NX]*(Data_Xuất[Year]=DZ$1)*(Data_Xuất[Main SKU name_GOM]=$A8)*(Data_Xuất[Month]=DZ$2)))</f>
        <v>178878.41</v>
      </c>
      <c r="EA8" s="24" cm="1">
        <f t="array" ref="EA8">IF(EA$2="FY",SUMPRODUCT(Data_Nhập[Tổng Nhập-NX]*(Data_Nhập[Year]=EA$1)*(Data_Nhập[Main SKU name_GOM]=$A8)*(Data_Nhập[SKU name_NHẬP_GOM]=EA$3)),SUMPRODUCT(Data_Nhập[Tổng Nhập-NX]*(Data_Nhập[Year]=EA$1)*(Data_Nhập[Month]=EA$2)*(Data_Nhập[Main SKU name_GOM]=$A8)*(Data_Nhập[SKU name_NHẬP_GOM]=EA$3)))</f>
        <v>0</v>
      </c>
      <c r="EB8" s="24" cm="1">
        <f t="array" ref="EB8">IF(EB$2="FY",SUMPRODUCT(Data_Nhập[Tổng Nhập-NX]*(Data_Nhập[Year]=EB$1)*(Data_Nhập[Main SKU name_GOM]=$A8)*(Data_Nhập[SKU name_NHẬP_GOM]=EB$3)),SUMPRODUCT(Data_Nhập[Tổng Nhập-NX]*(Data_Nhập[Year]=EB$1)*(Data_Nhập[Month]=EB$2)*(Data_Nhập[Main SKU name_GOM]=$A8)*(Data_Nhập[SKU name_NHẬP_GOM]=EB$3)))</f>
        <v>0</v>
      </c>
      <c r="EC8" s="24" cm="1">
        <f t="array" ref="EC8">IF(EC$2="FY",SUMPRODUCT(Data_Nhập[Tổng Nhập-NX]*(Data_Nhập[Year]=EC$1)*(Data_Nhập[Main SKU name_GOM]=$A8)*(Data_Nhập[SKU name_NHẬP_GOM]=EC$3)),SUMPRODUCT(Data_Nhập[Tổng Nhập-NX]*(Data_Nhập[Year]=EC$1)*(Data_Nhập[Month]=EC$2)*(Data_Nhập[Main SKU name_GOM]=$A8)*(Data_Nhập[SKU name_NHẬP_GOM]=EC$3)))</f>
        <v>126500</v>
      </c>
      <c r="ED8" s="24" cm="1">
        <f t="array" ref="ED8">IF(ED$2="FY",SUMPRODUCT(Data_Nhập[Tổng Nhập-NX]*(Data_Nhập[Year]=ED$1)*(Data_Nhập[Main SKU name_GOM]=$A8)*(Data_Nhập[SKU name_NHẬP_GOM]=ED$3)),SUMPRODUCT(Data_Nhập[Tổng Nhập-NX]*(Data_Nhập[Year]=ED$1)*(Data_Nhập[Month]=ED$2)*(Data_Nhập[Main SKU name_GOM]=$A8)*(Data_Nhập[SKU name_NHẬP_GOM]=ED$3)))</f>
        <v>3300</v>
      </c>
      <c r="EE8" s="24" cm="1">
        <f t="array" ref="EE8">IF(EE$2="FY",SUMPRODUCT(Data_Nhập[Tổng Nhập-NX]*(Data_Nhập[Year]=EE$1)*(Data_Nhập[Main SKU name_GOM]=$A8)*(Data_Nhập[SKU name_NHẬP_GOM]=EE$3)),SUMPRODUCT(Data_Nhập[Tổng Nhập-NX]*(Data_Nhập[Year]=EE$1)*(Data_Nhập[Month]=EE$2)*(Data_Nhập[Main SKU name_GOM]=$A8)*(Data_Nhập[SKU name_NHẬP_GOM]=EE$3)))</f>
        <v>42600</v>
      </c>
      <c r="EF8" s="24" cm="1">
        <f t="array" ref="EF8">IF(EF$2="FY",SUMPRODUCT(Data_Nhập[Tổng Nhập-NX]*(Data_Nhập[Year]=EF$1)*(Data_Nhập[Main SKU name_GOM]=$A8)*(Data_Nhập[SKU name_NHẬP_GOM]=EF$3)),SUMPRODUCT(Data_Nhập[Tổng Nhập-NX]*(Data_Nhập[Year]=EF$1)*(Data_Nhập[Month]=EF$2)*(Data_Nhập[Main SKU name_GOM]=$A8)*(Data_Nhập[SKU name_NHẬP_GOM]=EF$3)))</f>
        <v>0</v>
      </c>
      <c r="EG8" s="24" cm="1">
        <f t="array" ref="EG8">IF(EG$2="FY",SUMPRODUCT(Data_Nhập[Tổng Nhập-NX]*(Data_Nhập[Year]=EG$1)*(Data_Nhập[Main SKU name_GOM]=$A8)*(Data_Nhập[SKU name_NHẬP_GOM]=EG$3)),SUMPRODUCT(Data_Nhập[Tổng Nhập-NX]*(Data_Nhập[Year]=EG$1)*(Data_Nhập[Month]=EG$2)*(Data_Nhập[Main SKU name_GOM]=$A8)*(Data_Nhập[SKU name_NHẬP_GOM]=EG$3)))</f>
        <v>0</v>
      </c>
      <c r="EH8" s="24" cm="1">
        <f t="array" ref="EH8">IF(EH$2="FY",SUMPRODUCT(Data_Nhập[Tổng Nhập-NX]*(Data_Nhập[Year]=EH$1)*(Data_Nhập[Main SKU name_GOM]=$A8)*(Data_Nhập[SKU name_NHẬP_GOM]=EH$3)),SUMPRODUCT(Data_Nhập[Tổng Nhập-NX]*(Data_Nhập[Year]=EH$1)*(Data_Nhập[Month]=EH$2)*(Data_Nhập[Main SKU name_GOM]=$A8)*(Data_Nhập[SKU name_NHẬP_GOM]=EH$3)))</f>
        <v>0</v>
      </c>
      <c r="EI8" s="24" cm="1">
        <f t="array" ref="EI8">IF(EI$2="FY",SUMPRODUCT(Data_Nhập[Tổng Nhập-NX]*(Data_Nhập[Year]=EI$1)*(Data_Nhập[Main SKU name_GOM]=$A8)*(Data_Nhập[SKU name_NHẬP_GOM]=EI$3)),SUMPRODUCT(Data_Nhập[Tổng Nhập-NX]*(Data_Nhập[Year]=EI$1)*(Data_Nhập[Month]=EI$2)*(Data_Nhập[Main SKU name_GOM]=$A8)*(Data_Nhập[SKU name_NHẬP_GOM]=EI$3)))</f>
        <v>0</v>
      </c>
      <c r="EJ8" s="24" cm="1">
        <f t="array" ref="EJ8">IF(EJ$2="FY",SUMPRODUCT(Data_Nhập[Tổng Nhập-NX]*(Data_Nhập[Year]=EJ$1)*(Data_Nhập[Main SKU name_GOM]=$A8)*(Data_Nhập[SKU name_NHẬP_GOM]=EJ$3)),SUMPRODUCT(Data_Nhập[Tổng Nhập-NX]*(Data_Nhập[Year]=EJ$1)*(Data_Nhập[Month]=EJ$2)*(Data_Nhập[Main SKU name_GOM]=$A8)*(Data_Nhập[SKU name_NHẬP_GOM]=EJ$3)))</f>
        <v>0</v>
      </c>
      <c r="EK8" s="24" cm="1">
        <f t="array" ref="EK8">IF(EK$2="FY",SUMPRODUCT(Data_Nhập[Tổng Nhập-NX]*(Data_Nhập[Year]=EK$1)*(Data_Nhập[Main SKU name_GOM]=$A8)*(Data_Nhập[SKU name_NHẬP_GOM]=EK$3)),SUMPRODUCT(Data_Nhập[Tổng Nhập-NX]*(Data_Nhập[Year]=EK$1)*(Data_Nhập[Month]=EK$2)*(Data_Nhập[Main SKU name_GOM]=$A8)*(Data_Nhập[SKU name_NHẬP_GOM]=EK$3)))</f>
        <v>0</v>
      </c>
      <c r="EL8" s="24" cm="1">
        <f t="array" ref="EL8">IF(EL$2="FY",SUMPRODUCT(Data_Nhập[Tổng Nhập-NX]*(Data_Nhập[Year]=EL$1)*(Data_Nhập[Main SKU name_GOM]=$A8)*(Data_Nhập[SKU name_NHẬP_GOM]=EL$3)),SUMPRODUCT(Data_Nhập[Tổng Nhập-NX]*(Data_Nhập[Year]=EL$1)*(Data_Nhập[Month]=EL$2)*(Data_Nhập[Main SKU name_GOM]=$A8)*(Data_Nhập[SKU name_NHẬP_GOM]=EL$3)))</f>
        <v>0</v>
      </c>
      <c r="EM8" s="24" cm="1">
        <f t="array" ref="EM8">IF(EM$2="FY",SUMPRODUCT(Data_Nhập[Tổng Nhập-NX]*(Data_Nhập[Year]=EM$1)*(Data_Nhập[Main SKU name_GOM]=$A8)*(Data_Nhập[SKU name_NHẬP_GOM]=EM$3)),SUMPRODUCT(Data_Nhập[Tổng Nhập-NX]*(Data_Nhập[Year]=EM$1)*(Data_Nhập[Month]=EM$2)*(Data_Nhập[Main SKU name_GOM]=$A8)*(Data_Nhập[SKU name_NHẬP_GOM]=EM$3)))</f>
        <v>0</v>
      </c>
      <c r="EN8" s="24" cm="1">
        <f t="array" ref="EN8">IF(EN$2="FY",SUMPRODUCT(Data_Nhập[Tổng Nhập-NX]*(Data_Nhập[Year]=EN$1)*(Data_Nhập[Main SKU name_GOM]=$A8)*(Data_Nhập[SKU name_NHẬP_GOM]=EN$3)),SUMPRODUCT(Data_Nhập[Tổng Nhập-NX]*(Data_Nhập[Year]=EN$1)*(Data_Nhập[Month]=EN$2)*(Data_Nhập[Main SKU name_GOM]=$A8)*(Data_Nhập[SKU name_NHẬP_GOM]=EN$3)))</f>
        <v>6456</v>
      </c>
      <c r="EO8" s="24" cm="1">
        <f t="array" ref="EO8">IF(EO$2="FY",SUMPRODUCT(Data_Nhập[Tổng Nhập-NX]*(Data_Nhập[Year]=EO$1)*(Data_Nhập[Main SKU name_GOM]=$A8)*(Data_Nhập[SKU name_NHẬP_GOM]=EO$3)),SUMPRODUCT(Data_Nhập[Tổng Nhập-NX]*(Data_Nhập[Year]=EO$1)*(Data_Nhập[Month]=EO$2)*(Data_Nhập[Main SKU name_GOM]=$A8)*(Data_Nhập[SKU name_NHẬP_GOM]=EO$3)))</f>
        <v>0</v>
      </c>
      <c r="EP8" s="25">
        <f t="shared" si="19"/>
        <v>178856</v>
      </c>
      <c r="ER8" s="25" cm="1">
        <f t="array" ref="ER8">IF(ER$2="FY",SUMPRODUCT(Data_Xuất[Xuất-NX]*(Data_Xuất[Year]=ER$1)*(Data_Xuất[Main SKU name_GOM]=$A8)),SUMPRODUCT(Data_Xuất[Xuất-NX]*(Data_Xuất[Year]=ER$1)*(Data_Xuất[Main SKU name_GOM]=$A8)*(Data_Xuất[Month]=ER$2)))</f>
        <v>1194653.1029999999</v>
      </c>
      <c r="ES8" s="24" cm="1">
        <f t="array" ref="ES8">IF(ES$2="FY",SUMPRODUCT(Data_Nhập[Tổng Nhập-NX]*(Data_Nhập[Year]=ES$1)*(Data_Nhập[Main SKU name_GOM]=$A8)*(Data_Nhập[SKU name_NHẬP_GOM]=ES$3)),SUMPRODUCT(Data_Nhập[Tổng Nhập-NX]*(Data_Nhập[Year]=ES$1)*(Data_Nhập[Month]=ES$2)*(Data_Nhập[Main SKU name_GOM]=$A8)*(Data_Nhập[SKU name_NHẬP_GOM]=ES$3)))</f>
        <v>0</v>
      </c>
      <c r="ET8" s="24" cm="1">
        <f t="array" ref="ET8">IF(ET$2="FY",SUMPRODUCT(Data_Nhập[Tổng Nhập-NX]*(Data_Nhập[Year]=ET$1)*(Data_Nhập[Main SKU name_GOM]=$A8)*(Data_Nhập[SKU name_NHẬP_GOM]=ET$3)),SUMPRODUCT(Data_Nhập[Tổng Nhập-NX]*(Data_Nhập[Year]=ET$1)*(Data_Nhập[Month]=ET$2)*(Data_Nhập[Main SKU name_GOM]=$A8)*(Data_Nhập[SKU name_NHẬP_GOM]=ET$3)))</f>
        <v>22219</v>
      </c>
      <c r="EU8" s="24" cm="1">
        <f t="array" ref="EU8">IF(EU$2="FY",SUMPRODUCT(Data_Nhập[Tổng Nhập-NX]*(Data_Nhập[Year]=EU$1)*(Data_Nhập[Main SKU name_GOM]=$A8)*(Data_Nhập[SKU name_NHẬP_GOM]=EU$3)),SUMPRODUCT(Data_Nhập[Tổng Nhập-NX]*(Data_Nhập[Year]=EU$1)*(Data_Nhập[Month]=EU$2)*(Data_Nhập[Main SKU name_GOM]=$A8)*(Data_Nhập[SKU name_NHẬP_GOM]=EU$3)))</f>
        <v>1033556</v>
      </c>
      <c r="EV8" s="24" cm="1">
        <f t="array" ref="EV8">IF(EV$2="FY",SUMPRODUCT(Data_Nhập[Tổng Nhập-NX]*(Data_Nhập[Year]=EV$1)*(Data_Nhập[Main SKU name_GOM]=$A8)*(Data_Nhập[SKU name_NHẬP_GOM]=EV$3)),SUMPRODUCT(Data_Nhập[Tổng Nhập-NX]*(Data_Nhập[Year]=EV$1)*(Data_Nhập[Month]=EV$2)*(Data_Nhập[Main SKU name_GOM]=$A8)*(Data_Nhập[SKU name_NHẬP_GOM]=EV$3)))</f>
        <v>2200</v>
      </c>
      <c r="EW8" s="24" cm="1">
        <f t="array" ref="EW8">IF(EW$2="FY",SUMPRODUCT(Data_Nhập[Tổng Nhập-NX]*(Data_Nhập[Year]=EW$1)*(Data_Nhập[Main SKU name_GOM]=$A8)*(Data_Nhập[SKU name_NHẬP_GOM]=EW$3)),SUMPRODUCT(Data_Nhập[Tổng Nhập-NX]*(Data_Nhập[Year]=EW$1)*(Data_Nhập[Month]=EW$2)*(Data_Nhập[Main SKU name_GOM]=$A8)*(Data_Nhập[SKU name_NHẬP_GOM]=EW$3)))</f>
        <v>72851</v>
      </c>
      <c r="EX8" s="24" cm="1">
        <f t="array" ref="EX8">IF(EX$2="FY",SUMPRODUCT(Data_Nhập[Tổng Nhập-NX]*(Data_Nhập[Year]=EX$1)*(Data_Nhập[Main SKU name_GOM]=$A8)*(Data_Nhập[SKU name_NHẬP_GOM]=EX$3)),SUMPRODUCT(Data_Nhập[Tổng Nhập-NX]*(Data_Nhập[Year]=EX$1)*(Data_Nhập[Month]=EX$2)*(Data_Nhập[Main SKU name_GOM]=$A8)*(Data_Nhập[SKU name_NHẬP_GOM]=EX$3)))</f>
        <v>0</v>
      </c>
      <c r="EY8" s="24" cm="1">
        <f t="array" ref="EY8">IF(EY$2="FY",SUMPRODUCT(Data_Nhập[Tổng Nhập-NX]*(Data_Nhập[Year]=EY$1)*(Data_Nhập[Main SKU name_GOM]=$A8)*(Data_Nhập[SKU name_NHẬP_GOM]=EY$3)),SUMPRODUCT(Data_Nhập[Tổng Nhập-NX]*(Data_Nhập[Year]=EY$1)*(Data_Nhập[Month]=EY$2)*(Data_Nhập[Main SKU name_GOM]=$A8)*(Data_Nhập[SKU name_NHẬP_GOM]=EY$3)))</f>
        <v>0</v>
      </c>
      <c r="EZ8" s="24" cm="1">
        <f t="array" ref="EZ8">IF(EZ$2="FY",SUMPRODUCT(Data_Nhập[Tổng Nhập-NX]*(Data_Nhập[Year]=EZ$1)*(Data_Nhập[Main SKU name_GOM]=$A8)*(Data_Nhập[SKU name_NHẬP_GOM]=EZ$3)),SUMPRODUCT(Data_Nhập[Tổng Nhập-NX]*(Data_Nhập[Year]=EZ$1)*(Data_Nhập[Month]=EZ$2)*(Data_Nhập[Main SKU name_GOM]=$A8)*(Data_Nhập[SKU name_NHẬP_GOM]=EZ$3)))</f>
        <v>0</v>
      </c>
      <c r="FA8" s="24" cm="1">
        <f t="array" ref="FA8">IF(FA$2="FY",SUMPRODUCT(Data_Nhập[Tổng Nhập-NX]*(Data_Nhập[Year]=FA$1)*(Data_Nhập[Main SKU name_GOM]=$A8)*(Data_Nhập[SKU name_NHẬP_GOM]=FA$3)),SUMPRODUCT(Data_Nhập[Tổng Nhập-NX]*(Data_Nhập[Year]=FA$1)*(Data_Nhập[Month]=FA$2)*(Data_Nhập[Main SKU name_GOM]=$A8)*(Data_Nhập[SKU name_NHẬP_GOM]=FA$3)))</f>
        <v>0</v>
      </c>
      <c r="FB8" s="24" cm="1">
        <f t="array" ref="FB8">IF(FB$2="FY",SUMPRODUCT(Data_Nhập[Tổng Nhập-NX]*(Data_Nhập[Year]=FB$1)*(Data_Nhập[Main SKU name_GOM]=$A8)*(Data_Nhập[SKU name_NHẬP_GOM]=FB$3)),SUMPRODUCT(Data_Nhập[Tổng Nhập-NX]*(Data_Nhập[Year]=FB$1)*(Data_Nhập[Month]=FB$2)*(Data_Nhập[Main SKU name_GOM]=$A8)*(Data_Nhập[SKU name_NHẬP_GOM]=FB$3)))</f>
        <v>0</v>
      </c>
      <c r="FC8" s="24" cm="1">
        <f t="array" ref="FC8">IF(FC$2="FY",SUMPRODUCT(Data_Nhập[Tổng Nhập-NX]*(Data_Nhập[Year]=FC$1)*(Data_Nhập[Main SKU name_GOM]=$A8)*(Data_Nhập[SKU name_NHẬP_GOM]=FC$3)),SUMPRODUCT(Data_Nhập[Tổng Nhập-NX]*(Data_Nhập[Year]=FC$1)*(Data_Nhập[Month]=FC$2)*(Data_Nhập[Main SKU name_GOM]=$A8)*(Data_Nhập[SKU name_NHẬP_GOM]=FC$3)))</f>
        <v>0</v>
      </c>
      <c r="FD8" s="24" cm="1">
        <f t="array" ref="FD8">IF(FD$2="FY",SUMPRODUCT(Data_Nhập[Tổng Nhập-NX]*(Data_Nhập[Year]=FD$1)*(Data_Nhập[Main SKU name_GOM]=$A8)*(Data_Nhập[SKU name_NHẬP_GOM]=FD$3)),SUMPRODUCT(Data_Nhập[Tổng Nhập-NX]*(Data_Nhập[Year]=FD$1)*(Data_Nhập[Month]=FD$2)*(Data_Nhập[Main SKU name_GOM]=$A8)*(Data_Nhập[SKU name_NHẬP_GOM]=FD$3)))</f>
        <v>0</v>
      </c>
      <c r="FE8" s="24" cm="1">
        <f t="array" ref="FE8">IF(FE$2="FY",SUMPRODUCT(Data_Nhập[Tổng Nhập-NX]*(Data_Nhập[Year]=FE$1)*(Data_Nhập[Main SKU name_GOM]=$A8)*(Data_Nhập[SKU name_NHẬP_GOM]=FE$3)),SUMPRODUCT(Data_Nhập[Tổng Nhập-NX]*(Data_Nhập[Year]=FE$1)*(Data_Nhập[Month]=FE$2)*(Data_Nhập[Main SKU name_GOM]=$A8)*(Data_Nhập[SKU name_NHẬP_GOM]=FE$3)))</f>
        <v>0</v>
      </c>
      <c r="FF8" s="24" cm="1">
        <f t="array" ref="FF8">IF(FF$2="FY",SUMPRODUCT(Data_Nhập[Tổng Nhập-NX]*(Data_Nhập[Year]=FF$1)*(Data_Nhập[Main SKU name_GOM]=$A8)*(Data_Nhập[SKU name_NHẬP_GOM]=FF$3)),SUMPRODUCT(Data_Nhập[Tổng Nhập-NX]*(Data_Nhập[Year]=FF$1)*(Data_Nhập[Month]=FF$2)*(Data_Nhập[Main SKU name_GOM]=$A8)*(Data_Nhập[SKU name_NHẬP_GOM]=FF$3)))</f>
        <v>63522.164999999994</v>
      </c>
      <c r="FG8" s="24" cm="1">
        <f t="array" ref="FG8">IF(FG$2="FY",SUMPRODUCT(Data_Nhập[Tổng Nhập-NX]*(Data_Nhập[Year]=FG$1)*(Data_Nhập[Main SKU name_GOM]=$A8)*(Data_Nhập[SKU name_NHẬP_GOM]=FG$3)),SUMPRODUCT(Data_Nhập[Tổng Nhập-NX]*(Data_Nhập[Year]=FG$1)*(Data_Nhập[Month]=FG$2)*(Data_Nhập[Main SKU name_GOM]=$A8)*(Data_Nhập[SKU name_NHẬP_GOM]=FG$3)))</f>
        <v>0</v>
      </c>
      <c r="FH8" s="25">
        <f t="shared" si="20"/>
        <v>1194348.165</v>
      </c>
      <c r="FJ8" s="25" cm="1">
        <f t="array" ref="FJ8">IF(FJ$2="FY",SUMPRODUCT(Data_Xuất[Xuất-NX]*(Data_Xuất[Year]=FJ$1)*(Data_Xuất[Main SKU name_GOM]=$A8)),SUMPRODUCT(Data_Xuất[Xuất-NX]*(Data_Xuất[Year]=FJ$1)*(Data_Xuất[Main SKU name_GOM]=$A8)*(Data_Xuất[Month]=FJ$2)))</f>
        <v>1561114.2999999996</v>
      </c>
      <c r="FK8" s="24" cm="1">
        <f t="array" ref="FK8">IF(FK$2="FY",SUMPRODUCT(Data_Nhập[Tổng Nhập-NX]*(Data_Nhập[Year]=FK$1)*(Data_Nhập[Main SKU name_GOM]=$A8)*(Data_Nhập[SKU name_NHẬP_GOM]=FK$3)),SUMPRODUCT(Data_Nhập[Tổng Nhập-NX]*(Data_Nhập[Year]=FK$1)*(Data_Nhập[Month]=FK$2)*(Data_Nhập[Main SKU name_GOM]=$A8)*(Data_Nhập[SKU name_NHẬP_GOM]=FK$3)))</f>
        <v>1100</v>
      </c>
      <c r="FL8" s="24" cm="1">
        <f t="array" ref="FL8">IF(FL$2="FY",SUMPRODUCT(Data_Nhập[Tổng Nhập-NX]*(Data_Nhập[Year]=FL$1)*(Data_Nhập[Main SKU name_GOM]=$A8)*(Data_Nhập[SKU name_NHẬP_GOM]=FL$3)),SUMPRODUCT(Data_Nhập[Tổng Nhập-NX]*(Data_Nhập[Year]=FL$1)*(Data_Nhập[Month]=FL$2)*(Data_Nhập[Main SKU name_GOM]=$A8)*(Data_Nhập[SKU name_NHẬP_GOM]=FL$3)))</f>
        <v>132000</v>
      </c>
      <c r="FM8" s="24" cm="1">
        <f t="array" ref="FM8">IF(FM$2="FY",SUMPRODUCT(Data_Nhập[Tổng Nhập-NX]*(Data_Nhập[Year]=FM$1)*(Data_Nhập[Main SKU name_GOM]=$A8)*(Data_Nhập[SKU name_NHẬP_GOM]=FM$3)),SUMPRODUCT(Data_Nhập[Tổng Nhập-NX]*(Data_Nhập[Year]=FM$1)*(Data_Nhập[Month]=FM$2)*(Data_Nhập[Main SKU name_GOM]=$A8)*(Data_Nhập[SKU name_NHẬP_GOM]=FM$3)))</f>
        <v>1274901</v>
      </c>
      <c r="FN8" s="24" cm="1">
        <f t="array" ref="FN8">IF(FN$2="FY",SUMPRODUCT(Data_Nhập[Tổng Nhập-NX]*(Data_Nhập[Year]=FN$1)*(Data_Nhập[Main SKU name_GOM]=$A8)*(Data_Nhập[SKU name_NHẬP_GOM]=FN$3)),SUMPRODUCT(Data_Nhập[Tổng Nhập-NX]*(Data_Nhập[Year]=FN$1)*(Data_Nhập[Month]=FN$2)*(Data_Nhập[Main SKU name_GOM]=$A8)*(Data_Nhập[SKU name_NHẬP_GOM]=FN$3)))</f>
        <v>4100</v>
      </c>
      <c r="FO8" s="24" cm="1">
        <f t="array" ref="FO8">IF(FO$2="FY",SUMPRODUCT(Data_Nhập[Tổng Nhập-NX]*(Data_Nhập[Year]=FO$1)*(Data_Nhập[Main SKU name_GOM]=$A8)*(Data_Nhập[SKU name_NHẬP_GOM]=FO$3)),SUMPRODUCT(Data_Nhập[Tổng Nhập-NX]*(Data_Nhập[Year]=FO$1)*(Data_Nhập[Month]=FO$2)*(Data_Nhập[Main SKU name_GOM]=$A8)*(Data_Nhập[SKU name_NHẬP_GOM]=FO$3)))</f>
        <v>87232.5</v>
      </c>
      <c r="FP8" s="24" cm="1">
        <f t="array" ref="FP8">IF(FP$2="FY",SUMPRODUCT(Data_Nhập[Tổng Nhập-NX]*(Data_Nhập[Year]=FP$1)*(Data_Nhập[Main SKU name_GOM]=$A8)*(Data_Nhập[SKU name_NHẬP_GOM]=FP$3)),SUMPRODUCT(Data_Nhập[Tổng Nhập-NX]*(Data_Nhập[Year]=FP$1)*(Data_Nhập[Month]=FP$2)*(Data_Nhập[Main SKU name_GOM]=$A8)*(Data_Nhập[SKU name_NHẬP_GOM]=FP$3)))</f>
        <v>0</v>
      </c>
      <c r="FQ8" s="24" cm="1">
        <f t="array" ref="FQ8">IF(FQ$2="FY",SUMPRODUCT(Data_Nhập[Tổng Nhập-NX]*(Data_Nhập[Year]=FQ$1)*(Data_Nhập[Main SKU name_GOM]=$A8)*(Data_Nhập[SKU name_NHẬP_GOM]=FQ$3)),SUMPRODUCT(Data_Nhập[Tổng Nhập-NX]*(Data_Nhập[Year]=FQ$1)*(Data_Nhập[Month]=FQ$2)*(Data_Nhập[Main SKU name_GOM]=$A8)*(Data_Nhập[SKU name_NHẬP_GOM]=FQ$3)))</f>
        <v>0</v>
      </c>
      <c r="FR8" s="24" cm="1">
        <f t="array" ref="FR8">IF(FR$2="FY",SUMPRODUCT(Data_Nhập[Tổng Nhập-NX]*(Data_Nhập[Year]=FR$1)*(Data_Nhập[Main SKU name_GOM]=$A8)*(Data_Nhập[SKU name_NHẬP_GOM]=FR$3)),SUMPRODUCT(Data_Nhập[Tổng Nhập-NX]*(Data_Nhập[Year]=FR$1)*(Data_Nhập[Month]=FR$2)*(Data_Nhập[Main SKU name_GOM]=$A8)*(Data_Nhập[SKU name_NHẬP_GOM]=FR$3)))</f>
        <v>0</v>
      </c>
      <c r="FS8" s="24" cm="1">
        <f t="array" ref="FS8">IF(FS$2="FY",SUMPRODUCT(Data_Nhập[Tổng Nhập-NX]*(Data_Nhập[Year]=FS$1)*(Data_Nhập[Main SKU name_GOM]=$A8)*(Data_Nhập[SKU name_NHẬP_GOM]=FS$3)),SUMPRODUCT(Data_Nhập[Tổng Nhập-NX]*(Data_Nhập[Year]=FS$1)*(Data_Nhập[Month]=FS$2)*(Data_Nhập[Main SKU name_GOM]=$A8)*(Data_Nhập[SKU name_NHẬP_GOM]=FS$3)))</f>
        <v>0</v>
      </c>
      <c r="FT8" s="24" cm="1">
        <f t="array" ref="FT8">IF(FT$2="FY",SUMPRODUCT(Data_Nhập[Tổng Nhập-NX]*(Data_Nhập[Year]=FT$1)*(Data_Nhập[Main SKU name_GOM]=$A8)*(Data_Nhập[SKU name_NHẬP_GOM]=FT$3)),SUMPRODUCT(Data_Nhập[Tổng Nhập-NX]*(Data_Nhập[Year]=FT$1)*(Data_Nhập[Month]=FT$2)*(Data_Nhập[Main SKU name_GOM]=$A8)*(Data_Nhập[SKU name_NHẬP_GOM]=FT$3)))</f>
        <v>0</v>
      </c>
      <c r="FU8" s="24" cm="1">
        <f t="array" ref="FU8">IF(FU$2="FY",SUMPRODUCT(Data_Nhập[Tổng Nhập-NX]*(Data_Nhập[Year]=FU$1)*(Data_Nhập[Main SKU name_GOM]=$A8)*(Data_Nhập[SKU name_NHẬP_GOM]=FU$3)),SUMPRODUCT(Data_Nhập[Tổng Nhập-NX]*(Data_Nhập[Year]=FU$1)*(Data_Nhập[Month]=FU$2)*(Data_Nhập[Main SKU name_GOM]=$A8)*(Data_Nhập[SKU name_NHẬP_GOM]=FU$3)))</f>
        <v>0</v>
      </c>
      <c r="FV8" s="24" cm="1">
        <f t="array" ref="FV8">IF(FV$2="FY",SUMPRODUCT(Data_Nhập[Tổng Nhập-NX]*(Data_Nhập[Year]=FV$1)*(Data_Nhập[Main SKU name_GOM]=$A8)*(Data_Nhập[SKU name_NHẬP_GOM]=FV$3)),SUMPRODUCT(Data_Nhập[Tổng Nhập-NX]*(Data_Nhập[Year]=FV$1)*(Data_Nhập[Month]=FV$2)*(Data_Nhập[Main SKU name_GOM]=$A8)*(Data_Nhập[SKU name_NHẬP_GOM]=FV$3)))</f>
        <v>0</v>
      </c>
      <c r="FW8" s="24" cm="1">
        <f t="array" ref="FW8">IF(FW$2="FY",SUMPRODUCT(Data_Nhập[Tổng Nhập-NX]*(Data_Nhập[Year]=FW$1)*(Data_Nhập[Main SKU name_GOM]=$A8)*(Data_Nhập[SKU name_NHẬP_GOM]=FW$3)),SUMPRODUCT(Data_Nhập[Tổng Nhập-NX]*(Data_Nhập[Year]=FW$1)*(Data_Nhập[Month]=FW$2)*(Data_Nhập[Main SKU name_GOM]=$A8)*(Data_Nhập[SKU name_NHẬP_GOM]=FW$3)))</f>
        <v>0</v>
      </c>
      <c r="FX8" s="24" cm="1">
        <f t="array" ref="FX8">IF(FX$2="FY",SUMPRODUCT(Data_Nhập[Tổng Nhập-NX]*(Data_Nhập[Year]=FX$1)*(Data_Nhập[Main SKU name_GOM]=$A8)*(Data_Nhập[SKU name_NHẬP_GOM]=FX$3)),SUMPRODUCT(Data_Nhập[Tổng Nhập-NX]*(Data_Nhập[Year]=FX$1)*(Data_Nhập[Month]=FX$2)*(Data_Nhập[Main SKU name_GOM]=$A8)*(Data_Nhập[SKU name_NHẬP_GOM]=FX$3)))</f>
        <v>59140</v>
      </c>
      <c r="FY8" s="24" cm="1">
        <f t="array" ref="FY8">IF(FY$2="FY",SUMPRODUCT(Data_Nhập[Tổng Nhập-NX]*(Data_Nhập[Year]=FY$1)*(Data_Nhập[Main SKU name_GOM]=$A8)*(Data_Nhập[SKU name_NHẬP_GOM]=FY$3)),SUMPRODUCT(Data_Nhập[Tổng Nhập-NX]*(Data_Nhập[Year]=FY$1)*(Data_Nhập[Month]=FY$2)*(Data_Nhập[Main SKU name_GOM]=$A8)*(Data_Nhập[SKU name_NHẬP_GOM]=FY$3)))</f>
        <v>0</v>
      </c>
      <c r="FZ8" s="25">
        <f t="shared" si="21"/>
        <v>1558473.5</v>
      </c>
      <c r="GB8" s="25" cm="1">
        <f t="array" ref="GB8">IF(GB$2="FY",SUMPRODUCT(Data_Xuất[Xuất-NX]*(Data_Xuất[Year]=GB$1)*(Data_Xuất[Main SKU name_GOM]=$A8)),SUMPRODUCT(Data_Xuất[Xuất-NX]*(Data_Xuất[Year]=GB$1)*(Data_Xuất[Main SKU name_GOM]=$A8)*(Data_Xuất[Month]=GB$2)))</f>
        <v>2077382</v>
      </c>
      <c r="GC8" s="24" cm="1">
        <f t="array" ref="GC8">IF(GC$2="FY",SUMPRODUCT(Data_Nhập[Tổng Nhập-NX]*(Data_Nhập[Year]=GC$1)*(Data_Nhập[Main SKU name_GOM]=$A8)*(Data_Nhập[SKU name_NHẬP_GOM]=GC$3)),SUMPRODUCT(Data_Nhập[Tổng Nhập-NX]*(Data_Nhập[Year]=GC$1)*(Data_Nhập[Month]=GC$2)*(Data_Nhập[Main SKU name_GOM]=$A8)*(Data_Nhập[SKU name_NHẬP_GOM]=GC$3)))</f>
        <v>0</v>
      </c>
      <c r="GD8" s="24" cm="1">
        <f t="array" ref="GD8">IF(GD$2="FY",SUMPRODUCT(Data_Nhập[Tổng Nhập-NX]*(Data_Nhập[Year]=GD$1)*(Data_Nhập[Main SKU name_GOM]=$A8)*(Data_Nhập[SKU name_NHẬP_GOM]=GD$3)),SUMPRODUCT(Data_Nhập[Tổng Nhập-NX]*(Data_Nhập[Year]=GD$1)*(Data_Nhập[Month]=GD$2)*(Data_Nhập[Main SKU name_GOM]=$A8)*(Data_Nhập[SKU name_NHẬP_GOM]=GD$3)))</f>
        <v>81400</v>
      </c>
      <c r="GE8" s="24" cm="1">
        <f t="array" ref="GE8">IF(GE$2="FY",SUMPRODUCT(Data_Nhập[Tổng Nhập-NX]*(Data_Nhập[Year]=GE$1)*(Data_Nhập[Main SKU name_GOM]=$A8)*(Data_Nhập[SKU name_NHẬP_GOM]=GE$3)),SUMPRODUCT(Data_Nhập[Tổng Nhập-NX]*(Data_Nhập[Year]=GE$1)*(Data_Nhập[Month]=GE$2)*(Data_Nhập[Main SKU name_GOM]=$A8)*(Data_Nhập[SKU name_NHẬP_GOM]=GE$3)))</f>
        <v>1271310</v>
      </c>
      <c r="GF8" s="24" cm="1">
        <f t="array" ref="GF8">IF(GF$2="FY",SUMPRODUCT(Data_Nhập[Tổng Nhập-NX]*(Data_Nhập[Year]=GF$1)*(Data_Nhập[Main SKU name_GOM]=$A8)*(Data_Nhập[SKU name_NHẬP_GOM]=GF$3)),SUMPRODUCT(Data_Nhập[Tổng Nhập-NX]*(Data_Nhập[Year]=GF$1)*(Data_Nhập[Month]=GF$2)*(Data_Nhập[Main SKU name_GOM]=$A8)*(Data_Nhập[SKU name_NHẬP_GOM]=GF$3)))</f>
        <v>52800</v>
      </c>
      <c r="GG8" s="24" cm="1">
        <f t="array" ref="GG8">IF(GG$2="FY",SUMPRODUCT(Data_Nhập[Tổng Nhập-NX]*(Data_Nhập[Year]=GG$1)*(Data_Nhập[Main SKU name_GOM]=$A8)*(Data_Nhập[SKU name_NHẬP_GOM]=GG$3)),SUMPRODUCT(Data_Nhập[Tổng Nhập-NX]*(Data_Nhập[Year]=GG$1)*(Data_Nhập[Month]=GG$2)*(Data_Nhập[Main SKU name_GOM]=$A8)*(Data_Nhập[SKU name_NHẬP_GOM]=GG$3)))</f>
        <v>583106</v>
      </c>
      <c r="GH8" s="24" cm="1">
        <f t="array" ref="GH8">IF(GH$2="FY",SUMPRODUCT(Data_Nhập[Tổng Nhập-NX]*(Data_Nhập[Year]=GH$1)*(Data_Nhập[Main SKU name_GOM]=$A8)*(Data_Nhập[SKU name_NHẬP_GOM]=GH$3)),SUMPRODUCT(Data_Nhập[Tổng Nhập-NX]*(Data_Nhập[Year]=GH$1)*(Data_Nhập[Month]=GH$2)*(Data_Nhập[Main SKU name_GOM]=$A8)*(Data_Nhập[SKU name_NHẬP_GOM]=GH$3)))</f>
        <v>0</v>
      </c>
      <c r="GI8" s="24" cm="1">
        <f t="array" ref="GI8">IF(GI$2="FY",SUMPRODUCT(Data_Nhập[Tổng Nhập-NX]*(Data_Nhập[Year]=GI$1)*(Data_Nhập[Main SKU name_GOM]=$A8)*(Data_Nhập[SKU name_NHẬP_GOM]=GI$3)),SUMPRODUCT(Data_Nhập[Tổng Nhập-NX]*(Data_Nhập[Year]=GI$1)*(Data_Nhập[Month]=GI$2)*(Data_Nhập[Main SKU name_GOM]=$A8)*(Data_Nhập[SKU name_NHẬP_GOM]=GI$3)))</f>
        <v>0</v>
      </c>
      <c r="GJ8" s="24" cm="1">
        <f t="array" ref="GJ8">IF(GJ$2="FY",SUMPRODUCT(Data_Nhập[Tổng Nhập-NX]*(Data_Nhập[Year]=GJ$1)*(Data_Nhập[Main SKU name_GOM]=$A8)*(Data_Nhập[SKU name_NHẬP_GOM]=GJ$3)),SUMPRODUCT(Data_Nhập[Tổng Nhập-NX]*(Data_Nhập[Year]=GJ$1)*(Data_Nhập[Month]=GJ$2)*(Data_Nhập[Main SKU name_GOM]=$A8)*(Data_Nhập[SKU name_NHẬP_GOM]=GJ$3)))</f>
        <v>0</v>
      </c>
      <c r="GK8" s="24" cm="1">
        <f t="array" ref="GK8">IF(GK$2="FY",SUMPRODUCT(Data_Nhập[Tổng Nhập-NX]*(Data_Nhập[Year]=GK$1)*(Data_Nhập[Main SKU name_GOM]=$A8)*(Data_Nhập[SKU name_NHẬP_GOM]=GK$3)),SUMPRODUCT(Data_Nhập[Tổng Nhập-NX]*(Data_Nhập[Year]=GK$1)*(Data_Nhập[Month]=GK$2)*(Data_Nhập[Main SKU name_GOM]=$A8)*(Data_Nhập[SKU name_NHẬP_GOM]=GK$3)))</f>
        <v>0</v>
      </c>
      <c r="GL8" s="24" cm="1">
        <f t="array" ref="GL8">IF(GL$2="FY",SUMPRODUCT(Data_Nhập[Tổng Nhập-NX]*(Data_Nhập[Year]=GL$1)*(Data_Nhập[Main SKU name_GOM]=$A8)*(Data_Nhập[SKU name_NHẬP_GOM]=GL$3)),SUMPRODUCT(Data_Nhập[Tổng Nhập-NX]*(Data_Nhập[Year]=GL$1)*(Data_Nhập[Month]=GL$2)*(Data_Nhập[Main SKU name_GOM]=$A8)*(Data_Nhập[SKU name_NHẬP_GOM]=GL$3)))</f>
        <v>0</v>
      </c>
      <c r="GM8" s="24" cm="1">
        <f t="array" ref="GM8">IF(GM$2="FY",SUMPRODUCT(Data_Nhập[Tổng Nhập-NX]*(Data_Nhập[Year]=GM$1)*(Data_Nhập[Main SKU name_GOM]=$A8)*(Data_Nhập[SKU name_NHẬP_GOM]=GM$3)),SUMPRODUCT(Data_Nhập[Tổng Nhập-NX]*(Data_Nhập[Year]=GM$1)*(Data_Nhập[Month]=GM$2)*(Data_Nhập[Main SKU name_GOM]=$A8)*(Data_Nhập[SKU name_NHẬP_GOM]=GM$3)))</f>
        <v>0</v>
      </c>
      <c r="GN8" s="24" cm="1">
        <f t="array" ref="GN8">IF(GN$2="FY",SUMPRODUCT(Data_Nhập[Tổng Nhập-NX]*(Data_Nhập[Year]=GN$1)*(Data_Nhập[Main SKU name_GOM]=$A8)*(Data_Nhập[SKU name_NHẬP_GOM]=GN$3)),SUMPRODUCT(Data_Nhập[Tổng Nhập-NX]*(Data_Nhập[Year]=GN$1)*(Data_Nhập[Month]=GN$2)*(Data_Nhập[Main SKU name_GOM]=$A8)*(Data_Nhập[SKU name_NHẬP_GOM]=GN$3)))</f>
        <v>0</v>
      </c>
      <c r="GO8" s="24" cm="1">
        <f t="array" ref="GO8">IF(GO$2="FY",SUMPRODUCT(Data_Nhập[Tổng Nhập-NX]*(Data_Nhập[Year]=GO$1)*(Data_Nhập[Main SKU name_GOM]=$A8)*(Data_Nhập[SKU name_NHẬP_GOM]=GO$3)),SUMPRODUCT(Data_Nhập[Tổng Nhập-NX]*(Data_Nhập[Year]=GO$1)*(Data_Nhập[Month]=GO$2)*(Data_Nhập[Main SKU name_GOM]=$A8)*(Data_Nhập[SKU name_NHẬP_GOM]=GO$3)))</f>
        <v>0</v>
      </c>
      <c r="GP8" s="24" cm="1">
        <f t="array" ref="GP8">IF(GP$2="FY",SUMPRODUCT(Data_Nhập[Tổng Nhập-NX]*(Data_Nhập[Year]=GP$1)*(Data_Nhập[Main SKU name_GOM]=$A8)*(Data_Nhập[SKU name_NHẬP_GOM]=GP$3)),SUMPRODUCT(Data_Nhập[Tổng Nhập-NX]*(Data_Nhập[Year]=GP$1)*(Data_Nhập[Month]=GP$2)*(Data_Nhập[Main SKU name_GOM]=$A8)*(Data_Nhập[SKU name_NHẬP_GOM]=GP$3)))</f>
        <v>83964</v>
      </c>
      <c r="GQ8" s="24" cm="1">
        <f t="array" ref="GQ8">IF(GQ$2="FY",SUMPRODUCT(Data_Nhập[Tổng Nhập-NX]*(Data_Nhập[Year]=GQ$1)*(Data_Nhập[Main SKU name_GOM]=$A8)*(Data_Nhập[SKU name_NHẬP_GOM]=GQ$3)),SUMPRODUCT(Data_Nhập[Tổng Nhập-NX]*(Data_Nhập[Year]=GQ$1)*(Data_Nhập[Month]=GQ$2)*(Data_Nhập[Main SKU name_GOM]=$A8)*(Data_Nhập[SKU name_NHẬP_GOM]=GQ$3)))</f>
        <v>0</v>
      </c>
      <c r="GR8" s="25">
        <f t="shared" si="22"/>
        <v>2072580</v>
      </c>
      <c r="GT8" s="25" cm="1">
        <f t="array" ref="GT8">IF(GT$2="FY",SUMPRODUCT(Data_Xuất[Xuất-NX]*(Data_Xuất[Year]=GT$1)*(Data_Xuất[Main SKU name_GOM]=$A8)),SUMPRODUCT(Data_Xuất[Xuất-NX]*(Data_Xuất[Year]=GT$1)*(Data_Xuất[Main SKU name_GOM]=$A8)*(Data_Xuất[Month]=GT$2)))</f>
        <v>1835522.9999999998</v>
      </c>
      <c r="GU8" s="24" cm="1">
        <f t="array" ref="GU8">IF(GU$2="FY",SUMPRODUCT(Data_Nhập[Tổng Nhập-NX]*(Data_Nhập[Year]=GU$1)*(Data_Nhập[Main SKU name_GOM]=$A8)*(Data_Nhập[SKU name_NHẬP_GOM]=GU$3)),SUMPRODUCT(Data_Nhập[Tổng Nhập-NX]*(Data_Nhập[Year]=GU$1)*(Data_Nhập[Month]=GU$2)*(Data_Nhập[Main SKU name_GOM]=$A8)*(Data_Nhập[SKU name_NHẬP_GOM]=GU$3)))</f>
        <v>0</v>
      </c>
      <c r="GV8" s="24" cm="1">
        <f t="array" ref="GV8">IF(GV$2="FY",SUMPRODUCT(Data_Nhập[Tổng Nhập-NX]*(Data_Nhập[Year]=GV$1)*(Data_Nhập[Main SKU name_GOM]=$A8)*(Data_Nhập[SKU name_NHẬP_GOM]=GV$3)),SUMPRODUCT(Data_Nhập[Tổng Nhập-NX]*(Data_Nhập[Year]=GV$1)*(Data_Nhập[Month]=GV$2)*(Data_Nhập[Main SKU name_GOM]=$A8)*(Data_Nhập[SKU name_NHẬP_GOM]=GV$3)))</f>
        <v>244200</v>
      </c>
      <c r="GW8" s="24" cm="1">
        <f t="array" ref="GW8">IF(GW$2="FY",SUMPRODUCT(Data_Nhập[Tổng Nhập-NX]*(Data_Nhập[Year]=GW$1)*(Data_Nhập[Main SKU name_GOM]=$A8)*(Data_Nhập[SKU name_NHẬP_GOM]=GW$3)),SUMPRODUCT(Data_Nhập[Tổng Nhập-NX]*(Data_Nhập[Year]=GW$1)*(Data_Nhập[Month]=GW$2)*(Data_Nhập[Main SKU name_GOM]=$A8)*(Data_Nhập[SKU name_NHẬP_GOM]=GW$3)))</f>
        <v>1493800</v>
      </c>
      <c r="GX8" s="24" cm="1">
        <f t="array" ref="GX8">IF(GX$2="FY",SUMPRODUCT(Data_Nhập[Tổng Nhập-NX]*(Data_Nhập[Year]=GX$1)*(Data_Nhập[Main SKU name_GOM]=$A8)*(Data_Nhập[SKU name_NHẬP_GOM]=GX$3)),SUMPRODUCT(Data_Nhập[Tổng Nhập-NX]*(Data_Nhập[Year]=GX$1)*(Data_Nhập[Month]=GX$2)*(Data_Nhập[Main SKU name_GOM]=$A8)*(Data_Nhập[SKU name_NHẬP_GOM]=GX$3)))</f>
        <v>5500</v>
      </c>
      <c r="GY8" s="24" cm="1">
        <f t="array" ref="GY8">IF(GY$2="FY",SUMPRODUCT(Data_Nhập[Tổng Nhập-NX]*(Data_Nhập[Year]=GY$1)*(Data_Nhập[Main SKU name_GOM]=$A8)*(Data_Nhập[SKU name_NHẬP_GOM]=GY$3)),SUMPRODUCT(Data_Nhập[Tổng Nhập-NX]*(Data_Nhập[Year]=GY$1)*(Data_Nhập[Month]=GY$2)*(Data_Nhập[Main SKU name_GOM]=$A8)*(Data_Nhập[SKU name_NHẬP_GOM]=GY$3)))</f>
        <v>19835</v>
      </c>
      <c r="GZ8" s="24" cm="1">
        <f t="array" ref="GZ8">IF(GZ$2="FY",SUMPRODUCT(Data_Nhập[Tổng Nhập-NX]*(Data_Nhập[Year]=GZ$1)*(Data_Nhập[Main SKU name_GOM]=$A8)*(Data_Nhập[SKU name_NHẬP_GOM]=GZ$3)),SUMPRODUCT(Data_Nhập[Tổng Nhập-NX]*(Data_Nhập[Year]=GZ$1)*(Data_Nhập[Month]=GZ$2)*(Data_Nhập[Main SKU name_GOM]=$A8)*(Data_Nhập[SKU name_NHẬP_GOM]=GZ$3)))</f>
        <v>0</v>
      </c>
      <c r="HA8" s="24" cm="1">
        <f t="array" ref="HA8">IF(HA$2="FY",SUMPRODUCT(Data_Nhập[Tổng Nhập-NX]*(Data_Nhập[Year]=HA$1)*(Data_Nhập[Main SKU name_GOM]=$A8)*(Data_Nhập[SKU name_NHẬP_GOM]=HA$3)),SUMPRODUCT(Data_Nhập[Tổng Nhập-NX]*(Data_Nhập[Year]=HA$1)*(Data_Nhập[Month]=HA$2)*(Data_Nhập[Main SKU name_GOM]=$A8)*(Data_Nhập[SKU name_NHẬP_GOM]=HA$3)))</f>
        <v>0</v>
      </c>
      <c r="HB8" s="24" cm="1">
        <f t="array" ref="HB8">IF(HB$2="FY",SUMPRODUCT(Data_Nhập[Tổng Nhập-NX]*(Data_Nhập[Year]=HB$1)*(Data_Nhập[Main SKU name_GOM]=$A8)*(Data_Nhập[SKU name_NHẬP_GOM]=HB$3)),SUMPRODUCT(Data_Nhập[Tổng Nhập-NX]*(Data_Nhập[Year]=HB$1)*(Data_Nhập[Month]=HB$2)*(Data_Nhập[Main SKU name_GOM]=$A8)*(Data_Nhập[SKU name_NHẬP_GOM]=HB$3)))</f>
        <v>0</v>
      </c>
      <c r="HC8" s="24" cm="1">
        <f t="array" ref="HC8">IF(HC$2="FY",SUMPRODUCT(Data_Nhập[Tổng Nhập-NX]*(Data_Nhập[Year]=HC$1)*(Data_Nhập[Main SKU name_GOM]=$A8)*(Data_Nhập[SKU name_NHẬP_GOM]=HC$3)),SUMPRODUCT(Data_Nhập[Tổng Nhập-NX]*(Data_Nhập[Year]=HC$1)*(Data_Nhập[Month]=HC$2)*(Data_Nhập[Main SKU name_GOM]=$A8)*(Data_Nhập[SKU name_NHẬP_GOM]=HC$3)))</f>
        <v>0</v>
      </c>
      <c r="HD8" s="24" cm="1">
        <f t="array" ref="HD8">IF(HD$2="FY",SUMPRODUCT(Data_Nhập[Tổng Nhập-NX]*(Data_Nhập[Year]=HD$1)*(Data_Nhập[Main SKU name_GOM]=$A8)*(Data_Nhập[SKU name_NHẬP_GOM]=HD$3)),SUMPRODUCT(Data_Nhập[Tổng Nhập-NX]*(Data_Nhập[Year]=HD$1)*(Data_Nhập[Month]=HD$2)*(Data_Nhập[Main SKU name_GOM]=$A8)*(Data_Nhập[SKU name_NHẬP_GOM]=HD$3)))</f>
        <v>0</v>
      </c>
      <c r="HE8" s="24" cm="1">
        <f t="array" ref="HE8">IF(HE$2="FY",SUMPRODUCT(Data_Nhập[Tổng Nhập-NX]*(Data_Nhập[Year]=HE$1)*(Data_Nhập[Main SKU name_GOM]=$A8)*(Data_Nhập[SKU name_NHẬP_GOM]=HE$3)),SUMPRODUCT(Data_Nhập[Tổng Nhập-NX]*(Data_Nhập[Year]=HE$1)*(Data_Nhập[Month]=HE$2)*(Data_Nhập[Main SKU name_GOM]=$A8)*(Data_Nhập[SKU name_NHẬP_GOM]=HE$3)))</f>
        <v>0</v>
      </c>
      <c r="HF8" s="24" cm="1">
        <f t="array" ref="HF8">IF(HF$2="FY",SUMPRODUCT(Data_Nhập[Tổng Nhập-NX]*(Data_Nhập[Year]=HF$1)*(Data_Nhập[Main SKU name_GOM]=$A8)*(Data_Nhập[SKU name_NHẬP_GOM]=HF$3)),SUMPRODUCT(Data_Nhập[Tổng Nhập-NX]*(Data_Nhập[Year]=HF$1)*(Data_Nhập[Month]=HF$2)*(Data_Nhập[Main SKU name_GOM]=$A8)*(Data_Nhập[SKU name_NHẬP_GOM]=HF$3)))</f>
        <v>0</v>
      </c>
      <c r="HG8" s="24" cm="1">
        <f t="array" ref="HG8">IF(HG$2="FY",SUMPRODUCT(Data_Nhập[Tổng Nhập-NX]*(Data_Nhập[Year]=HG$1)*(Data_Nhập[Main SKU name_GOM]=$A8)*(Data_Nhập[SKU name_NHẬP_GOM]=HG$3)),SUMPRODUCT(Data_Nhập[Tổng Nhập-NX]*(Data_Nhập[Year]=HG$1)*(Data_Nhập[Month]=HG$2)*(Data_Nhập[Main SKU name_GOM]=$A8)*(Data_Nhập[SKU name_NHẬP_GOM]=HG$3)))</f>
        <v>0</v>
      </c>
      <c r="HH8" s="24" cm="1">
        <f t="array" ref="HH8">IF(HH$2="FY",SUMPRODUCT(Data_Nhập[Tổng Nhập-NX]*(Data_Nhập[Year]=HH$1)*(Data_Nhập[Main SKU name_GOM]=$A8)*(Data_Nhập[SKU name_NHẬP_GOM]=HH$3)),SUMPRODUCT(Data_Nhập[Tổng Nhập-NX]*(Data_Nhập[Year]=HH$1)*(Data_Nhập[Month]=HH$2)*(Data_Nhập[Main SKU name_GOM]=$A8)*(Data_Nhập[SKU name_NHẬP_GOM]=HH$3)))</f>
        <v>68469</v>
      </c>
      <c r="HI8" s="24" cm="1">
        <f t="array" ref="HI8">IF(HI$2="FY",SUMPRODUCT(Data_Nhập[Tổng Nhập-NX]*(Data_Nhập[Year]=HI$1)*(Data_Nhập[Main SKU name_GOM]=$A8)*(Data_Nhập[SKU name_NHẬP_GOM]=HI$3)),SUMPRODUCT(Data_Nhập[Tổng Nhập-NX]*(Data_Nhập[Year]=HI$1)*(Data_Nhập[Month]=HI$2)*(Data_Nhập[Main SKU name_GOM]=$A8)*(Data_Nhập[SKU name_NHẬP_GOM]=HI$3)))</f>
        <v>0</v>
      </c>
      <c r="HJ8" s="25">
        <f t="shared" si="23"/>
        <v>1831804</v>
      </c>
      <c r="HL8" s="25" cm="1">
        <f t="array" ref="HL8">IF(HL$2="FY",SUMPRODUCT(Data_Xuất[Xuất-NX]*(Data_Xuất[Year]=HL$1)*(Data_Xuất[Main SKU name_GOM]=$A8)),SUMPRODUCT(Data_Xuất[Xuất-NX]*(Data_Xuất[Year]=HL$1)*(Data_Xuất[Main SKU name_GOM]=$A8)*(Data_Xuất[Month]=HL$2)))</f>
        <v>1937290.4999999995</v>
      </c>
      <c r="HM8" s="24" cm="1">
        <f t="array" ref="HM8">IF(HM$2="FY",SUMPRODUCT(Data_Nhập[Tổng Nhập-NX]*(Data_Nhập[Year]=HM$1)*(Data_Nhập[Main SKU name_GOM]=$A8)*(Data_Nhập[SKU name_NHẬP_GOM]=HM$3)),SUMPRODUCT(Data_Nhập[Tổng Nhập-NX]*(Data_Nhập[Year]=HM$1)*(Data_Nhập[Month]=HM$2)*(Data_Nhập[Main SKU name_GOM]=$A8)*(Data_Nhập[SKU name_NHẬP_GOM]=HM$3)))</f>
        <v>0</v>
      </c>
      <c r="HN8" s="24" cm="1">
        <f t="array" ref="HN8">IF(HN$2="FY",SUMPRODUCT(Data_Nhập[Tổng Nhập-NX]*(Data_Nhập[Year]=HN$1)*(Data_Nhập[Main SKU name_GOM]=$A8)*(Data_Nhập[SKU name_NHẬP_GOM]=HN$3)),SUMPRODUCT(Data_Nhập[Tổng Nhập-NX]*(Data_Nhập[Year]=HN$1)*(Data_Nhập[Month]=HN$2)*(Data_Nhập[Main SKU name_GOM]=$A8)*(Data_Nhập[SKU name_NHẬP_GOM]=HN$3)))</f>
        <v>102300.00000000001</v>
      </c>
      <c r="HO8" s="24" cm="1">
        <f t="array" ref="HO8">IF(HO$2="FY",SUMPRODUCT(Data_Nhập[Tổng Nhập-NX]*(Data_Nhập[Year]=HO$1)*(Data_Nhập[Main SKU name_GOM]=$A8)*(Data_Nhập[SKU name_NHẬP_GOM]=HO$3)),SUMPRODUCT(Data_Nhập[Tổng Nhập-NX]*(Data_Nhập[Year]=HO$1)*(Data_Nhập[Month]=HO$2)*(Data_Nhập[Main SKU name_GOM]=$A8)*(Data_Nhập[SKU name_NHẬP_GOM]=HO$3)))</f>
        <v>1734700</v>
      </c>
      <c r="HP8" s="24" cm="1">
        <f t="array" ref="HP8">IF(HP$2="FY",SUMPRODUCT(Data_Nhập[Tổng Nhập-NX]*(Data_Nhập[Year]=HP$1)*(Data_Nhập[Main SKU name_GOM]=$A8)*(Data_Nhập[SKU name_NHẬP_GOM]=HP$3)),SUMPRODUCT(Data_Nhập[Tổng Nhập-NX]*(Data_Nhập[Year]=HP$1)*(Data_Nhập[Month]=HP$2)*(Data_Nhập[Main SKU name_GOM]=$A8)*(Data_Nhập[SKU name_NHẬP_GOM]=HP$3)))</f>
        <v>2200</v>
      </c>
      <c r="HQ8" s="24" cm="1">
        <f t="array" ref="HQ8">IF(HQ$2="FY",SUMPRODUCT(Data_Nhập[Tổng Nhập-NX]*(Data_Nhập[Year]=HQ$1)*(Data_Nhập[Main SKU name_GOM]=$A8)*(Data_Nhập[SKU name_NHẬP_GOM]=HQ$3)),SUMPRODUCT(Data_Nhập[Tổng Nhập-NX]*(Data_Nhập[Year]=HQ$1)*(Data_Nhập[Month]=HQ$2)*(Data_Nhập[Main SKU name_GOM]=$A8)*(Data_Nhập[SKU name_NHẬP_GOM]=HQ$3)))</f>
        <v>13200</v>
      </c>
      <c r="HR8" s="24" cm="1">
        <f t="array" ref="HR8">IF(HR$2="FY",SUMPRODUCT(Data_Nhập[Tổng Nhập-NX]*(Data_Nhập[Year]=HR$1)*(Data_Nhập[Main SKU name_GOM]=$A8)*(Data_Nhập[SKU name_NHẬP_GOM]=HR$3)),SUMPRODUCT(Data_Nhập[Tổng Nhập-NX]*(Data_Nhập[Year]=HR$1)*(Data_Nhập[Month]=HR$2)*(Data_Nhập[Main SKU name_GOM]=$A8)*(Data_Nhập[SKU name_NHẬP_GOM]=HR$3)))</f>
        <v>0</v>
      </c>
      <c r="HS8" s="24" cm="1">
        <f t="array" ref="HS8">IF(HS$2="FY",SUMPRODUCT(Data_Nhập[Tổng Nhập-NX]*(Data_Nhập[Year]=HS$1)*(Data_Nhập[Main SKU name_GOM]=$A8)*(Data_Nhập[SKU name_NHẬP_GOM]=HS$3)),SUMPRODUCT(Data_Nhập[Tổng Nhập-NX]*(Data_Nhập[Year]=HS$1)*(Data_Nhập[Month]=HS$2)*(Data_Nhập[Main SKU name_GOM]=$A8)*(Data_Nhập[SKU name_NHẬP_GOM]=HS$3)))</f>
        <v>0</v>
      </c>
      <c r="HT8" s="24" cm="1">
        <f t="array" ref="HT8">IF(HT$2="FY",SUMPRODUCT(Data_Nhập[Tổng Nhập-NX]*(Data_Nhập[Year]=HT$1)*(Data_Nhập[Main SKU name_GOM]=$A8)*(Data_Nhập[SKU name_NHẬP_GOM]=HT$3)),SUMPRODUCT(Data_Nhập[Tổng Nhập-NX]*(Data_Nhập[Year]=HT$1)*(Data_Nhập[Month]=HT$2)*(Data_Nhập[Main SKU name_GOM]=$A8)*(Data_Nhập[SKU name_NHẬP_GOM]=HT$3)))</f>
        <v>0</v>
      </c>
      <c r="HU8" s="24" cm="1">
        <f t="array" ref="HU8">IF(HU$2="FY",SUMPRODUCT(Data_Nhập[Tổng Nhập-NX]*(Data_Nhập[Year]=HU$1)*(Data_Nhập[Main SKU name_GOM]=$A8)*(Data_Nhập[SKU name_NHẬP_GOM]=HU$3)),SUMPRODUCT(Data_Nhập[Tổng Nhập-NX]*(Data_Nhập[Year]=HU$1)*(Data_Nhập[Month]=HU$2)*(Data_Nhập[Main SKU name_GOM]=$A8)*(Data_Nhập[SKU name_NHẬP_GOM]=HU$3)))</f>
        <v>0</v>
      </c>
      <c r="HV8" s="24" cm="1">
        <f t="array" ref="HV8">IF(HV$2="FY",SUMPRODUCT(Data_Nhập[Tổng Nhập-NX]*(Data_Nhập[Year]=HV$1)*(Data_Nhập[Main SKU name_GOM]=$A8)*(Data_Nhập[SKU name_NHẬP_GOM]=HV$3)),SUMPRODUCT(Data_Nhập[Tổng Nhập-NX]*(Data_Nhập[Year]=HV$1)*(Data_Nhập[Month]=HV$2)*(Data_Nhập[Main SKU name_GOM]=$A8)*(Data_Nhập[SKU name_NHẬP_GOM]=HV$3)))</f>
        <v>0</v>
      </c>
      <c r="HW8" s="24" cm="1">
        <f t="array" ref="HW8">IF(HW$2="FY",SUMPRODUCT(Data_Nhập[Tổng Nhập-NX]*(Data_Nhập[Year]=HW$1)*(Data_Nhập[Main SKU name_GOM]=$A8)*(Data_Nhập[SKU name_NHẬP_GOM]=HW$3)),SUMPRODUCT(Data_Nhập[Tổng Nhập-NX]*(Data_Nhập[Year]=HW$1)*(Data_Nhập[Month]=HW$2)*(Data_Nhập[Main SKU name_GOM]=$A8)*(Data_Nhập[SKU name_NHẬP_GOM]=HW$3)))</f>
        <v>13200</v>
      </c>
      <c r="HX8" s="24" cm="1">
        <f t="array" ref="HX8">IF(HX$2="FY",SUMPRODUCT(Data_Nhập[Tổng Nhập-NX]*(Data_Nhập[Year]=HX$1)*(Data_Nhập[Main SKU name_GOM]=$A8)*(Data_Nhập[SKU name_NHẬP_GOM]=HX$3)),SUMPRODUCT(Data_Nhập[Tổng Nhập-NX]*(Data_Nhập[Year]=HX$1)*(Data_Nhập[Month]=HX$2)*(Data_Nhập[Main SKU name_GOM]=$A8)*(Data_Nhập[SKU name_NHẬP_GOM]=HX$3)))</f>
        <v>3300</v>
      </c>
      <c r="HY8" s="24" cm="1">
        <f t="array" ref="HY8">IF(HY$2="FY",SUMPRODUCT(Data_Nhập[Tổng Nhập-NX]*(Data_Nhập[Year]=HY$1)*(Data_Nhập[Main SKU name_GOM]=$A8)*(Data_Nhập[SKU name_NHẬP_GOM]=HY$3)),SUMPRODUCT(Data_Nhập[Tổng Nhập-NX]*(Data_Nhập[Year]=HY$1)*(Data_Nhập[Month]=HY$2)*(Data_Nhập[Main SKU name_GOM]=$A8)*(Data_Nhập[SKU name_NHẬP_GOM]=HY$3)))</f>
        <v>0</v>
      </c>
      <c r="HZ8" s="24" cm="1">
        <f t="array" ref="HZ8">IF(HZ$2="FY",SUMPRODUCT(Data_Nhập[Tổng Nhập-NX]*(Data_Nhập[Year]=HZ$1)*(Data_Nhập[Main SKU name_GOM]=$A8)*(Data_Nhập[SKU name_NHẬP_GOM]=HZ$3)),SUMPRODUCT(Data_Nhập[Tổng Nhập-NX]*(Data_Nhập[Year]=HZ$1)*(Data_Nhập[Month]=HZ$2)*(Data_Nhập[Main SKU name_GOM]=$A8)*(Data_Nhập[SKU name_NHẬP_GOM]=HZ$3)))</f>
        <v>65060</v>
      </c>
      <c r="IA8" s="24" cm="1">
        <f t="array" ref="IA8">IF(IA$2="FY",SUMPRODUCT(Data_Nhập[Tổng Nhập-NX]*(Data_Nhập[Year]=IA$1)*(Data_Nhập[Main SKU name_GOM]=$A8)*(Data_Nhập[SKU name_NHẬP_GOM]=IA$3)),SUMPRODUCT(Data_Nhập[Tổng Nhập-NX]*(Data_Nhập[Year]=IA$1)*(Data_Nhập[Month]=IA$2)*(Data_Nhập[Main SKU name_GOM]=$A8)*(Data_Nhập[SKU name_NHẬP_GOM]=IA$3)))</f>
        <v>0</v>
      </c>
      <c r="IB8" s="25">
        <f t="shared" si="24"/>
        <v>1933960</v>
      </c>
    </row>
    <row r="9" spans="1:236" x14ac:dyDescent="0.35">
      <c r="A9" s="5" t="s">
        <v>71</v>
      </c>
      <c r="B9" s="22" t="s">
        <v>71</v>
      </c>
      <c r="D9" s="42" cm="1">
        <f t="array" ref="D9">IF(D$2="FY",SUMPRODUCT(Data_Xuất[Xuất-NX]*(Data_Xuất[Year]=D$1)*(Data_Xuất[Main SKU name_GOM]=$A9)),SUMPRODUCT(Data_Xuất[Xuất-NX]*(Data_Xuất[Year]=D$1)*(Data_Xuất[Main SKU name_GOM]=$A9)*Data_Xuất[Month]=D$2))</f>
        <v>303749.99999999994</v>
      </c>
      <c r="E9" s="24" cm="1">
        <f t="array" ref="E9">IF(E$2="FY",SUMPRODUCT(Data_Nhập[Tổng Nhập-NX]*(Data_Nhập[Year]=E$1)*(Data_Nhập[Main SKU name_GOM]=$A9)*(Data_Nhập[SKU name_NHẬP_GOM]=E$3)),SUMPRODUCT(Data_Nhập[Tổng Nhập-NX]*(Data_Nhập[Year]=E$1)*(Data_Nhập[Month]=E$2)*(Data_Nhập[Main SKU name_GOM]=$A9)*(Data_Nhập[SKU name_NHẬP_GOM]=E$3)))</f>
        <v>0</v>
      </c>
      <c r="F9" s="24" cm="1">
        <f t="array" ref="F9">IF(F$2="FY",SUMPRODUCT(Data_Nhập[Tổng Nhập-NX]*(Data_Nhập[Year]=F$1)*(Data_Nhập[Main SKU name_GOM]=$A9)*(Data_Nhập[SKU name_NHẬP_GOM]=F$3)),SUMPRODUCT(Data_Nhập[Tổng Nhập-NX]*(Data_Nhập[Year]=F$1)*(Data_Nhập[Month]=F$2)*(Data_Nhập[Main SKU name_GOM]=$A9)*(Data_Nhập[SKU name_NHẬP_GOM]=F$3)))</f>
        <v>0</v>
      </c>
      <c r="G9" s="24" cm="1">
        <f t="array" ref="G9">IF(G$2="FY",SUMPRODUCT(Data_Nhập[Tổng Nhập-NX]*(Data_Nhập[Year]=G$1)*(Data_Nhập[Main SKU name_GOM]=$A9)*(Data_Nhập[SKU name_NHẬP_GOM]=G$3)),SUMPRODUCT(Data_Nhập[Tổng Nhập-NX]*(Data_Nhập[Year]=G$1)*(Data_Nhập[Month]=G$2)*(Data_Nhập[Main SKU name_GOM]=$A9)*(Data_Nhập[SKU name_NHẬP_GOM]=G$3)))</f>
        <v>0</v>
      </c>
      <c r="H9" s="24" cm="1">
        <f t="array" ref="H9">IF(H$2="FY",SUMPRODUCT(Data_Nhập[Tổng Nhập-NX]*(Data_Nhập[Year]=H$1)*(Data_Nhập[Main SKU name_GOM]=$A9)*(Data_Nhập[SKU name_NHẬP_GOM]=H$3)),SUMPRODUCT(Data_Nhập[Tổng Nhập-NX]*(Data_Nhập[Year]=H$1)*(Data_Nhập[Month]=H$2)*(Data_Nhập[Main SKU name_GOM]=$A9)*(Data_Nhập[SKU name_NHẬP_GOM]=H$3)))</f>
        <v>2200</v>
      </c>
      <c r="I9" s="24" cm="1">
        <f t="array" ref="I9">IF(I$2="FY",SUMPRODUCT(Data_Nhập[Tổng Nhập-NX]*(Data_Nhập[Year]=I$1)*(Data_Nhập[Main SKU name_GOM]=$A9)*(Data_Nhập[SKU name_NHẬP_GOM]=I$3)),SUMPRODUCT(Data_Nhập[Tổng Nhập-NX]*(Data_Nhập[Year]=I$1)*(Data_Nhập[Month]=I$2)*(Data_Nhập[Main SKU name_GOM]=$A9)*(Data_Nhập[SKU name_NHẬP_GOM]=I$3)))</f>
        <v>264991</v>
      </c>
      <c r="J9" s="24" cm="1">
        <f t="array" ref="J9">IF(J$2="FY",SUMPRODUCT(Data_Nhập[Tổng Nhập-NX]*(Data_Nhập[Year]=J$1)*(Data_Nhập[Main SKU name_GOM]=$A9)*(Data_Nhập[SKU name_NHẬP_GOM]=J$3)),SUMPRODUCT(Data_Nhập[Tổng Nhập-NX]*(Data_Nhập[Year]=J$1)*(Data_Nhập[Month]=J$2)*(Data_Nhập[Main SKU name_GOM]=$A9)*(Data_Nhập[SKU name_NHẬP_GOM]=J$3)))</f>
        <v>0</v>
      </c>
      <c r="K9" s="24" cm="1">
        <f t="array" ref="K9">IF(K$2="FY",SUMPRODUCT(Data_Nhập[Tổng Nhập-NX]*(Data_Nhập[Year]=K$1)*(Data_Nhập[Main SKU name_GOM]=$A9)*(Data_Nhập[SKU name_NHẬP_GOM]=K$3)),SUMPRODUCT(Data_Nhập[Tổng Nhập-NX]*(Data_Nhập[Year]=K$1)*(Data_Nhập[Month]=K$2)*(Data_Nhập[Main SKU name_GOM]=$A9)*(Data_Nhập[SKU name_NHẬP_GOM]=K$3)))</f>
        <v>6994</v>
      </c>
      <c r="L9" s="24" cm="1">
        <f t="array" ref="L9">IF(L$2="FY",SUMPRODUCT(Data_Nhập[Tổng Nhập-NX]*(Data_Nhập[Year]=L$1)*(Data_Nhập[Main SKU name_GOM]=$A9)*(Data_Nhập[SKU name_NHẬP_GOM]=L$3)),SUMPRODUCT(Data_Nhập[Tổng Nhập-NX]*(Data_Nhập[Year]=L$1)*(Data_Nhập[Month]=L$2)*(Data_Nhập[Main SKU name_GOM]=$A9)*(Data_Nhập[SKU name_NHẬP_GOM]=L$3)))</f>
        <v>0</v>
      </c>
      <c r="M9" s="24" cm="1">
        <f t="array" ref="M9">IF(M$2="FY",SUMPRODUCT(Data_Nhập[Tổng Nhập-NX]*(Data_Nhập[Year]=M$1)*(Data_Nhập[Main SKU name_GOM]=$A9)*(Data_Nhập[SKU name_NHẬP_GOM]=M$3)),SUMPRODUCT(Data_Nhập[Tổng Nhập-NX]*(Data_Nhập[Year]=M$1)*(Data_Nhập[Month]=M$2)*(Data_Nhập[Main SKU name_GOM]=$A9)*(Data_Nhập[SKU name_NHẬP_GOM]=M$3)))</f>
        <v>0</v>
      </c>
      <c r="N9" s="24" cm="1">
        <f t="array" ref="N9">IF(N$2="FY",SUMPRODUCT(Data_Nhập[Tổng Nhập-NX]*(Data_Nhập[Year]=N$1)*(Data_Nhập[Main SKU name_GOM]=$A9)*(Data_Nhập[SKU name_NHẬP_GOM]=N$3)),SUMPRODUCT(Data_Nhập[Tổng Nhập-NX]*(Data_Nhập[Year]=N$1)*(Data_Nhập[Month]=N$2)*(Data_Nhập[Main SKU name_GOM]=$A9)*(Data_Nhập[SKU name_NHẬP_GOM]=N$3)))</f>
        <v>0</v>
      </c>
      <c r="O9" s="24" cm="1">
        <f t="array" ref="O9">IF(O$2="FY",SUMPRODUCT(Data_Nhập[Tổng Nhập-NX]*(Data_Nhập[Year]=O$1)*(Data_Nhập[Main SKU name_GOM]=$A9)*(Data_Nhập[SKU name_NHẬP_GOM]=O$3)),SUMPRODUCT(Data_Nhập[Tổng Nhập-NX]*(Data_Nhập[Year]=O$1)*(Data_Nhập[Month]=O$2)*(Data_Nhập[Main SKU name_GOM]=$A9)*(Data_Nhập[SKU name_NHẬP_GOM]=O$3)))</f>
        <v>0</v>
      </c>
      <c r="P9" s="24" cm="1">
        <f t="array" ref="P9">IF(P$2="FY",SUMPRODUCT(Data_Nhập[Tổng Nhập-NX]*(Data_Nhập[Year]=P$1)*(Data_Nhập[Main SKU name_GOM]=$A9)*(Data_Nhập[SKU name_NHẬP_GOM]=P$3)),SUMPRODUCT(Data_Nhập[Tổng Nhập-NX]*(Data_Nhập[Year]=P$1)*(Data_Nhập[Month]=P$2)*(Data_Nhập[Main SKU name_GOM]=$A9)*(Data_Nhập[SKU name_NHẬP_GOM]=P$3)))</f>
        <v>0</v>
      </c>
      <c r="Q9" s="24" cm="1">
        <f t="array" ref="Q9">IF(Q$2="FY",SUMPRODUCT(Data_Nhập[Tổng Nhập-NX]*(Data_Nhập[Year]=Q$1)*(Data_Nhập[Main SKU name_GOM]=$A9)*(Data_Nhập[SKU name_NHẬP_GOM]=Q$3)),SUMPRODUCT(Data_Nhập[Tổng Nhập-NX]*(Data_Nhập[Year]=Q$1)*(Data_Nhập[Month]=Q$2)*(Data_Nhập[Main SKU name_GOM]=$A9)*(Data_Nhập[SKU name_NHẬP_GOM]=Q$3)))</f>
        <v>0</v>
      </c>
      <c r="R9" s="24" cm="1">
        <f t="array" ref="R9">IF(R$2="FY",SUMPRODUCT(Data_Nhập[Tổng Nhập-NX]*(Data_Nhập[Year]=R$1)*(Data_Nhập[Main SKU name_GOM]=$A9)*(Data_Nhập[SKU name_NHẬP_GOM]=R$3)),SUMPRODUCT(Data_Nhập[Tổng Nhập-NX]*(Data_Nhập[Year]=R$1)*(Data_Nhập[Month]=R$2)*(Data_Nhập[Main SKU name_GOM]=$A9)*(Data_Nhập[SKU name_NHẬP_GOM]=R$3)))</f>
        <v>27406</v>
      </c>
      <c r="S9" s="24" cm="1">
        <f t="array" ref="S9">IF(S$2="FY",SUMPRODUCT(Data_Nhập[Tổng Nhập-NX]*(Data_Nhập[Year]=S$1)*(Data_Nhập[Main SKU name_GOM]=$A9)*(Data_Nhập[SKU name_NHẬP_GOM]=S$3)),SUMPRODUCT(Data_Nhập[Tổng Nhập-NX]*(Data_Nhập[Year]=S$1)*(Data_Nhập[Month]=S$2)*(Data_Nhập[Main SKU name_GOM]=$A9)*(Data_Nhập[SKU name_NHẬP_GOM]=S$3)))</f>
        <v>0</v>
      </c>
      <c r="T9" s="25">
        <f t="shared" si="12"/>
        <v>301591</v>
      </c>
      <c r="V9" s="25" cm="1">
        <f t="array" ref="V9">IF(V$2="FY",SUMPRODUCT(Data_Xuất[Xuất-NX]*(Data_Xuất[Year]=V$1)*(Data_Xuất[Main SKU name_GOM]=$A9)),SUMPRODUCT(Data_Xuất[Xuất-NX]*(Data_Xuất[Year]=V$1)*(Data_Xuất[Main SKU name_GOM]=$A9)*(Data_Xuất[Month]=V$2)))</f>
        <v>5500</v>
      </c>
      <c r="W9" s="24" cm="1">
        <f t="array" ref="W9">IF(W$2="FY",SUMPRODUCT(Data_Nhập[Tổng Nhập-NX]*(Data_Nhập[Year]=W$1)*(Data_Nhập[Main SKU name_GOM]=$A9)*(Data_Nhập[SKU name_NHẬP_GOM]=W$3)),SUMPRODUCT(Data_Nhập[Tổng Nhập-NX]*(Data_Nhập[Year]=W$1)*(Data_Nhập[Month]=W$2)*(Data_Nhập[Main SKU name_GOM]=$A9)*(Data_Nhập[SKU name_NHẬP_GOM]=W$3)))</f>
        <v>0</v>
      </c>
      <c r="X9" s="24" cm="1">
        <f t="array" ref="X9">IF(X$2="FY",SUMPRODUCT(Data_Nhập[Tổng Nhập-NX]*(Data_Nhập[Year]=X$1)*(Data_Nhập[Main SKU name_GOM]=$A9)*(Data_Nhập[SKU name_NHẬP_GOM]=X$3)),SUMPRODUCT(Data_Nhập[Tổng Nhập-NX]*(Data_Nhập[Year]=X$1)*(Data_Nhập[Month]=X$2)*(Data_Nhập[Main SKU name_GOM]=$A9)*(Data_Nhập[SKU name_NHẬP_GOM]=X$3)))</f>
        <v>0</v>
      </c>
      <c r="Y9" s="24" cm="1">
        <f t="array" ref="Y9">IF(Y$2="FY",SUMPRODUCT(Data_Nhập[Tổng Nhập-NX]*(Data_Nhập[Year]=Y$1)*(Data_Nhập[Main SKU name_GOM]=$A9)*(Data_Nhập[SKU name_NHẬP_GOM]=Y$3)),SUMPRODUCT(Data_Nhập[Tổng Nhập-NX]*(Data_Nhập[Year]=Y$1)*(Data_Nhập[Month]=Y$2)*(Data_Nhập[Main SKU name_GOM]=$A9)*(Data_Nhập[SKU name_NHẬP_GOM]=Y$3)))</f>
        <v>0</v>
      </c>
      <c r="Z9" s="24" cm="1">
        <f t="array" ref="Z9">IF(Z$2="FY",SUMPRODUCT(Data_Nhập[Tổng Nhập-NX]*(Data_Nhập[Year]=Z$1)*(Data_Nhập[Main SKU name_GOM]=$A9)*(Data_Nhập[SKU name_NHẬP_GOM]=Z$3)),SUMPRODUCT(Data_Nhập[Tổng Nhập-NX]*(Data_Nhập[Year]=Z$1)*(Data_Nhập[Month]=Z$2)*(Data_Nhập[Main SKU name_GOM]=$A9)*(Data_Nhập[SKU name_NHẬP_GOM]=Z$3)))</f>
        <v>0</v>
      </c>
      <c r="AA9" s="24" cm="1">
        <f t="array" ref="AA9">IF(AA$2="FY",SUMPRODUCT(Data_Nhập[Tổng Nhập-NX]*(Data_Nhập[Year]=AA$1)*(Data_Nhập[Main SKU name_GOM]=$A9)*(Data_Nhập[SKU name_NHẬP_GOM]=AA$3)),SUMPRODUCT(Data_Nhập[Tổng Nhập-NX]*(Data_Nhập[Year]=AA$1)*(Data_Nhập[Month]=AA$2)*(Data_Nhập[Main SKU name_GOM]=$A9)*(Data_Nhập[SKU name_NHẬP_GOM]=AA$3)))</f>
        <v>561</v>
      </c>
      <c r="AB9" s="24" cm="1">
        <f t="array" ref="AB9">IF(AB$2="FY",SUMPRODUCT(Data_Nhập[Tổng Nhập-NX]*(Data_Nhập[Year]=AB$1)*(Data_Nhập[Main SKU name_GOM]=$A9)*(Data_Nhập[SKU name_NHẬP_GOM]=AB$3)),SUMPRODUCT(Data_Nhập[Tổng Nhập-NX]*(Data_Nhập[Year]=AB$1)*(Data_Nhập[Month]=AB$2)*(Data_Nhập[Main SKU name_GOM]=$A9)*(Data_Nhập[SKU name_NHẬP_GOM]=AB$3)))</f>
        <v>0</v>
      </c>
      <c r="AC9" s="24" cm="1">
        <f t="array" ref="AC9">IF(AC$2="FY",SUMPRODUCT(Data_Nhập[Tổng Nhập-NX]*(Data_Nhập[Year]=AC$1)*(Data_Nhập[Main SKU name_GOM]=$A9)*(Data_Nhập[SKU name_NHẬP_GOM]=AC$3)),SUMPRODUCT(Data_Nhập[Tổng Nhập-NX]*(Data_Nhập[Year]=AC$1)*(Data_Nhập[Month]=AC$2)*(Data_Nhập[Main SKU name_GOM]=$A9)*(Data_Nhập[SKU name_NHẬP_GOM]=AC$3)))</f>
        <v>4130</v>
      </c>
      <c r="AD9" s="24" cm="1">
        <f t="array" ref="AD9">IF(AD$2="FY",SUMPRODUCT(Data_Nhập[Tổng Nhập-NX]*(Data_Nhập[Year]=AD$1)*(Data_Nhập[Main SKU name_GOM]=$A9)*(Data_Nhập[SKU name_NHẬP_GOM]=AD$3)),SUMPRODUCT(Data_Nhập[Tổng Nhập-NX]*(Data_Nhập[Year]=AD$1)*(Data_Nhập[Month]=AD$2)*(Data_Nhập[Main SKU name_GOM]=$A9)*(Data_Nhập[SKU name_NHẬP_GOM]=AD$3)))</f>
        <v>0</v>
      </c>
      <c r="AE9" s="24" cm="1">
        <f t="array" ref="AE9">IF(AE$2="FY",SUMPRODUCT(Data_Nhập[Tổng Nhập-NX]*(Data_Nhập[Year]=AE$1)*(Data_Nhập[Main SKU name_GOM]=$A9)*(Data_Nhập[SKU name_NHẬP_GOM]=AE$3)),SUMPRODUCT(Data_Nhập[Tổng Nhập-NX]*(Data_Nhập[Year]=AE$1)*(Data_Nhập[Month]=AE$2)*(Data_Nhập[Main SKU name_GOM]=$A9)*(Data_Nhập[SKU name_NHẬP_GOM]=AE$3)))</f>
        <v>0</v>
      </c>
      <c r="AF9" s="24" cm="1">
        <f t="array" ref="AF9">IF(AF$2="FY",SUMPRODUCT(Data_Nhập[Tổng Nhập-NX]*(Data_Nhập[Year]=AF$1)*(Data_Nhập[Main SKU name_GOM]=$A9)*(Data_Nhập[SKU name_NHẬP_GOM]=AF$3)),SUMPRODUCT(Data_Nhập[Tổng Nhập-NX]*(Data_Nhập[Year]=AF$1)*(Data_Nhập[Month]=AF$2)*(Data_Nhập[Main SKU name_GOM]=$A9)*(Data_Nhập[SKU name_NHẬP_GOM]=AF$3)))</f>
        <v>0</v>
      </c>
      <c r="AG9" s="24" cm="1">
        <f t="array" ref="AG9">IF(AG$2="FY",SUMPRODUCT(Data_Nhập[Tổng Nhập-NX]*(Data_Nhập[Year]=AG$1)*(Data_Nhập[Main SKU name_GOM]=$A9)*(Data_Nhập[SKU name_NHẬP_GOM]=AG$3)),SUMPRODUCT(Data_Nhập[Tổng Nhập-NX]*(Data_Nhập[Year]=AG$1)*(Data_Nhập[Month]=AG$2)*(Data_Nhập[Main SKU name_GOM]=$A9)*(Data_Nhập[SKU name_NHẬP_GOM]=AG$3)))</f>
        <v>0</v>
      </c>
      <c r="AH9" s="24" cm="1">
        <f t="array" ref="AH9">IF(AH$2="FY",SUMPRODUCT(Data_Nhập[Tổng Nhập-NX]*(Data_Nhập[Year]=AH$1)*(Data_Nhập[Main SKU name_GOM]=$A9)*(Data_Nhập[SKU name_NHẬP_GOM]=AH$3)),SUMPRODUCT(Data_Nhập[Tổng Nhập-NX]*(Data_Nhập[Year]=AH$1)*(Data_Nhập[Month]=AH$2)*(Data_Nhập[Main SKU name_GOM]=$A9)*(Data_Nhập[SKU name_NHẬP_GOM]=AH$3)))</f>
        <v>0</v>
      </c>
      <c r="AI9" s="24" cm="1">
        <f t="array" ref="AI9">IF(AI$2="FY",SUMPRODUCT(Data_Nhập[Tổng Nhập-NX]*(Data_Nhập[Year]=AI$1)*(Data_Nhập[Main SKU name_GOM]=$A9)*(Data_Nhập[SKU name_NHẬP_GOM]=AI$3)),SUMPRODUCT(Data_Nhập[Tổng Nhập-NX]*(Data_Nhập[Year]=AI$1)*(Data_Nhập[Month]=AI$2)*(Data_Nhập[Main SKU name_GOM]=$A9)*(Data_Nhập[SKU name_NHẬP_GOM]=AI$3)))</f>
        <v>0</v>
      </c>
      <c r="AJ9" s="24" cm="1">
        <f t="array" ref="AJ9">IF(AJ$2="FY",SUMPRODUCT(Data_Nhập[Tổng Nhập-NX]*(Data_Nhập[Year]=AJ$1)*(Data_Nhập[Main SKU name_GOM]=$A9)*(Data_Nhập[SKU name_NHẬP_GOM]=AJ$3)),SUMPRODUCT(Data_Nhập[Tổng Nhập-NX]*(Data_Nhập[Year]=AJ$1)*(Data_Nhập[Month]=AJ$2)*(Data_Nhập[Main SKU name_GOM]=$A9)*(Data_Nhập[SKU name_NHẬP_GOM]=AJ$3)))</f>
        <v>706</v>
      </c>
      <c r="AK9" s="24" cm="1">
        <f t="array" ref="AK9">IF(AK$2="FY",SUMPRODUCT(Data_Nhập[Tổng Nhập-NX]*(Data_Nhập[Year]=AK$1)*(Data_Nhập[Main SKU name_GOM]=$A9)*(Data_Nhập[SKU name_NHẬP_GOM]=AK$3)),SUMPRODUCT(Data_Nhập[Tổng Nhập-NX]*(Data_Nhập[Year]=AK$1)*(Data_Nhập[Month]=AK$2)*(Data_Nhập[Main SKU name_GOM]=$A9)*(Data_Nhập[SKU name_NHẬP_GOM]=AK$3)))</f>
        <v>0</v>
      </c>
      <c r="AL9" s="25">
        <f t="shared" si="13"/>
        <v>5397</v>
      </c>
      <c r="AN9" s="25" cm="1">
        <f t="array" ref="AN9">IF(AN$2="FY",SUMPRODUCT(Data_Xuất[Xuất-NX]*(Data_Xuất[Year]=AN$1)*(Data_Xuất[Main SKU name_GOM]=$A9)),SUMPRODUCT(Data_Xuất[Xuất-NX]*(Data_Xuất[Year]=AN$1)*(Data_Xuất[Main SKU name_GOM]=$A9)*(Data_Xuất[Month]=AN$2)))</f>
        <v>3600</v>
      </c>
      <c r="AO9" s="24" cm="1">
        <f t="array" ref="AO9">IF(AO$2="FY",SUMPRODUCT(Data_Nhập[Tổng Nhập-NX]*(Data_Nhập[Year]=AO$1)*(Data_Nhập[Main SKU name_GOM]=$A9)*(Data_Nhập[SKU name_NHẬP_GOM]=AO$3)),SUMPRODUCT(Data_Nhập[Tổng Nhập-NX]*(Data_Nhập[Year]=AO$1)*(Data_Nhập[Month]=AO$2)*(Data_Nhập[Main SKU name_GOM]=$A9)*(Data_Nhập[SKU name_NHẬP_GOM]=AO$3)))</f>
        <v>0</v>
      </c>
      <c r="AP9" s="24" cm="1">
        <f t="array" ref="AP9">IF(AP$2="FY",SUMPRODUCT(Data_Nhập[Tổng Nhập-NX]*(Data_Nhập[Year]=AP$1)*(Data_Nhập[Main SKU name_GOM]=$A9)*(Data_Nhập[SKU name_NHẬP_GOM]=AP$3)),SUMPRODUCT(Data_Nhập[Tổng Nhập-NX]*(Data_Nhập[Year]=AP$1)*(Data_Nhập[Month]=AP$2)*(Data_Nhập[Main SKU name_GOM]=$A9)*(Data_Nhập[SKU name_NHẬP_GOM]=AP$3)))</f>
        <v>0</v>
      </c>
      <c r="AQ9" s="24" cm="1">
        <f t="array" ref="AQ9">IF(AQ$2="FY",SUMPRODUCT(Data_Nhập[Tổng Nhập-NX]*(Data_Nhập[Year]=AQ$1)*(Data_Nhập[Main SKU name_GOM]=$A9)*(Data_Nhập[SKU name_NHẬP_GOM]=AQ$3)),SUMPRODUCT(Data_Nhập[Tổng Nhập-NX]*(Data_Nhập[Year]=AQ$1)*(Data_Nhập[Month]=AQ$2)*(Data_Nhập[Main SKU name_GOM]=$A9)*(Data_Nhập[SKU name_NHẬP_GOM]=AQ$3)))</f>
        <v>0</v>
      </c>
      <c r="AR9" s="24" cm="1">
        <f t="array" ref="AR9">IF(AR$2="FY",SUMPRODUCT(Data_Nhập[Tổng Nhập-NX]*(Data_Nhập[Year]=AR$1)*(Data_Nhập[Main SKU name_GOM]=$A9)*(Data_Nhập[SKU name_NHẬP_GOM]=AR$3)),SUMPRODUCT(Data_Nhập[Tổng Nhập-NX]*(Data_Nhập[Year]=AR$1)*(Data_Nhập[Month]=AR$2)*(Data_Nhập[Main SKU name_GOM]=$A9)*(Data_Nhập[SKU name_NHẬP_GOM]=AR$3)))</f>
        <v>0</v>
      </c>
      <c r="AS9" s="24" cm="1">
        <f t="array" ref="AS9">IF(AS$2="FY",SUMPRODUCT(Data_Nhập[Tổng Nhập-NX]*(Data_Nhập[Year]=AS$1)*(Data_Nhập[Main SKU name_GOM]=$A9)*(Data_Nhập[SKU name_NHẬP_GOM]=AS$3)),SUMPRODUCT(Data_Nhập[Tổng Nhập-NX]*(Data_Nhập[Year]=AS$1)*(Data_Nhập[Month]=AS$2)*(Data_Nhập[Main SKU name_GOM]=$A9)*(Data_Nhập[SKU name_NHẬP_GOM]=AS$3)))</f>
        <v>0</v>
      </c>
      <c r="AT9" s="24" cm="1">
        <f t="array" ref="AT9">IF(AT$2="FY",SUMPRODUCT(Data_Nhập[Tổng Nhập-NX]*(Data_Nhập[Year]=AT$1)*(Data_Nhập[Main SKU name_GOM]=$A9)*(Data_Nhập[SKU name_NHẬP_GOM]=AT$3)),SUMPRODUCT(Data_Nhập[Tổng Nhập-NX]*(Data_Nhập[Year]=AT$1)*(Data_Nhập[Month]=AT$2)*(Data_Nhập[Main SKU name_GOM]=$A9)*(Data_Nhập[SKU name_NHẬP_GOM]=AT$3)))</f>
        <v>0</v>
      </c>
      <c r="AU9" s="24" cm="1">
        <f t="array" ref="AU9">IF(AU$2="FY",SUMPRODUCT(Data_Nhập[Tổng Nhập-NX]*(Data_Nhập[Year]=AU$1)*(Data_Nhập[Main SKU name_GOM]=$A9)*(Data_Nhập[SKU name_NHẬP_GOM]=AU$3)),SUMPRODUCT(Data_Nhập[Tổng Nhập-NX]*(Data_Nhập[Year]=AU$1)*(Data_Nhập[Month]=AU$2)*(Data_Nhập[Main SKU name_GOM]=$A9)*(Data_Nhập[SKU name_NHẬP_GOM]=AU$3)))</f>
        <v>2864</v>
      </c>
      <c r="AV9" s="24" cm="1">
        <f t="array" ref="AV9">IF(AV$2="FY",SUMPRODUCT(Data_Nhập[Tổng Nhập-NX]*(Data_Nhập[Year]=AV$1)*(Data_Nhập[Main SKU name_GOM]=$A9)*(Data_Nhập[SKU name_NHẬP_GOM]=AV$3)),SUMPRODUCT(Data_Nhập[Tổng Nhập-NX]*(Data_Nhập[Year]=AV$1)*(Data_Nhập[Month]=AV$2)*(Data_Nhập[Main SKU name_GOM]=$A9)*(Data_Nhập[SKU name_NHẬP_GOM]=AV$3)))</f>
        <v>0</v>
      </c>
      <c r="AW9" s="24" cm="1">
        <f t="array" ref="AW9">IF(AW$2="FY",SUMPRODUCT(Data_Nhập[Tổng Nhập-NX]*(Data_Nhập[Year]=AW$1)*(Data_Nhập[Main SKU name_GOM]=$A9)*(Data_Nhập[SKU name_NHẬP_GOM]=AW$3)),SUMPRODUCT(Data_Nhập[Tổng Nhập-NX]*(Data_Nhập[Year]=AW$1)*(Data_Nhập[Month]=AW$2)*(Data_Nhập[Main SKU name_GOM]=$A9)*(Data_Nhập[SKU name_NHẬP_GOM]=AW$3)))</f>
        <v>0</v>
      </c>
      <c r="AX9" s="24" cm="1">
        <f t="array" ref="AX9">IF(AX$2="FY",SUMPRODUCT(Data_Nhập[Tổng Nhập-NX]*(Data_Nhập[Year]=AX$1)*(Data_Nhập[Main SKU name_GOM]=$A9)*(Data_Nhập[SKU name_NHẬP_GOM]=AX$3)),SUMPRODUCT(Data_Nhập[Tổng Nhập-NX]*(Data_Nhập[Year]=AX$1)*(Data_Nhập[Month]=AX$2)*(Data_Nhập[Main SKU name_GOM]=$A9)*(Data_Nhập[SKU name_NHẬP_GOM]=AX$3)))</f>
        <v>0</v>
      </c>
      <c r="AY9" s="24" cm="1">
        <f t="array" ref="AY9">IF(AY$2="FY",SUMPRODUCT(Data_Nhập[Tổng Nhập-NX]*(Data_Nhập[Year]=AY$1)*(Data_Nhập[Main SKU name_GOM]=$A9)*(Data_Nhập[SKU name_NHẬP_GOM]=AY$3)),SUMPRODUCT(Data_Nhập[Tổng Nhập-NX]*(Data_Nhập[Year]=AY$1)*(Data_Nhập[Month]=AY$2)*(Data_Nhập[Main SKU name_GOM]=$A9)*(Data_Nhập[SKU name_NHẬP_GOM]=AY$3)))</f>
        <v>0</v>
      </c>
      <c r="AZ9" s="24" cm="1">
        <f t="array" ref="AZ9">IF(AZ$2="FY",SUMPRODUCT(Data_Nhập[Tổng Nhập-NX]*(Data_Nhập[Year]=AZ$1)*(Data_Nhập[Main SKU name_GOM]=$A9)*(Data_Nhập[SKU name_NHẬP_GOM]=AZ$3)),SUMPRODUCT(Data_Nhập[Tổng Nhập-NX]*(Data_Nhập[Year]=AZ$1)*(Data_Nhập[Month]=AZ$2)*(Data_Nhập[Main SKU name_GOM]=$A9)*(Data_Nhập[SKU name_NHẬP_GOM]=AZ$3)))</f>
        <v>0</v>
      </c>
      <c r="BA9" s="24" cm="1">
        <f t="array" ref="BA9">IF(BA$2="FY",SUMPRODUCT(Data_Nhập[Tổng Nhập-NX]*(Data_Nhập[Year]=BA$1)*(Data_Nhập[Main SKU name_GOM]=$A9)*(Data_Nhập[SKU name_NHẬP_GOM]=BA$3)),SUMPRODUCT(Data_Nhập[Tổng Nhập-NX]*(Data_Nhập[Year]=BA$1)*(Data_Nhập[Month]=BA$2)*(Data_Nhập[Main SKU name_GOM]=$A9)*(Data_Nhập[SKU name_NHẬP_GOM]=BA$3)))</f>
        <v>0</v>
      </c>
      <c r="BB9" s="24" cm="1">
        <f t="array" ref="BB9">IF(BB$2="FY",SUMPRODUCT(Data_Nhập[Tổng Nhập-NX]*(Data_Nhập[Year]=BB$1)*(Data_Nhập[Main SKU name_GOM]=$A9)*(Data_Nhập[SKU name_NHẬP_GOM]=BB$3)),SUMPRODUCT(Data_Nhập[Tổng Nhập-NX]*(Data_Nhập[Year]=BB$1)*(Data_Nhập[Month]=BB$2)*(Data_Nhập[Main SKU name_GOM]=$A9)*(Data_Nhập[SKU name_NHẬP_GOM]=BB$3)))</f>
        <v>736</v>
      </c>
      <c r="BC9" s="24" cm="1">
        <f t="array" ref="BC9">IF(BC$2="FY",SUMPRODUCT(Data_Nhập[Tổng Nhập-NX]*(Data_Nhập[Year]=BC$1)*(Data_Nhập[Main SKU name_GOM]=$A9)*(Data_Nhập[SKU name_NHẬP_GOM]=BC$3)),SUMPRODUCT(Data_Nhập[Tổng Nhập-NX]*(Data_Nhập[Year]=BC$1)*(Data_Nhập[Month]=BC$2)*(Data_Nhập[Main SKU name_GOM]=$A9)*(Data_Nhập[SKU name_NHẬP_GOM]=BC$3)))</f>
        <v>0</v>
      </c>
      <c r="BD9" s="25">
        <f t="shared" si="14"/>
        <v>3600</v>
      </c>
      <c r="BF9" s="25" cm="1">
        <f t="array" ref="BF9">IF(BF$2="FY",SUMPRODUCT(Data_Xuất[Xuất-NX]*(Data_Xuất[Year]=BF$1)*(Data_Xuất[Main SKU name_GOM]=$A9)),SUMPRODUCT(Data_Xuất[Xuất-NX]*(Data_Xuất[Year]=BF$1)*(Data_Xuất[Main SKU name_GOM]=$A9)*(Data_Xuất[Month]=BF$2)))</f>
        <v>2200</v>
      </c>
      <c r="BG9" s="24" cm="1">
        <f t="array" ref="BG9">IF(BG$2="FY",SUMPRODUCT(Data_Nhập[Tổng Nhập-NX]*(Data_Nhập[Year]=BG$1)*(Data_Nhập[Main SKU name_GOM]=$A9)*(Data_Nhập[SKU name_NHẬP_GOM]=BG$3)),SUMPRODUCT(Data_Nhập[Tổng Nhập-NX]*(Data_Nhập[Year]=BG$1)*(Data_Nhập[Month]=BG$2)*(Data_Nhập[Main SKU name_GOM]=$A9)*(Data_Nhập[SKU name_NHẬP_GOM]=BG$3)))</f>
        <v>0</v>
      </c>
      <c r="BH9" s="24" cm="1">
        <f t="array" ref="BH9">IF(BH$2="FY",SUMPRODUCT(Data_Nhập[Tổng Nhập-NX]*(Data_Nhập[Year]=BH$1)*(Data_Nhập[Main SKU name_GOM]=$A9)*(Data_Nhập[SKU name_NHẬP_GOM]=BH$3)),SUMPRODUCT(Data_Nhập[Tổng Nhập-NX]*(Data_Nhập[Year]=BH$1)*(Data_Nhập[Month]=BH$2)*(Data_Nhập[Main SKU name_GOM]=$A9)*(Data_Nhập[SKU name_NHẬP_GOM]=BH$3)))</f>
        <v>0</v>
      </c>
      <c r="BI9" s="24" cm="1">
        <f t="array" ref="BI9">IF(BI$2="FY",SUMPRODUCT(Data_Nhập[Tổng Nhập-NX]*(Data_Nhập[Year]=BI$1)*(Data_Nhập[Main SKU name_GOM]=$A9)*(Data_Nhập[SKU name_NHẬP_GOM]=BI$3)),SUMPRODUCT(Data_Nhập[Tổng Nhập-NX]*(Data_Nhập[Year]=BI$1)*(Data_Nhập[Month]=BI$2)*(Data_Nhập[Main SKU name_GOM]=$A9)*(Data_Nhập[SKU name_NHẬP_GOM]=BI$3)))</f>
        <v>0</v>
      </c>
      <c r="BJ9" s="24" cm="1">
        <f t="array" ref="BJ9">IF(BJ$2="FY",SUMPRODUCT(Data_Nhập[Tổng Nhập-NX]*(Data_Nhập[Year]=BJ$1)*(Data_Nhập[Main SKU name_GOM]=$A9)*(Data_Nhập[SKU name_NHẬP_GOM]=BJ$3)),SUMPRODUCT(Data_Nhập[Tổng Nhập-NX]*(Data_Nhập[Year]=BJ$1)*(Data_Nhập[Month]=BJ$2)*(Data_Nhập[Main SKU name_GOM]=$A9)*(Data_Nhập[SKU name_NHẬP_GOM]=BJ$3)))</f>
        <v>0</v>
      </c>
      <c r="BK9" s="24" cm="1">
        <f t="array" ref="BK9">IF(BK$2="FY",SUMPRODUCT(Data_Nhập[Tổng Nhập-NX]*(Data_Nhập[Year]=BK$1)*(Data_Nhập[Main SKU name_GOM]=$A9)*(Data_Nhập[SKU name_NHẬP_GOM]=BK$3)),SUMPRODUCT(Data_Nhập[Tổng Nhập-NX]*(Data_Nhập[Year]=BK$1)*(Data_Nhập[Month]=BK$2)*(Data_Nhập[Main SKU name_GOM]=$A9)*(Data_Nhập[SKU name_NHẬP_GOM]=BK$3)))</f>
        <v>1530</v>
      </c>
      <c r="BL9" s="24" cm="1">
        <f t="array" ref="BL9">IF(BL$2="FY",SUMPRODUCT(Data_Nhập[Tổng Nhập-NX]*(Data_Nhập[Year]=BL$1)*(Data_Nhập[Main SKU name_GOM]=$A9)*(Data_Nhập[SKU name_NHẬP_GOM]=BL$3)),SUMPRODUCT(Data_Nhập[Tổng Nhập-NX]*(Data_Nhập[Year]=BL$1)*(Data_Nhập[Month]=BL$2)*(Data_Nhập[Main SKU name_GOM]=$A9)*(Data_Nhập[SKU name_NHẬP_GOM]=BL$3)))</f>
        <v>0</v>
      </c>
      <c r="BM9" s="24" cm="1">
        <f t="array" ref="BM9">IF(BM$2="FY",SUMPRODUCT(Data_Nhập[Tổng Nhập-NX]*(Data_Nhập[Year]=BM$1)*(Data_Nhập[Main SKU name_GOM]=$A9)*(Data_Nhập[SKU name_NHẬP_GOM]=BM$3)),SUMPRODUCT(Data_Nhập[Tổng Nhập-NX]*(Data_Nhập[Year]=BM$1)*(Data_Nhập[Month]=BM$2)*(Data_Nhập[Main SKU name_GOM]=$A9)*(Data_Nhập[SKU name_NHẬP_GOM]=BM$3)))</f>
        <v>0</v>
      </c>
      <c r="BN9" s="24" cm="1">
        <f t="array" ref="BN9">IF(BN$2="FY",SUMPRODUCT(Data_Nhập[Tổng Nhập-NX]*(Data_Nhập[Year]=BN$1)*(Data_Nhập[Main SKU name_GOM]=$A9)*(Data_Nhập[SKU name_NHẬP_GOM]=BN$3)),SUMPRODUCT(Data_Nhập[Tổng Nhập-NX]*(Data_Nhập[Year]=BN$1)*(Data_Nhập[Month]=BN$2)*(Data_Nhập[Main SKU name_GOM]=$A9)*(Data_Nhập[SKU name_NHẬP_GOM]=BN$3)))</f>
        <v>0</v>
      </c>
      <c r="BO9" s="24" cm="1">
        <f t="array" ref="BO9">IF(BO$2="FY",SUMPRODUCT(Data_Nhập[Tổng Nhập-NX]*(Data_Nhập[Year]=BO$1)*(Data_Nhập[Main SKU name_GOM]=$A9)*(Data_Nhập[SKU name_NHẬP_GOM]=BO$3)),SUMPRODUCT(Data_Nhập[Tổng Nhập-NX]*(Data_Nhập[Year]=BO$1)*(Data_Nhập[Month]=BO$2)*(Data_Nhập[Main SKU name_GOM]=$A9)*(Data_Nhập[SKU name_NHẬP_GOM]=BO$3)))</f>
        <v>0</v>
      </c>
      <c r="BP9" s="24" cm="1">
        <f t="array" ref="BP9">IF(BP$2="FY",SUMPRODUCT(Data_Nhập[Tổng Nhập-NX]*(Data_Nhập[Year]=BP$1)*(Data_Nhập[Main SKU name_GOM]=$A9)*(Data_Nhập[SKU name_NHẬP_GOM]=BP$3)),SUMPRODUCT(Data_Nhập[Tổng Nhập-NX]*(Data_Nhập[Year]=BP$1)*(Data_Nhập[Month]=BP$2)*(Data_Nhập[Main SKU name_GOM]=$A9)*(Data_Nhập[SKU name_NHẬP_GOM]=BP$3)))</f>
        <v>0</v>
      </c>
      <c r="BQ9" s="24" cm="1">
        <f t="array" ref="BQ9">IF(BQ$2="FY",SUMPRODUCT(Data_Nhập[Tổng Nhập-NX]*(Data_Nhập[Year]=BQ$1)*(Data_Nhập[Main SKU name_GOM]=$A9)*(Data_Nhập[SKU name_NHẬP_GOM]=BQ$3)),SUMPRODUCT(Data_Nhập[Tổng Nhập-NX]*(Data_Nhập[Year]=BQ$1)*(Data_Nhập[Month]=BQ$2)*(Data_Nhập[Main SKU name_GOM]=$A9)*(Data_Nhập[SKU name_NHẬP_GOM]=BQ$3)))</f>
        <v>0</v>
      </c>
      <c r="BR9" s="24" cm="1">
        <f t="array" ref="BR9">IF(BR$2="FY",SUMPRODUCT(Data_Nhập[Tổng Nhập-NX]*(Data_Nhập[Year]=BR$1)*(Data_Nhập[Main SKU name_GOM]=$A9)*(Data_Nhập[SKU name_NHẬP_GOM]=BR$3)),SUMPRODUCT(Data_Nhập[Tổng Nhập-NX]*(Data_Nhập[Year]=BR$1)*(Data_Nhập[Month]=BR$2)*(Data_Nhập[Main SKU name_GOM]=$A9)*(Data_Nhập[SKU name_NHẬP_GOM]=BR$3)))</f>
        <v>0</v>
      </c>
      <c r="BS9" s="24" cm="1">
        <f t="array" ref="BS9">IF(BS$2="FY",SUMPRODUCT(Data_Nhập[Tổng Nhập-NX]*(Data_Nhập[Year]=BS$1)*(Data_Nhập[Main SKU name_GOM]=$A9)*(Data_Nhập[SKU name_NHẬP_GOM]=BS$3)),SUMPRODUCT(Data_Nhập[Tổng Nhập-NX]*(Data_Nhập[Year]=BS$1)*(Data_Nhập[Month]=BS$2)*(Data_Nhập[Main SKU name_GOM]=$A9)*(Data_Nhập[SKU name_NHẬP_GOM]=BS$3)))</f>
        <v>0</v>
      </c>
      <c r="BT9" s="24" cm="1">
        <f t="array" ref="BT9">IF(BT$2="FY",SUMPRODUCT(Data_Nhập[Tổng Nhập-NX]*(Data_Nhập[Year]=BT$1)*(Data_Nhập[Main SKU name_GOM]=$A9)*(Data_Nhập[SKU name_NHẬP_GOM]=BT$3)),SUMPRODUCT(Data_Nhập[Tổng Nhập-NX]*(Data_Nhập[Year]=BT$1)*(Data_Nhập[Month]=BT$2)*(Data_Nhập[Main SKU name_GOM]=$A9)*(Data_Nhập[SKU name_NHẬP_GOM]=BT$3)))</f>
        <v>574</v>
      </c>
      <c r="BU9" s="24" cm="1">
        <f t="array" ref="BU9">IF(BU$2="FY",SUMPRODUCT(Data_Nhập[Tổng Nhập-NX]*(Data_Nhập[Year]=BU$1)*(Data_Nhập[Main SKU name_GOM]=$A9)*(Data_Nhập[SKU name_NHẬP_GOM]=BU$3)),SUMPRODUCT(Data_Nhập[Tổng Nhập-NX]*(Data_Nhập[Year]=BU$1)*(Data_Nhập[Month]=BU$2)*(Data_Nhập[Main SKU name_GOM]=$A9)*(Data_Nhập[SKU name_NHẬP_GOM]=BU$3)))</f>
        <v>0</v>
      </c>
      <c r="BV9" s="25">
        <f t="shared" si="15"/>
        <v>2104</v>
      </c>
      <c r="BX9" s="25" cm="1">
        <f t="array" ref="BX9">IF(BX$2="FY",SUMPRODUCT(Data_Xuất[Xuất-NX]*(Data_Xuất[Year]=BX$1)*(Data_Xuất[Main SKU name_GOM]=$A9)),SUMPRODUCT(Data_Xuất[Xuất-NX]*(Data_Xuất[Year]=BX$1)*(Data_Xuất[Main SKU name_GOM]=$A9)*(Data_Xuất[Month]=BX$2)))</f>
        <v>0</v>
      </c>
      <c r="BY9" s="24" cm="1">
        <f t="array" ref="BY9">IF(BY$2="FY",SUMPRODUCT(Data_Nhập[Tổng Nhập-NX]*(Data_Nhập[Year]=BY$1)*(Data_Nhập[Main SKU name_GOM]=$A9)*(Data_Nhập[SKU name_NHẬP_GOM]=BY$3)),SUMPRODUCT(Data_Nhập[Tổng Nhập-NX]*(Data_Nhập[Year]=BY$1)*(Data_Nhập[Month]=BY$2)*(Data_Nhập[Main SKU name_GOM]=$A9)*(Data_Nhập[SKU name_NHẬP_GOM]=BY$3)))</f>
        <v>0</v>
      </c>
      <c r="BZ9" s="24" cm="1">
        <f t="array" ref="BZ9">IF(BZ$2="FY",SUMPRODUCT(Data_Nhập[Tổng Nhập-NX]*(Data_Nhập[Year]=BZ$1)*(Data_Nhập[Main SKU name_GOM]=$A9)*(Data_Nhập[SKU name_NHẬP_GOM]=BZ$3)),SUMPRODUCT(Data_Nhập[Tổng Nhập-NX]*(Data_Nhập[Year]=BZ$1)*(Data_Nhập[Month]=BZ$2)*(Data_Nhập[Main SKU name_GOM]=$A9)*(Data_Nhập[SKU name_NHẬP_GOM]=BZ$3)))</f>
        <v>0</v>
      </c>
      <c r="CA9" s="24" cm="1">
        <f t="array" ref="CA9">IF(CA$2="FY",SUMPRODUCT(Data_Nhập[Tổng Nhập-NX]*(Data_Nhập[Year]=CA$1)*(Data_Nhập[Main SKU name_GOM]=$A9)*(Data_Nhập[SKU name_NHẬP_GOM]=CA$3)),SUMPRODUCT(Data_Nhập[Tổng Nhập-NX]*(Data_Nhập[Year]=CA$1)*(Data_Nhập[Month]=CA$2)*(Data_Nhập[Main SKU name_GOM]=$A9)*(Data_Nhập[SKU name_NHẬP_GOM]=CA$3)))</f>
        <v>0</v>
      </c>
      <c r="CB9" s="24" cm="1">
        <f t="array" ref="CB9">IF(CB$2="FY",SUMPRODUCT(Data_Nhập[Tổng Nhập-NX]*(Data_Nhập[Year]=CB$1)*(Data_Nhập[Main SKU name_GOM]=$A9)*(Data_Nhập[SKU name_NHẬP_GOM]=CB$3)),SUMPRODUCT(Data_Nhập[Tổng Nhập-NX]*(Data_Nhập[Year]=CB$1)*(Data_Nhập[Month]=CB$2)*(Data_Nhập[Main SKU name_GOM]=$A9)*(Data_Nhập[SKU name_NHẬP_GOM]=CB$3)))</f>
        <v>0</v>
      </c>
      <c r="CC9" s="24" cm="1">
        <f t="array" ref="CC9">IF(CC$2="FY",SUMPRODUCT(Data_Nhập[Tổng Nhập-NX]*(Data_Nhập[Year]=CC$1)*(Data_Nhập[Main SKU name_GOM]=$A9)*(Data_Nhập[SKU name_NHẬP_GOM]=CC$3)),SUMPRODUCT(Data_Nhập[Tổng Nhập-NX]*(Data_Nhập[Year]=CC$1)*(Data_Nhập[Month]=CC$2)*(Data_Nhập[Main SKU name_GOM]=$A9)*(Data_Nhập[SKU name_NHẬP_GOM]=CC$3)))</f>
        <v>0</v>
      </c>
      <c r="CD9" s="24" cm="1">
        <f t="array" ref="CD9">IF(CD$2="FY",SUMPRODUCT(Data_Nhập[Tổng Nhập-NX]*(Data_Nhập[Year]=CD$1)*(Data_Nhập[Main SKU name_GOM]=$A9)*(Data_Nhập[SKU name_NHẬP_GOM]=CD$3)),SUMPRODUCT(Data_Nhập[Tổng Nhập-NX]*(Data_Nhập[Year]=CD$1)*(Data_Nhập[Month]=CD$2)*(Data_Nhập[Main SKU name_GOM]=$A9)*(Data_Nhập[SKU name_NHẬP_GOM]=CD$3)))</f>
        <v>0</v>
      </c>
      <c r="CE9" s="24" cm="1">
        <f t="array" ref="CE9">IF(CE$2="FY",SUMPRODUCT(Data_Nhập[Tổng Nhập-NX]*(Data_Nhập[Year]=CE$1)*(Data_Nhập[Main SKU name_GOM]=$A9)*(Data_Nhập[SKU name_NHẬP_GOM]=CE$3)),SUMPRODUCT(Data_Nhập[Tổng Nhập-NX]*(Data_Nhập[Year]=CE$1)*(Data_Nhập[Month]=CE$2)*(Data_Nhập[Main SKU name_GOM]=$A9)*(Data_Nhập[SKU name_NHẬP_GOM]=CE$3)))</f>
        <v>0</v>
      </c>
      <c r="CF9" s="24" cm="1">
        <f t="array" ref="CF9">IF(CF$2="FY",SUMPRODUCT(Data_Nhập[Tổng Nhập-NX]*(Data_Nhập[Year]=CF$1)*(Data_Nhập[Main SKU name_GOM]=$A9)*(Data_Nhập[SKU name_NHẬP_GOM]=CF$3)),SUMPRODUCT(Data_Nhập[Tổng Nhập-NX]*(Data_Nhập[Year]=CF$1)*(Data_Nhập[Month]=CF$2)*(Data_Nhập[Main SKU name_GOM]=$A9)*(Data_Nhập[SKU name_NHẬP_GOM]=CF$3)))</f>
        <v>0</v>
      </c>
      <c r="CG9" s="24" cm="1">
        <f t="array" ref="CG9">IF(CG$2="FY",SUMPRODUCT(Data_Nhập[Tổng Nhập-NX]*(Data_Nhập[Year]=CG$1)*(Data_Nhập[Main SKU name_GOM]=$A9)*(Data_Nhập[SKU name_NHẬP_GOM]=CG$3)),SUMPRODUCT(Data_Nhập[Tổng Nhập-NX]*(Data_Nhập[Year]=CG$1)*(Data_Nhập[Month]=CG$2)*(Data_Nhập[Main SKU name_GOM]=$A9)*(Data_Nhập[SKU name_NHẬP_GOM]=CG$3)))</f>
        <v>0</v>
      </c>
      <c r="CH9" s="24" cm="1">
        <f t="array" ref="CH9">IF(CH$2="FY",SUMPRODUCT(Data_Nhập[Tổng Nhập-NX]*(Data_Nhập[Year]=CH$1)*(Data_Nhập[Main SKU name_GOM]=$A9)*(Data_Nhập[SKU name_NHẬP_GOM]=CH$3)),SUMPRODUCT(Data_Nhập[Tổng Nhập-NX]*(Data_Nhập[Year]=CH$1)*(Data_Nhập[Month]=CH$2)*(Data_Nhập[Main SKU name_GOM]=$A9)*(Data_Nhập[SKU name_NHẬP_GOM]=CH$3)))</f>
        <v>0</v>
      </c>
      <c r="CI9" s="24" cm="1">
        <f t="array" ref="CI9">IF(CI$2="FY",SUMPRODUCT(Data_Nhập[Tổng Nhập-NX]*(Data_Nhập[Year]=CI$1)*(Data_Nhập[Main SKU name_GOM]=$A9)*(Data_Nhập[SKU name_NHẬP_GOM]=CI$3)),SUMPRODUCT(Data_Nhập[Tổng Nhập-NX]*(Data_Nhập[Year]=CI$1)*(Data_Nhập[Month]=CI$2)*(Data_Nhập[Main SKU name_GOM]=$A9)*(Data_Nhập[SKU name_NHẬP_GOM]=CI$3)))</f>
        <v>0</v>
      </c>
      <c r="CJ9" s="24" cm="1">
        <f t="array" ref="CJ9">IF(CJ$2="FY",SUMPRODUCT(Data_Nhập[Tổng Nhập-NX]*(Data_Nhập[Year]=CJ$1)*(Data_Nhập[Main SKU name_GOM]=$A9)*(Data_Nhập[SKU name_NHẬP_GOM]=CJ$3)),SUMPRODUCT(Data_Nhập[Tổng Nhập-NX]*(Data_Nhập[Year]=CJ$1)*(Data_Nhập[Month]=CJ$2)*(Data_Nhập[Main SKU name_GOM]=$A9)*(Data_Nhập[SKU name_NHẬP_GOM]=CJ$3)))</f>
        <v>0</v>
      </c>
      <c r="CK9" s="24" cm="1">
        <f t="array" ref="CK9">IF(CK$2="FY",SUMPRODUCT(Data_Nhập[Tổng Nhập-NX]*(Data_Nhập[Year]=CK$1)*(Data_Nhập[Main SKU name_GOM]=$A9)*(Data_Nhập[SKU name_NHẬP_GOM]=CK$3)),SUMPRODUCT(Data_Nhập[Tổng Nhập-NX]*(Data_Nhập[Year]=CK$1)*(Data_Nhập[Month]=CK$2)*(Data_Nhập[Main SKU name_GOM]=$A9)*(Data_Nhập[SKU name_NHẬP_GOM]=CK$3)))</f>
        <v>0</v>
      </c>
      <c r="CL9" s="24" cm="1">
        <f t="array" ref="CL9">IF(CL$2="FY",SUMPRODUCT(Data_Nhập[Tổng Nhập-NX]*(Data_Nhập[Year]=CL$1)*(Data_Nhập[Main SKU name_GOM]=$A9)*(Data_Nhập[SKU name_NHẬP_GOM]=CL$3)),SUMPRODUCT(Data_Nhập[Tổng Nhập-NX]*(Data_Nhập[Year]=CL$1)*(Data_Nhập[Month]=CL$2)*(Data_Nhập[Main SKU name_GOM]=$A9)*(Data_Nhập[SKU name_NHẬP_GOM]=CL$3)))</f>
        <v>0</v>
      </c>
      <c r="CM9" s="24" cm="1">
        <f t="array" ref="CM9">IF(CM$2="FY",SUMPRODUCT(Data_Nhập[Tổng Nhập-NX]*(Data_Nhập[Year]=CM$1)*(Data_Nhập[Main SKU name_GOM]=$A9)*(Data_Nhập[SKU name_NHẬP_GOM]=CM$3)),SUMPRODUCT(Data_Nhập[Tổng Nhập-NX]*(Data_Nhập[Year]=CM$1)*(Data_Nhập[Month]=CM$2)*(Data_Nhập[Main SKU name_GOM]=$A9)*(Data_Nhập[SKU name_NHẬP_GOM]=CM$3)))</f>
        <v>0</v>
      </c>
      <c r="CN9" s="25">
        <f t="shared" si="16"/>
        <v>0</v>
      </c>
      <c r="CP9" s="25" cm="1">
        <f t="array" ref="CP9">IF(CP$2="FY",SUMPRODUCT(Data_Xuất[Xuất-NX]*(Data_Xuất[Year]=CP$1)*(Data_Xuất[Main SKU name_GOM]=$A9)),SUMPRODUCT(Data_Xuất[Xuất-NX]*(Data_Xuất[Year]=CP$1)*(Data_Xuất[Main SKU name_GOM]=$A9)*(Data_Xuất[Month]=CP$2)))</f>
        <v>39600</v>
      </c>
      <c r="CQ9" s="24" cm="1">
        <f t="array" ref="CQ9">IF(CQ$2="FY",SUMPRODUCT(Data_Nhập[Tổng Nhập-NX]*(Data_Nhập[Year]=CQ$1)*(Data_Nhập[Main SKU name_GOM]=$A9)*(Data_Nhập[SKU name_NHẬP_GOM]=CQ$3)),SUMPRODUCT(Data_Nhập[Tổng Nhập-NX]*(Data_Nhập[Year]=CQ$1)*(Data_Nhập[Month]=CQ$2)*(Data_Nhập[Main SKU name_GOM]=$A9)*(Data_Nhập[SKU name_NHẬP_GOM]=CQ$3)))</f>
        <v>0</v>
      </c>
      <c r="CR9" s="24" cm="1">
        <f t="array" ref="CR9">IF(CR$2="FY",SUMPRODUCT(Data_Nhập[Tổng Nhập-NX]*(Data_Nhập[Year]=CR$1)*(Data_Nhập[Main SKU name_GOM]=$A9)*(Data_Nhập[SKU name_NHẬP_GOM]=CR$3)),SUMPRODUCT(Data_Nhập[Tổng Nhập-NX]*(Data_Nhập[Year]=CR$1)*(Data_Nhập[Month]=CR$2)*(Data_Nhập[Main SKU name_GOM]=$A9)*(Data_Nhập[SKU name_NHẬP_GOM]=CR$3)))</f>
        <v>0</v>
      </c>
      <c r="CS9" s="24" cm="1">
        <f t="array" ref="CS9">IF(CS$2="FY",SUMPRODUCT(Data_Nhập[Tổng Nhập-NX]*(Data_Nhập[Year]=CS$1)*(Data_Nhập[Main SKU name_GOM]=$A9)*(Data_Nhập[SKU name_NHẬP_GOM]=CS$3)),SUMPRODUCT(Data_Nhập[Tổng Nhập-NX]*(Data_Nhập[Year]=CS$1)*(Data_Nhập[Month]=CS$2)*(Data_Nhập[Main SKU name_GOM]=$A9)*(Data_Nhập[SKU name_NHẬP_GOM]=CS$3)))</f>
        <v>0</v>
      </c>
      <c r="CT9" s="24" cm="1">
        <f t="array" ref="CT9">IF(CT$2="FY",SUMPRODUCT(Data_Nhập[Tổng Nhập-NX]*(Data_Nhập[Year]=CT$1)*(Data_Nhập[Main SKU name_GOM]=$A9)*(Data_Nhập[SKU name_NHẬP_GOM]=CT$3)),SUMPRODUCT(Data_Nhập[Tổng Nhập-NX]*(Data_Nhập[Year]=CT$1)*(Data_Nhập[Month]=CT$2)*(Data_Nhập[Main SKU name_GOM]=$A9)*(Data_Nhập[SKU name_NHẬP_GOM]=CT$3)))</f>
        <v>0</v>
      </c>
      <c r="CU9" s="24" cm="1">
        <f t="array" ref="CU9">IF(CU$2="FY",SUMPRODUCT(Data_Nhập[Tổng Nhập-NX]*(Data_Nhập[Year]=CU$1)*(Data_Nhập[Main SKU name_GOM]=$A9)*(Data_Nhập[SKU name_NHẬP_GOM]=CU$3)),SUMPRODUCT(Data_Nhập[Tổng Nhập-NX]*(Data_Nhập[Year]=CU$1)*(Data_Nhập[Month]=CU$2)*(Data_Nhập[Main SKU name_GOM]=$A9)*(Data_Nhập[SKU name_NHẬP_GOM]=CU$3)))</f>
        <v>39600</v>
      </c>
      <c r="CV9" s="24" cm="1">
        <f t="array" ref="CV9">IF(CV$2="FY",SUMPRODUCT(Data_Nhập[Tổng Nhập-NX]*(Data_Nhập[Year]=CV$1)*(Data_Nhập[Main SKU name_GOM]=$A9)*(Data_Nhập[SKU name_NHẬP_GOM]=CV$3)),SUMPRODUCT(Data_Nhập[Tổng Nhập-NX]*(Data_Nhập[Year]=CV$1)*(Data_Nhập[Month]=CV$2)*(Data_Nhập[Main SKU name_GOM]=$A9)*(Data_Nhập[SKU name_NHẬP_GOM]=CV$3)))</f>
        <v>0</v>
      </c>
      <c r="CW9" s="24" cm="1">
        <f t="array" ref="CW9">IF(CW$2="FY",SUMPRODUCT(Data_Nhập[Tổng Nhập-NX]*(Data_Nhập[Year]=CW$1)*(Data_Nhập[Main SKU name_GOM]=$A9)*(Data_Nhập[SKU name_NHẬP_GOM]=CW$3)),SUMPRODUCT(Data_Nhập[Tổng Nhập-NX]*(Data_Nhập[Year]=CW$1)*(Data_Nhập[Month]=CW$2)*(Data_Nhập[Main SKU name_GOM]=$A9)*(Data_Nhập[SKU name_NHẬP_GOM]=CW$3)))</f>
        <v>0</v>
      </c>
      <c r="CX9" s="24" cm="1">
        <f t="array" ref="CX9">IF(CX$2="FY",SUMPRODUCT(Data_Nhập[Tổng Nhập-NX]*(Data_Nhập[Year]=CX$1)*(Data_Nhập[Main SKU name_GOM]=$A9)*(Data_Nhập[SKU name_NHẬP_GOM]=CX$3)),SUMPRODUCT(Data_Nhập[Tổng Nhập-NX]*(Data_Nhập[Year]=CX$1)*(Data_Nhập[Month]=CX$2)*(Data_Nhập[Main SKU name_GOM]=$A9)*(Data_Nhập[SKU name_NHẬP_GOM]=CX$3)))</f>
        <v>0</v>
      </c>
      <c r="CY9" s="24" cm="1">
        <f t="array" ref="CY9">IF(CY$2="FY",SUMPRODUCT(Data_Nhập[Tổng Nhập-NX]*(Data_Nhập[Year]=CY$1)*(Data_Nhập[Main SKU name_GOM]=$A9)*(Data_Nhập[SKU name_NHẬP_GOM]=CY$3)),SUMPRODUCT(Data_Nhập[Tổng Nhập-NX]*(Data_Nhập[Year]=CY$1)*(Data_Nhập[Month]=CY$2)*(Data_Nhập[Main SKU name_GOM]=$A9)*(Data_Nhập[SKU name_NHẬP_GOM]=CY$3)))</f>
        <v>0</v>
      </c>
      <c r="CZ9" s="24" cm="1">
        <f t="array" ref="CZ9">IF(CZ$2="FY",SUMPRODUCT(Data_Nhập[Tổng Nhập-NX]*(Data_Nhập[Year]=CZ$1)*(Data_Nhập[Main SKU name_GOM]=$A9)*(Data_Nhập[SKU name_NHẬP_GOM]=CZ$3)),SUMPRODUCT(Data_Nhập[Tổng Nhập-NX]*(Data_Nhập[Year]=CZ$1)*(Data_Nhập[Month]=CZ$2)*(Data_Nhập[Main SKU name_GOM]=$A9)*(Data_Nhập[SKU name_NHẬP_GOM]=CZ$3)))</f>
        <v>0</v>
      </c>
      <c r="DA9" s="24" cm="1">
        <f t="array" ref="DA9">IF(DA$2="FY",SUMPRODUCT(Data_Nhập[Tổng Nhập-NX]*(Data_Nhập[Year]=DA$1)*(Data_Nhập[Main SKU name_GOM]=$A9)*(Data_Nhập[SKU name_NHẬP_GOM]=DA$3)),SUMPRODUCT(Data_Nhập[Tổng Nhập-NX]*(Data_Nhập[Year]=DA$1)*(Data_Nhập[Month]=DA$2)*(Data_Nhập[Main SKU name_GOM]=$A9)*(Data_Nhập[SKU name_NHẬP_GOM]=DA$3)))</f>
        <v>0</v>
      </c>
      <c r="DB9" s="24" cm="1">
        <f t="array" ref="DB9">IF(DB$2="FY",SUMPRODUCT(Data_Nhập[Tổng Nhập-NX]*(Data_Nhập[Year]=DB$1)*(Data_Nhập[Main SKU name_GOM]=$A9)*(Data_Nhập[SKU name_NHẬP_GOM]=DB$3)),SUMPRODUCT(Data_Nhập[Tổng Nhập-NX]*(Data_Nhập[Year]=DB$1)*(Data_Nhập[Month]=DB$2)*(Data_Nhập[Main SKU name_GOM]=$A9)*(Data_Nhập[SKU name_NHẬP_GOM]=DB$3)))</f>
        <v>0</v>
      </c>
      <c r="DC9" s="24" cm="1">
        <f t="array" ref="DC9">IF(DC$2="FY",SUMPRODUCT(Data_Nhập[Tổng Nhập-NX]*(Data_Nhập[Year]=DC$1)*(Data_Nhập[Main SKU name_GOM]=$A9)*(Data_Nhập[SKU name_NHẬP_GOM]=DC$3)),SUMPRODUCT(Data_Nhập[Tổng Nhập-NX]*(Data_Nhập[Year]=DC$1)*(Data_Nhập[Month]=DC$2)*(Data_Nhập[Main SKU name_GOM]=$A9)*(Data_Nhập[SKU name_NHẬP_GOM]=DC$3)))</f>
        <v>0</v>
      </c>
      <c r="DD9" s="24" cm="1">
        <f t="array" ref="DD9">IF(DD$2="FY",SUMPRODUCT(Data_Nhập[Tổng Nhập-NX]*(Data_Nhập[Year]=DD$1)*(Data_Nhập[Main SKU name_GOM]=$A9)*(Data_Nhập[SKU name_NHẬP_GOM]=DD$3)),SUMPRODUCT(Data_Nhập[Tổng Nhập-NX]*(Data_Nhập[Year]=DD$1)*(Data_Nhập[Month]=DD$2)*(Data_Nhập[Main SKU name_GOM]=$A9)*(Data_Nhập[SKU name_NHẬP_GOM]=DD$3)))</f>
        <v>0</v>
      </c>
      <c r="DE9" s="24" cm="1">
        <f t="array" ref="DE9">IF(DE$2="FY",SUMPRODUCT(Data_Nhập[Tổng Nhập-NX]*(Data_Nhập[Year]=DE$1)*(Data_Nhập[Main SKU name_GOM]=$A9)*(Data_Nhập[SKU name_NHẬP_GOM]=DE$3)),SUMPRODUCT(Data_Nhập[Tổng Nhập-NX]*(Data_Nhập[Year]=DE$1)*(Data_Nhập[Month]=DE$2)*(Data_Nhập[Main SKU name_GOM]=$A9)*(Data_Nhập[SKU name_NHẬP_GOM]=DE$3)))</f>
        <v>0</v>
      </c>
      <c r="DF9" s="25">
        <f t="shared" si="17"/>
        <v>39600</v>
      </c>
      <c r="DH9" s="25" cm="1">
        <f t="array" ref="DH9">IF(DH$2="FY",SUMPRODUCT(Data_Xuất[Xuất-NX]*(Data_Xuất[Year]=DH$1)*(Data_Xuất[Main SKU name_GOM]=$A9)),SUMPRODUCT(Data_Xuất[Xuất-NX]*(Data_Xuất[Year]=DH$1)*(Data_Xuất[Main SKU name_GOM]=$A9)*(Data_Xuất[Month]=DH$2)))</f>
        <v>1100</v>
      </c>
      <c r="DI9" s="24" cm="1">
        <f t="array" ref="DI9">IF(DI$2="FY",SUMPRODUCT(Data_Nhập[Tổng Nhập-NX]*(Data_Nhập[Year]=DI$1)*(Data_Nhập[Main SKU name_GOM]=$A9)*(Data_Nhập[SKU name_NHẬP_GOM]=DI$3)),SUMPRODUCT(Data_Nhập[Tổng Nhập-NX]*(Data_Nhập[Year]=DI$1)*(Data_Nhập[Month]=DI$2)*(Data_Nhập[Main SKU name_GOM]=$A9)*(Data_Nhập[SKU name_NHẬP_GOM]=DI$3)))</f>
        <v>0</v>
      </c>
      <c r="DJ9" s="24" cm="1">
        <f t="array" ref="DJ9">IF(DJ$2="FY",SUMPRODUCT(Data_Nhập[Tổng Nhập-NX]*(Data_Nhập[Year]=DJ$1)*(Data_Nhập[Main SKU name_GOM]=$A9)*(Data_Nhập[SKU name_NHẬP_GOM]=DJ$3)),SUMPRODUCT(Data_Nhập[Tổng Nhập-NX]*(Data_Nhập[Year]=DJ$1)*(Data_Nhập[Month]=DJ$2)*(Data_Nhập[Main SKU name_GOM]=$A9)*(Data_Nhập[SKU name_NHẬP_GOM]=DJ$3)))</f>
        <v>0</v>
      </c>
      <c r="DK9" s="24" cm="1">
        <f t="array" ref="DK9">IF(DK$2="FY",SUMPRODUCT(Data_Nhập[Tổng Nhập-NX]*(Data_Nhập[Year]=DK$1)*(Data_Nhập[Main SKU name_GOM]=$A9)*(Data_Nhập[SKU name_NHẬP_GOM]=DK$3)),SUMPRODUCT(Data_Nhập[Tổng Nhập-NX]*(Data_Nhập[Year]=DK$1)*(Data_Nhập[Month]=DK$2)*(Data_Nhập[Main SKU name_GOM]=$A9)*(Data_Nhập[SKU name_NHẬP_GOM]=DK$3)))</f>
        <v>0</v>
      </c>
      <c r="DL9" s="24" cm="1">
        <f t="array" ref="DL9">IF(DL$2="FY",SUMPRODUCT(Data_Nhập[Tổng Nhập-NX]*(Data_Nhập[Year]=DL$1)*(Data_Nhập[Main SKU name_GOM]=$A9)*(Data_Nhập[SKU name_NHẬP_GOM]=DL$3)),SUMPRODUCT(Data_Nhập[Tổng Nhập-NX]*(Data_Nhập[Year]=DL$1)*(Data_Nhập[Month]=DL$2)*(Data_Nhập[Main SKU name_GOM]=$A9)*(Data_Nhập[SKU name_NHẬP_GOM]=DL$3)))</f>
        <v>0</v>
      </c>
      <c r="DM9" s="24" cm="1">
        <f t="array" ref="DM9">IF(DM$2="FY",SUMPRODUCT(Data_Nhập[Tổng Nhập-NX]*(Data_Nhập[Year]=DM$1)*(Data_Nhập[Main SKU name_GOM]=$A9)*(Data_Nhập[SKU name_NHẬP_GOM]=DM$3)),SUMPRODUCT(Data_Nhập[Tổng Nhập-NX]*(Data_Nhập[Year]=DM$1)*(Data_Nhập[Month]=DM$2)*(Data_Nhập[Main SKU name_GOM]=$A9)*(Data_Nhập[SKU name_NHẬP_GOM]=DM$3)))</f>
        <v>1100</v>
      </c>
      <c r="DN9" s="24" cm="1">
        <f t="array" ref="DN9">IF(DN$2="FY",SUMPRODUCT(Data_Nhập[Tổng Nhập-NX]*(Data_Nhập[Year]=DN$1)*(Data_Nhập[Main SKU name_GOM]=$A9)*(Data_Nhập[SKU name_NHẬP_GOM]=DN$3)),SUMPRODUCT(Data_Nhập[Tổng Nhập-NX]*(Data_Nhập[Year]=DN$1)*(Data_Nhập[Month]=DN$2)*(Data_Nhập[Main SKU name_GOM]=$A9)*(Data_Nhập[SKU name_NHẬP_GOM]=DN$3)))</f>
        <v>0</v>
      </c>
      <c r="DO9" s="24" cm="1">
        <f t="array" ref="DO9">IF(DO$2="FY",SUMPRODUCT(Data_Nhập[Tổng Nhập-NX]*(Data_Nhập[Year]=DO$1)*(Data_Nhập[Main SKU name_GOM]=$A9)*(Data_Nhập[SKU name_NHẬP_GOM]=DO$3)),SUMPRODUCT(Data_Nhập[Tổng Nhập-NX]*(Data_Nhập[Year]=DO$1)*(Data_Nhập[Month]=DO$2)*(Data_Nhập[Main SKU name_GOM]=$A9)*(Data_Nhập[SKU name_NHẬP_GOM]=DO$3)))</f>
        <v>0</v>
      </c>
      <c r="DP9" s="24" cm="1">
        <f t="array" ref="DP9">IF(DP$2="FY",SUMPRODUCT(Data_Nhập[Tổng Nhập-NX]*(Data_Nhập[Year]=DP$1)*(Data_Nhập[Main SKU name_GOM]=$A9)*(Data_Nhập[SKU name_NHẬP_GOM]=DP$3)),SUMPRODUCT(Data_Nhập[Tổng Nhập-NX]*(Data_Nhập[Year]=DP$1)*(Data_Nhập[Month]=DP$2)*(Data_Nhập[Main SKU name_GOM]=$A9)*(Data_Nhập[SKU name_NHẬP_GOM]=DP$3)))</f>
        <v>0</v>
      </c>
      <c r="DQ9" s="24" cm="1">
        <f t="array" ref="DQ9">IF(DQ$2="FY",SUMPRODUCT(Data_Nhập[Tổng Nhập-NX]*(Data_Nhập[Year]=DQ$1)*(Data_Nhập[Main SKU name_GOM]=$A9)*(Data_Nhập[SKU name_NHẬP_GOM]=DQ$3)),SUMPRODUCT(Data_Nhập[Tổng Nhập-NX]*(Data_Nhập[Year]=DQ$1)*(Data_Nhập[Month]=DQ$2)*(Data_Nhập[Main SKU name_GOM]=$A9)*(Data_Nhập[SKU name_NHẬP_GOM]=DQ$3)))</f>
        <v>0</v>
      </c>
      <c r="DR9" s="24" cm="1">
        <f t="array" ref="DR9">IF(DR$2="FY",SUMPRODUCT(Data_Nhập[Tổng Nhập-NX]*(Data_Nhập[Year]=DR$1)*(Data_Nhập[Main SKU name_GOM]=$A9)*(Data_Nhập[SKU name_NHẬP_GOM]=DR$3)),SUMPRODUCT(Data_Nhập[Tổng Nhập-NX]*(Data_Nhập[Year]=DR$1)*(Data_Nhập[Month]=DR$2)*(Data_Nhập[Main SKU name_GOM]=$A9)*(Data_Nhập[SKU name_NHẬP_GOM]=DR$3)))</f>
        <v>0</v>
      </c>
      <c r="DS9" s="24" cm="1">
        <f t="array" ref="DS9">IF(DS$2="FY",SUMPRODUCT(Data_Nhập[Tổng Nhập-NX]*(Data_Nhập[Year]=DS$1)*(Data_Nhập[Main SKU name_GOM]=$A9)*(Data_Nhập[SKU name_NHẬP_GOM]=DS$3)),SUMPRODUCT(Data_Nhập[Tổng Nhập-NX]*(Data_Nhập[Year]=DS$1)*(Data_Nhập[Month]=DS$2)*(Data_Nhập[Main SKU name_GOM]=$A9)*(Data_Nhập[SKU name_NHẬP_GOM]=DS$3)))</f>
        <v>0</v>
      </c>
      <c r="DT9" s="24" cm="1">
        <f t="array" ref="DT9">IF(DT$2="FY",SUMPRODUCT(Data_Nhập[Tổng Nhập-NX]*(Data_Nhập[Year]=DT$1)*(Data_Nhập[Main SKU name_GOM]=$A9)*(Data_Nhập[SKU name_NHẬP_GOM]=DT$3)),SUMPRODUCT(Data_Nhập[Tổng Nhập-NX]*(Data_Nhập[Year]=DT$1)*(Data_Nhập[Month]=DT$2)*(Data_Nhập[Main SKU name_GOM]=$A9)*(Data_Nhập[SKU name_NHẬP_GOM]=DT$3)))</f>
        <v>0</v>
      </c>
      <c r="DU9" s="24" cm="1">
        <f t="array" ref="DU9">IF(DU$2="FY",SUMPRODUCT(Data_Nhập[Tổng Nhập-NX]*(Data_Nhập[Year]=DU$1)*(Data_Nhập[Main SKU name_GOM]=$A9)*(Data_Nhập[SKU name_NHẬP_GOM]=DU$3)),SUMPRODUCT(Data_Nhập[Tổng Nhập-NX]*(Data_Nhập[Year]=DU$1)*(Data_Nhập[Month]=DU$2)*(Data_Nhập[Main SKU name_GOM]=$A9)*(Data_Nhập[SKU name_NHẬP_GOM]=DU$3)))</f>
        <v>0</v>
      </c>
      <c r="DV9" s="24" cm="1">
        <f t="array" ref="DV9">IF(DV$2="FY",SUMPRODUCT(Data_Nhập[Tổng Nhập-NX]*(Data_Nhập[Year]=DV$1)*(Data_Nhập[Main SKU name_GOM]=$A9)*(Data_Nhập[SKU name_NHẬP_GOM]=DV$3)),SUMPRODUCT(Data_Nhập[Tổng Nhập-NX]*(Data_Nhập[Year]=DV$1)*(Data_Nhập[Month]=DV$2)*(Data_Nhập[Main SKU name_GOM]=$A9)*(Data_Nhập[SKU name_NHẬP_GOM]=DV$3)))</f>
        <v>0</v>
      </c>
      <c r="DW9" s="24" cm="1">
        <f t="array" ref="DW9">IF(DW$2="FY",SUMPRODUCT(Data_Nhập[Tổng Nhập-NX]*(Data_Nhập[Year]=DW$1)*(Data_Nhập[Main SKU name_GOM]=$A9)*(Data_Nhập[SKU name_NHẬP_GOM]=DW$3)),SUMPRODUCT(Data_Nhập[Tổng Nhập-NX]*(Data_Nhập[Year]=DW$1)*(Data_Nhập[Month]=DW$2)*(Data_Nhập[Main SKU name_GOM]=$A9)*(Data_Nhập[SKU name_NHẬP_GOM]=DW$3)))</f>
        <v>0</v>
      </c>
      <c r="DX9" s="25">
        <f t="shared" si="18"/>
        <v>1100</v>
      </c>
      <c r="DZ9" s="25" cm="1">
        <f t="array" ref="DZ9">IF(DZ$2="FY",SUMPRODUCT(Data_Xuất[Xuất-NX]*(Data_Xuất[Year]=DZ$1)*(Data_Xuất[Main SKU name_GOM]=$A9)),SUMPRODUCT(Data_Xuất[Xuất-NX]*(Data_Xuất[Year]=DZ$1)*(Data_Xuất[Main SKU name_GOM]=$A9)*(Data_Xuất[Month]=DZ$2)))</f>
        <v>0</v>
      </c>
      <c r="EA9" s="24" cm="1">
        <f t="array" ref="EA9">IF(EA$2="FY",SUMPRODUCT(Data_Nhập[Tổng Nhập-NX]*(Data_Nhập[Year]=EA$1)*(Data_Nhập[Main SKU name_GOM]=$A9)*(Data_Nhập[SKU name_NHẬP_GOM]=EA$3)),SUMPRODUCT(Data_Nhập[Tổng Nhập-NX]*(Data_Nhập[Year]=EA$1)*(Data_Nhập[Month]=EA$2)*(Data_Nhập[Main SKU name_GOM]=$A9)*(Data_Nhập[SKU name_NHẬP_GOM]=EA$3)))</f>
        <v>0</v>
      </c>
      <c r="EB9" s="24" cm="1">
        <f t="array" ref="EB9">IF(EB$2="FY",SUMPRODUCT(Data_Nhập[Tổng Nhập-NX]*(Data_Nhập[Year]=EB$1)*(Data_Nhập[Main SKU name_GOM]=$A9)*(Data_Nhập[SKU name_NHẬP_GOM]=EB$3)),SUMPRODUCT(Data_Nhập[Tổng Nhập-NX]*(Data_Nhập[Year]=EB$1)*(Data_Nhập[Month]=EB$2)*(Data_Nhập[Main SKU name_GOM]=$A9)*(Data_Nhập[SKU name_NHẬP_GOM]=EB$3)))</f>
        <v>0</v>
      </c>
      <c r="EC9" s="24" cm="1">
        <f t="array" ref="EC9">IF(EC$2="FY",SUMPRODUCT(Data_Nhập[Tổng Nhập-NX]*(Data_Nhập[Year]=EC$1)*(Data_Nhập[Main SKU name_GOM]=$A9)*(Data_Nhập[SKU name_NHẬP_GOM]=EC$3)),SUMPRODUCT(Data_Nhập[Tổng Nhập-NX]*(Data_Nhập[Year]=EC$1)*(Data_Nhập[Month]=EC$2)*(Data_Nhập[Main SKU name_GOM]=$A9)*(Data_Nhập[SKU name_NHẬP_GOM]=EC$3)))</f>
        <v>0</v>
      </c>
      <c r="ED9" s="24" cm="1">
        <f t="array" ref="ED9">IF(ED$2="FY",SUMPRODUCT(Data_Nhập[Tổng Nhập-NX]*(Data_Nhập[Year]=ED$1)*(Data_Nhập[Main SKU name_GOM]=$A9)*(Data_Nhập[SKU name_NHẬP_GOM]=ED$3)),SUMPRODUCT(Data_Nhập[Tổng Nhập-NX]*(Data_Nhập[Year]=ED$1)*(Data_Nhập[Month]=ED$2)*(Data_Nhập[Main SKU name_GOM]=$A9)*(Data_Nhập[SKU name_NHẬP_GOM]=ED$3)))</f>
        <v>0</v>
      </c>
      <c r="EE9" s="24" cm="1">
        <f t="array" ref="EE9">IF(EE$2="FY",SUMPRODUCT(Data_Nhập[Tổng Nhập-NX]*(Data_Nhập[Year]=EE$1)*(Data_Nhập[Main SKU name_GOM]=$A9)*(Data_Nhập[SKU name_NHẬP_GOM]=EE$3)),SUMPRODUCT(Data_Nhập[Tổng Nhập-NX]*(Data_Nhập[Year]=EE$1)*(Data_Nhập[Month]=EE$2)*(Data_Nhập[Main SKU name_GOM]=$A9)*(Data_Nhập[SKU name_NHẬP_GOM]=EE$3)))</f>
        <v>0</v>
      </c>
      <c r="EF9" s="24" cm="1">
        <f t="array" ref="EF9">IF(EF$2="FY",SUMPRODUCT(Data_Nhập[Tổng Nhập-NX]*(Data_Nhập[Year]=EF$1)*(Data_Nhập[Main SKU name_GOM]=$A9)*(Data_Nhập[SKU name_NHẬP_GOM]=EF$3)),SUMPRODUCT(Data_Nhập[Tổng Nhập-NX]*(Data_Nhập[Year]=EF$1)*(Data_Nhập[Month]=EF$2)*(Data_Nhập[Main SKU name_GOM]=$A9)*(Data_Nhập[SKU name_NHẬP_GOM]=EF$3)))</f>
        <v>0</v>
      </c>
      <c r="EG9" s="24" cm="1">
        <f t="array" ref="EG9">IF(EG$2="FY",SUMPRODUCT(Data_Nhập[Tổng Nhập-NX]*(Data_Nhập[Year]=EG$1)*(Data_Nhập[Main SKU name_GOM]=$A9)*(Data_Nhập[SKU name_NHẬP_GOM]=EG$3)),SUMPRODUCT(Data_Nhập[Tổng Nhập-NX]*(Data_Nhập[Year]=EG$1)*(Data_Nhập[Month]=EG$2)*(Data_Nhập[Main SKU name_GOM]=$A9)*(Data_Nhập[SKU name_NHẬP_GOM]=EG$3)))</f>
        <v>0</v>
      </c>
      <c r="EH9" s="24" cm="1">
        <f t="array" ref="EH9">IF(EH$2="FY",SUMPRODUCT(Data_Nhập[Tổng Nhập-NX]*(Data_Nhập[Year]=EH$1)*(Data_Nhập[Main SKU name_GOM]=$A9)*(Data_Nhập[SKU name_NHẬP_GOM]=EH$3)),SUMPRODUCT(Data_Nhập[Tổng Nhập-NX]*(Data_Nhập[Year]=EH$1)*(Data_Nhập[Month]=EH$2)*(Data_Nhập[Main SKU name_GOM]=$A9)*(Data_Nhập[SKU name_NHẬP_GOM]=EH$3)))</f>
        <v>0</v>
      </c>
      <c r="EI9" s="24" cm="1">
        <f t="array" ref="EI9">IF(EI$2="FY",SUMPRODUCT(Data_Nhập[Tổng Nhập-NX]*(Data_Nhập[Year]=EI$1)*(Data_Nhập[Main SKU name_GOM]=$A9)*(Data_Nhập[SKU name_NHẬP_GOM]=EI$3)),SUMPRODUCT(Data_Nhập[Tổng Nhập-NX]*(Data_Nhập[Year]=EI$1)*(Data_Nhập[Month]=EI$2)*(Data_Nhập[Main SKU name_GOM]=$A9)*(Data_Nhập[SKU name_NHẬP_GOM]=EI$3)))</f>
        <v>0</v>
      </c>
      <c r="EJ9" s="24" cm="1">
        <f t="array" ref="EJ9">IF(EJ$2="FY",SUMPRODUCT(Data_Nhập[Tổng Nhập-NX]*(Data_Nhập[Year]=EJ$1)*(Data_Nhập[Main SKU name_GOM]=$A9)*(Data_Nhập[SKU name_NHẬP_GOM]=EJ$3)),SUMPRODUCT(Data_Nhập[Tổng Nhập-NX]*(Data_Nhập[Year]=EJ$1)*(Data_Nhập[Month]=EJ$2)*(Data_Nhập[Main SKU name_GOM]=$A9)*(Data_Nhập[SKU name_NHẬP_GOM]=EJ$3)))</f>
        <v>0</v>
      </c>
      <c r="EK9" s="24" cm="1">
        <f t="array" ref="EK9">IF(EK$2="FY",SUMPRODUCT(Data_Nhập[Tổng Nhập-NX]*(Data_Nhập[Year]=EK$1)*(Data_Nhập[Main SKU name_GOM]=$A9)*(Data_Nhập[SKU name_NHẬP_GOM]=EK$3)),SUMPRODUCT(Data_Nhập[Tổng Nhập-NX]*(Data_Nhập[Year]=EK$1)*(Data_Nhập[Month]=EK$2)*(Data_Nhập[Main SKU name_GOM]=$A9)*(Data_Nhập[SKU name_NHẬP_GOM]=EK$3)))</f>
        <v>0</v>
      </c>
      <c r="EL9" s="24" cm="1">
        <f t="array" ref="EL9">IF(EL$2="FY",SUMPRODUCT(Data_Nhập[Tổng Nhập-NX]*(Data_Nhập[Year]=EL$1)*(Data_Nhập[Main SKU name_GOM]=$A9)*(Data_Nhập[SKU name_NHẬP_GOM]=EL$3)),SUMPRODUCT(Data_Nhập[Tổng Nhập-NX]*(Data_Nhập[Year]=EL$1)*(Data_Nhập[Month]=EL$2)*(Data_Nhập[Main SKU name_GOM]=$A9)*(Data_Nhập[SKU name_NHẬP_GOM]=EL$3)))</f>
        <v>0</v>
      </c>
      <c r="EM9" s="24" cm="1">
        <f t="array" ref="EM9">IF(EM$2="FY",SUMPRODUCT(Data_Nhập[Tổng Nhập-NX]*(Data_Nhập[Year]=EM$1)*(Data_Nhập[Main SKU name_GOM]=$A9)*(Data_Nhập[SKU name_NHẬP_GOM]=EM$3)),SUMPRODUCT(Data_Nhập[Tổng Nhập-NX]*(Data_Nhập[Year]=EM$1)*(Data_Nhập[Month]=EM$2)*(Data_Nhập[Main SKU name_GOM]=$A9)*(Data_Nhập[SKU name_NHẬP_GOM]=EM$3)))</f>
        <v>0</v>
      </c>
      <c r="EN9" s="24" cm="1">
        <f t="array" ref="EN9">IF(EN$2="FY",SUMPRODUCT(Data_Nhập[Tổng Nhập-NX]*(Data_Nhập[Year]=EN$1)*(Data_Nhập[Main SKU name_GOM]=$A9)*(Data_Nhập[SKU name_NHẬP_GOM]=EN$3)),SUMPRODUCT(Data_Nhập[Tổng Nhập-NX]*(Data_Nhập[Year]=EN$1)*(Data_Nhập[Month]=EN$2)*(Data_Nhập[Main SKU name_GOM]=$A9)*(Data_Nhập[SKU name_NHẬP_GOM]=EN$3)))</f>
        <v>0</v>
      </c>
      <c r="EO9" s="24" cm="1">
        <f t="array" ref="EO9">IF(EO$2="FY",SUMPRODUCT(Data_Nhập[Tổng Nhập-NX]*(Data_Nhập[Year]=EO$1)*(Data_Nhập[Main SKU name_GOM]=$A9)*(Data_Nhập[SKU name_NHẬP_GOM]=EO$3)),SUMPRODUCT(Data_Nhập[Tổng Nhập-NX]*(Data_Nhập[Year]=EO$1)*(Data_Nhập[Month]=EO$2)*(Data_Nhập[Main SKU name_GOM]=$A9)*(Data_Nhập[SKU name_NHẬP_GOM]=EO$3)))</f>
        <v>0</v>
      </c>
      <c r="EP9" s="25">
        <f t="shared" si="19"/>
        <v>0</v>
      </c>
      <c r="ER9" s="25" cm="1">
        <f t="array" ref="ER9">IF(ER$2="FY",SUMPRODUCT(Data_Xuất[Xuất-NX]*(Data_Xuất[Year]=ER$1)*(Data_Xuất[Main SKU name_GOM]=$A9)),SUMPRODUCT(Data_Xuất[Xuất-NX]*(Data_Xuất[Year]=ER$1)*(Data_Xuất[Main SKU name_GOM]=$A9)*(Data_Xuất[Month]=ER$2)))</f>
        <v>0</v>
      </c>
      <c r="ES9" s="24" cm="1">
        <f t="array" ref="ES9">IF(ES$2="FY",SUMPRODUCT(Data_Nhập[Tổng Nhập-NX]*(Data_Nhập[Year]=ES$1)*(Data_Nhập[Main SKU name_GOM]=$A9)*(Data_Nhập[SKU name_NHẬP_GOM]=ES$3)),SUMPRODUCT(Data_Nhập[Tổng Nhập-NX]*(Data_Nhập[Year]=ES$1)*(Data_Nhập[Month]=ES$2)*(Data_Nhập[Main SKU name_GOM]=$A9)*(Data_Nhập[SKU name_NHẬP_GOM]=ES$3)))</f>
        <v>0</v>
      </c>
      <c r="ET9" s="24" cm="1">
        <f t="array" ref="ET9">IF(ET$2="FY",SUMPRODUCT(Data_Nhập[Tổng Nhập-NX]*(Data_Nhập[Year]=ET$1)*(Data_Nhập[Main SKU name_GOM]=$A9)*(Data_Nhập[SKU name_NHẬP_GOM]=ET$3)),SUMPRODUCT(Data_Nhập[Tổng Nhập-NX]*(Data_Nhập[Year]=ET$1)*(Data_Nhập[Month]=ET$2)*(Data_Nhập[Main SKU name_GOM]=$A9)*(Data_Nhập[SKU name_NHẬP_GOM]=ET$3)))</f>
        <v>0</v>
      </c>
      <c r="EU9" s="24" cm="1">
        <f t="array" ref="EU9">IF(EU$2="FY",SUMPRODUCT(Data_Nhập[Tổng Nhập-NX]*(Data_Nhập[Year]=EU$1)*(Data_Nhập[Main SKU name_GOM]=$A9)*(Data_Nhập[SKU name_NHẬP_GOM]=EU$3)),SUMPRODUCT(Data_Nhập[Tổng Nhập-NX]*(Data_Nhập[Year]=EU$1)*(Data_Nhập[Month]=EU$2)*(Data_Nhập[Main SKU name_GOM]=$A9)*(Data_Nhập[SKU name_NHẬP_GOM]=EU$3)))</f>
        <v>0</v>
      </c>
      <c r="EV9" s="24" cm="1">
        <f t="array" ref="EV9">IF(EV$2="FY",SUMPRODUCT(Data_Nhập[Tổng Nhập-NX]*(Data_Nhập[Year]=EV$1)*(Data_Nhập[Main SKU name_GOM]=$A9)*(Data_Nhập[SKU name_NHẬP_GOM]=EV$3)),SUMPRODUCT(Data_Nhập[Tổng Nhập-NX]*(Data_Nhập[Year]=EV$1)*(Data_Nhập[Month]=EV$2)*(Data_Nhập[Main SKU name_GOM]=$A9)*(Data_Nhập[SKU name_NHẬP_GOM]=EV$3)))</f>
        <v>0</v>
      </c>
      <c r="EW9" s="24" cm="1">
        <f t="array" ref="EW9">IF(EW$2="FY",SUMPRODUCT(Data_Nhập[Tổng Nhập-NX]*(Data_Nhập[Year]=EW$1)*(Data_Nhập[Main SKU name_GOM]=$A9)*(Data_Nhập[SKU name_NHẬP_GOM]=EW$3)),SUMPRODUCT(Data_Nhập[Tổng Nhập-NX]*(Data_Nhập[Year]=EW$1)*(Data_Nhập[Month]=EW$2)*(Data_Nhập[Main SKU name_GOM]=$A9)*(Data_Nhập[SKU name_NHẬP_GOM]=EW$3)))</f>
        <v>0</v>
      </c>
      <c r="EX9" s="24" cm="1">
        <f t="array" ref="EX9">IF(EX$2="FY",SUMPRODUCT(Data_Nhập[Tổng Nhập-NX]*(Data_Nhập[Year]=EX$1)*(Data_Nhập[Main SKU name_GOM]=$A9)*(Data_Nhập[SKU name_NHẬP_GOM]=EX$3)),SUMPRODUCT(Data_Nhập[Tổng Nhập-NX]*(Data_Nhập[Year]=EX$1)*(Data_Nhập[Month]=EX$2)*(Data_Nhập[Main SKU name_GOM]=$A9)*(Data_Nhập[SKU name_NHẬP_GOM]=EX$3)))</f>
        <v>0</v>
      </c>
      <c r="EY9" s="24" cm="1">
        <f t="array" ref="EY9">IF(EY$2="FY",SUMPRODUCT(Data_Nhập[Tổng Nhập-NX]*(Data_Nhập[Year]=EY$1)*(Data_Nhập[Main SKU name_GOM]=$A9)*(Data_Nhập[SKU name_NHẬP_GOM]=EY$3)),SUMPRODUCT(Data_Nhập[Tổng Nhập-NX]*(Data_Nhập[Year]=EY$1)*(Data_Nhập[Month]=EY$2)*(Data_Nhập[Main SKU name_GOM]=$A9)*(Data_Nhập[SKU name_NHẬP_GOM]=EY$3)))</f>
        <v>0</v>
      </c>
      <c r="EZ9" s="24" cm="1">
        <f t="array" ref="EZ9">IF(EZ$2="FY",SUMPRODUCT(Data_Nhập[Tổng Nhập-NX]*(Data_Nhập[Year]=EZ$1)*(Data_Nhập[Main SKU name_GOM]=$A9)*(Data_Nhập[SKU name_NHẬP_GOM]=EZ$3)),SUMPRODUCT(Data_Nhập[Tổng Nhập-NX]*(Data_Nhập[Year]=EZ$1)*(Data_Nhập[Month]=EZ$2)*(Data_Nhập[Main SKU name_GOM]=$A9)*(Data_Nhập[SKU name_NHẬP_GOM]=EZ$3)))</f>
        <v>0</v>
      </c>
      <c r="FA9" s="24" cm="1">
        <f t="array" ref="FA9">IF(FA$2="FY",SUMPRODUCT(Data_Nhập[Tổng Nhập-NX]*(Data_Nhập[Year]=FA$1)*(Data_Nhập[Main SKU name_GOM]=$A9)*(Data_Nhập[SKU name_NHẬP_GOM]=FA$3)),SUMPRODUCT(Data_Nhập[Tổng Nhập-NX]*(Data_Nhập[Year]=FA$1)*(Data_Nhập[Month]=FA$2)*(Data_Nhập[Main SKU name_GOM]=$A9)*(Data_Nhập[SKU name_NHẬP_GOM]=FA$3)))</f>
        <v>0</v>
      </c>
      <c r="FB9" s="24" cm="1">
        <f t="array" ref="FB9">IF(FB$2="FY",SUMPRODUCT(Data_Nhập[Tổng Nhập-NX]*(Data_Nhập[Year]=FB$1)*(Data_Nhập[Main SKU name_GOM]=$A9)*(Data_Nhập[SKU name_NHẬP_GOM]=FB$3)),SUMPRODUCT(Data_Nhập[Tổng Nhập-NX]*(Data_Nhập[Year]=FB$1)*(Data_Nhập[Month]=FB$2)*(Data_Nhập[Main SKU name_GOM]=$A9)*(Data_Nhập[SKU name_NHẬP_GOM]=FB$3)))</f>
        <v>0</v>
      </c>
      <c r="FC9" s="24" cm="1">
        <f t="array" ref="FC9">IF(FC$2="FY",SUMPRODUCT(Data_Nhập[Tổng Nhập-NX]*(Data_Nhập[Year]=FC$1)*(Data_Nhập[Main SKU name_GOM]=$A9)*(Data_Nhập[SKU name_NHẬP_GOM]=FC$3)),SUMPRODUCT(Data_Nhập[Tổng Nhập-NX]*(Data_Nhập[Year]=FC$1)*(Data_Nhập[Month]=FC$2)*(Data_Nhập[Main SKU name_GOM]=$A9)*(Data_Nhập[SKU name_NHẬP_GOM]=FC$3)))</f>
        <v>0</v>
      </c>
      <c r="FD9" s="24" cm="1">
        <f t="array" ref="FD9">IF(FD$2="FY",SUMPRODUCT(Data_Nhập[Tổng Nhập-NX]*(Data_Nhập[Year]=FD$1)*(Data_Nhập[Main SKU name_GOM]=$A9)*(Data_Nhập[SKU name_NHẬP_GOM]=FD$3)),SUMPRODUCT(Data_Nhập[Tổng Nhập-NX]*(Data_Nhập[Year]=FD$1)*(Data_Nhập[Month]=FD$2)*(Data_Nhập[Main SKU name_GOM]=$A9)*(Data_Nhập[SKU name_NHẬP_GOM]=FD$3)))</f>
        <v>0</v>
      </c>
      <c r="FE9" s="24" cm="1">
        <f t="array" ref="FE9">IF(FE$2="FY",SUMPRODUCT(Data_Nhập[Tổng Nhập-NX]*(Data_Nhập[Year]=FE$1)*(Data_Nhập[Main SKU name_GOM]=$A9)*(Data_Nhập[SKU name_NHẬP_GOM]=FE$3)),SUMPRODUCT(Data_Nhập[Tổng Nhập-NX]*(Data_Nhập[Year]=FE$1)*(Data_Nhập[Month]=FE$2)*(Data_Nhập[Main SKU name_GOM]=$A9)*(Data_Nhập[SKU name_NHẬP_GOM]=FE$3)))</f>
        <v>0</v>
      </c>
      <c r="FF9" s="24" cm="1">
        <f t="array" ref="FF9">IF(FF$2="FY",SUMPRODUCT(Data_Nhập[Tổng Nhập-NX]*(Data_Nhập[Year]=FF$1)*(Data_Nhập[Main SKU name_GOM]=$A9)*(Data_Nhập[SKU name_NHẬP_GOM]=FF$3)),SUMPRODUCT(Data_Nhập[Tổng Nhập-NX]*(Data_Nhập[Year]=FF$1)*(Data_Nhập[Month]=FF$2)*(Data_Nhập[Main SKU name_GOM]=$A9)*(Data_Nhập[SKU name_NHẬP_GOM]=FF$3)))</f>
        <v>0</v>
      </c>
      <c r="FG9" s="24" cm="1">
        <f t="array" ref="FG9">IF(FG$2="FY",SUMPRODUCT(Data_Nhập[Tổng Nhập-NX]*(Data_Nhập[Year]=FG$1)*(Data_Nhập[Main SKU name_GOM]=$A9)*(Data_Nhập[SKU name_NHẬP_GOM]=FG$3)),SUMPRODUCT(Data_Nhập[Tổng Nhập-NX]*(Data_Nhập[Year]=FG$1)*(Data_Nhập[Month]=FG$2)*(Data_Nhập[Main SKU name_GOM]=$A9)*(Data_Nhập[SKU name_NHẬP_GOM]=FG$3)))</f>
        <v>0</v>
      </c>
      <c r="FH9" s="25">
        <f t="shared" si="20"/>
        <v>0</v>
      </c>
      <c r="FJ9" s="25" cm="1">
        <f t="array" ref="FJ9">IF(FJ$2="FY",SUMPRODUCT(Data_Xuất[Xuất-NX]*(Data_Xuất[Year]=FJ$1)*(Data_Xuất[Main SKU name_GOM]=$A9)),SUMPRODUCT(Data_Xuất[Xuất-NX]*(Data_Xuất[Year]=FJ$1)*(Data_Xuất[Main SKU name_GOM]=$A9)*(Data_Xuất[Month]=FJ$2)))</f>
        <v>0</v>
      </c>
      <c r="FK9" s="24" cm="1">
        <f t="array" ref="FK9">IF(FK$2="FY",SUMPRODUCT(Data_Nhập[Tổng Nhập-NX]*(Data_Nhập[Year]=FK$1)*(Data_Nhập[Main SKU name_GOM]=$A9)*(Data_Nhập[SKU name_NHẬP_GOM]=FK$3)),SUMPRODUCT(Data_Nhập[Tổng Nhập-NX]*(Data_Nhập[Year]=FK$1)*(Data_Nhập[Month]=FK$2)*(Data_Nhập[Main SKU name_GOM]=$A9)*(Data_Nhập[SKU name_NHẬP_GOM]=FK$3)))</f>
        <v>0</v>
      </c>
      <c r="FL9" s="24" cm="1">
        <f t="array" ref="FL9">IF(FL$2="FY",SUMPRODUCT(Data_Nhập[Tổng Nhập-NX]*(Data_Nhập[Year]=FL$1)*(Data_Nhập[Main SKU name_GOM]=$A9)*(Data_Nhập[SKU name_NHẬP_GOM]=FL$3)),SUMPRODUCT(Data_Nhập[Tổng Nhập-NX]*(Data_Nhập[Year]=FL$1)*(Data_Nhập[Month]=FL$2)*(Data_Nhập[Main SKU name_GOM]=$A9)*(Data_Nhập[SKU name_NHẬP_GOM]=FL$3)))</f>
        <v>0</v>
      </c>
      <c r="FM9" s="24" cm="1">
        <f t="array" ref="FM9">IF(FM$2="FY",SUMPRODUCT(Data_Nhập[Tổng Nhập-NX]*(Data_Nhập[Year]=FM$1)*(Data_Nhập[Main SKU name_GOM]=$A9)*(Data_Nhập[SKU name_NHẬP_GOM]=FM$3)),SUMPRODUCT(Data_Nhập[Tổng Nhập-NX]*(Data_Nhập[Year]=FM$1)*(Data_Nhập[Month]=FM$2)*(Data_Nhập[Main SKU name_GOM]=$A9)*(Data_Nhập[SKU name_NHẬP_GOM]=FM$3)))</f>
        <v>0</v>
      </c>
      <c r="FN9" s="24" cm="1">
        <f t="array" ref="FN9">IF(FN$2="FY",SUMPRODUCT(Data_Nhập[Tổng Nhập-NX]*(Data_Nhập[Year]=FN$1)*(Data_Nhập[Main SKU name_GOM]=$A9)*(Data_Nhập[SKU name_NHẬP_GOM]=FN$3)),SUMPRODUCT(Data_Nhập[Tổng Nhập-NX]*(Data_Nhập[Year]=FN$1)*(Data_Nhập[Month]=FN$2)*(Data_Nhập[Main SKU name_GOM]=$A9)*(Data_Nhập[SKU name_NHẬP_GOM]=FN$3)))</f>
        <v>0</v>
      </c>
      <c r="FO9" s="24" cm="1">
        <f t="array" ref="FO9">IF(FO$2="FY",SUMPRODUCT(Data_Nhập[Tổng Nhập-NX]*(Data_Nhập[Year]=FO$1)*(Data_Nhập[Main SKU name_GOM]=$A9)*(Data_Nhập[SKU name_NHẬP_GOM]=FO$3)),SUMPRODUCT(Data_Nhập[Tổng Nhập-NX]*(Data_Nhập[Year]=FO$1)*(Data_Nhập[Month]=FO$2)*(Data_Nhập[Main SKU name_GOM]=$A9)*(Data_Nhập[SKU name_NHẬP_GOM]=FO$3)))</f>
        <v>0</v>
      </c>
      <c r="FP9" s="24" cm="1">
        <f t="array" ref="FP9">IF(FP$2="FY",SUMPRODUCT(Data_Nhập[Tổng Nhập-NX]*(Data_Nhập[Year]=FP$1)*(Data_Nhập[Main SKU name_GOM]=$A9)*(Data_Nhập[SKU name_NHẬP_GOM]=FP$3)),SUMPRODUCT(Data_Nhập[Tổng Nhập-NX]*(Data_Nhập[Year]=FP$1)*(Data_Nhập[Month]=FP$2)*(Data_Nhập[Main SKU name_GOM]=$A9)*(Data_Nhập[SKU name_NHẬP_GOM]=FP$3)))</f>
        <v>0</v>
      </c>
      <c r="FQ9" s="24" cm="1">
        <f t="array" ref="FQ9">IF(FQ$2="FY",SUMPRODUCT(Data_Nhập[Tổng Nhập-NX]*(Data_Nhập[Year]=FQ$1)*(Data_Nhập[Main SKU name_GOM]=$A9)*(Data_Nhập[SKU name_NHẬP_GOM]=FQ$3)),SUMPRODUCT(Data_Nhập[Tổng Nhập-NX]*(Data_Nhập[Year]=FQ$1)*(Data_Nhập[Month]=FQ$2)*(Data_Nhập[Main SKU name_GOM]=$A9)*(Data_Nhập[SKU name_NHẬP_GOM]=FQ$3)))</f>
        <v>0</v>
      </c>
      <c r="FR9" s="24" cm="1">
        <f t="array" ref="FR9">IF(FR$2="FY",SUMPRODUCT(Data_Nhập[Tổng Nhập-NX]*(Data_Nhập[Year]=FR$1)*(Data_Nhập[Main SKU name_GOM]=$A9)*(Data_Nhập[SKU name_NHẬP_GOM]=FR$3)),SUMPRODUCT(Data_Nhập[Tổng Nhập-NX]*(Data_Nhập[Year]=FR$1)*(Data_Nhập[Month]=FR$2)*(Data_Nhập[Main SKU name_GOM]=$A9)*(Data_Nhập[SKU name_NHẬP_GOM]=FR$3)))</f>
        <v>0</v>
      </c>
      <c r="FS9" s="24" cm="1">
        <f t="array" ref="FS9">IF(FS$2="FY",SUMPRODUCT(Data_Nhập[Tổng Nhập-NX]*(Data_Nhập[Year]=FS$1)*(Data_Nhập[Main SKU name_GOM]=$A9)*(Data_Nhập[SKU name_NHẬP_GOM]=FS$3)),SUMPRODUCT(Data_Nhập[Tổng Nhập-NX]*(Data_Nhập[Year]=FS$1)*(Data_Nhập[Month]=FS$2)*(Data_Nhập[Main SKU name_GOM]=$A9)*(Data_Nhập[SKU name_NHẬP_GOM]=FS$3)))</f>
        <v>0</v>
      </c>
      <c r="FT9" s="24" cm="1">
        <f t="array" ref="FT9">IF(FT$2="FY",SUMPRODUCT(Data_Nhập[Tổng Nhập-NX]*(Data_Nhập[Year]=FT$1)*(Data_Nhập[Main SKU name_GOM]=$A9)*(Data_Nhập[SKU name_NHẬP_GOM]=FT$3)),SUMPRODUCT(Data_Nhập[Tổng Nhập-NX]*(Data_Nhập[Year]=FT$1)*(Data_Nhập[Month]=FT$2)*(Data_Nhập[Main SKU name_GOM]=$A9)*(Data_Nhập[SKU name_NHẬP_GOM]=FT$3)))</f>
        <v>0</v>
      </c>
      <c r="FU9" s="24" cm="1">
        <f t="array" ref="FU9">IF(FU$2="FY",SUMPRODUCT(Data_Nhập[Tổng Nhập-NX]*(Data_Nhập[Year]=FU$1)*(Data_Nhập[Main SKU name_GOM]=$A9)*(Data_Nhập[SKU name_NHẬP_GOM]=FU$3)),SUMPRODUCT(Data_Nhập[Tổng Nhập-NX]*(Data_Nhập[Year]=FU$1)*(Data_Nhập[Month]=FU$2)*(Data_Nhập[Main SKU name_GOM]=$A9)*(Data_Nhập[SKU name_NHẬP_GOM]=FU$3)))</f>
        <v>0</v>
      </c>
      <c r="FV9" s="24" cm="1">
        <f t="array" ref="FV9">IF(FV$2="FY",SUMPRODUCT(Data_Nhập[Tổng Nhập-NX]*(Data_Nhập[Year]=FV$1)*(Data_Nhập[Main SKU name_GOM]=$A9)*(Data_Nhập[SKU name_NHẬP_GOM]=FV$3)),SUMPRODUCT(Data_Nhập[Tổng Nhập-NX]*(Data_Nhập[Year]=FV$1)*(Data_Nhập[Month]=FV$2)*(Data_Nhập[Main SKU name_GOM]=$A9)*(Data_Nhập[SKU name_NHẬP_GOM]=FV$3)))</f>
        <v>0</v>
      </c>
      <c r="FW9" s="24" cm="1">
        <f t="array" ref="FW9">IF(FW$2="FY",SUMPRODUCT(Data_Nhập[Tổng Nhập-NX]*(Data_Nhập[Year]=FW$1)*(Data_Nhập[Main SKU name_GOM]=$A9)*(Data_Nhập[SKU name_NHẬP_GOM]=FW$3)),SUMPRODUCT(Data_Nhập[Tổng Nhập-NX]*(Data_Nhập[Year]=FW$1)*(Data_Nhập[Month]=FW$2)*(Data_Nhập[Main SKU name_GOM]=$A9)*(Data_Nhập[SKU name_NHẬP_GOM]=FW$3)))</f>
        <v>0</v>
      </c>
      <c r="FX9" s="24" cm="1">
        <f t="array" ref="FX9">IF(FX$2="FY",SUMPRODUCT(Data_Nhập[Tổng Nhập-NX]*(Data_Nhập[Year]=FX$1)*(Data_Nhập[Main SKU name_GOM]=$A9)*(Data_Nhập[SKU name_NHẬP_GOM]=FX$3)),SUMPRODUCT(Data_Nhập[Tổng Nhập-NX]*(Data_Nhập[Year]=FX$1)*(Data_Nhập[Month]=FX$2)*(Data_Nhập[Main SKU name_GOM]=$A9)*(Data_Nhập[SKU name_NHẬP_GOM]=FX$3)))</f>
        <v>0</v>
      </c>
      <c r="FY9" s="24" cm="1">
        <f t="array" ref="FY9">IF(FY$2="FY",SUMPRODUCT(Data_Nhập[Tổng Nhập-NX]*(Data_Nhập[Year]=FY$1)*(Data_Nhập[Main SKU name_GOM]=$A9)*(Data_Nhập[SKU name_NHẬP_GOM]=FY$3)),SUMPRODUCT(Data_Nhập[Tổng Nhập-NX]*(Data_Nhập[Year]=FY$1)*(Data_Nhập[Month]=FY$2)*(Data_Nhập[Main SKU name_GOM]=$A9)*(Data_Nhập[SKU name_NHẬP_GOM]=FY$3)))</f>
        <v>0</v>
      </c>
      <c r="FZ9" s="25">
        <f t="shared" si="21"/>
        <v>0</v>
      </c>
      <c r="GB9" s="25" cm="1">
        <f t="array" ref="GB9">IF(GB$2="FY",SUMPRODUCT(Data_Xuất[Xuất-NX]*(Data_Xuất[Year]=GB$1)*(Data_Xuất[Main SKU name_GOM]=$A9)),SUMPRODUCT(Data_Xuất[Xuất-NX]*(Data_Xuất[Year]=GB$1)*(Data_Xuất[Main SKU name_GOM]=$A9)*(Data_Xuất[Month]=GB$2)))</f>
        <v>117250</v>
      </c>
      <c r="GC9" s="24" cm="1">
        <f t="array" ref="GC9">IF(GC$2="FY",SUMPRODUCT(Data_Nhập[Tổng Nhập-NX]*(Data_Nhập[Year]=GC$1)*(Data_Nhập[Main SKU name_GOM]=$A9)*(Data_Nhập[SKU name_NHẬP_GOM]=GC$3)),SUMPRODUCT(Data_Nhập[Tổng Nhập-NX]*(Data_Nhập[Year]=GC$1)*(Data_Nhập[Month]=GC$2)*(Data_Nhập[Main SKU name_GOM]=$A9)*(Data_Nhập[SKU name_NHẬP_GOM]=GC$3)))</f>
        <v>0</v>
      </c>
      <c r="GD9" s="24" cm="1">
        <f t="array" ref="GD9">IF(GD$2="FY",SUMPRODUCT(Data_Nhập[Tổng Nhập-NX]*(Data_Nhập[Year]=GD$1)*(Data_Nhập[Main SKU name_GOM]=$A9)*(Data_Nhập[SKU name_NHẬP_GOM]=GD$3)),SUMPRODUCT(Data_Nhập[Tổng Nhập-NX]*(Data_Nhập[Year]=GD$1)*(Data_Nhập[Month]=GD$2)*(Data_Nhập[Main SKU name_GOM]=$A9)*(Data_Nhập[SKU name_NHẬP_GOM]=GD$3)))</f>
        <v>0</v>
      </c>
      <c r="GE9" s="24" cm="1">
        <f t="array" ref="GE9">IF(GE$2="FY",SUMPRODUCT(Data_Nhập[Tổng Nhập-NX]*(Data_Nhập[Year]=GE$1)*(Data_Nhập[Main SKU name_GOM]=$A9)*(Data_Nhập[SKU name_NHẬP_GOM]=GE$3)),SUMPRODUCT(Data_Nhập[Tổng Nhập-NX]*(Data_Nhập[Year]=GE$1)*(Data_Nhập[Month]=GE$2)*(Data_Nhập[Main SKU name_GOM]=$A9)*(Data_Nhập[SKU name_NHẬP_GOM]=GE$3)))</f>
        <v>0</v>
      </c>
      <c r="GF9" s="24" cm="1">
        <f t="array" ref="GF9">IF(GF$2="FY",SUMPRODUCT(Data_Nhập[Tổng Nhập-NX]*(Data_Nhập[Year]=GF$1)*(Data_Nhập[Main SKU name_GOM]=$A9)*(Data_Nhập[SKU name_NHẬP_GOM]=GF$3)),SUMPRODUCT(Data_Nhập[Tổng Nhập-NX]*(Data_Nhập[Year]=GF$1)*(Data_Nhập[Month]=GF$2)*(Data_Nhập[Main SKU name_GOM]=$A9)*(Data_Nhập[SKU name_NHẬP_GOM]=GF$3)))</f>
        <v>0</v>
      </c>
      <c r="GG9" s="24" cm="1">
        <f t="array" ref="GG9">IF(GG$2="FY",SUMPRODUCT(Data_Nhập[Tổng Nhập-NX]*(Data_Nhập[Year]=GG$1)*(Data_Nhập[Main SKU name_GOM]=$A9)*(Data_Nhập[SKU name_NHẬP_GOM]=GG$3)),SUMPRODUCT(Data_Nhập[Tổng Nhập-NX]*(Data_Nhập[Year]=GG$1)*(Data_Nhập[Month]=GG$2)*(Data_Nhập[Main SKU name_GOM]=$A9)*(Data_Nhập[SKU name_NHẬP_GOM]=GG$3)))</f>
        <v>108900</v>
      </c>
      <c r="GH9" s="24" cm="1">
        <f t="array" ref="GH9">IF(GH$2="FY",SUMPRODUCT(Data_Nhập[Tổng Nhập-NX]*(Data_Nhập[Year]=GH$1)*(Data_Nhập[Main SKU name_GOM]=$A9)*(Data_Nhập[SKU name_NHẬP_GOM]=GH$3)),SUMPRODUCT(Data_Nhập[Tổng Nhập-NX]*(Data_Nhập[Year]=GH$1)*(Data_Nhập[Month]=GH$2)*(Data_Nhập[Main SKU name_GOM]=$A9)*(Data_Nhập[SKU name_NHẬP_GOM]=GH$3)))</f>
        <v>0</v>
      </c>
      <c r="GI9" s="24" cm="1">
        <f t="array" ref="GI9">IF(GI$2="FY",SUMPRODUCT(Data_Nhập[Tổng Nhập-NX]*(Data_Nhập[Year]=GI$1)*(Data_Nhập[Main SKU name_GOM]=$A9)*(Data_Nhập[SKU name_NHẬP_GOM]=GI$3)),SUMPRODUCT(Data_Nhập[Tổng Nhập-NX]*(Data_Nhập[Year]=GI$1)*(Data_Nhập[Month]=GI$2)*(Data_Nhập[Main SKU name_GOM]=$A9)*(Data_Nhập[SKU name_NHẬP_GOM]=GI$3)))</f>
        <v>0</v>
      </c>
      <c r="GJ9" s="24" cm="1">
        <f t="array" ref="GJ9">IF(GJ$2="FY",SUMPRODUCT(Data_Nhập[Tổng Nhập-NX]*(Data_Nhập[Year]=GJ$1)*(Data_Nhập[Main SKU name_GOM]=$A9)*(Data_Nhập[SKU name_NHẬP_GOM]=GJ$3)),SUMPRODUCT(Data_Nhập[Tổng Nhập-NX]*(Data_Nhập[Year]=GJ$1)*(Data_Nhập[Month]=GJ$2)*(Data_Nhập[Main SKU name_GOM]=$A9)*(Data_Nhập[SKU name_NHẬP_GOM]=GJ$3)))</f>
        <v>0</v>
      </c>
      <c r="GK9" s="24" cm="1">
        <f t="array" ref="GK9">IF(GK$2="FY",SUMPRODUCT(Data_Nhập[Tổng Nhập-NX]*(Data_Nhập[Year]=GK$1)*(Data_Nhập[Main SKU name_GOM]=$A9)*(Data_Nhập[SKU name_NHẬP_GOM]=GK$3)),SUMPRODUCT(Data_Nhập[Tổng Nhập-NX]*(Data_Nhập[Year]=GK$1)*(Data_Nhập[Month]=GK$2)*(Data_Nhập[Main SKU name_GOM]=$A9)*(Data_Nhập[SKU name_NHẬP_GOM]=GK$3)))</f>
        <v>0</v>
      </c>
      <c r="GL9" s="24" cm="1">
        <f t="array" ref="GL9">IF(GL$2="FY",SUMPRODUCT(Data_Nhập[Tổng Nhập-NX]*(Data_Nhập[Year]=GL$1)*(Data_Nhập[Main SKU name_GOM]=$A9)*(Data_Nhập[SKU name_NHẬP_GOM]=GL$3)),SUMPRODUCT(Data_Nhập[Tổng Nhập-NX]*(Data_Nhập[Year]=GL$1)*(Data_Nhập[Month]=GL$2)*(Data_Nhập[Main SKU name_GOM]=$A9)*(Data_Nhập[SKU name_NHẬP_GOM]=GL$3)))</f>
        <v>0</v>
      </c>
      <c r="GM9" s="24" cm="1">
        <f t="array" ref="GM9">IF(GM$2="FY",SUMPRODUCT(Data_Nhập[Tổng Nhập-NX]*(Data_Nhập[Year]=GM$1)*(Data_Nhập[Main SKU name_GOM]=$A9)*(Data_Nhập[SKU name_NHẬP_GOM]=GM$3)),SUMPRODUCT(Data_Nhập[Tổng Nhập-NX]*(Data_Nhập[Year]=GM$1)*(Data_Nhập[Month]=GM$2)*(Data_Nhập[Main SKU name_GOM]=$A9)*(Data_Nhập[SKU name_NHẬP_GOM]=GM$3)))</f>
        <v>0</v>
      </c>
      <c r="GN9" s="24" cm="1">
        <f t="array" ref="GN9">IF(GN$2="FY",SUMPRODUCT(Data_Nhập[Tổng Nhập-NX]*(Data_Nhập[Year]=GN$1)*(Data_Nhập[Main SKU name_GOM]=$A9)*(Data_Nhập[SKU name_NHẬP_GOM]=GN$3)),SUMPRODUCT(Data_Nhập[Tổng Nhập-NX]*(Data_Nhập[Year]=GN$1)*(Data_Nhập[Month]=GN$2)*(Data_Nhập[Main SKU name_GOM]=$A9)*(Data_Nhập[SKU name_NHẬP_GOM]=GN$3)))</f>
        <v>0</v>
      </c>
      <c r="GO9" s="24" cm="1">
        <f t="array" ref="GO9">IF(GO$2="FY",SUMPRODUCT(Data_Nhập[Tổng Nhập-NX]*(Data_Nhập[Year]=GO$1)*(Data_Nhập[Main SKU name_GOM]=$A9)*(Data_Nhập[SKU name_NHẬP_GOM]=GO$3)),SUMPRODUCT(Data_Nhập[Tổng Nhập-NX]*(Data_Nhập[Year]=GO$1)*(Data_Nhập[Month]=GO$2)*(Data_Nhập[Main SKU name_GOM]=$A9)*(Data_Nhập[SKU name_NHẬP_GOM]=GO$3)))</f>
        <v>0</v>
      </c>
      <c r="GP9" s="24" cm="1">
        <f t="array" ref="GP9">IF(GP$2="FY",SUMPRODUCT(Data_Nhập[Tổng Nhập-NX]*(Data_Nhập[Year]=GP$1)*(Data_Nhập[Main SKU name_GOM]=$A9)*(Data_Nhập[SKU name_NHẬP_GOM]=GP$3)),SUMPRODUCT(Data_Nhập[Tổng Nhập-NX]*(Data_Nhập[Year]=GP$1)*(Data_Nhập[Month]=GP$2)*(Data_Nhập[Main SKU name_GOM]=$A9)*(Data_Nhập[SKU name_NHẬP_GOM]=GP$3)))</f>
        <v>7890</v>
      </c>
      <c r="GQ9" s="24" cm="1">
        <f t="array" ref="GQ9">IF(GQ$2="FY",SUMPRODUCT(Data_Nhập[Tổng Nhập-NX]*(Data_Nhập[Year]=GQ$1)*(Data_Nhập[Main SKU name_GOM]=$A9)*(Data_Nhập[SKU name_NHẬP_GOM]=GQ$3)),SUMPRODUCT(Data_Nhập[Tổng Nhập-NX]*(Data_Nhập[Year]=GQ$1)*(Data_Nhập[Month]=GQ$2)*(Data_Nhập[Main SKU name_GOM]=$A9)*(Data_Nhập[SKU name_NHẬP_GOM]=GQ$3)))</f>
        <v>0</v>
      </c>
      <c r="GR9" s="25">
        <f t="shared" si="22"/>
        <v>116790</v>
      </c>
      <c r="GT9" s="25" cm="1">
        <f t="array" ref="GT9">IF(GT$2="FY",SUMPRODUCT(Data_Xuất[Xuất-NX]*(Data_Xuất[Year]=GT$1)*(Data_Xuất[Main SKU name_GOM]=$A9)),SUMPRODUCT(Data_Xuất[Xuất-NX]*(Data_Xuất[Year]=GT$1)*(Data_Xuất[Main SKU name_GOM]=$A9)*(Data_Xuất[Month]=GT$2)))</f>
        <v>105000</v>
      </c>
      <c r="GU9" s="24" cm="1">
        <f t="array" ref="GU9">IF(GU$2="FY",SUMPRODUCT(Data_Nhập[Tổng Nhập-NX]*(Data_Nhập[Year]=GU$1)*(Data_Nhập[Main SKU name_GOM]=$A9)*(Data_Nhập[SKU name_NHẬP_GOM]=GU$3)),SUMPRODUCT(Data_Nhập[Tổng Nhập-NX]*(Data_Nhập[Year]=GU$1)*(Data_Nhập[Month]=GU$2)*(Data_Nhập[Main SKU name_GOM]=$A9)*(Data_Nhập[SKU name_NHẬP_GOM]=GU$3)))</f>
        <v>0</v>
      </c>
      <c r="GV9" s="24" cm="1">
        <f t="array" ref="GV9">IF(GV$2="FY",SUMPRODUCT(Data_Nhập[Tổng Nhập-NX]*(Data_Nhập[Year]=GV$1)*(Data_Nhập[Main SKU name_GOM]=$A9)*(Data_Nhập[SKU name_NHẬP_GOM]=GV$3)),SUMPRODUCT(Data_Nhập[Tổng Nhập-NX]*(Data_Nhập[Year]=GV$1)*(Data_Nhập[Month]=GV$2)*(Data_Nhập[Main SKU name_GOM]=$A9)*(Data_Nhập[SKU name_NHẬP_GOM]=GV$3)))</f>
        <v>0</v>
      </c>
      <c r="GW9" s="24" cm="1">
        <f t="array" ref="GW9">IF(GW$2="FY",SUMPRODUCT(Data_Nhập[Tổng Nhập-NX]*(Data_Nhập[Year]=GW$1)*(Data_Nhập[Main SKU name_GOM]=$A9)*(Data_Nhập[SKU name_NHẬP_GOM]=GW$3)),SUMPRODUCT(Data_Nhập[Tổng Nhập-NX]*(Data_Nhập[Year]=GW$1)*(Data_Nhập[Month]=GW$2)*(Data_Nhập[Main SKU name_GOM]=$A9)*(Data_Nhập[SKU name_NHẬP_GOM]=GW$3)))</f>
        <v>0</v>
      </c>
      <c r="GX9" s="24" cm="1">
        <f t="array" ref="GX9">IF(GX$2="FY",SUMPRODUCT(Data_Nhập[Tổng Nhập-NX]*(Data_Nhập[Year]=GX$1)*(Data_Nhập[Main SKU name_GOM]=$A9)*(Data_Nhập[SKU name_NHẬP_GOM]=GX$3)),SUMPRODUCT(Data_Nhập[Tổng Nhập-NX]*(Data_Nhập[Year]=GX$1)*(Data_Nhập[Month]=GX$2)*(Data_Nhập[Main SKU name_GOM]=$A9)*(Data_Nhập[SKU name_NHẬP_GOM]=GX$3)))</f>
        <v>1100</v>
      </c>
      <c r="GY9" s="24" cm="1">
        <f t="array" ref="GY9">IF(GY$2="FY",SUMPRODUCT(Data_Nhập[Tổng Nhập-NX]*(Data_Nhập[Year]=GY$1)*(Data_Nhập[Main SKU name_GOM]=$A9)*(Data_Nhập[SKU name_NHẬP_GOM]=GY$3)),SUMPRODUCT(Data_Nhập[Tổng Nhập-NX]*(Data_Nhập[Year]=GY$1)*(Data_Nhập[Month]=GY$2)*(Data_Nhập[Main SKU name_GOM]=$A9)*(Data_Nhập[SKU name_NHẬP_GOM]=GY$3)))</f>
        <v>93500</v>
      </c>
      <c r="GZ9" s="24" cm="1">
        <f t="array" ref="GZ9">IF(GZ$2="FY",SUMPRODUCT(Data_Nhập[Tổng Nhập-NX]*(Data_Nhập[Year]=GZ$1)*(Data_Nhập[Main SKU name_GOM]=$A9)*(Data_Nhập[SKU name_NHẬP_GOM]=GZ$3)),SUMPRODUCT(Data_Nhập[Tổng Nhập-NX]*(Data_Nhập[Year]=GZ$1)*(Data_Nhập[Month]=GZ$2)*(Data_Nhập[Main SKU name_GOM]=$A9)*(Data_Nhập[SKU name_NHẬP_GOM]=GZ$3)))</f>
        <v>0</v>
      </c>
      <c r="HA9" s="24" cm="1">
        <f t="array" ref="HA9">IF(HA$2="FY",SUMPRODUCT(Data_Nhập[Tổng Nhập-NX]*(Data_Nhập[Year]=HA$1)*(Data_Nhập[Main SKU name_GOM]=$A9)*(Data_Nhập[SKU name_NHẬP_GOM]=HA$3)),SUMPRODUCT(Data_Nhập[Tổng Nhập-NX]*(Data_Nhập[Year]=HA$1)*(Data_Nhập[Month]=HA$2)*(Data_Nhập[Main SKU name_GOM]=$A9)*(Data_Nhập[SKU name_NHẬP_GOM]=HA$3)))</f>
        <v>0</v>
      </c>
      <c r="HB9" s="24" cm="1">
        <f t="array" ref="HB9">IF(HB$2="FY",SUMPRODUCT(Data_Nhập[Tổng Nhập-NX]*(Data_Nhập[Year]=HB$1)*(Data_Nhập[Main SKU name_GOM]=$A9)*(Data_Nhập[SKU name_NHẬP_GOM]=HB$3)),SUMPRODUCT(Data_Nhập[Tổng Nhập-NX]*(Data_Nhập[Year]=HB$1)*(Data_Nhập[Month]=HB$2)*(Data_Nhập[Main SKU name_GOM]=$A9)*(Data_Nhập[SKU name_NHẬP_GOM]=HB$3)))</f>
        <v>0</v>
      </c>
      <c r="HC9" s="24" cm="1">
        <f t="array" ref="HC9">IF(HC$2="FY",SUMPRODUCT(Data_Nhập[Tổng Nhập-NX]*(Data_Nhập[Year]=HC$1)*(Data_Nhập[Main SKU name_GOM]=$A9)*(Data_Nhập[SKU name_NHẬP_GOM]=HC$3)),SUMPRODUCT(Data_Nhập[Tổng Nhập-NX]*(Data_Nhập[Year]=HC$1)*(Data_Nhập[Month]=HC$2)*(Data_Nhập[Main SKU name_GOM]=$A9)*(Data_Nhập[SKU name_NHẬP_GOM]=HC$3)))</f>
        <v>0</v>
      </c>
      <c r="HD9" s="24" cm="1">
        <f t="array" ref="HD9">IF(HD$2="FY",SUMPRODUCT(Data_Nhập[Tổng Nhập-NX]*(Data_Nhập[Year]=HD$1)*(Data_Nhập[Main SKU name_GOM]=$A9)*(Data_Nhập[SKU name_NHẬP_GOM]=HD$3)),SUMPRODUCT(Data_Nhập[Tổng Nhập-NX]*(Data_Nhập[Year]=HD$1)*(Data_Nhập[Month]=HD$2)*(Data_Nhập[Main SKU name_GOM]=$A9)*(Data_Nhập[SKU name_NHẬP_GOM]=HD$3)))</f>
        <v>0</v>
      </c>
      <c r="HE9" s="24" cm="1">
        <f t="array" ref="HE9">IF(HE$2="FY",SUMPRODUCT(Data_Nhập[Tổng Nhập-NX]*(Data_Nhập[Year]=HE$1)*(Data_Nhập[Main SKU name_GOM]=$A9)*(Data_Nhập[SKU name_NHẬP_GOM]=HE$3)),SUMPRODUCT(Data_Nhập[Tổng Nhập-NX]*(Data_Nhập[Year]=HE$1)*(Data_Nhập[Month]=HE$2)*(Data_Nhập[Main SKU name_GOM]=$A9)*(Data_Nhập[SKU name_NHẬP_GOM]=HE$3)))</f>
        <v>0</v>
      </c>
      <c r="HF9" s="24" cm="1">
        <f t="array" ref="HF9">IF(HF$2="FY",SUMPRODUCT(Data_Nhập[Tổng Nhập-NX]*(Data_Nhập[Year]=HF$1)*(Data_Nhập[Main SKU name_GOM]=$A9)*(Data_Nhập[SKU name_NHẬP_GOM]=HF$3)),SUMPRODUCT(Data_Nhập[Tổng Nhập-NX]*(Data_Nhập[Year]=HF$1)*(Data_Nhập[Month]=HF$2)*(Data_Nhập[Main SKU name_GOM]=$A9)*(Data_Nhập[SKU name_NHẬP_GOM]=HF$3)))</f>
        <v>0</v>
      </c>
      <c r="HG9" s="24" cm="1">
        <f t="array" ref="HG9">IF(HG$2="FY",SUMPRODUCT(Data_Nhập[Tổng Nhập-NX]*(Data_Nhập[Year]=HG$1)*(Data_Nhập[Main SKU name_GOM]=$A9)*(Data_Nhập[SKU name_NHẬP_GOM]=HG$3)),SUMPRODUCT(Data_Nhập[Tổng Nhập-NX]*(Data_Nhập[Year]=HG$1)*(Data_Nhập[Month]=HG$2)*(Data_Nhập[Main SKU name_GOM]=$A9)*(Data_Nhập[SKU name_NHẬP_GOM]=HG$3)))</f>
        <v>0</v>
      </c>
      <c r="HH9" s="24" cm="1">
        <f t="array" ref="HH9">IF(HH$2="FY",SUMPRODUCT(Data_Nhập[Tổng Nhập-NX]*(Data_Nhập[Year]=HH$1)*(Data_Nhập[Main SKU name_GOM]=$A9)*(Data_Nhập[SKU name_NHẬP_GOM]=HH$3)),SUMPRODUCT(Data_Nhập[Tổng Nhập-NX]*(Data_Nhập[Year]=HH$1)*(Data_Nhập[Month]=HH$2)*(Data_Nhập[Main SKU name_GOM]=$A9)*(Data_Nhập[SKU name_NHẬP_GOM]=HH$3)))</f>
        <v>9100</v>
      </c>
      <c r="HI9" s="24" cm="1">
        <f t="array" ref="HI9">IF(HI$2="FY",SUMPRODUCT(Data_Nhập[Tổng Nhập-NX]*(Data_Nhập[Year]=HI$1)*(Data_Nhập[Main SKU name_GOM]=$A9)*(Data_Nhập[SKU name_NHẬP_GOM]=HI$3)),SUMPRODUCT(Data_Nhập[Tổng Nhập-NX]*(Data_Nhập[Year]=HI$1)*(Data_Nhập[Month]=HI$2)*(Data_Nhập[Main SKU name_GOM]=$A9)*(Data_Nhập[SKU name_NHẬP_GOM]=HI$3)))</f>
        <v>0</v>
      </c>
      <c r="HJ9" s="25">
        <f t="shared" si="23"/>
        <v>103700</v>
      </c>
      <c r="HL9" s="25" cm="1">
        <f t="array" ref="HL9">IF(HL$2="FY",SUMPRODUCT(Data_Xuất[Xuất-NX]*(Data_Xuất[Year]=HL$1)*(Data_Xuất[Main SKU name_GOM]=$A9)),SUMPRODUCT(Data_Xuất[Xuất-NX]*(Data_Xuất[Year]=HL$1)*(Data_Xuất[Main SKU name_GOM]=$A9)*(Data_Xuất[Month]=HL$2)))</f>
        <v>29500</v>
      </c>
      <c r="HM9" s="24" cm="1">
        <f t="array" ref="HM9">IF(HM$2="FY",SUMPRODUCT(Data_Nhập[Tổng Nhập-NX]*(Data_Nhập[Year]=HM$1)*(Data_Nhập[Main SKU name_GOM]=$A9)*(Data_Nhập[SKU name_NHẬP_GOM]=HM$3)),SUMPRODUCT(Data_Nhập[Tổng Nhập-NX]*(Data_Nhập[Year]=HM$1)*(Data_Nhập[Month]=HM$2)*(Data_Nhập[Main SKU name_GOM]=$A9)*(Data_Nhập[SKU name_NHẬP_GOM]=HM$3)))</f>
        <v>0</v>
      </c>
      <c r="HN9" s="24" cm="1">
        <f t="array" ref="HN9">IF(HN$2="FY",SUMPRODUCT(Data_Nhập[Tổng Nhập-NX]*(Data_Nhập[Year]=HN$1)*(Data_Nhập[Main SKU name_GOM]=$A9)*(Data_Nhập[SKU name_NHẬP_GOM]=HN$3)),SUMPRODUCT(Data_Nhập[Tổng Nhập-NX]*(Data_Nhập[Year]=HN$1)*(Data_Nhập[Month]=HN$2)*(Data_Nhập[Main SKU name_GOM]=$A9)*(Data_Nhập[SKU name_NHẬP_GOM]=HN$3)))</f>
        <v>0</v>
      </c>
      <c r="HO9" s="24" cm="1">
        <f t="array" ref="HO9">IF(HO$2="FY",SUMPRODUCT(Data_Nhập[Tổng Nhập-NX]*(Data_Nhập[Year]=HO$1)*(Data_Nhập[Main SKU name_GOM]=$A9)*(Data_Nhập[SKU name_NHẬP_GOM]=HO$3)),SUMPRODUCT(Data_Nhập[Tổng Nhập-NX]*(Data_Nhập[Year]=HO$1)*(Data_Nhập[Month]=HO$2)*(Data_Nhập[Main SKU name_GOM]=$A9)*(Data_Nhập[SKU name_NHẬP_GOM]=HO$3)))</f>
        <v>0</v>
      </c>
      <c r="HP9" s="24" cm="1">
        <f t="array" ref="HP9">IF(HP$2="FY",SUMPRODUCT(Data_Nhập[Tổng Nhập-NX]*(Data_Nhập[Year]=HP$1)*(Data_Nhập[Main SKU name_GOM]=$A9)*(Data_Nhập[SKU name_NHẬP_GOM]=HP$3)),SUMPRODUCT(Data_Nhập[Tổng Nhập-NX]*(Data_Nhập[Year]=HP$1)*(Data_Nhập[Month]=HP$2)*(Data_Nhập[Main SKU name_GOM]=$A9)*(Data_Nhập[SKU name_NHẬP_GOM]=HP$3)))</f>
        <v>1100</v>
      </c>
      <c r="HQ9" s="24" cm="1">
        <f t="array" ref="HQ9">IF(HQ$2="FY",SUMPRODUCT(Data_Nhập[Tổng Nhập-NX]*(Data_Nhập[Year]=HQ$1)*(Data_Nhập[Main SKU name_GOM]=$A9)*(Data_Nhập[SKU name_NHẬP_GOM]=HQ$3)),SUMPRODUCT(Data_Nhập[Tổng Nhập-NX]*(Data_Nhập[Year]=HQ$1)*(Data_Nhập[Month]=HQ$2)*(Data_Nhập[Main SKU name_GOM]=$A9)*(Data_Nhập[SKU name_NHẬP_GOM]=HQ$3)))</f>
        <v>19800</v>
      </c>
      <c r="HR9" s="24" cm="1">
        <f t="array" ref="HR9">IF(HR$2="FY",SUMPRODUCT(Data_Nhập[Tổng Nhập-NX]*(Data_Nhập[Year]=HR$1)*(Data_Nhập[Main SKU name_GOM]=$A9)*(Data_Nhập[SKU name_NHẬP_GOM]=HR$3)),SUMPRODUCT(Data_Nhập[Tổng Nhập-NX]*(Data_Nhập[Year]=HR$1)*(Data_Nhập[Month]=HR$2)*(Data_Nhập[Main SKU name_GOM]=$A9)*(Data_Nhập[SKU name_NHẬP_GOM]=HR$3)))</f>
        <v>0</v>
      </c>
      <c r="HS9" s="24" cm="1">
        <f t="array" ref="HS9">IF(HS$2="FY",SUMPRODUCT(Data_Nhập[Tổng Nhập-NX]*(Data_Nhập[Year]=HS$1)*(Data_Nhập[Main SKU name_GOM]=$A9)*(Data_Nhập[SKU name_NHẬP_GOM]=HS$3)),SUMPRODUCT(Data_Nhập[Tổng Nhập-NX]*(Data_Nhập[Year]=HS$1)*(Data_Nhập[Month]=HS$2)*(Data_Nhập[Main SKU name_GOM]=$A9)*(Data_Nhập[SKU name_NHẬP_GOM]=HS$3)))</f>
        <v>0</v>
      </c>
      <c r="HT9" s="24" cm="1">
        <f t="array" ref="HT9">IF(HT$2="FY",SUMPRODUCT(Data_Nhập[Tổng Nhập-NX]*(Data_Nhập[Year]=HT$1)*(Data_Nhập[Main SKU name_GOM]=$A9)*(Data_Nhập[SKU name_NHẬP_GOM]=HT$3)),SUMPRODUCT(Data_Nhập[Tổng Nhập-NX]*(Data_Nhập[Year]=HT$1)*(Data_Nhập[Month]=HT$2)*(Data_Nhập[Main SKU name_GOM]=$A9)*(Data_Nhập[SKU name_NHẬP_GOM]=HT$3)))</f>
        <v>0</v>
      </c>
      <c r="HU9" s="24" cm="1">
        <f t="array" ref="HU9">IF(HU$2="FY",SUMPRODUCT(Data_Nhập[Tổng Nhập-NX]*(Data_Nhập[Year]=HU$1)*(Data_Nhập[Main SKU name_GOM]=$A9)*(Data_Nhập[SKU name_NHẬP_GOM]=HU$3)),SUMPRODUCT(Data_Nhập[Tổng Nhập-NX]*(Data_Nhập[Year]=HU$1)*(Data_Nhập[Month]=HU$2)*(Data_Nhập[Main SKU name_GOM]=$A9)*(Data_Nhập[SKU name_NHẬP_GOM]=HU$3)))</f>
        <v>0</v>
      </c>
      <c r="HV9" s="24" cm="1">
        <f t="array" ref="HV9">IF(HV$2="FY",SUMPRODUCT(Data_Nhập[Tổng Nhập-NX]*(Data_Nhập[Year]=HV$1)*(Data_Nhập[Main SKU name_GOM]=$A9)*(Data_Nhập[SKU name_NHẬP_GOM]=HV$3)),SUMPRODUCT(Data_Nhập[Tổng Nhập-NX]*(Data_Nhập[Year]=HV$1)*(Data_Nhập[Month]=HV$2)*(Data_Nhập[Main SKU name_GOM]=$A9)*(Data_Nhập[SKU name_NHẬP_GOM]=HV$3)))</f>
        <v>0</v>
      </c>
      <c r="HW9" s="24" cm="1">
        <f t="array" ref="HW9">IF(HW$2="FY",SUMPRODUCT(Data_Nhập[Tổng Nhập-NX]*(Data_Nhập[Year]=HW$1)*(Data_Nhập[Main SKU name_GOM]=$A9)*(Data_Nhập[SKU name_NHẬP_GOM]=HW$3)),SUMPRODUCT(Data_Nhập[Tổng Nhập-NX]*(Data_Nhập[Year]=HW$1)*(Data_Nhập[Month]=HW$2)*(Data_Nhập[Main SKU name_GOM]=$A9)*(Data_Nhập[SKU name_NHẬP_GOM]=HW$3)))</f>
        <v>0</v>
      </c>
      <c r="HX9" s="24" cm="1">
        <f t="array" ref="HX9">IF(HX$2="FY",SUMPRODUCT(Data_Nhập[Tổng Nhập-NX]*(Data_Nhập[Year]=HX$1)*(Data_Nhập[Main SKU name_GOM]=$A9)*(Data_Nhập[SKU name_NHẬP_GOM]=HX$3)),SUMPRODUCT(Data_Nhập[Tổng Nhập-NX]*(Data_Nhập[Year]=HX$1)*(Data_Nhập[Month]=HX$2)*(Data_Nhập[Main SKU name_GOM]=$A9)*(Data_Nhập[SKU name_NHẬP_GOM]=HX$3)))</f>
        <v>0</v>
      </c>
      <c r="HY9" s="24" cm="1">
        <f t="array" ref="HY9">IF(HY$2="FY",SUMPRODUCT(Data_Nhập[Tổng Nhập-NX]*(Data_Nhập[Year]=HY$1)*(Data_Nhập[Main SKU name_GOM]=$A9)*(Data_Nhập[SKU name_NHẬP_GOM]=HY$3)),SUMPRODUCT(Data_Nhập[Tổng Nhập-NX]*(Data_Nhập[Year]=HY$1)*(Data_Nhập[Month]=HY$2)*(Data_Nhập[Main SKU name_GOM]=$A9)*(Data_Nhập[SKU name_NHẬP_GOM]=HY$3)))</f>
        <v>0</v>
      </c>
      <c r="HZ9" s="24" cm="1">
        <f t="array" ref="HZ9">IF(HZ$2="FY",SUMPRODUCT(Data_Nhập[Tổng Nhập-NX]*(Data_Nhập[Year]=HZ$1)*(Data_Nhập[Main SKU name_GOM]=$A9)*(Data_Nhập[SKU name_NHẬP_GOM]=HZ$3)),SUMPRODUCT(Data_Nhập[Tổng Nhập-NX]*(Data_Nhập[Year]=HZ$1)*(Data_Nhập[Month]=HZ$2)*(Data_Nhập[Main SKU name_GOM]=$A9)*(Data_Nhập[SKU name_NHẬP_GOM]=HZ$3)))</f>
        <v>8400</v>
      </c>
      <c r="IA9" s="24" cm="1">
        <f t="array" ref="IA9">IF(IA$2="FY",SUMPRODUCT(Data_Nhập[Tổng Nhập-NX]*(Data_Nhập[Year]=IA$1)*(Data_Nhập[Main SKU name_GOM]=$A9)*(Data_Nhập[SKU name_NHẬP_GOM]=IA$3)),SUMPRODUCT(Data_Nhập[Tổng Nhập-NX]*(Data_Nhập[Year]=IA$1)*(Data_Nhập[Month]=IA$2)*(Data_Nhập[Main SKU name_GOM]=$A9)*(Data_Nhập[SKU name_NHẬP_GOM]=IA$3)))</f>
        <v>0</v>
      </c>
      <c r="IB9" s="25">
        <f t="shared" si="24"/>
        <v>29300</v>
      </c>
    </row>
    <row r="10" spans="1:236" x14ac:dyDescent="0.35">
      <c r="A10" s="5" t="s">
        <v>148</v>
      </c>
      <c r="B10" s="22" t="s">
        <v>148</v>
      </c>
      <c r="D10" s="42" cm="1">
        <f t="array" ref="D10">IF(D$2="FY",SUMPRODUCT(Data_Xuất[Xuất-NX]*(Data_Xuất[Year]=D$1)*(Data_Xuất[Main SKU name_GOM]=$A10)),SUMPRODUCT(Data_Xuất[Xuất-NX]*(Data_Xuất[Year]=D$1)*(Data_Xuất[Main SKU name_GOM]=$A10)*Data_Xuất[Month]=D$2))</f>
        <v>18710</v>
      </c>
      <c r="E10" s="24" cm="1">
        <f t="array" ref="E10">IF(E$2="FY",SUMPRODUCT(Data_Nhập[Tổng Nhập-NX]*(Data_Nhập[Year]=E$1)*(Data_Nhập[Main SKU name_GOM]=$A10)*(Data_Nhập[SKU name_NHẬP_GOM]=E$3)),SUMPRODUCT(Data_Nhập[Tổng Nhập-NX]*(Data_Nhập[Year]=E$1)*(Data_Nhập[Month]=E$2)*(Data_Nhập[Main SKU name_GOM]=$A10)*(Data_Nhập[SKU name_NHẬP_GOM]=E$3)))</f>
        <v>0</v>
      </c>
      <c r="F10" s="24" cm="1">
        <f t="array" ref="F10">IF(F$2="FY",SUMPRODUCT(Data_Nhập[Tổng Nhập-NX]*(Data_Nhập[Year]=F$1)*(Data_Nhập[Main SKU name_GOM]=$A10)*(Data_Nhập[SKU name_NHẬP_GOM]=F$3)),SUMPRODUCT(Data_Nhập[Tổng Nhập-NX]*(Data_Nhập[Year]=F$1)*(Data_Nhập[Month]=F$2)*(Data_Nhập[Main SKU name_GOM]=$A10)*(Data_Nhập[SKU name_NHẬP_GOM]=F$3)))</f>
        <v>0</v>
      </c>
      <c r="G10" s="24" cm="1">
        <f t="array" ref="G10">IF(G$2="FY",SUMPRODUCT(Data_Nhập[Tổng Nhập-NX]*(Data_Nhập[Year]=G$1)*(Data_Nhập[Main SKU name_GOM]=$A10)*(Data_Nhập[SKU name_NHẬP_GOM]=G$3)),SUMPRODUCT(Data_Nhập[Tổng Nhập-NX]*(Data_Nhập[Year]=G$1)*(Data_Nhập[Month]=G$2)*(Data_Nhập[Main SKU name_GOM]=$A10)*(Data_Nhập[SKU name_NHẬP_GOM]=G$3)))</f>
        <v>0</v>
      </c>
      <c r="H10" s="24" cm="1">
        <f t="array" ref="H10">IF(H$2="FY",SUMPRODUCT(Data_Nhập[Tổng Nhập-NX]*(Data_Nhập[Year]=H$1)*(Data_Nhập[Main SKU name_GOM]=$A10)*(Data_Nhập[SKU name_NHẬP_GOM]=H$3)),SUMPRODUCT(Data_Nhập[Tổng Nhập-NX]*(Data_Nhập[Year]=H$1)*(Data_Nhập[Month]=H$2)*(Data_Nhập[Main SKU name_GOM]=$A10)*(Data_Nhập[SKU name_NHẬP_GOM]=H$3)))</f>
        <v>0</v>
      </c>
      <c r="I10" s="24" cm="1">
        <f t="array" ref="I10">IF(I$2="FY",SUMPRODUCT(Data_Nhập[Tổng Nhập-NX]*(Data_Nhập[Year]=I$1)*(Data_Nhập[Main SKU name_GOM]=$A10)*(Data_Nhập[SKU name_NHẬP_GOM]=I$3)),SUMPRODUCT(Data_Nhập[Tổng Nhập-NX]*(Data_Nhập[Year]=I$1)*(Data_Nhập[Month]=I$2)*(Data_Nhập[Main SKU name_GOM]=$A10)*(Data_Nhập[SKU name_NHẬP_GOM]=I$3)))</f>
        <v>0</v>
      </c>
      <c r="J10" s="24" cm="1">
        <f t="array" ref="J10">IF(J$2="FY",SUMPRODUCT(Data_Nhập[Tổng Nhập-NX]*(Data_Nhập[Year]=J$1)*(Data_Nhập[Main SKU name_GOM]=$A10)*(Data_Nhập[SKU name_NHẬP_GOM]=J$3)),SUMPRODUCT(Data_Nhập[Tổng Nhập-NX]*(Data_Nhập[Year]=J$1)*(Data_Nhập[Month]=J$2)*(Data_Nhập[Main SKU name_GOM]=$A10)*(Data_Nhập[SKU name_NHẬP_GOM]=J$3)))</f>
        <v>4630</v>
      </c>
      <c r="K10" s="24" cm="1">
        <f t="array" ref="K10">IF(K$2="FY",SUMPRODUCT(Data_Nhập[Tổng Nhập-NX]*(Data_Nhập[Year]=K$1)*(Data_Nhập[Main SKU name_GOM]=$A10)*(Data_Nhập[SKU name_NHẬP_GOM]=K$3)),SUMPRODUCT(Data_Nhập[Tổng Nhập-NX]*(Data_Nhập[Year]=K$1)*(Data_Nhập[Month]=K$2)*(Data_Nhập[Main SKU name_GOM]=$A10)*(Data_Nhập[SKU name_NHẬP_GOM]=K$3)))</f>
        <v>11030</v>
      </c>
      <c r="L10" s="24" cm="1">
        <f t="array" ref="L10">IF(L$2="FY",SUMPRODUCT(Data_Nhập[Tổng Nhập-NX]*(Data_Nhập[Year]=L$1)*(Data_Nhập[Main SKU name_GOM]=$A10)*(Data_Nhập[SKU name_NHẬP_GOM]=L$3)),SUMPRODUCT(Data_Nhập[Tổng Nhập-NX]*(Data_Nhập[Year]=L$1)*(Data_Nhập[Month]=L$2)*(Data_Nhập[Main SKU name_GOM]=$A10)*(Data_Nhập[SKU name_NHẬP_GOM]=L$3)))</f>
        <v>0</v>
      </c>
      <c r="M10" s="24" cm="1">
        <f t="array" ref="M10">IF(M$2="FY",SUMPRODUCT(Data_Nhập[Tổng Nhập-NX]*(Data_Nhập[Year]=M$1)*(Data_Nhập[Main SKU name_GOM]=$A10)*(Data_Nhập[SKU name_NHẬP_GOM]=M$3)),SUMPRODUCT(Data_Nhập[Tổng Nhập-NX]*(Data_Nhập[Year]=M$1)*(Data_Nhập[Month]=M$2)*(Data_Nhập[Main SKU name_GOM]=$A10)*(Data_Nhập[SKU name_NHẬP_GOM]=M$3)))</f>
        <v>0</v>
      </c>
      <c r="N10" s="24" cm="1">
        <f t="array" ref="N10">IF(N$2="FY",SUMPRODUCT(Data_Nhập[Tổng Nhập-NX]*(Data_Nhập[Year]=N$1)*(Data_Nhập[Main SKU name_GOM]=$A10)*(Data_Nhập[SKU name_NHẬP_GOM]=N$3)),SUMPRODUCT(Data_Nhập[Tổng Nhập-NX]*(Data_Nhập[Year]=N$1)*(Data_Nhập[Month]=N$2)*(Data_Nhập[Main SKU name_GOM]=$A10)*(Data_Nhập[SKU name_NHẬP_GOM]=N$3)))</f>
        <v>0</v>
      </c>
      <c r="O10" s="24" cm="1">
        <f t="array" ref="O10">IF(O$2="FY",SUMPRODUCT(Data_Nhập[Tổng Nhập-NX]*(Data_Nhập[Year]=O$1)*(Data_Nhập[Main SKU name_GOM]=$A10)*(Data_Nhập[SKU name_NHẬP_GOM]=O$3)),SUMPRODUCT(Data_Nhập[Tổng Nhập-NX]*(Data_Nhập[Year]=O$1)*(Data_Nhập[Month]=O$2)*(Data_Nhập[Main SKU name_GOM]=$A10)*(Data_Nhập[SKU name_NHẬP_GOM]=O$3)))</f>
        <v>0</v>
      </c>
      <c r="P10" s="24" cm="1">
        <f t="array" ref="P10">IF(P$2="FY",SUMPRODUCT(Data_Nhập[Tổng Nhập-NX]*(Data_Nhập[Year]=P$1)*(Data_Nhập[Main SKU name_GOM]=$A10)*(Data_Nhập[SKU name_NHẬP_GOM]=P$3)),SUMPRODUCT(Data_Nhập[Tổng Nhập-NX]*(Data_Nhập[Year]=P$1)*(Data_Nhập[Month]=P$2)*(Data_Nhập[Main SKU name_GOM]=$A10)*(Data_Nhập[SKU name_NHẬP_GOM]=P$3)))</f>
        <v>0</v>
      </c>
      <c r="Q10" s="24" cm="1">
        <f t="array" ref="Q10">IF(Q$2="FY",SUMPRODUCT(Data_Nhập[Tổng Nhập-NX]*(Data_Nhập[Year]=Q$1)*(Data_Nhập[Main SKU name_GOM]=$A10)*(Data_Nhập[SKU name_NHẬP_GOM]=Q$3)),SUMPRODUCT(Data_Nhập[Tổng Nhập-NX]*(Data_Nhập[Year]=Q$1)*(Data_Nhập[Month]=Q$2)*(Data_Nhập[Main SKU name_GOM]=$A10)*(Data_Nhập[SKU name_NHẬP_GOM]=Q$3)))</f>
        <v>0</v>
      </c>
      <c r="R10" s="24" cm="1">
        <f t="array" ref="R10">IF(R$2="FY",SUMPRODUCT(Data_Nhập[Tổng Nhập-NX]*(Data_Nhập[Year]=R$1)*(Data_Nhập[Main SKU name_GOM]=$A10)*(Data_Nhập[SKU name_NHẬP_GOM]=R$3)),SUMPRODUCT(Data_Nhập[Tổng Nhập-NX]*(Data_Nhập[Year]=R$1)*(Data_Nhập[Month]=R$2)*(Data_Nhập[Main SKU name_GOM]=$A10)*(Data_Nhập[SKU name_NHẬP_GOM]=R$3)))</f>
        <v>2205</v>
      </c>
      <c r="S10" s="24" cm="1">
        <f t="array" ref="S10">IF(S$2="FY",SUMPRODUCT(Data_Nhập[Tổng Nhập-NX]*(Data_Nhập[Year]=S$1)*(Data_Nhập[Main SKU name_GOM]=$A10)*(Data_Nhập[SKU name_NHẬP_GOM]=S$3)),SUMPRODUCT(Data_Nhập[Tổng Nhập-NX]*(Data_Nhập[Year]=S$1)*(Data_Nhập[Month]=S$2)*(Data_Nhập[Main SKU name_GOM]=$A10)*(Data_Nhập[SKU name_NHẬP_GOM]=S$3)))</f>
        <v>0</v>
      </c>
      <c r="T10" s="25">
        <f t="shared" si="12"/>
        <v>17865</v>
      </c>
      <c r="V10" s="25" cm="1">
        <f t="array" ref="V10">IF(V$2="FY",SUMPRODUCT(Data_Xuất[Xuất-NX]*(Data_Xuất[Year]=V$1)*(Data_Xuất[Main SKU name_GOM]=$A10)),SUMPRODUCT(Data_Xuất[Xuất-NX]*(Data_Xuất[Year]=V$1)*(Data_Xuất[Main SKU name_GOM]=$A10)*(Data_Xuất[Month]=V$2)))</f>
        <v>5400</v>
      </c>
      <c r="W10" s="24" cm="1">
        <f t="array" ref="W10">IF(W$2="FY",SUMPRODUCT(Data_Nhập[Tổng Nhập-NX]*(Data_Nhập[Year]=W$1)*(Data_Nhập[Main SKU name_GOM]=$A10)*(Data_Nhập[SKU name_NHẬP_GOM]=W$3)),SUMPRODUCT(Data_Nhập[Tổng Nhập-NX]*(Data_Nhập[Year]=W$1)*(Data_Nhập[Month]=W$2)*(Data_Nhập[Main SKU name_GOM]=$A10)*(Data_Nhập[SKU name_NHẬP_GOM]=W$3)))</f>
        <v>0</v>
      </c>
      <c r="X10" s="24" cm="1">
        <f t="array" ref="X10">IF(X$2="FY",SUMPRODUCT(Data_Nhập[Tổng Nhập-NX]*(Data_Nhập[Year]=X$1)*(Data_Nhập[Main SKU name_GOM]=$A10)*(Data_Nhập[SKU name_NHẬP_GOM]=X$3)),SUMPRODUCT(Data_Nhập[Tổng Nhập-NX]*(Data_Nhập[Year]=X$1)*(Data_Nhập[Month]=X$2)*(Data_Nhập[Main SKU name_GOM]=$A10)*(Data_Nhập[SKU name_NHẬP_GOM]=X$3)))</f>
        <v>0</v>
      </c>
      <c r="Y10" s="24" cm="1">
        <f t="array" ref="Y10">IF(Y$2="FY",SUMPRODUCT(Data_Nhập[Tổng Nhập-NX]*(Data_Nhập[Year]=Y$1)*(Data_Nhập[Main SKU name_GOM]=$A10)*(Data_Nhập[SKU name_NHẬP_GOM]=Y$3)),SUMPRODUCT(Data_Nhập[Tổng Nhập-NX]*(Data_Nhập[Year]=Y$1)*(Data_Nhập[Month]=Y$2)*(Data_Nhập[Main SKU name_GOM]=$A10)*(Data_Nhập[SKU name_NHẬP_GOM]=Y$3)))</f>
        <v>0</v>
      </c>
      <c r="Z10" s="24" cm="1">
        <f t="array" ref="Z10">IF(Z$2="FY",SUMPRODUCT(Data_Nhập[Tổng Nhập-NX]*(Data_Nhập[Year]=Z$1)*(Data_Nhập[Main SKU name_GOM]=$A10)*(Data_Nhập[SKU name_NHẬP_GOM]=Z$3)),SUMPRODUCT(Data_Nhập[Tổng Nhập-NX]*(Data_Nhập[Year]=Z$1)*(Data_Nhập[Month]=Z$2)*(Data_Nhập[Main SKU name_GOM]=$A10)*(Data_Nhập[SKU name_NHẬP_GOM]=Z$3)))</f>
        <v>0</v>
      </c>
      <c r="AA10" s="24" cm="1">
        <f t="array" ref="AA10">IF(AA$2="FY",SUMPRODUCT(Data_Nhập[Tổng Nhập-NX]*(Data_Nhập[Year]=AA$1)*(Data_Nhập[Main SKU name_GOM]=$A10)*(Data_Nhập[SKU name_NHẬP_GOM]=AA$3)),SUMPRODUCT(Data_Nhập[Tổng Nhập-NX]*(Data_Nhập[Year]=AA$1)*(Data_Nhập[Month]=AA$2)*(Data_Nhập[Main SKU name_GOM]=$A10)*(Data_Nhập[SKU name_NHẬP_GOM]=AA$3)))</f>
        <v>0</v>
      </c>
      <c r="AB10" s="24" cm="1">
        <f t="array" ref="AB10">IF(AB$2="FY",SUMPRODUCT(Data_Nhập[Tổng Nhập-NX]*(Data_Nhập[Year]=AB$1)*(Data_Nhập[Main SKU name_GOM]=$A10)*(Data_Nhập[SKU name_NHẬP_GOM]=AB$3)),SUMPRODUCT(Data_Nhập[Tổng Nhập-NX]*(Data_Nhập[Year]=AB$1)*(Data_Nhập[Month]=AB$2)*(Data_Nhập[Main SKU name_GOM]=$A10)*(Data_Nhập[SKU name_NHẬP_GOM]=AB$3)))</f>
        <v>0</v>
      </c>
      <c r="AC10" s="24" cm="1">
        <f t="array" ref="AC10">IF(AC$2="FY",SUMPRODUCT(Data_Nhập[Tổng Nhập-NX]*(Data_Nhập[Year]=AC$1)*(Data_Nhập[Main SKU name_GOM]=$A10)*(Data_Nhập[SKU name_NHẬP_GOM]=AC$3)),SUMPRODUCT(Data_Nhập[Tổng Nhập-NX]*(Data_Nhập[Year]=AC$1)*(Data_Nhập[Month]=AC$2)*(Data_Nhập[Main SKU name_GOM]=$A10)*(Data_Nhập[SKU name_NHẬP_GOM]=AC$3)))</f>
        <v>4480</v>
      </c>
      <c r="AD10" s="24" cm="1">
        <f t="array" ref="AD10">IF(AD$2="FY",SUMPRODUCT(Data_Nhập[Tổng Nhập-NX]*(Data_Nhập[Year]=AD$1)*(Data_Nhập[Main SKU name_GOM]=$A10)*(Data_Nhập[SKU name_NHẬP_GOM]=AD$3)),SUMPRODUCT(Data_Nhập[Tổng Nhập-NX]*(Data_Nhập[Year]=AD$1)*(Data_Nhập[Month]=AD$2)*(Data_Nhập[Main SKU name_GOM]=$A10)*(Data_Nhập[SKU name_NHẬP_GOM]=AD$3)))</f>
        <v>0</v>
      </c>
      <c r="AE10" s="24" cm="1">
        <f t="array" ref="AE10">IF(AE$2="FY",SUMPRODUCT(Data_Nhập[Tổng Nhập-NX]*(Data_Nhập[Year]=AE$1)*(Data_Nhập[Main SKU name_GOM]=$A10)*(Data_Nhập[SKU name_NHẬP_GOM]=AE$3)),SUMPRODUCT(Data_Nhập[Tổng Nhập-NX]*(Data_Nhập[Year]=AE$1)*(Data_Nhập[Month]=AE$2)*(Data_Nhập[Main SKU name_GOM]=$A10)*(Data_Nhập[SKU name_NHẬP_GOM]=AE$3)))</f>
        <v>0</v>
      </c>
      <c r="AF10" s="24" cm="1">
        <f t="array" ref="AF10">IF(AF$2="FY",SUMPRODUCT(Data_Nhập[Tổng Nhập-NX]*(Data_Nhập[Year]=AF$1)*(Data_Nhập[Main SKU name_GOM]=$A10)*(Data_Nhập[SKU name_NHẬP_GOM]=AF$3)),SUMPRODUCT(Data_Nhập[Tổng Nhập-NX]*(Data_Nhập[Year]=AF$1)*(Data_Nhập[Month]=AF$2)*(Data_Nhập[Main SKU name_GOM]=$A10)*(Data_Nhập[SKU name_NHẬP_GOM]=AF$3)))</f>
        <v>0</v>
      </c>
      <c r="AG10" s="24" cm="1">
        <f t="array" ref="AG10">IF(AG$2="FY",SUMPRODUCT(Data_Nhập[Tổng Nhập-NX]*(Data_Nhập[Year]=AG$1)*(Data_Nhập[Main SKU name_GOM]=$A10)*(Data_Nhập[SKU name_NHẬP_GOM]=AG$3)),SUMPRODUCT(Data_Nhập[Tổng Nhập-NX]*(Data_Nhập[Year]=AG$1)*(Data_Nhập[Month]=AG$2)*(Data_Nhập[Main SKU name_GOM]=$A10)*(Data_Nhập[SKU name_NHẬP_GOM]=AG$3)))</f>
        <v>0</v>
      </c>
      <c r="AH10" s="24" cm="1">
        <f t="array" ref="AH10">IF(AH$2="FY",SUMPRODUCT(Data_Nhập[Tổng Nhập-NX]*(Data_Nhập[Year]=AH$1)*(Data_Nhập[Main SKU name_GOM]=$A10)*(Data_Nhập[SKU name_NHẬP_GOM]=AH$3)),SUMPRODUCT(Data_Nhập[Tổng Nhập-NX]*(Data_Nhập[Year]=AH$1)*(Data_Nhập[Month]=AH$2)*(Data_Nhập[Main SKU name_GOM]=$A10)*(Data_Nhập[SKU name_NHẬP_GOM]=AH$3)))</f>
        <v>0</v>
      </c>
      <c r="AI10" s="24" cm="1">
        <f t="array" ref="AI10">IF(AI$2="FY",SUMPRODUCT(Data_Nhập[Tổng Nhập-NX]*(Data_Nhập[Year]=AI$1)*(Data_Nhập[Main SKU name_GOM]=$A10)*(Data_Nhập[SKU name_NHẬP_GOM]=AI$3)),SUMPRODUCT(Data_Nhập[Tổng Nhập-NX]*(Data_Nhập[Year]=AI$1)*(Data_Nhập[Month]=AI$2)*(Data_Nhập[Main SKU name_GOM]=$A10)*(Data_Nhập[SKU name_NHẬP_GOM]=AI$3)))</f>
        <v>0</v>
      </c>
      <c r="AJ10" s="24" cm="1">
        <f t="array" ref="AJ10">IF(AJ$2="FY",SUMPRODUCT(Data_Nhập[Tổng Nhập-NX]*(Data_Nhập[Year]=AJ$1)*(Data_Nhập[Main SKU name_GOM]=$A10)*(Data_Nhập[SKU name_NHẬP_GOM]=AJ$3)),SUMPRODUCT(Data_Nhập[Tổng Nhập-NX]*(Data_Nhập[Year]=AJ$1)*(Data_Nhập[Month]=AJ$2)*(Data_Nhập[Main SKU name_GOM]=$A10)*(Data_Nhập[SKU name_NHẬP_GOM]=AJ$3)))</f>
        <v>290</v>
      </c>
      <c r="AK10" s="24" cm="1">
        <f t="array" ref="AK10">IF(AK$2="FY",SUMPRODUCT(Data_Nhập[Tổng Nhập-NX]*(Data_Nhập[Year]=AK$1)*(Data_Nhập[Main SKU name_GOM]=$A10)*(Data_Nhập[SKU name_NHẬP_GOM]=AK$3)),SUMPRODUCT(Data_Nhập[Tổng Nhập-NX]*(Data_Nhập[Year]=AK$1)*(Data_Nhập[Month]=AK$2)*(Data_Nhập[Main SKU name_GOM]=$A10)*(Data_Nhập[SKU name_NHẬP_GOM]=AK$3)))</f>
        <v>0</v>
      </c>
      <c r="AL10" s="25">
        <f t="shared" si="13"/>
        <v>4770</v>
      </c>
      <c r="AN10" s="25" cm="1">
        <f t="array" ref="AN10">IF(AN$2="FY",SUMPRODUCT(Data_Xuất[Xuất-NX]*(Data_Xuất[Year]=AN$1)*(Data_Xuất[Main SKU name_GOM]=$A10)),SUMPRODUCT(Data_Xuất[Xuất-NX]*(Data_Xuất[Year]=AN$1)*(Data_Xuất[Main SKU name_GOM]=$A10)*(Data_Xuất[Month]=AN$2)))</f>
        <v>0</v>
      </c>
      <c r="AO10" s="24" cm="1">
        <f t="array" ref="AO10">IF(AO$2="FY",SUMPRODUCT(Data_Nhập[Tổng Nhập-NX]*(Data_Nhập[Year]=AO$1)*(Data_Nhập[Main SKU name_GOM]=$A10)*(Data_Nhập[SKU name_NHẬP_GOM]=AO$3)),SUMPRODUCT(Data_Nhập[Tổng Nhập-NX]*(Data_Nhập[Year]=AO$1)*(Data_Nhập[Month]=AO$2)*(Data_Nhập[Main SKU name_GOM]=$A10)*(Data_Nhập[SKU name_NHẬP_GOM]=AO$3)))</f>
        <v>0</v>
      </c>
      <c r="AP10" s="24" cm="1">
        <f t="array" ref="AP10">IF(AP$2="FY",SUMPRODUCT(Data_Nhập[Tổng Nhập-NX]*(Data_Nhập[Year]=AP$1)*(Data_Nhập[Main SKU name_GOM]=$A10)*(Data_Nhập[SKU name_NHẬP_GOM]=AP$3)),SUMPRODUCT(Data_Nhập[Tổng Nhập-NX]*(Data_Nhập[Year]=AP$1)*(Data_Nhập[Month]=AP$2)*(Data_Nhập[Main SKU name_GOM]=$A10)*(Data_Nhập[SKU name_NHẬP_GOM]=AP$3)))</f>
        <v>0</v>
      </c>
      <c r="AQ10" s="24" cm="1">
        <f t="array" ref="AQ10">IF(AQ$2="FY",SUMPRODUCT(Data_Nhập[Tổng Nhập-NX]*(Data_Nhập[Year]=AQ$1)*(Data_Nhập[Main SKU name_GOM]=$A10)*(Data_Nhập[SKU name_NHẬP_GOM]=AQ$3)),SUMPRODUCT(Data_Nhập[Tổng Nhập-NX]*(Data_Nhập[Year]=AQ$1)*(Data_Nhập[Month]=AQ$2)*(Data_Nhập[Main SKU name_GOM]=$A10)*(Data_Nhập[SKU name_NHẬP_GOM]=AQ$3)))</f>
        <v>0</v>
      </c>
      <c r="AR10" s="24" cm="1">
        <f t="array" ref="AR10">IF(AR$2="FY",SUMPRODUCT(Data_Nhập[Tổng Nhập-NX]*(Data_Nhập[Year]=AR$1)*(Data_Nhập[Main SKU name_GOM]=$A10)*(Data_Nhập[SKU name_NHẬP_GOM]=AR$3)),SUMPRODUCT(Data_Nhập[Tổng Nhập-NX]*(Data_Nhập[Year]=AR$1)*(Data_Nhập[Month]=AR$2)*(Data_Nhập[Main SKU name_GOM]=$A10)*(Data_Nhập[SKU name_NHẬP_GOM]=AR$3)))</f>
        <v>0</v>
      </c>
      <c r="AS10" s="24" cm="1">
        <f t="array" ref="AS10">IF(AS$2="FY",SUMPRODUCT(Data_Nhập[Tổng Nhập-NX]*(Data_Nhập[Year]=AS$1)*(Data_Nhập[Main SKU name_GOM]=$A10)*(Data_Nhập[SKU name_NHẬP_GOM]=AS$3)),SUMPRODUCT(Data_Nhập[Tổng Nhập-NX]*(Data_Nhập[Year]=AS$1)*(Data_Nhập[Month]=AS$2)*(Data_Nhập[Main SKU name_GOM]=$A10)*(Data_Nhập[SKU name_NHẬP_GOM]=AS$3)))</f>
        <v>0</v>
      </c>
      <c r="AT10" s="24" cm="1">
        <f t="array" ref="AT10">IF(AT$2="FY",SUMPRODUCT(Data_Nhập[Tổng Nhập-NX]*(Data_Nhập[Year]=AT$1)*(Data_Nhập[Main SKU name_GOM]=$A10)*(Data_Nhập[SKU name_NHẬP_GOM]=AT$3)),SUMPRODUCT(Data_Nhập[Tổng Nhập-NX]*(Data_Nhập[Year]=AT$1)*(Data_Nhập[Month]=AT$2)*(Data_Nhập[Main SKU name_GOM]=$A10)*(Data_Nhập[SKU name_NHẬP_GOM]=AT$3)))</f>
        <v>0</v>
      </c>
      <c r="AU10" s="24" cm="1">
        <f t="array" ref="AU10">IF(AU$2="FY",SUMPRODUCT(Data_Nhập[Tổng Nhập-NX]*(Data_Nhập[Year]=AU$1)*(Data_Nhập[Main SKU name_GOM]=$A10)*(Data_Nhập[SKU name_NHẬP_GOM]=AU$3)),SUMPRODUCT(Data_Nhập[Tổng Nhập-NX]*(Data_Nhập[Year]=AU$1)*(Data_Nhập[Month]=AU$2)*(Data_Nhập[Main SKU name_GOM]=$A10)*(Data_Nhập[SKU name_NHẬP_GOM]=AU$3)))</f>
        <v>0</v>
      </c>
      <c r="AV10" s="24" cm="1">
        <f t="array" ref="AV10">IF(AV$2="FY",SUMPRODUCT(Data_Nhập[Tổng Nhập-NX]*(Data_Nhập[Year]=AV$1)*(Data_Nhập[Main SKU name_GOM]=$A10)*(Data_Nhập[SKU name_NHẬP_GOM]=AV$3)),SUMPRODUCT(Data_Nhập[Tổng Nhập-NX]*(Data_Nhập[Year]=AV$1)*(Data_Nhập[Month]=AV$2)*(Data_Nhập[Main SKU name_GOM]=$A10)*(Data_Nhập[SKU name_NHẬP_GOM]=AV$3)))</f>
        <v>0</v>
      </c>
      <c r="AW10" s="24" cm="1">
        <f t="array" ref="AW10">IF(AW$2="FY",SUMPRODUCT(Data_Nhập[Tổng Nhập-NX]*(Data_Nhập[Year]=AW$1)*(Data_Nhập[Main SKU name_GOM]=$A10)*(Data_Nhập[SKU name_NHẬP_GOM]=AW$3)),SUMPRODUCT(Data_Nhập[Tổng Nhập-NX]*(Data_Nhập[Year]=AW$1)*(Data_Nhập[Month]=AW$2)*(Data_Nhập[Main SKU name_GOM]=$A10)*(Data_Nhập[SKU name_NHẬP_GOM]=AW$3)))</f>
        <v>0</v>
      </c>
      <c r="AX10" s="24" cm="1">
        <f t="array" ref="AX10">IF(AX$2="FY",SUMPRODUCT(Data_Nhập[Tổng Nhập-NX]*(Data_Nhập[Year]=AX$1)*(Data_Nhập[Main SKU name_GOM]=$A10)*(Data_Nhập[SKU name_NHẬP_GOM]=AX$3)),SUMPRODUCT(Data_Nhập[Tổng Nhập-NX]*(Data_Nhập[Year]=AX$1)*(Data_Nhập[Month]=AX$2)*(Data_Nhập[Main SKU name_GOM]=$A10)*(Data_Nhập[SKU name_NHẬP_GOM]=AX$3)))</f>
        <v>0</v>
      </c>
      <c r="AY10" s="24" cm="1">
        <f t="array" ref="AY10">IF(AY$2="FY",SUMPRODUCT(Data_Nhập[Tổng Nhập-NX]*(Data_Nhập[Year]=AY$1)*(Data_Nhập[Main SKU name_GOM]=$A10)*(Data_Nhập[SKU name_NHẬP_GOM]=AY$3)),SUMPRODUCT(Data_Nhập[Tổng Nhập-NX]*(Data_Nhập[Year]=AY$1)*(Data_Nhập[Month]=AY$2)*(Data_Nhập[Main SKU name_GOM]=$A10)*(Data_Nhập[SKU name_NHẬP_GOM]=AY$3)))</f>
        <v>0</v>
      </c>
      <c r="AZ10" s="24" cm="1">
        <f t="array" ref="AZ10">IF(AZ$2="FY",SUMPRODUCT(Data_Nhập[Tổng Nhập-NX]*(Data_Nhập[Year]=AZ$1)*(Data_Nhập[Main SKU name_GOM]=$A10)*(Data_Nhập[SKU name_NHẬP_GOM]=AZ$3)),SUMPRODUCT(Data_Nhập[Tổng Nhập-NX]*(Data_Nhập[Year]=AZ$1)*(Data_Nhập[Month]=AZ$2)*(Data_Nhập[Main SKU name_GOM]=$A10)*(Data_Nhập[SKU name_NHẬP_GOM]=AZ$3)))</f>
        <v>0</v>
      </c>
      <c r="BA10" s="24" cm="1">
        <f t="array" ref="BA10">IF(BA$2="FY",SUMPRODUCT(Data_Nhập[Tổng Nhập-NX]*(Data_Nhập[Year]=BA$1)*(Data_Nhập[Main SKU name_GOM]=$A10)*(Data_Nhập[SKU name_NHẬP_GOM]=BA$3)),SUMPRODUCT(Data_Nhập[Tổng Nhập-NX]*(Data_Nhập[Year]=BA$1)*(Data_Nhập[Month]=BA$2)*(Data_Nhập[Main SKU name_GOM]=$A10)*(Data_Nhập[SKU name_NHẬP_GOM]=BA$3)))</f>
        <v>0</v>
      </c>
      <c r="BB10" s="24" cm="1">
        <f t="array" ref="BB10">IF(BB$2="FY",SUMPRODUCT(Data_Nhập[Tổng Nhập-NX]*(Data_Nhập[Year]=BB$1)*(Data_Nhập[Main SKU name_GOM]=$A10)*(Data_Nhập[SKU name_NHẬP_GOM]=BB$3)),SUMPRODUCT(Data_Nhập[Tổng Nhập-NX]*(Data_Nhập[Year]=BB$1)*(Data_Nhập[Month]=BB$2)*(Data_Nhập[Main SKU name_GOM]=$A10)*(Data_Nhập[SKU name_NHẬP_GOM]=BB$3)))</f>
        <v>0</v>
      </c>
      <c r="BC10" s="24" cm="1">
        <f t="array" ref="BC10">IF(BC$2="FY",SUMPRODUCT(Data_Nhập[Tổng Nhập-NX]*(Data_Nhập[Year]=BC$1)*(Data_Nhập[Main SKU name_GOM]=$A10)*(Data_Nhập[SKU name_NHẬP_GOM]=BC$3)),SUMPRODUCT(Data_Nhập[Tổng Nhập-NX]*(Data_Nhập[Year]=BC$1)*(Data_Nhập[Month]=BC$2)*(Data_Nhập[Main SKU name_GOM]=$A10)*(Data_Nhập[SKU name_NHẬP_GOM]=BC$3)))</f>
        <v>0</v>
      </c>
      <c r="BD10" s="25">
        <f t="shared" si="14"/>
        <v>0</v>
      </c>
      <c r="BF10" s="25" cm="1">
        <f t="array" ref="BF10">IF(BF$2="FY",SUMPRODUCT(Data_Xuất[Xuất-NX]*(Data_Xuất[Year]=BF$1)*(Data_Xuất[Main SKU name_GOM]=$A10)),SUMPRODUCT(Data_Xuất[Xuất-NX]*(Data_Xuất[Year]=BF$1)*(Data_Xuất[Main SKU name_GOM]=$A10)*(Data_Xuất[Month]=BF$2)))</f>
        <v>1500</v>
      </c>
      <c r="BG10" s="24" cm="1">
        <f t="array" ref="BG10">IF(BG$2="FY",SUMPRODUCT(Data_Nhập[Tổng Nhập-NX]*(Data_Nhập[Year]=BG$1)*(Data_Nhập[Main SKU name_GOM]=$A10)*(Data_Nhập[SKU name_NHẬP_GOM]=BG$3)),SUMPRODUCT(Data_Nhập[Tổng Nhập-NX]*(Data_Nhập[Year]=BG$1)*(Data_Nhập[Month]=BG$2)*(Data_Nhập[Main SKU name_GOM]=$A10)*(Data_Nhập[SKU name_NHẬP_GOM]=BG$3)))</f>
        <v>0</v>
      </c>
      <c r="BH10" s="24" cm="1">
        <f t="array" ref="BH10">IF(BH$2="FY",SUMPRODUCT(Data_Nhập[Tổng Nhập-NX]*(Data_Nhập[Year]=BH$1)*(Data_Nhập[Main SKU name_GOM]=$A10)*(Data_Nhập[SKU name_NHẬP_GOM]=BH$3)),SUMPRODUCT(Data_Nhập[Tổng Nhập-NX]*(Data_Nhập[Year]=BH$1)*(Data_Nhập[Month]=BH$2)*(Data_Nhập[Main SKU name_GOM]=$A10)*(Data_Nhập[SKU name_NHẬP_GOM]=BH$3)))</f>
        <v>0</v>
      </c>
      <c r="BI10" s="24" cm="1">
        <f t="array" ref="BI10">IF(BI$2="FY",SUMPRODUCT(Data_Nhập[Tổng Nhập-NX]*(Data_Nhập[Year]=BI$1)*(Data_Nhập[Main SKU name_GOM]=$A10)*(Data_Nhập[SKU name_NHẬP_GOM]=BI$3)),SUMPRODUCT(Data_Nhập[Tổng Nhập-NX]*(Data_Nhập[Year]=BI$1)*(Data_Nhập[Month]=BI$2)*(Data_Nhập[Main SKU name_GOM]=$A10)*(Data_Nhập[SKU name_NHẬP_GOM]=BI$3)))</f>
        <v>0</v>
      </c>
      <c r="BJ10" s="24" cm="1">
        <f t="array" ref="BJ10">IF(BJ$2="FY",SUMPRODUCT(Data_Nhập[Tổng Nhập-NX]*(Data_Nhập[Year]=BJ$1)*(Data_Nhập[Main SKU name_GOM]=$A10)*(Data_Nhập[SKU name_NHẬP_GOM]=BJ$3)),SUMPRODUCT(Data_Nhập[Tổng Nhập-NX]*(Data_Nhập[Year]=BJ$1)*(Data_Nhập[Month]=BJ$2)*(Data_Nhập[Main SKU name_GOM]=$A10)*(Data_Nhập[SKU name_NHẬP_GOM]=BJ$3)))</f>
        <v>0</v>
      </c>
      <c r="BK10" s="24" cm="1">
        <f t="array" ref="BK10">IF(BK$2="FY",SUMPRODUCT(Data_Nhập[Tổng Nhập-NX]*(Data_Nhập[Year]=BK$1)*(Data_Nhập[Main SKU name_GOM]=$A10)*(Data_Nhập[SKU name_NHẬP_GOM]=BK$3)),SUMPRODUCT(Data_Nhập[Tổng Nhập-NX]*(Data_Nhập[Year]=BK$1)*(Data_Nhập[Month]=BK$2)*(Data_Nhập[Main SKU name_GOM]=$A10)*(Data_Nhập[SKU name_NHẬP_GOM]=BK$3)))</f>
        <v>0</v>
      </c>
      <c r="BL10" s="24" cm="1">
        <f t="array" ref="BL10">IF(BL$2="FY",SUMPRODUCT(Data_Nhập[Tổng Nhập-NX]*(Data_Nhập[Year]=BL$1)*(Data_Nhập[Main SKU name_GOM]=$A10)*(Data_Nhập[SKU name_NHẬP_GOM]=BL$3)),SUMPRODUCT(Data_Nhập[Tổng Nhập-NX]*(Data_Nhập[Year]=BL$1)*(Data_Nhập[Month]=BL$2)*(Data_Nhập[Main SKU name_GOM]=$A10)*(Data_Nhập[SKU name_NHẬP_GOM]=BL$3)))</f>
        <v>0</v>
      </c>
      <c r="BM10" s="24" cm="1">
        <f t="array" ref="BM10">IF(BM$2="FY",SUMPRODUCT(Data_Nhập[Tổng Nhập-NX]*(Data_Nhập[Year]=BM$1)*(Data_Nhập[Main SKU name_GOM]=$A10)*(Data_Nhập[SKU name_NHẬP_GOM]=BM$3)),SUMPRODUCT(Data_Nhập[Tổng Nhập-NX]*(Data_Nhập[Year]=BM$1)*(Data_Nhập[Month]=BM$2)*(Data_Nhập[Main SKU name_GOM]=$A10)*(Data_Nhập[SKU name_NHẬP_GOM]=BM$3)))</f>
        <v>1100</v>
      </c>
      <c r="BN10" s="24" cm="1">
        <f t="array" ref="BN10">IF(BN$2="FY",SUMPRODUCT(Data_Nhập[Tổng Nhập-NX]*(Data_Nhập[Year]=BN$1)*(Data_Nhập[Main SKU name_GOM]=$A10)*(Data_Nhập[SKU name_NHẬP_GOM]=BN$3)),SUMPRODUCT(Data_Nhập[Tổng Nhập-NX]*(Data_Nhập[Year]=BN$1)*(Data_Nhập[Month]=BN$2)*(Data_Nhập[Main SKU name_GOM]=$A10)*(Data_Nhập[SKU name_NHẬP_GOM]=BN$3)))</f>
        <v>0</v>
      </c>
      <c r="BO10" s="24" cm="1">
        <f t="array" ref="BO10">IF(BO$2="FY",SUMPRODUCT(Data_Nhập[Tổng Nhập-NX]*(Data_Nhập[Year]=BO$1)*(Data_Nhập[Main SKU name_GOM]=$A10)*(Data_Nhập[SKU name_NHẬP_GOM]=BO$3)),SUMPRODUCT(Data_Nhập[Tổng Nhập-NX]*(Data_Nhập[Year]=BO$1)*(Data_Nhập[Month]=BO$2)*(Data_Nhập[Main SKU name_GOM]=$A10)*(Data_Nhập[SKU name_NHẬP_GOM]=BO$3)))</f>
        <v>0</v>
      </c>
      <c r="BP10" s="24" cm="1">
        <f t="array" ref="BP10">IF(BP$2="FY",SUMPRODUCT(Data_Nhập[Tổng Nhập-NX]*(Data_Nhập[Year]=BP$1)*(Data_Nhập[Main SKU name_GOM]=$A10)*(Data_Nhập[SKU name_NHẬP_GOM]=BP$3)),SUMPRODUCT(Data_Nhập[Tổng Nhập-NX]*(Data_Nhập[Year]=BP$1)*(Data_Nhập[Month]=BP$2)*(Data_Nhập[Main SKU name_GOM]=$A10)*(Data_Nhập[SKU name_NHẬP_GOM]=BP$3)))</f>
        <v>0</v>
      </c>
      <c r="BQ10" s="24" cm="1">
        <f t="array" ref="BQ10">IF(BQ$2="FY",SUMPRODUCT(Data_Nhập[Tổng Nhập-NX]*(Data_Nhập[Year]=BQ$1)*(Data_Nhập[Main SKU name_GOM]=$A10)*(Data_Nhập[SKU name_NHẬP_GOM]=BQ$3)),SUMPRODUCT(Data_Nhập[Tổng Nhập-NX]*(Data_Nhập[Year]=BQ$1)*(Data_Nhập[Month]=BQ$2)*(Data_Nhập[Main SKU name_GOM]=$A10)*(Data_Nhập[SKU name_NHẬP_GOM]=BQ$3)))</f>
        <v>0</v>
      </c>
      <c r="BR10" s="24" cm="1">
        <f t="array" ref="BR10">IF(BR$2="FY",SUMPRODUCT(Data_Nhập[Tổng Nhập-NX]*(Data_Nhập[Year]=BR$1)*(Data_Nhập[Main SKU name_GOM]=$A10)*(Data_Nhập[SKU name_NHẬP_GOM]=BR$3)),SUMPRODUCT(Data_Nhập[Tổng Nhập-NX]*(Data_Nhập[Year]=BR$1)*(Data_Nhập[Month]=BR$2)*(Data_Nhập[Main SKU name_GOM]=$A10)*(Data_Nhập[SKU name_NHẬP_GOM]=BR$3)))</f>
        <v>0</v>
      </c>
      <c r="BS10" s="24" cm="1">
        <f t="array" ref="BS10">IF(BS$2="FY",SUMPRODUCT(Data_Nhập[Tổng Nhập-NX]*(Data_Nhập[Year]=BS$1)*(Data_Nhập[Main SKU name_GOM]=$A10)*(Data_Nhập[SKU name_NHẬP_GOM]=BS$3)),SUMPRODUCT(Data_Nhập[Tổng Nhập-NX]*(Data_Nhập[Year]=BS$1)*(Data_Nhập[Month]=BS$2)*(Data_Nhập[Main SKU name_GOM]=$A10)*(Data_Nhập[SKU name_NHẬP_GOM]=BS$3)))</f>
        <v>0</v>
      </c>
      <c r="BT10" s="24" cm="1">
        <f t="array" ref="BT10">IF(BT$2="FY",SUMPRODUCT(Data_Nhập[Tổng Nhập-NX]*(Data_Nhập[Year]=BT$1)*(Data_Nhập[Main SKU name_GOM]=$A10)*(Data_Nhập[SKU name_NHẬP_GOM]=BT$3)),SUMPRODUCT(Data_Nhập[Tổng Nhập-NX]*(Data_Nhập[Year]=BT$1)*(Data_Nhập[Month]=BT$2)*(Data_Nhập[Main SKU name_GOM]=$A10)*(Data_Nhập[SKU name_NHẬP_GOM]=BT$3)))</f>
        <v>185</v>
      </c>
      <c r="BU10" s="24" cm="1">
        <f t="array" ref="BU10">IF(BU$2="FY",SUMPRODUCT(Data_Nhập[Tổng Nhập-NX]*(Data_Nhập[Year]=BU$1)*(Data_Nhập[Main SKU name_GOM]=$A10)*(Data_Nhập[SKU name_NHẬP_GOM]=BU$3)),SUMPRODUCT(Data_Nhập[Tổng Nhập-NX]*(Data_Nhập[Year]=BU$1)*(Data_Nhập[Month]=BU$2)*(Data_Nhập[Main SKU name_GOM]=$A10)*(Data_Nhập[SKU name_NHẬP_GOM]=BU$3)))</f>
        <v>0</v>
      </c>
      <c r="BV10" s="25">
        <f t="shared" si="15"/>
        <v>1285</v>
      </c>
      <c r="BX10" s="25" cm="1">
        <f t="array" ref="BX10">IF(BX$2="FY",SUMPRODUCT(Data_Xuất[Xuất-NX]*(Data_Xuất[Year]=BX$1)*(Data_Xuất[Main SKU name_GOM]=$A10)),SUMPRODUCT(Data_Xuất[Xuất-NX]*(Data_Xuất[Year]=BX$1)*(Data_Xuất[Main SKU name_GOM]=$A10)*(Data_Xuất[Month]=BX$2)))</f>
        <v>0</v>
      </c>
      <c r="BY10" s="24" cm="1">
        <f t="array" ref="BY10">IF(BY$2="FY",SUMPRODUCT(Data_Nhập[Tổng Nhập-NX]*(Data_Nhập[Year]=BY$1)*(Data_Nhập[Main SKU name_GOM]=$A10)*(Data_Nhập[SKU name_NHẬP_GOM]=BY$3)),SUMPRODUCT(Data_Nhập[Tổng Nhập-NX]*(Data_Nhập[Year]=BY$1)*(Data_Nhập[Month]=BY$2)*(Data_Nhập[Main SKU name_GOM]=$A10)*(Data_Nhập[SKU name_NHẬP_GOM]=BY$3)))</f>
        <v>0</v>
      </c>
      <c r="BZ10" s="24" cm="1">
        <f t="array" ref="BZ10">IF(BZ$2="FY",SUMPRODUCT(Data_Nhập[Tổng Nhập-NX]*(Data_Nhập[Year]=BZ$1)*(Data_Nhập[Main SKU name_GOM]=$A10)*(Data_Nhập[SKU name_NHẬP_GOM]=BZ$3)),SUMPRODUCT(Data_Nhập[Tổng Nhập-NX]*(Data_Nhập[Year]=BZ$1)*(Data_Nhập[Month]=BZ$2)*(Data_Nhập[Main SKU name_GOM]=$A10)*(Data_Nhập[SKU name_NHẬP_GOM]=BZ$3)))</f>
        <v>0</v>
      </c>
      <c r="CA10" s="24" cm="1">
        <f t="array" ref="CA10">IF(CA$2="FY",SUMPRODUCT(Data_Nhập[Tổng Nhập-NX]*(Data_Nhập[Year]=CA$1)*(Data_Nhập[Main SKU name_GOM]=$A10)*(Data_Nhập[SKU name_NHẬP_GOM]=CA$3)),SUMPRODUCT(Data_Nhập[Tổng Nhập-NX]*(Data_Nhập[Year]=CA$1)*(Data_Nhập[Month]=CA$2)*(Data_Nhập[Main SKU name_GOM]=$A10)*(Data_Nhập[SKU name_NHẬP_GOM]=CA$3)))</f>
        <v>0</v>
      </c>
      <c r="CB10" s="24" cm="1">
        <f t="array" ref="CB10">IF(CB$2="FY",SUMPRODUCT(Data_Nhập[Tổng Nhập-NX]*(Data_Nhập[Year]=CB$1)*(Data_Nhập[Main SKU name_GOM]=$A10)*(Data_Nhập[SKU name_NHẬP_GOM]=CB$3)),SUMPRODUCT(Data_Nhập[Tổng Nhập-NX]*(Data_Nhập[Year]=CB$1)*(Data_Nhập[Month]=CB$2)*(Data_Nhập[Main SKU name_GOM]=$A10)*(Data_Nhập[SKU name_NHẬP_GOM]=CB$3)))</f>
        <v>0</v>
      </c>
      <c r="CC10" s="24" cm="1">
        <f t="array" ref="CC10">IF(CC$2="FY",SUMPRODUCT(Data_Nhập[Tổng Nhập-NX]*(Data_Nhập[Year]=CC$1)*(Data_Nhập[Main SKU name_GOM]=$A10)*(Data_Nhập[SKU name_NHẬP_GOM]=CC$3)),SUMPRODUCT(Data_Nhập[Tổng Nhập-NX]*(Data_Nhập[Year]=CC$1)*(Data_Nhập[Month]=CC$2)*(Data_Nhập[Main SKU name_GOM]=$A10)*(Data_Nhập[SKU name_NHẬP_GOM]=CC$3)))</f>
        <v>0</v>
      </c>
      <c r="CD10" s="24" cm="1">
        <f t="array" ref="CD10">IF(CD$2="FY",SUMPRODUCT(Data_Nhập[Tổng Nhập-NX]*(Data_Nhập[Year]=CD$1)*(Data_Nhập[Main SKU name_GOM]=$A10)*(Data_Nhập[SKU name_NHẬP_GOM]=CD$3)),SUMPRODUCT(Data_Nhập[Tổng Nhập-NX]*(Data_Nhập[Year]=CD$1)*(Data_Nhập[Month]=CD$2)*(Data_Nhập[Main SKU name_GOM]=$A10)*(Data_Nhập[SKU name_NHẬP_GOM]=CD$3)))</f>
        <v>0</v>
      </c>
      <c r="CE10" s="24" cm="1">
        <f t="array" ref="CE10">IF(CE$2="FY",SUMPRODUCT(Data_Nhập[Tổng Nhập-NX]*(Data_Nhập[Year]=CE$1)*(Data_Nhập[Main SKU name_GOM]=$A10)*(Data_Nhập[SKU name_NHẬP_GOM]=CE$3)),SUMPRODUCT(Data_Nhập[Tổng Nhập-NX]*(Data_Nhập[Year]=CE$1)*(Data_Nhập[Month]=CE$2)*(Data_Nhập[Main SKU name_GOM]=$A10)*(Data_Nhập[SKU name_NHẬP_GOM]=CE$3)))</f>
        <v>0</v>
      </c>
      <c r="CF10" s="24" cm="1">
        <f t="array" ref="CF10">IF(CF$2="FY",SUMPRODUCT(Data_Nhập[Tổng Nhập-NX]*(Data_Nhập[Year]=CF$1)*(Data_Nhập[Main SKU name_GOM]=$A10)*(Data_Nhập[SKU name_NHẬP_GOM]=CF$3)),SUMPRODUCT(Data_Nhập[Tổng Nhập-NX]*(Data_Nhập[Year]=CF$1)*(Data_Nhập[Month]=CF$2)*(Data_Nhập[Main SKU name_GOM]=$A10)*(Data_Nhập[SKU name_NHẬP_GOM]=CF$3)))</f>
        <v>0</v>
      </c>
      <c r="CG10" s="24" cm="1">
        <f t="array" ref="CG10">IF(CG$2="FY",SUMPRODUCT(Data_Nhập[Tổng Nhập-NX]*(Data_Nhập[Year]=CG$1)*(Data_Nhập[Main SKU name_GOM]=$A10)*(Data_Nhập[SKU name_NHẬP_GOM]=CG$3)),SUMPRODUCT(Data_Nhập[Tổng Nhập-NX]*(Data_Nhập[Year]=CG$1)*(Data_Nhập[Month]=CG$2)*(Data_Nhập[Main SKU name_GOM]=$A10)*(Data_Nhập[SKU name_NHẬP_GOM]=CG$3)))</f>
        <v>0</v>
      </c>
      <c r="CH10" s="24" cm="1">
        <f t="array" ref="CH10">IF(CH$2="FY",SUMPRODUCT(Data_Nhập[Tổng Nhập-NX]*(Data_Nhập[Year]=CH$1)*(Data_Nhập[Main SKU name_GOM]=$A10)*(Data_Nhập[SKU name_NHẬP_GOM]=CH$3)),SUMPRODUCT(Data_Nhập[Tổng Nhập-NX]*(Data_Nhập[Year]=CH$1)*(Data_Nhập[Month]=CH$2)*(Data_Nhập[Main SKU name_GOM]=$A10)*(Data_Nhập[SKU name_NHẬP_GOM]=CH$3)))</f>
        <v>0</v>
      </c>
      <c r="CI10" s="24" cm="1">
        <f t="array" ref="CI10">IF(CI$2="FY",SUMPRODUCT(Data_Nhập[Tổng Nhập-NX]*(Data_Nhập[Year]=CI$1)*(Data_Nhập[Main SKU name_GOM]=$A10)*(Data_Nhập[SKU name_NHẬP_GOM]=CI$3)),SUMPRODUCT(Data_Nhập[Tổng Nhập-NX]*(Data_Nhập[Year]=CI$1)*(Data_Nhập[Month]=CI$2)*(Data_Nhập[Main SKU name_GOM]=$A10)*(Data_Nhập[SKU name_NHẬP_GOM]=CI$3)))</f>
        <v>0</v>
      </c>
      <c r="CJ10" s="24" cm="1">
        <f t="array" ref="CJ10">IF(CJ$2="FY",SUMPRODUCT(Data_Nhập[Tổng Nhập-NX]*(Data_Nhập[Year]=CJ$1)*(Data_Nhập[Main SKU name_GOM]=$A10)*(Data_Nhập[SKU name_NHẬP_GOM]=CJ$3)),SUMPRODUCT(Data_Nhập[Tổng Nhập-NX]*(Data_Nhập[Year]=CJ$1)*(Data_Nhập[Month]=CJ$2)*(Data_Nhập[Main SKU name_GOM]=$A10)*(Data_Nhập[SKU name_NHẬP_GOM]=CJ$3)))</f>
        <v>0</v>
      </c>
      <c r="CK10" s="24" cm="1">
        <f t="array" ref="CK10">IF(CK$2="FY",SUMPRODUCT(Data_Nhập[Tổng Nhập-NX]*(Data_Nhập[Year]=CK$1)*(Data_Nhập[Main SKU name_GOM]=$A10)*(Data_Nhập[SKU name_NHẬP_GOM]=CK$3)),SUMPRODUCT(Data_Nhập[Tổng Nhập-NX]*(Data_Nhập[Year]=CK$1)*(Data_Nhập[Month]=CK$2)*(Data_Nhập[Main SKU name_GOM]=$A10)*(Data_Nhập[SKU name_NHẬP_GOM]=CK$3)))</f>
        <v>0</v>
      </c>
      <c r="CL10" s="24" cm="1">
        <f t="array" ref="CL10">IF(CL$2="FY",SUMPRODUCT(Data_Nhập[Tổng Nhập-NX]*(Data_Nhập[Year]=CL$1)*(Data_Nhập[Main SKU name_GOM]=$A10)*(Data_Nhập[SKU name_NHẬP_GOM]=CL$3)),SUMPRODUCT(Data_Nhập[Tổng Nhập-NX]*(Data_Nhập[Year]=CL$1)*(Data_Nhập[Month]=CL$2)*(Data_Nhập[Main SKU name_GOM]=$A10)*(Data_Nhập[SKU name_NHẬP_GOM]=CL$3)))</f>
        <v>0</v>
      </c>
      <c r="CM10" s="24" cm="1">
        <f t="array" ref="CM10">IF(CM$2="FY",SUMPRODUCT(Data_Nhập[Tổng Nhập-NX]*(Data_Nhập[Year]=CM$1)*(Data_Nhập[Main SKU name_GOM]=$A10)*(Data_Nhập[SKU name_NHẬP_GOM]=CM$3)),SUMPRODUCT(Data_Nhập[Tổng Nhập-NX]*(Data_Nhập[Year]=CM$1)*(Data_Nhập[Month]=CM$2)*(Data_Nhập[Main SKU name_GOM]=$A10)*(Data_Nhập[SKU name_NHẬP_GOM]=CM$3)))</f>
        <v>0</v>
      </c>
      <c r="CN10" s="25">
        <f t="shared" si="16"/>
        <v>0</v>
      </c>
      <c r="CP10" s="25" cm="1">
        <f t="array" ref="CP10">IF(CP$2="FY",SUMPRODUCT(Data_Xuất[Xuất-NX]*(Data_Xuất[Year]=CP$1)*(Data_Xuất[Main SKU name_GOM]=$A10)),SUMPRODUCT(Data_Xuất[Xuất-NX]*(Data_Xuất[Year]=CP$1)*(Data_Xuất[Main SKU name_GOM]=$A10)*(Data_Xuất[Month]=CP$2)))</f>
        <v>0</v>
      </c>
      <c r="CQ10" s="24" cm="1">
        <f t="array" ref="CQ10">IF(CQ$2="FY",SUMPRODUCT(Data_Nhập[Tổng Nhập-NX]*(Data_Nhập[Year]=CQ$1)*(Data_Nhập[Main SKU name_GOM]=$A10)*(Data_Nhập[SKU name_NHẬP_GOM]=CQ$3)),SUMPRODUCT(Data_Nhập[Tổng Nhập-NX]*(Data_Nhập[Year]=CQ$1)*(Data_Nhập[Month]=CQ$2)*(Data_Nhập[Main SKU name_GOM]=$A10)*(Data_Nhập[SKU name_NHẬP_GOM]=CQ$3)))</f>
        <v>0</v>
      </c>
      <c r="CR10" s="24" cm="1">
        <f t="array" ref="CR10">IF(CR$2="FY",SUMPRODUCT(Data_Nhập[Tổng Nhập-NX]*(Data_Nhập[Year]=CR$1)*(Data_Nhập[Main SKU name_GOM]=$A10)*(Data_Nhập[SKU name_NHẬP_GOM]=CR$3)),SUMPRODUCT(Data_Nhập[Tổng Nhập-NX]*(Data_Nhập[Year]=CR$1)*(Data_Nhập[Month]=CR$2)*(Data_Nhập[Main SKU name_GOM]=$A10)*(Data_Nhập[SKU name_NHẬP_GOM]=CR$3)))</f>
        <v>0</v>
      </c>
      <c r="CS10" s="24" cm="1">
        <f t="array" ref="CS10">IF(CS$2="FY",SUMPRODUCT(Data_Nhập[Tổng Nhập-NX]*(Data_Nhập[Year]=CS$1)*(Data_Nhập[Main SKU name_GOM]=$A10)*(Data_Nhập[SKU name_NHẬP_GOM]=CS$3)),SUMPRODUCT(Data_Nhập[Tổng Nhập-NX]*(Data_Nhập[Year]=CS$1)*(Data_Nhập[Month]=CS$2)*(Data_Nhập[Main SKU name_GOM]=$A10)*(Data_Nhập[SKU name_NHẬP_GOM]=CS$3)))</f>
        <v>0</v>
      </c>
      <c r="CT10" s="24" cm="1">
        <f t="array" ref="CT10">IF(CT$2="FY",SUMPRODUCT(Data_Nhập[Tổng Nhập-NX]*(Data_Nhập[Year]=CT$1)*(Data_Nhập[Main SKU name_GOM]=$A10)*(Data_Nhập[SKU name_NHẬP_GOM]=CT$3)),SUMPRODUCT(Data_Nhập[Tổng Nhập-NX]*(Data_Nhập[Year]=CT$1)*(Data_Nhập[Month]=CT$2)*(Data_Nhập[Main SKU name_GOM]=$A10)*(Data_Nhập[SKU name_NHẬP_GOM]=CT$3)))</f>
        <v>0</v>
      </c>
      <c r="CU10" s="24" cm="1">
        <f t="array" ref="CU10">IF(CU$2="FY",SUMPRODUCT(Data_Nhập[Tổng Nhập-NX]*(Data_Nhập[Year]=CU$1)*(Data_Nhập[Main SKU name_GOM]=$A10)*(Data_Nhập[SKU name_NHẬP_GOM]=CU$3)),SUMPRODUCT(Data_Nhập[Tổng Nhập-NX]*(Data_Nhập[Year]=CU$1)*(Data_Nhập[Month]=CU$2)*(Data_Nhập[Main SKU name_GOM]=$A10)*(Data_Nhập[SKU name_NHẬP_GOM]=CU$3)))</f>
        <v>0</v>
      </c>
      <c r="CV10" s="24" cm="1">
        <f t="array" ref="CV10">IF(CV$2="FY",SUMPRODUCT(Data_Nhập[Tổng Nhập-NX]*(Data_Nhập[Year]=CV$1)*(Data_Nhập[Main SKU name_GOM]=$A10)*(Data_Nhập[SKU name_NHẬP_GOM]=CV$3)),SUMPRODUCT(Data_Nhập[Tổng Nhập-NX]*(Data_Nhập[Year]=CV$1)*(Data_Nhập[Month]=CV$2)*(Data_Nhập[Main SKU name_GOM]=$A10)*(Data_Nhập[SKU name_NHẬP_GOM]=CV$3)))</f>
        <v>0</v>
      </c>
      <c r="CW10" s="24" cm="1">
        <f t="array" ref="CW10">IF(CW$2="FY",SUMPRODUCT(Data_Nhập[Tổng Nhập-NX]*(Data_Nhập[Year]=CW$1)*(Data_Nhập[Main SKU name_GOM]=$A10)*(Data_Nhập[SKU name_NHẬP_GOM]=CW$3)),SUMPRODUCT(Data_Nhập[Tổng Nhập-NX]*(Data_Nhập[Year]=CW$1)*(Data_Nhập[Month]=CW$2)*(Data_Nhập[Main SKU name_GOM]=$A10)*(Data_Nhập[SKU name_NHẬP_GOM]=CW$3)))</f>
        <v>0</v>
      </c>
      <c r="CX10" s="24" cm="1">
        <f t="array" ref="CX10">IF(CX$2="FY",SUMPRODUCT(Data_Nhập[Tổng Nhập-NX]*(Data_Nhập[Year]=CX$1)*(Data_Nhập[Main SKU name_GOM]=$A10)*(Data_Nhập[SKU name_NHẬP_GOM]=CX$3)),SUMPRODUCT(Data_Nhập[Tổng Nhập-NX]*(Data_Nhập[Year]=CX$1)*(Data_Nhập[Month]=CX$2)*(Data_Nhập[Main SKU name_GOM]=$A10)*(Data_Nhập[SKU name_NHẬP_GOM]=CX$3)))</f>
        <v>0</v>
      </c>
      <c r="CY10" s="24" cm="1">
        <f t="array" ref="CY10">IF(CY$2="FY",SUMPRODUCT(Data_Nhập[Tổng Nhập-NX]*(Data_Nhập[Year]=CY$1)*(Data_Nhập[Main SKU name_GOM]=$A10)*(Data_Nhập[SKU name_NHẬP_GOM]=CY$3)),SUMPRODUCT(Data_Nhập[Tổng Nhập-NX]*(Data_Nhập[Year]=CY$1)*(Data_Nhập[Month]=CY$2)*(Data_Nhập[Main SKU name_GOM]=$A10)*(Data_Nhập[SKU name_NHẬP_GOM]=CY$3)))</f>
        <v>0</v>
      </c>
      <c r="CZ10" s="24" cm="1">
        <f t="array" ref="CZ10">IF(CZ$2="FY",SUMPRODUCT(Data_Nhập[Tổng Nhập-NX]*(Data_Nhập[Year]=CZ$1)*(Data_Nhập[Main SKU name_GOM]=$A10)*(Data_Nhập[SKU name_NHẬP_GOM]=CZ$3)),SUMPRODUCT(Data_Nhập[Tổng Nhập-NX]*(Data_Nhập[Year]=CZ$1)*(Data_Nhập[Month]=CZ$2)*(Data_Nhập[Main SKU name_GOM]=$A10)*(Data_Nhập[SKU name_NHẬP_GOM]=CZ$3)))</f>
        <v>0</v>
      </c>
      <c r="DA10" s="24" cm="1">
        <f t="array" ref="DA10">IF(DA$2="FY",SUMPRODUCT(Data_Nhập[Tổng Nhập-NX]*(Data_Nhập[Year]=DA$1)*(Data_Nhập[Main SKU name_GOM]=$A10)*(Data_Nhập[SKU name_NHẬP_GOM]=DA$3)),SUMPRODUCT(Data_Nhập[Tổng Nhập-NX]*(Data_Nhập[Year]=DA$1)*(Data_Nhập[Month]=DA$2)*(Data_Nhập[Main SKU name_GOM]=$A10)*(Data_Nhập[SKU name_NHẬP_GOM]=DA$3)))</f>
        <v>0</v>
      </c>
      <c r="DB10" s="24" cm="1">
        <f t="array" ref="DB10">IF(DB$2="FY",SUMPRODUCT(Data_Nhập[Tổng Nhập-NX]*(Data_Nhập[Year]=DB$1)*(Data_Nhập[Main SKU name_GOM]=$A10)*(Data_Nhập[SKU name_NHẬP_GOM]=DB$3)),SUMPRODUCT(Data_Nhập[Tổng Nhập-NX]*(Data_Nhập[Year]=DB$1)*(Data_Nhập[Month]=DB$2)*(Data_Nhập[Main SKU name_GOM]=$A10)*(Data_Nhập[SKU name_NHẬP_GOM]=DB$3)))</f>
        <v>0</v>
      </c>
      <c r="DC10" s="24" cm="1">
        <f t="array" ref="DC10">IF(DC$2="FY",SUMPRODUCT(Data_Nhập[Tổng Nhập-NX]*(Data_Nhập[Year]=DC$1)*(Data_Nhập[Main SKU name_GOM]=$A10)*(Data_Nhập[SKU name_NHẬP_GOM]=DC$3)),SUMPRODUCT(Data_Nhập[Tổng Nhập-NX]*(Data_Nhập[Year]=DC$1)*(Data_Nhập[Month]=DC$2)*(Data_Nhập[Main SKU name_GOM]=$A10)*(Data_Nhập[SKU name_NHẬP_GOM]=DC$3)))</f>
        <v>0</v>
      </c>
      <c r="DD10" s="24" cm="1">
        <f t="array" ref="DD10">IF(DD$2="FY",SUMPRODUCT(Data_Nhập[Tổng Nhập-NX]*(Data_Nhập[Year]=DD$1)*(Data_Nhập[Main SKU name_GOM]=$A10)*(Data_Nhập[SKU name_NHẬP_GOM]=DD$3)),SUMPRODUCT(Data_Nhập[Tổng Nhập-NX]*(Data_Nhập[Year]=DD$1)*(Data_Nhập[Month]=DD$2)*(Data_Nhập[Main SKU name_GOM]=$A10)*(Data_Nhập[SKU name_NHẬP_GOM]=DD$3)))</f>
        <v>0</v>
      </c>
      <c r="DE10" s="24" cm="1">
        <f t="array" ref="DE10">IF(DE$2="FY",SUMPRODUCT(Data_Nhập[Tổng Nhập-NX]*(Data_Nhập[Year]=DE$1)*(Data_Nhập[Main SKU name_GOM]=$A10)*(Data_Nhập[SKU name_NHẬP_GOM]=DE$3)),SUMPRODUCT(Data_Nhập[Tổng Nhập-NX]*(Data_Nhập[Year]=DE$1)*(Data_Nhập[Month]=DE$2)*(Data_Nhập[Main SKU name_GOM]=$A10)*(Data_Nhập[SKU name_NHẬP_GOM]=DE$3)))</f>
        <v>0</v>
      </c>
      <c r="DF10" s="25">
        <f t="shared" si="17"/>
        <v>0</v>
      </c>
      <c r="DH10" s="25" cm="1">
        <f t="array" ref="DH10">IF(DH$2="FY",SUMPRODUCT(Data_Xuất[Xuất-NX]*(Data_Xuất[Year]=DH$1)*(Data_Xuất[Main SKU name_GOM]=$A10)),SUMPRODUCT(Data_Xuất[Xuất-NX]*(Data_Xuất[Year]=DH$1)*(Data_Xuất[Main SKU name_GOM]=$A10)*(Data_Xuất[Month]=DH$2)))</f>
        <v>0</v>
      </c>
      <c r="DI10" s="24" cm="1">
        <f t="array" ref="DI10">IF(DI$2="FY",SUMPRODUCT(Data_Nhập[Tổng Nhập-NX]*(Data_Nhập[Year]=DI$1)*(Data_Nhập[Main SKU name_GOM]=$A10)*(Data_Nhập[SKU name_NHẬP_GOM]=DI$3)),SUMPRODUCT(Data_Nhập[Tổng Nhập-NX]*(Data_Nhập[Year]=DI$1)*(Data_Nhập[Month]=DI$2)*(Data_Nhập[Main SKU name_GOM]=$A10)*(Data_Nhập[SKU name_NHẬP_GOM]=DI$3)))</f>
        <v>0</v>
      </c>
      <c r="DJ10" s="24" cm="1">
        <f t="array" ref="DJ10">IF(DJ$2="FY",SUMPRODUCT(Data_Nhập[Tổng Nhập-NX]*(Data_Nhập[Year]=DJ$1)*(Data_Nhập[Main SKU name_GOM]=$A10)*(Data_Nhập[SKU name_NHẬP_GOM]=DJ$3)),SUMPRODUCT(Data_Nhập[Tổng Nhập-NX]*(Data_Nhập[Year]=DJ$1)*(Data_Nhập[Month]=DJ$2)*(Data_Nhập[Main SKU name_GOM]=$A10)*(Data_Nhập[SKU name_NHẬP_GOM]=DJ$3)))</f>
        <v>0</v>
      </c>
      <c r="DK10" s="24" cm="1">
        <f t="array" ref="DK10">IF(DK$2="FY",SUMPRODUCT(Data_Nhập[Tổng Nhập-NX]*(Data_Nhập[Year]=DK$1)*(Data_Nhập[Main SKU name_GOM]=$A10)*(Data_Nhập[SKU name_NHẬP_GOM]=DK$3)),SUMPRODUCT(Data_Nhập[Tổng Nhập-NX]*(Data_Nhập[Year]=DK$1)*(Data_Nhập[Month]=DK$2)*(Data_Nhập[Main SKU name_GOM]=$A10)*(Data_Nhập[SKU name_NHẬP_GOM]=DK$3)))</f>
        <v>0</v>
      </c>
      <c r="DL10" s="24" cm="1">
        <f t="array" ref="DL10">IF(DL$2="FY",SUMPRODUCT(Data_Nhập[Tổng Nhập-NX]*(Data_Nhập[Year]=DL$1)*(Data_Nhập[Main SKU name_GOM]=$A10)*(Data_Nhập[SKU name_NHẬP_GOM]=DL$3)),SUMPRODUCT(Data_Nhập[Tổng Nhập-NX]*(Data_Nhập[Year]=DL$1)*(Data_Nhập[Month]=DL$2)*(Data_Nhập[Main SKU name_GOM]=$A10)*(Data_Nhập[SKU name_NHẬP_GOM]=DL$3)))</f>
        <v>0</v>
      </c>
      <c r="DM10" s="24" cm="1">
        <f t="array" ref="DM10">IF(DM$2="FY",SUMPRODUCT(Data_Nhập[Tổng Nhập-NX]*(Data_Nhập[Year]=DM$1)*(Data_Nhập[Main SKU name_GOM]=$A10)*(Data_Nhập[SKU name_NHẬP_GOM]=DM$3)),SUMPRODUCT(Data_Nhập[Tổng Nhập-NX]*(Data_Nhập[Year]=DM$1)*(Data_Nhập[Month]=DM$2)*(Data_Nhập[Main SKU name_GOM]=$A10)*(Data_Nhập[SKU name_NHẬP_GOM]=DM$3)))</f>
        <v>0</v>
      </c>
      <c r="DN10" s="24" cm="1">
        <f t="array" ref="DN10">IF(DN$2="FY",SUMPRODUCT(Data_Nhập[Tổng Nhập-NX]*(Data_Nhập[Year]=DN$1)*(Data_Nhập[Main SKU name_GOM]=$A10)*(Data_Nhập[SKU name_NHẬP_GOM]=DN$3)),SUMPRODUCT(Data_Nhập[Tổng Nhập-NX]*(Data_Nhập[Year]=DN$1)*(Data_Nhập[Month]=DN$2)*(Data_Nhập[Main SKU name_GOM]=$A10)*(Data_Nhập[SKU name_NHẬP_GOM]=DN$3)))</f>
        <v>0</v>
      </c>
      <c r="DO10" s="24" cm="1">
        <f t="array" ref="DO10">IF(DO$2="FY",SUMPRODUCT(Data_Nhập[Tổng Nhập-NX]*(Data_Nhập[Year]=DO$1)*(Data_Nhập[Main SKU name_GOM]=$A10)*(Data_Nhập[SKU name_NHẬP_GOM]=DO$3)),SUMPRODUCT(Data_Nhập[Tổng Nhập-NX]*(Data_Nhập[Year]=DO$1)*(Data_Nhập[Month]=DO$2)*(Data_Nhập[Main SKU name_GOM]=$A10)*(Data_Nhập[SKU name_NHẬP_GOM]=DO$3)))</f>
        <v>0</v>
      </c>
      <c r="DP10" s="24" cm="1">
        <f t="array" ref="DP10">IF(DP$2="FY",SUMPRODUCT(Data_Nhập[Tổng Nhập-NX]*(Data_Nhập[Year]=DP$1)*(Data_Nhập[Main SKU name_GOM]=$A10)*(Data_Nhập[SKU name_NHẬP_GOM]=DP$3)),SUMPRODUCT(Data_Nhập[Tổng Nhập-NX]*(Data_Nhập[Year]=DP$1)*(Data_Nhập[Month]=DP$2)*(Data_Nhập[Main SKU name_GOM]=$A10)*(Data_Nhập[SKU name_NHẬP_GOM]=DP$3)))</f>
        <v>0</v>
      </c>
      <c r="DQ10" s="24" cm="1">
        <f t="array" ref="DQ10">IF(DQ$2="FY",SUMPRODUCT(Data_Nhập[Tổng Nhập-NX]*(Data_Nhập[Year]=DQ$1)*(Data_Nhập[Main SKU name_GOM]=$A10)*(Data_Nhập[SKU name_NHẬP_GOM]=DQ$3)),SUMPRODUCT(Data_Nhập[Tổng Nhập-NX]*(Data_Nhập[Year]=DQ$1)*(Data_Nhập[Month]=DQ$2)*(Data_Nhập[Main SKU name_GOM]=$A10)*(Data_Nhập[SKU name_NHẬP_GOM]=DQ$3)))</f>
        <v>0</v>
      </c>
      <c r="DR10" s="24" cm="1">
        <f t="array" ref="DR10">IF(DR$2="FY",SUMPRODUCT(Data_Nhập[Tổng Nhập-NX]*(Data_Nhập[Year]=DR$1)*(Data_Nhập[Main SKU name_GOM]=$A10)*(Data_Nhập[SKU name_NHẬP_GOM]=DR$3)),SUMPRODUCT(Data_Nhập[Tổng Nhập-NX]*(Data_Nhập[Year]=DR$1)*(Data_Nhập[Month]=DR$2)*(Data_Nhập[Main SKU name_GOM]=$A10)*(Data_Nhập[SKU name_NHẬP_GOM]=DR$3)))</f>
        <v>0</v>
      </c>
      <c r="DS10" s="24" cm="1">
        <f t="array" ref="DS10">IF(DS$2="FY",SUMPRODUCT(Data_Nhập[Tổng Nhập-NX]*(Data_Nhập[Year]=DS$1)*(Data_Nhập[Main SKU name_GOM]=$A10)*(Data_Nhập[SKU name_NHẬP_GOM]=DS$3)),SUMPRODUCT(Data_Nhập[Tổng Nhập-NX]*(Data_Nhập[Year]=DS$1)*(Data_Nhập[Month]=DS$2)*(Data_Nhập[Main SKU name_GOM]=$A10)*(Data_Nhập[SKU name_NHẬP_GOM]=DS$3)))</f>
        <v>0</v>
      </c>
      <c r="DT10" s="24" cm="1">
        <f t="array" ref="DT10">IF(DT$2="FY",SUMPRODUCT(Data_Nhập[Tổng Nhập-NX]*(Data_Nhập[Year]=DT$1)*(Data_Nhập[Main SKU name_GOM]=$A10)*(Data_Nhập[SKU name_NHẬP_GOM]=DT$3)),SUMPRODUCT(Data_Nhập[Tổng Nhập-NX]*(Data_Nhập[Year]=DT$1)*(Data_Nhập[Month]=DT$2)*(Data_Nhập[Main SKU name_GOM]=$A10)*(Data_Nhập[SKU name_NHẬP_GOM]=DT$3)))</f>
        <v>0</v>
      </c>
      <c r="DU10" s="24" cm="1">
        <f t="array" ref="DU10">IF(DU$2="FY",SUMPRODUCT(Data_Nhập[Tổng Nhập-NX]*(Data_Nhập[Year]=DU$1)*(Data_Nhập[Main SKU name_GOM]=$A10)*(Data_Nhập[SKU name_NHẬP_GOM]=DU$3)),SUMPRODUCT(Data_Nhập[Tổng Nhập-NX]*(Data_Nhập[Year]=DU$1)*(Data_Nhập[Month]=DU$2)*(Data_Nhập[Main SKU name_GOM]=$A10)*(Data_Nhập[SKU name_NHẬP_GOM]=DU$3)))</f>
        <v>0</v>
      </c>
      <c r="DV10" s="24" cm="1">
        <f t="array" ref="DV10">IF(DV$2="FY",SUMPRODUCT(Data_Nhập[Tổng Nhập-NX]*(Data_Nhập[Year]=DV$1)*(Data_Nhập[Main SKU name_GOM]=$A10)*(Data_Nhập[SKU name_NHẬP_GOM]=DV$3)),SUMPRODUCT(Data_Nhập[Tổng Nhập-NX]*(Data_Nhập[Year]=DV$1)*(Data_Nhập[Month]=DV$2)*(Data_Nhập[Main SKU name_GOM]=$A10)*(Data_Nhập[SKU name_NHẬP_GOM]=DV$3)))</f>
        <v>0</v>
      </c>
      <c r="DW10" s="24" cm="1">
        <f t="array" ref="DW10">IF(DW$2="FY",SUMPRODUCT(Data_Nhập[Tổng Nhập-NX]*(Data_Nhập[Year]=DW$1)*(Data_Nhập[Main SKU name_GOM]=$A10)*(Data_Nhập[SKU name_NHẬP_GOM]=DW$3)),SUMPRODUCT(Data_Nhập[Tổng Nhập-NX]*(Data_Nhập[Year]=DW$1)*(Data_Nhập[Month]=DW$2)*(Data_Nhập[Main SKU name_GOM]=$A10)*(Data_Nhập[SKU name_NHẬP_GOM]=DW$3)))</f>
        <v>0</v>
      </c>
      <c r="DX10" s="25">
        <f t="shared" si="18"/>
        <v>0</v>
      </c>
      <c r="DZ10" s="25" cm="1">
        <f t="array" ref="DZ10">IF(DZ$2="FY",SUMPRODUCT(Data_Xuất[Xuất-NX]*(Data_Xuất[Year]=DZ$1)*(Data_Xuất[Main SKU name_GOM]=$A10)),SUMPRODUCT(Data_Xuất[Xuất-NX]*(Data_Xuất[Year]=DZ$1)*(Data_Xuất[Main SKU name_GOM]=$A10)*(Data_Xuất[Month]=DZ$2)))</f>
        <v>0</v>
      </c>
      <c r="EA10" s="24" cm="1">
        <f t="array" ref="EA10">IF(EA$2="FY",SUMPRODUCT(Data_Nhập[Tổng Nhập-NX]*(Data_Nhập[Year]=EA$1)*(Data_Nhập[Main SKU name_GOM]=$A10)*(Data_Nhập[SKU name_NHẬP_GOM]=EA$3)),SUMPRODUCT(Data_Nhập[Tổng Nhập-NX]*(Data_Nhập[Year]=EA$1)*(Data_Nhập[Month]=EA$2)*(Data_Nhập[Main SKU name_GOM]=$A10)*(Data_Nhập[SKU name_NHẬP_GOM]=EA$3)))</f>
        <v>0</v>
      </c>
      <c r="EB10" s="24" cm="1">
        <f t="array" ref="EB10">IF(EB$2="FY",SUMPRODUCT(Data_Nhập[Tổng Nhập-NX]*(Data_Nhập[Year]=EB$1)*(Data_Nhập[Main SKU name_GOM]=$A10)*(Data_Nhập[SKU name_NHẬP_GOM]=EB$3)),SUMPRODUCT(Data_Nhập[Tổng Nhập-NX]*(Data_Nhập[Year]=EB$1)*(Data_Nhập[Month]=EB$2)*(Data_Nhập[Main SKU name_GOM]=$A10)*(Data_Nhập[SKU name_NHẬP_GOM]=EB$3)))</f>
        <v>0</v>
      </c>
      <c r="EC10" s="24" cm="1">
        <f t="array" ref="EC10">IF(EC$2="FY",SUMPRODUCT(Data_Nhập[Tổng Nhập-NX]*(Data_Nhập[Year]=EC$1)*(Data_Nhập[Main SKU name_GOM]=$A10)*(Data_Nhập[SKU name_NHẬP_GOM]=EC$3)),SUMPRODUCT(Data_Nhập[Tổng Nhập-NX]*(Data_Nhập[Year]=EC$1)*(Data_Nhập[Month]=EC$2)*(Data_Nhập[Main SKU name_GOM]=$A10)*(Data_Nhập[SKU name_NHẬP_GOM]=EC$3)))</f>
        <v>0</v>
      </c>
      <c r="ED10" s="24" cm="1">
        <f t="array" ref="ED10">IF(ED$2="FY",SUMPRODUCT(Data_Nhập[Tổng Nhập-NX]*(Data_Nhập[Year]=ED$1)*(Data_Nhập[Main SKU name_GOM]=$A10)*(Data_Nhập[SKU name_NHẬP_GOM]=ED$3)),SUMPRODUCT(Data_Nhập[Tổng Nhập-NX]*(Data_Nhập[Year]=ED$1)*(Data_Nhập[Month]=ED$2)*(Data_Nhập[Main SKU name_GOM]=$A10)*(Data_Nhập[SKU name_NHẬP_GOM]=ED$3)))</f>
        <v>0</v>
      </c>
      <c r="EE10" s="24" cm="1">
        <f t="array" ref="EE10">IF(EE$2="FY",SUMPRODUCT(Data_Nhập[Tổng Nhập-NX]*(Data_Nhập[Year]=EE$1)*(Data_Nhập[Main SKU name_GOM]=$A10)*(Data_Nhập[SKU name_NHẬP_GOM]=EE$3)),SUMPRODUCT(Data_Nhập[Tổng Nhập-NX]*(Data_Nhập[Year]=EE$1)*(Data_Nhập[Month]=EE$2)*(Data_Nhập[Main SKU name_GOM]=$A10)*(Data_Nhập[SKU name_NHẬP_GOM]=EE$3)))</f>
        <v>0</v>
      </c>
      <c r="EF10" s="24" cm="1">
        <f t="array" ref="EF10">IF(EF$2="FY",SUMPRODUCT(Data_Nhập[Tổng Nhập-NX]*(Data_Nhập[Year]=EF$1)*(Data_Nhập[Main SKU name_GOM]=$A10)*(Data_Nhập[SKU name_NHẬP_GOM]=EF$3)),SUMPRODUCT(Data_Nhập[Tổng Nhập-NX]*(Data_Nhập[Year]=EF$1)*(Data_Nhập[Month]=EF$2)*(Data_Nhập[Main SKU name_GOM]=$A10)*(Data_Nhập[SKU name_NHẬP_GOM]=EF$3)))</f>
        <v>0</v>
      </c>
      <c r="EG10" s="24" cm="1">
        <f t="array" ref="EG10">IF(EG$2="FY",SUMPRODUCT(Data_Nhập[Tổng Nhập-NX]*(Data_Nhập[Year]=EG$1)*(Data_Nhập[Main SKU name_GOM]=$A10)*(Data_Nhập[SKU name_NHẬP_GOM]=EG$3)),SUMPRODUCT(Data_Nhập[Tổng Nhập-NX]*(Data_Nhập[Year]=EG$1)*(Data_Nhập[Month]=EG$2)*(Data_Nhập[Main SKU name_GOM]=$A10)*(Data_Nhập[SKU name_NHẬP_GOM]=EG$3)))</f>
        <v>0</v>
      </c>
      <c r="EH10" s="24" cm="1">
        <f t="array" ref="EH10">IF(EH$2="FY",SUMPRODUCT(Data_Nhập[Tổng Nhập-NX]*(Data_Nhập[Year]=EH$1)*(Data_Nhập[Main SKU name_GOM]=$A10)*(Data_Nhập[SKU name_NHẬP_GOM]=EH$3)),SUMPRODUCT(Data_Nhập[Tổng Nhập-NX]*(Data_Nhập[Year]=EH$1)*(Data_Nhập[Month]=EH$2)*(Data_Nhập[Main SKU name_GOM]=$A10)*(Data_Nhập[SKU name_NHẬP_GOM]=EH$3)))</f>
        <v>0</v>
      </c>
      <c r="EI10" s="24" cm="1">
        <f t="array" ref="EI10">IF(EI$2="FY",SUMPRODUCT(Data_Nhập[Tổng Nhập-NX]*(Data_Nhập[Year]=EI$1)*(Data_Nhập[Main SKU name_GOM]=$A10)*(Data_Nhập[SKU name_NHẬP_GOM]=EI$3)),SUMPRODUCT(Data_Nhập[Tổng Nhập-NX]*(Data_Nhập[Year]=EI$1)*(Data_Nhập[Month]=EI$2)*(Data_Nhập[Main SKU name_GOM]=$A10)*(Data_Nhập[SKU name_NHẬP_GOM]=EI$3)))</f>
        <v>0</v>
      </c>
      <c r="EJ10" s="24" cm="1">
        <f t="array" ref="EJ10">IF(EJ$2="FY",SUMPRODUCT(Data_Nhập[Tổng Nhập-NX]*(Data_Nhập[Year]=EJ$1)*(Data_Nhập[Main SKU name_GOM]=$A10)*(Data_Nhập[SKU name_NHẬP_GOM]=EJ$3)),SUMPRODUCT(Data_Nhập[Tổng Nhập-NX]*(Data_Nhập[Year]=EJ$1)*(Data_Nhập[Month]=EJ$2)*(Data_Nhập[Main SKU name_GOM]=$A10)*(Data_Nhập[SKU name_NHẬP_GOM]=EJ$3)))</f>
        <v>0</v>
      </c>
      <c r="EK10" s="24" cm="1">
        <f t="array" ref="EK10">IF(EK$2="FY",SUMPRODUCT(Data_Nhập[Tổng Nhập-NX]*(Data_Nhập[Year]=EK$1)*(Data_Nhập[Main SKU name_GOM]=$A10)*(Data_Nhập[SKU name_NHẬP_GOM]=EK$3)),SUMPRODUCT(Data_Nhập[Tổng Nhập-NX]*(Data_Nhập[Year]=EK$1)*(Data_Nhập[Month]=EK$2)*(Data_Nhập[Main SKU name_GOM]=$A10)*(Data_Nhập[SKU name_NHẬP_GOM]=EK$3)))</f>
        <v>0</v>
      </c>
      <c r="EL10" s="24" cm="1">
        <f t="array" ref="EL10">IF(EL$2="FY",SUMPRODUCT(Data_Nhập[Tổng Nhập-NX]*(Data_Nhập[Year]=EL$1)*(Data_Nhập[Main SKU name_GOM]=$A10)*(Data_Nhập[SKU name_NHẬP_GOM]=EL$3)),SUMPRODUCT(Data_Nhập[Tổng Nhập-NX]*(Data_Nhập[Year]=EL$1)*(Data_Nhập[Month]=EL$2)*(Data_Nhập[Main SKU name_GOM]=$A10)*(Data_Nhập[SKU name_NHẬP_GOM]=EL$3)))</f>
        <v>0</v>
      </c>
      <c r="EM10" s="24" cm="1">
        <f t="array" ref="EM10">IF(EM$2="FY",SUMPRODUCT(Data_Nhập[Tổng Nhập-NX]*(Data_Nhập[Year]=EM$1)*(Data_Nhập[Main SKU name_GOM]=$A10)*(Data_Nhập[SKU name_NHẬP_GOM]=EM$3)),SUMPRODUCT(Data_Nhập[Tổng Nhập-NX]*(Data_Nhập[Year]=EM$1)*(Data_Nhập[Month]=EM$2)*(Data_Nhập[Main SKU name_GOM]=$A10)*(Data_Nhập[SKU name_NHẬP_GOM]=EM$3)))</f>
        <v>0</v>
      </c>
      <c r="EN10" s="24" cm="1">
        <f t="array" ref="EN10">IF(EN$2="FY",SUMPRODUCT(Data_Nhập[Tổng Nhập-NX]*(Data_Nhập[Year]=EN$1)*(Data_Nhập[Main SKU name_GOM]=$A10)*(Data_Nhập[SKU name_NHẬP_GOM]=EN$3)),SUMPRODUCT(Data_Nhập[Tổng Nhập-NX]*(Data_Nhập[Year]=EN$1)*(Data_Nhập[Month]=EN$2)*(Data_Nhập[Main SKU name_GOM]=$A10)*(Data_Nhập[SKU name_NHẬP_GOM]=EN$3)))</f>
        <v>0</v>
      </c>
      <c r="EO10" s="24" cm="1">
        <f t="array" ref="EO10">IF(EO$2="FY",SUMPRODUCT(Data_Nhập[Tổng Nhập-NX]*(Data_Nhập[Year]=EO$1)*(Data_Nhập[Main SKU name_GOM]=$A10)*(Data_Nhập[SKU name_NHẬP_GOM]=EO$3)),SUMPRODUCT(Data_Nhập[Tổng Nhập-NX]*(Data_Nhập[Year]=EO$1)*(Data_Nhập[Month]=EO$2)*(Data_Nhập[Main SKU name_GOM]=$A10)*(Data_Nhập[SKU name_NHẬP_GOM]=EO$3)))</f>
        <v>0</v>
      </c>
      <c r="EP10" s="25">
        <f t="shared" si="19"/>
        <v>0</v>
      </c>
      <c r="ER10" s="25" cm="1">
        <f t="array" ref="ER10">IF(ER$2="FY",SUMPRODUCT(Data_Xuất[Xuất-NX]*(Data_Xuất[Year]=ER$1)*(Data_Xuất[Main SKU name_GOM]=$A10)),SUMPRODUCT(Data_Xuất[Xuất-NX]*(Data_Xuất[Year]=ER$1)*(Data_Xuất[Main SKU name_GOM]=$A10)*(Data_Xuất[Month]=ER$2)))</f>
        <v>0</v>
      </c>
      <c r="ES10" s="24" cm="1">
        <f t="array" ref="ES10">IF(ES$2="FY",SUMPRODUCT(Data_Nhập[Tổng Nhập-NX]*(Data_Nhập[Year]=ES$1)*(Data_Nhập[Main SKU name_GOM]=$A10)*(Data_Nhập[SKU name_NHẬP_GOM]=ES$3)),SUMPRODUCT(Data_Nhập[Tổng Nhập-NX]*(Data_Nhập[Year]=ES$1)*(Data_Nhập[Month]=ES$2)*(Data_Nhập[Main SKU name_GOM]=$A10)*(Data_Nhập[SKU name_NHẬP_GOM]=ES$3)))</f>
        <v>0</v>
      </c>
      <c r="ET10" s="24" cm="1">
        <f t="array" ref="ET10">IF(ET$2="FY",SUMPRODUCT(Data_Nhập[Tổng Nhập-NX]*(Data_Nhập[Year]=ET$1)*(Data_Nhập[Main SKU name_GOM]=$A10)*(Data_Nhập[SKU name_NHẬP_GOM]=ET$3)),SUMPRODUCT(Data_Nhập[Tổng Nhập-NX]*(Data_Nhập[Year]=ET$1)*(Data_Nhập[Month]=ET$2)*(Data_Nhập[Main SKU name_GOM]=$A10)*(Data_Nhập[SKU name_NHẬP_GOM]=ET$3)))</f>
        <v>0</v>
      </c>
      <c r="EU10" s="24" cm="1">
        <f t="array" ref="EU10">IF(EU$2="FY",SUMPRODUCT(Data_Nhập[Tổng Nhập-NX]*(Data_Nhập[Year]=EU$1)*(Data_Nhập[Main SKU name_GOM]=$A10)*(Data_Nhập[SKU name_NHẬP_GOM]=EU$3)),SUMPRODUCT(Data_Nhập[Tổng Nhập-NX]*(Data_Nhập[Year]=EU$1)*(Data_Nhập[Month]=EU$2)*(Data_Nhập[Main SKU name_GOM]=$A10)*(Data_Nhập[SKU name_NHẬP_GOM]=EU$3)))</f>
        <v>0</v>
      </c>
      <c r="EV10" s="24" cm="1">
        <f t="array" ref="EV10">IF(EV$2="FY",SUMPRODUCT(Data_Nhập[Tổng Nhập-NX]*(Data_Nhập[Year]=EV$1)*(Data_Nhập[Main SKU name_GOM]=$A10)*(Data_Nhập[SKU name_NHẬP_GOM]=EV$3)),SUMPRODUCT(Data_Nhập[Tổng Nhập-NX]*(Data_Nhập[Year]=EV$1)*(Data_Nhập[Month]=EV$2)*(Data_Nhập[Main SKU name_GOM]=$A10)*(Data_Nhập[SKU name_NHẬP_GOM]=EV$3)))</f>
        <v>0</v>
      </c>
      <c r="EW10" s="24" cm="1">
        <f t="array" ref="EW10">IF(EW$2="FY",SUMPRODUCT(Data_Nhập[Tổng Nhập-NX]*(Data_Nhập[Year]=EW$1)*(Data_Nhập[Main SKU name_GOM]=$A10)*(Data_Nhập[SKU name_NHẬP_GOM]=EW$3)),SUMPRODUCT(Data_Nhập[Tổng Nhập-NX]*(Data_Nhập[Year]=EW$1)*(Data_Nhập[Month]=EW$2)*(Data_Nhập[Main SKU name_GOM]=$A10)*(Data_Nhập[SKU name_NHẬP_GOM]=EW$3)))</f>
        <v>0</v>
      </c>
      <c r="EX10" s="24" cm="1">
        <f t="array" ref="EX10">IF(EX$2="FY",SUMPRODUCT(Data_Nhập[Tổng Nhập-NX]*(Data_Nhập[Year]=EX$1)*(Data_Nhập[Main SKU name_GOM]=$A10)*(Data_Nhập[SKU name_NHẬP_GOM]=EX$3)),SUMPRODUCT(Data_Nhập[Tổng Nhập-NX]*(Data_Nhập[Year]=EX$1)*(Data_Nhập[Month]=EX$2)*(Data_Nhập[Main SKU name_GOM]=$A10)*(Data_Nhập[SKU name_NHẬP_GOM]=EX$3)))</f>
        <v>0</v>
      </c>
      <c r="EY10" s="24" cm="1">
        <f t="array" ref="EY10">IF(EY$2="FY",SUMPRODUCT(Data_Nhập[Tổng Nhập-NX]*(Data_Nhập[Year]=EY$1)*(Data_Nhập[Main SKU name_GOM]=$A10)*(Data_Nhập[SKU name_NHẬP_GOM]=EY$3)),SUMPRODUCT(Data_Nhập[Tổng Nhập-NX]*(Data_Nhập[Year]=EY$1)*(Data_Nhập[Month]=EY$2)*(Data_Nhập[Main SKU name_GOM]=$A10)*(Data_Nhập[SKU name_NHẬP_GOM]=EY$3)))</f>
        <v>0</v>
      </c>
      <c r="EZ10" s="24" cm="1">
        <f t="array" ref="EZ10">IF(EZ$2="FY",SUMPRODUCT(Data_Nhập[Tổng Nhập-NX]*(Data_Nhập[Year]=EZ$1)*(Data_Nhập[Main SKU name_GOM]=$A10)*(Data_Nhập[SKU name_NHẬP_GOM]=EZ$3)),SUMPRODUCT(Data_Nhập[Tổng Nhập-NX]*(Data_Nhập[Year]=EZ$1)*(Data_Nhập[Month]=EZ$2)*(Data_Nhập[Main SKU name_GOM]=$A10)*(Data_Nhập[SKU name_NHẬP_GOM]=EZ$3)))</f>
        <v>0</v>
      </c>
      <c r="FA10" s="24" cm="1">
        <f t="array" ref="FA10">IF(FA$2="FY",SUMPRODUCT(Data_Nhập[Tổng Nhập-NX]*(Data_Nhập[Year]=FA$1)*(Data_Nhập[Main SKU name_GOM]=$A10)*(Data_Nhập[SKU name_NHẬP_GOM]=FA$3)),SUMPRODUCT(Data_Nhập[Tổng Nhập-NX]*(Data_Nhập[Year]=FA$1)*(Data_Nhập[Month]=FA$2)*(Data_Nhập[Main SKU name_GOM]=$A10)*(Data_Nhập[SKU name_NHẬP_GOM]=FA$3)))</f>
        <v>0</v>
      </c>
      <c r="FB10" s="24" cm="1">
        <f t="array" ref="FB10">IF(FB$2="FY",SUMPRODUCT(Data_Nhập[Tổng Nhập-NX]*(Data_Nhập[Year]=FB$1)*(Data_Nhập[Main SKU name_GOM]=$A10)*(Data_Nhập[SKU name_NHẬP_GOM]=FB$3)),SUMPRODUCT(Data_Nhập[Tổng Nhập-NX]*(Data_Nhập[Year]=FB$1)*(Data_Nhập[Month]=FB$2)*(Data_Nhập[Main SKU name_GOM]=$A10)*(Data_Nhập[SKU name_NHẬP_GOM]=FB$3)))</f>
        <v>0</v>
      </c>
      <c r="FC10" s="24" cm="1">
        <f t="array" ref="FC10">IF(FC$2="FY",SUMPRODUCT(Data_Nhập[Tổng Nhập-NX]*(Data_Nhập[Year]=FC$1)*(Data_Nhập[Main SKU name_GOM]=$A10)*(Data_Nhập[SKU name_NHẬP_GOM]=FC$3)),SUMPRODUCT(Data_Nhập[Tổng Nhập-NX]*(Data_Nhập[Year]=FC$1)*(Data_Nhập[Month]=FC$2)*(Data_Nhập[Main SKU name_GOM]=$A10)*(Data_Nhập[SKU name_NHẬP_GOM]=FC$3)))</f>
        <v>0</v>
      </c>
      <c r="FD10" s="24" cm="1">
        <f t="array" ref="FD10">IF(FD$2="FY",SUMPRODUCT(Data_Nhập[Tổng Nhập-NX]*(Data_Nhập[Year]=FD$1)*(Data_Nhập[Main SKU name_GOM]=$A10)*(Data_Nhập[SKU name_NHẬP_GOM]=FD$3)),SUMPRODUCT(Data_Nhập[Tổng Nhập-NX]*(Data_Nhập[Year]=FD$1)*(Data_Nhập[Month]=FD$2)*(Data_Nhập[Main SKU name_GOM]=$A10)*(Data_Nhập[SKU name_NHẬP_GOM]=FD$3)))</f>
        <v>0</v>
      </c>
      <c r="FE10" s="24" cm="1">
        <f t="array" ref="FE10">IF(FE$2="FY",SUMPRODUCT(Data_Nhập[Tổng Nhập-NX]*(Data_Nhập[Year]=FE$1)*(Data_Nhập[Main SKU name_GOM]=$A10)*(Data_Nhập[SKU name_NHẬP_GOM]=FE$3)),SUMPRODUCT(Data_Nhập[Tổng Nhập-NX]*(Data_Nhập[Year]=FE$1)*(Data_Nhập[Month]=FE$2)*(Data_Nhập[Main SKU name_GOM]=$A10)*(Data_Nhập[SKU name_NHẬP_GOM]=FE$3)))</f>
        <v>0</v>
      </c>
      <c r="FF10" s="24" cm="1">
        <f t="array" ref="FF10">IF(FF$2="FY",SUMPRODUCT(Data_Nhập[Tổng Nhập-NX]*(Data_Nhập[Year]=FF$1)*(Data_Nhập[Main SKU name_GOM]=$A10)*(Data_Nhập[SKU name_NHẬP_GOM]=FF$3)),SUMPRODUCT(Data_Nhập[Tổng Nhập-NX]*(Data_Nhập[Year]=FF$1)*(Data_Nhập[Month]=FF$2)*(Data_Nhập[Main SKU name_GOM]=$A10)*(Data_Nhập[SKU name_NHẬP_GOM]=FF$3)))</f>
        <v>0</v>
      </c>
      <c r="FG10" s="24" cm="1">
        <f t="array" ref="FG10">IF(FG$2="FY",SUMPRODUCT(Data_Nhập[Tổng Nhập-NX]*(Data_Nhập[Year]=FG$1)*(Data_Nhập[Main SKU name_GOM]=$A10)*(Data_Nhập[SKU name_NHẬP_GOM]=FG$3)),SUMPRODUCT(Data_Nhập[Tổng Nhập-NX]*(Data_Nhập[Year]=FG$1)*(Data_Nhập[Month]=FG$2)*(Data_Nhập[Main SKU name_GOM]=$A10)*(Data_Nhập[SKU name_NHẬP_GOM]=FG$3)))</f>
        <v>0</v>
      </c>
      <c r="FH10" s="25">
        <f t="shared" si="20"/>
        <v>0</v>
      </c>
      <c r="FJ10" s="25" cm="1">
        <f t="array" ref="FJ10">IF(FJ$2="FY",SUMPRODUCT(Data_Xuất[Xuất-NX]*(Data_Xuất[Year]=FJ$1)*(Data_Xuất[Main SKU name_GOM]=$A10)),SUMPRODUCT(Data_Xuất[Xuất-NX]*(Data_Xuất[Year]=FJ$1)*(Data_Xuất[Main SKU name_GOM]=$A10)*(Data_Xuất[Month]=FJ$2)))</f>
        <v>8310</v>
      </c>
      <c r="FK10" s="24" cm="1">
        <f t="array" ref="FK10">IF(FK$2="FY",SUMPRODUCT(Data_Nhập[Tổng Nhập-NX]*(Data_Nhập[Year]=FK$1)*(Data_Nhập[Main SKU name_GOM]=$A10)*(Data_Nhập[SKU name_NHẬP_GOM]=FK$3)),SUMPRODUCT(Data_Nhập[Tổng Nhập-NX]*(Data_Nhập[Year]=FK$1)*(Data_Nhập[Month]=FK$2)*(Data_Nhập[Main SKU name_GOM]=$A10)*(Data_Nhập[SKU name_NHẬP_GOM]=FK$3)))</f>
        <v>0</v>
      </c>
      <c r="FL10" s="24" cm="1">
        <f t="array" ref="FL10">IF(FL$2="FY",SUMPRODUCT(Data_Nhập[Tổng Nhập-NX]*(Data_Nhập[Year]=FL$1)*(Data_Nhập[Main SKU name_GOM]=$A10)*(Data_Nhập[SKU name_NHẬP_GOM]=FL$3)),SUMPRODUCT(Data_Nhập[Tổng Nhập-NX]*(Data_Nhập[Year]=FL$1)*(Data_Nhập[Month]=FL$2)*(Data_Nhập[Main SKU name_GOM]=$A10)*(Data_Nhập[SKU name_NHẬP_GOM]=FL$3)))</f>
        <v>0</v>
      </c>
      <c r="FM10" s="24" cm="1">
        <f t="array" ref="FM10">IF(FM$2="FY",SUMPRODUCT(Data_Nhập[Tổng Nhập-NX]*(Data_Nhập[Year]=FM$1)*(Data_Nhập[Main SKU name_GOM]=$A10)*(Data_Nhập[SKU name_NHẬP_GOM]=FM$3)),SUMPRODUCT(Data_Nhập[Tổng Nhập-NX]*(Data_Nhập[Year]=FM$1)*(Data_Nhập[Month]=FM$2)*(Data_Nhập[Main SKU name_GOM]=$A10)*(Data_Nhập[SKU name_NHẬP_GOM]=FM$3)))</f>
        <v>0</v>
      </c>
      <c r="FN10" s="24" cm="1">
        <f t="array" ref="FN10">IF(FN$2="FY",SUMPRODUCT(Data_Nhập[Tổng Nhập-NX]*(Data_Nhập[Year]=FN$1)*(Data_Nhập[Main SKU name_GOM]=$A10)*(Data_Nhập[SKU name_NHẬP_GOM]=FN$3)),SUMPRODUCT(Data_Nhập[Tổng Nhập-NX]*(Data_Nhập[Year]=FN$1)*(Data_Nhập[Month]=FN$2)*(Data_Nhập[Main SKU name_GOM]=$A10)*(Data_Nhập[SKU name_NHẬP_GOM]=FN$3)))</f>
        <v>0</v>
      </c>
      <c r="FO10" s="24" cm="1">
        <f t="array" ref="FO10">IF(FO$2="FY",SUMPRODUCT(Data_Nhập[Tổng Nhập-NX]*(Data_Nhập[Year]=FO$1)*(Data_Nhập[Main SKU name_GOM]=$A10)*(Data_Nhập[SKU name_NHẬP_GOM]=FO$3)),SUMPRODUCT(Data_Nhập[Tổng Nhập-NX]*(Data_Nhập[Year]=FO$1)*(Data_Nhập[Month]=FO$2)*(Data_Nhập[Main SKU name_GOM]=$A10)*(Data_Nhập[SKU name_NHẬP_GOM]=FO$3)))</f>
        <v>0</v>
      </c>
      <c r="FP10" s="24" cm="1">
        <f t="array" ref="FP10">IF(FP$2="FY",SUMPRODUCT(Data_Nhập[Tổng Nhập-NX]*(Data_Nhập[Year]=FP$1)*(Data_Nhập[Main SKU name_GOM]=$A10)*(Data_Nhập[SKU name_NHẬP_GOM]=FP$3)),SUMPRODUCT(Data_Nhập[Tổng Nhập-NX]*(Data_Nhập[Year]=FP$1)*(Data_Nhập[Month]=FP$2)*(Data_Nhập[Main SKU name_GOM]=$A10)*(Data_Nhập[SKU name_NHẬP_GOM]=FP$3)))</f>
        <v>2200</v>
      </c>
      <c r="FQ10" s="24" cm="1">
        <f t="array" ref="FQ10">IF(FQ$2="FY",SUMPRODUCT(Data_Nhập[Tổng Nhập-NX]*(Data_Nhập[Year]=FQ$1)*(Data_Nhập[Main SKU name_GOM]=$A10)*(Data_Nhập[SKU name_NHẬP_GOM]=FQ$3)),SUMPRODUCT(Data_Nhập[Tổng Nhập-NX]*(Data_Nhập[Year]=FQ$1)*(Data_Nhập[Month]=FQ$2)*(Data_Nhập[Main SKU name_GOM]=$A10)*(Data_Nhập[SKU name_NHẬP_GOM]=FQ$3)))</f>
        <v>5450</v>
      </c>
      <c r="FR10" s="24" cm="1">
        <f t="array" ref="FR10">IF(FR$2="FY",SUMPRODUCT(Data_Nhập[Tổng Nhập-NX]*(Data_Nhập[Year]=FR$1)*(Data_Nhập[Main SKU name_GOM]=$A10)*(Data_Nhập[SKU name_NHẬP_GOM]=FR$3)),SUMPRODUCT(Data_Nhập[Tổng Nhập-NX]*(Data_Nhập[Year]=FR$1)*(Data_Nhập[Month]=FR$2)*(Data_Nhập[Main SKU name_GOM]=$A10)*(Data_Nhập[SKU name_NHẬP_GOM]=FR$3)))</f>
        <v>0</v>
      </c>
      <c r="FS10" s="24" cm="1">
        <f t="array" ref="FS10">IF(FS$2="FY",SUMPRODUCT(Data_Nhập[Tổng Nhập-NX]*(Data_Nhập[Year]=FS$1)*(Data_Nhập[Main SKU name_GOM]=$A10)*(Data_Nhập[SKU name_NHẬP_GOM]=FS$3)),SUMPRODUCT(Data_Nhập[Tổng Nhập-NX]*(Data_Nhập[Year]=FS$1)*(Data_Nhập[Month]=FS$2)*(Data_Nhập[Main SKU name_GOM]=$A10)*(Data_Nhập[SKU name_NHẬP_GOM]=FS$3)))</f>
        <v>0</v>
      </c>
      <c r="FT10" s="24" cm="1">
        <f t="array" ref="FT10">IF(FT$2="FY",SUMPRODUCT(Data_Nhập[Tổng Nhập-NX]*(Data_Nhập[Year]=FT$1)*(Data_Nhập[Main SKU name_GOM]=$A10)*(Data_Nhập[SKU name_NHẬP_GOM]=FT$3)),SUMPRODUCT(Data_Nhập[Tổng Nhập-NX]*(Data_Nhập[Year]=FT$1)*(Data_Nhập[Month]=FT$2)*(Data_Nhập[Main SKU name_GOM]=$A10)*(Data_Nhập[SKU name_NHẬP_GOM]=FT$3)))</f>
        <v>0</v>
      </c>
      <c r="FU10" s="24" cm="1">
        <f t="array" ref="FU10">IF(FU$2="FY",SUMPRODUCT(Data_Nhập[Tổng Nhập-NX]*(Data_Nhập[Year]=FU$1)*(Data_Nhập[Main SKU name_GOM]=$A10)*(Data_Nhập[SKU name_NHẬP_GOM]=FU$3)),SUMPRODUCT(Data_Nhập[Tổng Nhập-NX]*(Data_Nhập[Year]=FU$1)*(Data_Nhập[Month]=FU$2)*(Data_Nhập[Main SKU name_GOM]=$A10)*(Data_Nhập[SKU name_NHẬP_GOM]=FU$3)))</f>
        <v>0</v>
      </c>
      <c r="FV10" s="24" cm="1">
        <f t="array" ref="FV10">IF(FV$2="FY",SUMPRODUCT(Data_Nhập[Tổng Nhập-NX]*(Data_Nhập[Year]=FV$1)*(Data_Nhập[Main SKU name_GOM]=$A10)*(Data_Nhập[SKU name_NHẬP_GOM]=FV$3)),SUMPRODUCT(Data_Nhập[Tổng Nhập-NX]*(Data_Nhập[Year]=FV$1)*(Data_Nhập[Month]=FV$2)*(Data_Nhập[Main SKU name_GOM]=$A10)*(Data_Nhập[SKU name_NHẬP_GOM]=FV$3)))</f>
        <v>0</v>
      </c>
      <c r="FW10" s="24" cm="1">
        <f t="array" ref="FW10">IF(FW$2="FY",SUMPRODUCT(Data_Nhập[Tổng Nhập-NX]*(Data_Nhập[Year]=FW$1)*(Data_Nhập[Main SKU name_GOM]=$A10)*(Data_Nhập[SKU name_NHẬP_GOM]=FW$3)),SUMPRODUCT(Data_Nhập[Tổng Nhập-NX]*(Data_Nhập[Year]=FW$1)*(Data_Nhập[Month]=FW$2)*(Data_Nhập[Main SKU name_GOM]=$A10)*(Data_Nhập[SKU name_NHẬP_GOM]=FW$3)))</f>
        <v>0</v>
      </c>
      <c r="FX10" s="24" cm="1">
        <f t="array" ref="FX10">IF(FX$2="FY",SUMPRODUCT(Data_Nhập[Tổng Nhập-NX]*(Data_Nhập[Year]=FX$1)*(Data_Nhập[Main SKU name_GOM]=$A10)*(Data_Nhập[SKU name_NHẬP_GOM]=FX$3)),SUMPRODUCT(Data_Nhập[Tổng Nhập-NX]*(Data_Nhập[Year]=FX$1)*(Data_Nhập[Month]=FX$2)*(Data_Nhập[Main SKU name_GOM]=$A10)*(Data_Nhập[SKU name_NHẬP_GOM]=FX$3)))</f>
        <v>660</v>
      </c>
      <c r="FY10" s="24" cm="1">
        <f t="array" ref="FY10">IF(FY$2="FY",SUMPRODUCT(Data_Nhập[Tổng Nhập-NX]*(Data_Nhập[Year]=FY$1)*(Data_Nhập[Main SKU name_GOM]=$A10)*(Data_Nhập[SKU name_NHẬP_GOM]=FY$3)),SUMPRODUCT(Data_Nhập[Tổng Nhập-NX]*(Data_Nhập[Year]=FY$1)*(Data_Nhập[Month]=FY$2)*(Data_Nhập[Main SKU name_GOM]=$A10)*(Data_Nhập[SKU name_NHẬP_GOM]=FY$3)))</f>
        <v>0</v>
      </c>
      <c r="FZ10" s="25">
        <f t="shared" si="21"/>
        <v>8310</v>
      </c>
      <c r="GB10" s="25" cm="1">
        <f t="array" ref="GB10">IF(GB$2="FY",SUMPRODUCT(Data_Xuất[Xuất-NX]*(Data_Xuất[Year]=GB$1)*(Data_Xuất[Main SKU name_GOM]=$A10)),SUMPRODUCT(Data_Xuất[Xuất-NX]*(Data_Xuất[Year]=GB$1)*(Data_Xuất[Main SKU name_GOM]=$A10)*(Data_Xuất[Month]=GB$2)))</f>
        <v>0</v>
      </c>
      <c r="GC10" s="24" cm="1">
        <f t="array" ref="GC10">IF(GC$2="FY",SUMPRODUCT(Data_Nhập[Tổng Nhập-NX]*(Data_Nhập[Year]=GC$1)*(Data_Nhập[Main SKU name_GOM]=$A10)*(Data_Nhập[SKU name_NHẬP_GOM]=GC$3)),SUMPRODUCT(Data_Nhập[Tổng Nhập-NX]*(Data_Nhập[Year]=GC$1)*(Data_Nhập[Month]=GC$2)*(Data_Nhập[Main SKU name_GOM]=$A10)*(Data_Nhập[SKU name_NHẬP_GOM]=GC$3)))</f>
        <v>0</v>
      </c>
      <c r="GD10" s="24" cm="1">
        <f t="array" ref="GD10">IF(GD$2="FY",SUMPRODUCT(Data_Nhập[Tổng Nhập-NX]*(Data_Nhập[Year]=GD$1)*(Data_Nhập[Main SKU name_GOM]=$A10)*(Data_Nhập[SKU name_NHẬP_GOM]=GD$3)),SUMPRODUCT(Data_Nhập[Tổng Nhập-NX]*(Data_Nhập[Year]=GD$1)*(Data_Nhập[Month]=GD$2)*(Data_Nhập[Main SKU name_GOM]=$A10)*(Data_Nhập[SKU name_NHẬP_GOM]=GD$3)))</f>
        <v>0</v>
      </c>
      <c r="GE10" s="24" cm="1">
        <f t="array" ref="GE10">IF(GE$2="FY",SUMPRODUCT(Data_Nhập[Tổng Nhập-NX]*(Data_Nhập[Year]=GE$1)*(Data_Nhập[Main SKU name_GOM]=$A10)*(Data_Nhập[SKU name_NHẬP_GOM]=GE$3)),SUMPRODUCT(Data_Nhập[Tổng Nhập-NX]*(Data_Nhập[Year]=GE$1)*(Data_Nhập[Month]=GE$2)*(Data_Nhập[Main SKU name_GOM]=$A10)*(Data_Nhập[SKU name_NHẬP_GOM]=GE$3)))</f>
        <v>0</v>
      </c>
      <c r="GF10" s="24" cm="1">
        <f t="array" ref="GF10">IF(GF$2="FY",SUMPRODUCT(Data_Nhập[Tổng Nhập-NX]*(Data_Nhập[Year]=GF$1)*(Data_Nhập[Main SKU name_GOM]=$A10)*(Data_Nhập[SKU name_NHẬP_GOM]=GF$3)),SUMPRODUCT(Data_Nhập[Tổng Nhập-NX]*(Data_Nhập[Year]=GF$1)*(Data_Nhập[Month]=GF$2)*(Data_Nhập[Main SKU name_GOM]=$A10)*(Data_Nhập[SKU name_NHẬP_GOM]=GF$3)))</f>
        <v>0</v>
      </c>
      <c r="GG10" s="24" cm="1">
        <f t="array" ref="GG10">IF(GG$2="FY",SUMPRODUCT(Data_Nhập[Tổng Nhập-NX]*(Data_Nhập[Year]=GG$1)*(Data_Nhập[Main SKU name_GOM]=$A10)*(Data_Nhập[SKU name_NHẬP_GOM]=GG$3)),SUMPRODUCT(Data_Nhập[Tổng Nhập-NX]*(Data_Nhập[Year]=GG$1)*(Data_Nhập[Month]=GG$2)*(Data_Nhập[Main SKU name_GOM]=$A10)*(Data_Nhập[SKU name_NHẬP_GOM]=GG$3)))</f>
        <v>0</v>
      </c>
      <c r="GH10" s="24" cm="1">
        <f t="array" ref="GH10">IF(GH$2="FY",SUMPRODUCT(Data_Nhập[Tổng Nhập-NX]*(Data_Nhập[Year]=GH$1)*(Data_Nhập[Main SKU name_GOM]=$A10)*(Data_Nhập[SKU name_NHẬP_GOM]=GH$3)),SUMPRODUCT(Data_Nhập[Tổng Nhập-NX]*(Data_Nhập[Year]=GH$1)*(Data_Nhập[Month]=GH$2)*(Data_Nhập[Main SKU name_GOM]=$A10)*(Data_Nhập[SKU name_NHẬP_GOM]=GH$3)))</f>
        <v>0</v>
      </c>
      <c r="GI10" s="24" cm="1">
        <f t="array" ref="GI10">IF(GI$2="FY",SUMPRODUCT(Data_Nhập[Tổng Nhập-NX]*(Data_Nhập[Year]=GI$1)*(Data_Nhập[Main SKU name_GOM]=$A10)*(Data_Nhập[SKU name_NHẬP_GOM]=GI$3)),SUMPRODUCT(Data_Nhập[Tổng Nhập-NX]*(Data_Nhập[Year]=GI$1)*(Data_Nhập[Month]=GI$2)*(Data_Nhập[Main SKU name_GOM]=$A10)*(Data_Nhập[SKU name_NHẬP_GOM]=GI$3)))</f>
        <v>0</v>
      </c>
      <c r="GJ10" s="24" cm="1">
        <f t="array" ref="GJ10">IF(GJ$2="FY",SUMPRODUCT(Data_Nhập[Tổng Nhập-NX]*(Data_Nhập[Year]=GJ$1)*(Data_Nhập[Main SKU name_GOM]=$A10)*(Data_Nhập[SKU name_NHẬP_GOM]=GJ$3)),SUMPRODUCT(Data_Nhập[Tổng Nhập-NX]*(Data_Nhập[Year]=GJ$1)*(Data_Nhập[Month]=GJ$2)*(Data_Nhập[Main SKU name_GOM]=$A10)*(Data_Nhập[SKU name_NHẬP_GOM]=GJ$3)))</f>
        <v>0</v>
      </c>
      <c r="GK10" s="24" cm="1">
        <f t="array" ref="GK10">IF(GK$2="FY",SUMPRODUCT(Data_Nhập[Tổng Nhập-NX]*(Data_Nhập[Year]=GK$1)*(Data_Nhập[Main SKU name_GOM]=$A10)*(Data_Nhập[SKU name_NHẬP_GOM]=GK$3)),SUMPRODUCT(Data_Nhập[Tổng Nhập-NX]*(Data_Nhập[Year]=GK$1)*(Data_Nhập[Month]=GK$2)*(Data_Nhập[Main SKU name_GOM]=$A10)*(Data_Nhập[SKU name_NHẬP_GOM]=GK$3)))</f>
        <v>0</v>
      </c>
      <c r="GL10" s="24" cm="1">
        <f t="array" ref="GL10">IF(GL$2="FY",SUMPRODUCT(Data_Nhập[Tổng Nhập-NX]*(Data_Nhập[Year]=GL$1)*(Data_Nhập[Main SKU name_GOM]=$A10)*(Data_Nhập[SKU name_NHẬP_GOM]=GL$3)),SUMPRODUCT(Data_Nhập[Tổng Nhập-NX]*(Data_Nhập[Year]=GL$1)*(Data_Nhập[Month]=GL$2)*(Data_Nhập[Main SKU name_GOM]=$A10)*(Data_Nhập[SKU name_NHẬP_GOM]=GL$3)))</f>
        <v>0</v>
      </c>
      <c r="GM10" s="24" cm="1">
        <f t="array" ref="GM10">IF(GM$2="FY",SUMPRODUCT(Data_Nhập[Tổng Nhập-NX]*(Data_Nhập[Year]=GM$1)*(Data_Nhập[Main SKU name_GOM]=$A10)*(Data_Nhập[SKU name_NHẬP_GOM]=GM$3)),SUMPRODUCT(Data_Nhập[Tổng Nhập-NX]*(Data_Nhập[Year]=GM$1)*(Data_Nhập[Month]=GM$2)*(Data_Nhập[Main SKU name_GOM]=$A10)*(Data_Nhập[SKU name_NHẬP_GOM]=GM$3)))</f>
        <v>0</v>
      </c>
      <c r="GN10" s="24" cm="1">
        <f t="array" ref="GN10">IF(GN$2="FY",SUMPRODUCT(Data_Nhập[Tổng Nhập-NX]*(Data_Nhập[Year]=GN$1)*(Data_Nhập[Main SKU name_GOM]=$A10)*(Data_Nhập[SKU name_NHẬP_GOM]=GN$3)),SUMPRODUCT(Data_Nhập[Tổng Nhập-NX]*(Data_Nhập[Year]=GN$1)*(Data_Nhập[Month]=GN$2)*(Data_Nhập[Main SKU name_GOM]=$A10)*(Data_Nhập[SKU name_NHẬP_GOM]=GN$3)))</f>
        <v>0</v>
      </c>
      <c r="GO10" s="24" cm="1">
        <f t="array" ref="GO10">IF(GO$2="FY",SUMPRODUCT(Data_Nhập[Tổng Nhập-NX]*(Data_Nhập[Year]=GO$1)*(Data_Nhập[Main SKU name_GOM]=$A10)*(Data_Nhập[SKU name_NHẬP_GOM]=GO$3)),SUMPRODUCT(Data_Nhập[Tổng Nhập-NX]*(Data_Nhập[Year]=GO$1)*(Data_Nhập[Month]=GO$2)*(Data_Nhập[Main SKU name_GOM]=$A10)*(Data_Nhập[SKU name_NHẬP_GOM]=GO$3)))</f>
        <v>0</v>
      </c>
      <c r="GP10" s="24" cm="1">
        <f t="array" ref="GP10">IF(GP$2="FY",SUMPRODUCT(Data_Nhập[Tổng Nhập-NX]*(Data_Nhập[Year]=GP$1)*(Data_Nhập[Main SKU name_GOM]=$A10)*(Data_Nhập[SKU name_NHẬP_GOM]=GP$3)),SUMPRODUCT(Data_Nhập[Tổng Nhập-NX]*(Data_Nhập[Year]=GP$1)*(Data_Nhập[Month]=GP$2)*(Data_Nhập[Main SKU name_GOM]=$A10)*(Data_Nhập[SKU name_NHẬP_GOM]=GP$3)))</f>
        <v>0</v>
      </c>
      <c r="GQ10" s="24" cm="1">
        <f t="array" ref="GQ10">IF(GQ$2="FY",SUMPRODUCT(Data_Nhập[Tổng Nhập-NX]*(Data_Nhập[Year]=GQ$1)*(Data_Nhập[Main SKU name_GOM]=$A10)*(Data_Nhập[SKU name_NHẬP_GOM]=GQ$3)),SUMPRODUCT(Data_Nhập[Tổng Nhập-NX]*(Data_Nhập[Year]=GQ$1)*(Data_Nhập[Month]=GQ$2)*(Data_Nhập[Main SKU name_GOM]=$A10)*(Data_Nhập[SKU name_NHẬP_GOM]=GQ$3)))</f>
        <v>0</v>
      </c>
      <c r="GR10" s="25">
        <f t="shared" si="22"/>
        <v>0</v>
      </c>
      <c r="GT10" s="25" cm="1">
        <f t="array" ref="GT10">IF(GT$2="FY",SUMPRODUCT(Data_Xuất[Xuất-NX]*(Data_Xuất[Year]=GT$1)*(Data_Xuất[Main SKU name_GOM]=$A10)),SUMPRODUCT(Data_Xuất[Xuất-NX]*(Data_Xuất[Year]=GT$1)*(Data_Xuất[Main SKU name_GOM]=$A10)*(Data_Xuất[Month]=GT$2)))</f>
        <v>0</v>
      </c>
      <c r="GU10" s="24" cm="1">
        <f t="array" ref="GU10">IF(GU$2="FY",SUMPRODUCT(Data_Nhập[Tổng Nhập-NX]*(Data_Nhập[Year]=GU$1)*(Data_Nhập[Main SKU name_GOM]=$A10)*(Data_Nhập[SKU name_NHẬP_GOM]=GU$3)),SUMPRODUCT(Data_Nhập[Tổng Nhập-NX]*(Data_Nhập[Year]=GU$1)*(Data_Nhập[Month]=GU$2)*(Data_Nhập[Main SKU name_GOM]=$A10)*(Data_Nhập[SKU name_NHẬP_GOM]=GU$3)))</f>
        <v>0</v>
      </c>
      <c r="GV10" s="24" cm="1">
        <f t="array" ref="GV10">IF(GV$2="FY",SUMPRODUCT(Data_Nhập[Tổng Nhập-NX]*(Data_Nhập[Year]=GV$1)*(Data_Nhập[Main SKU name_GOM]=$A10)*(Data_Nhập[SKU name_NHẬP_GOM]=GV$3)),SUMPRODUCT(Data_Nhập[Tổng Nhập-NX]*(Data_Nhập[Year]=GV$1)*(Data_Nhập[Month]=GV$2)*(Data_Nhập[Main SKU name_GOM]=$A10)*(Data_Nhập[SKU name_NHẬP_GOM]=GV$3)))</f>
        <v>0</v>
      </c>
      <c r="GW10" s="24" cm="1">
        <f t="array" ref="GW10">IF(GW$2="FY",SUMPRODUCT(Data_Nhập[Tổng Nhập-NX]*(Data_Nhập[Year]=GW$1)*(Data_Nhập[Main SKU name_GOM]=$A10)*(Data_Nhập[SKU name_NHẬP_GOM]=GW$3)),SUMPRODUCT(Data_Nhập[Tổng Nhập-NX]*(Data_Nhập[Year]=GW$1)*(Data_Nhập[Month]=GW$2)*(Data_Nhập[Main SKU name_GOM]=$A10)*(Data_Nhập[SKU name_NHẬP_GOM]=GW$3)))</f>
        <v>0</v>
      </c>
      <c r="GX10" s="24" cm="1">
        <f t="array" ref="GX10">IF(GX$2="FY",SUMPRODUCT(Data_Nhập[Tổng Nhập-NX]*(Data_Nhập[Year]=GX$1)*(Data_Nhập[Main SKU name_GOM]=$A10)*(Data_Nhập[SKU name_NHẬP_GOM]=GX$3)),SUMPRODUCT(Data_Nhập[Tổng Nhập-NX]*(Data_Nhập[Year]=GX$1)*(Data_Nhập[Month]=GX$2)*(Data_Nhập[Main SKU name_GOM]=$A10)*(Data_Nhập[SKU name_NHẬP_GOM]=GX$3)))</f>
        <v>0</v>
      </c>
      <c r="GY10" s="24" cm="1">
        <f t="array" ref="GY10">IF(GY$2="FY",SUMPRODUCT(Data_Nhập[Tổng Nhập-NX]*(Data_Nhập[Year]=GY$1)*(Data_Nhập[Main SKU name_GOM]=$A10)*(Data_Nhập[SKU name_NHẬP_GOM]=GY$3)),SUMPRODUCT(Data_Nhập[Tổng Nhập-NX]*(Data_Nhập[Year]=GY$1)*(Data_Nhập[Month]=GY$2)*(Data_Nhập[Main SKU name_GOM]=$A10)*(Data_Nhập[SKU name_NHẬP_GOM]=GY$3)))</f>
        <v>0</v>
      </c>
      <c r="GZ10" s="24" cm="1">
        <f t="array" ref="GZ10">IF(GZ$2="FY",SUMPRODUCT(Data_Nhập[Tổng Nhập-NX]*(Data_Nhập[Year]=GZ$1)*(Data_Nhập[Main SKU name_GOM]=$A10)*(Data_Nhập[SKU name_NHẬP_GOM]=GZ$3)),SUMPRODUCT(Data_Nhập[Tổng Nhập-NX]*(Data_Nhập[Year]=GZ$1)*(Data_Nhập[Month]=GZ$2)*(Data_Nhập[Main SKU name_GOM]=$A10)*(Data_Nhập[SKU name_NHẬP_GOM]=GZ$3)))</f>
        <v>0</v>
      </c>
      <c r="HA10" s="24" cm="1">
        <f t="array" ref="HA10">IF(HA$2="FY",SUMPRODUCT(Data_Nhập[Tổng Nhập-NX]*(Data_Nhập[Year]=HA$1)*(Data_Nhập[Main SKU name_GOM]=$A10)*(Data_Nhập[SKU name_NHẬP_GOM]=HA$3)),SUMPRODUCT(Data_Nhập[Tổng Nhập-NX]*(Data_Nhập[Year]=HA$1)*(Data_Nhập[Month]=HA$2)*(Data_Nhập[Main SKU name_GOM]=$A10)*(Data_Nhập[SKU name_NHẬP_GOM]=HA$3)))</f>
        <v>0</v>
      </c>
      <c r="HB10" s="24" cm="1">
        <f t="array" ref="HB10">IF(HB$2="FY",SUMPRODUCT(Data_Nhập[Tổng Nhập-NX]*(Data_Nhập[Year]=HB$1)*(Data_Nhập[Main SKU name_GOM]=$A10)*(Data_Nhập[SKU name_NHẬP_GOM]=HB$3)),SUMPRODUCT(Data_Nhập[Tổng Nhập-NX]*(Data_Nhập[Year]=HB$1)*(Data_Nhập[Month]=HB$2)*(Data_Nhập[Main SKU name_GOM]=$A10)*(Data_Nhập[SKU name_NHẬP_GOM]=HB$3)))</f>
        <v>0</v>
      </c>
      <c r="HC10" s="24" cm="1">
        <f t="array" ref="HC10">IF(HC$2="FY",SUMPRODUCT(Data_Nhập[Tổng Nhập-NX]*(Data_Nhập[Year]=HC$1)*(Data_Nhập[Main SKU name_GOM]=$A10)*(Data_Nhập[SKU name_NHẬP_GOM]=HC$3)),SUMPRODUCT(Data_Nhập[Tổng Nhập-NX]*(Data_Nhập[Year]=HC$1)*(Data_Nhập[Month]=HC$2)*(Data_Nhập[Main SKU name_GOM]=$A10)*(Data_Nhập[SKU name_NHẬP_GOM]=HC$3)))</f>
        <v>0</v>
      </c>
      <c r="HD10" s="24" cm="1">
        <f t="array" ref="HD10">IF(HD$2="FY",SUMPRODUCT(Data_Nhập[Tổng Nhập-NX]*(Data_Nhập[Year]=HD$1)*(Data_Nhập[Main SKU name_GOM]=$A10)*(Data_Nhập[SKU name_NHẬP_GOM]=HD$3)),SUMPRODUCT(Data_Nhập[Tổng Nhập-NX]*(Data_Nhập[Year]=HD$1)*(Data_Nhập[Month]=HD$2)*(Data_Nhập[Main SKU name_GOM]=$A10)*(Data_Nhập[SKU name_NHẬP_GOM]=HD$3)))</f>
        <v>0</v>
      </c>
      <c r="HE10" s="24" cm="1">
        <f t="array" ref="HE10">IF(HE$2="FY",SUMPRODUCT(Data_Nhập[Tổng Nhập-NX]*(Data_Nhập[Year]=HE$1)*(Data_Nhập[Main SKU name_GOM]=$A10)*(Data_Nhập[SKU name_NHẬP_GOM]=HE$3)),SUMPRODUCT(Data_Nhập[Tổng Nhập-NX]*(Data_Nhập[Year]=HE$1)*(Data_Nhập[Month]=HE$2)*(Data_Nhập[Main SKU name_GOM]=$A10)*(Data_Nhập[SKU name_NHẬP_GOM]=HE$3)))</f>
        <v>0</v>
      </c>
      <c r="HF10" s="24" cm="1">
        <f t="array" ref="HF10">IF(HF$2="FY",SUMPRODUCT(Data_Nhập[Tổng Nhập-NX]*(Data_Nhập[Year]=HF$1)*(Data_Nhập[Main SKU name_GOM]=$A10)*(Data_Nhập[SKU name_NHẬP_GOM]=HF$3)),SUMPRODUCT(Data_Nhập[Tổng Nhập-NX]*(Data_Nhập[Year]=HF$1)*(Data_Nhập[Month]=HF$2)*(Data_Nhập[Main SKU name_GOM]=$A10)*(Data_Nhập[SKU name_NHẬP_GOM]=HF$3)))</f>
        <v>0</v>
      </c>
      <c r="HG10" s="24" cm="1">
        <f t="array" ref="HG10">IF(HG$2="FY",SUMPRODUCT(Data_Nhập[Tổng Nhập-NX]*(Data_Nhập[Year]=HG$1)*(Data_Nhập[Main SKU name_GOM]=$A10)*(Data_Nhập[SKU name_NHẬP_GOM]=HG$3)),SUMPRODUCT(Data_Nhập[Tổng Nhập-NX]*(Data_Nhập[Year]=HG$1)*(Data_Nhập[Month]=HG$2)*(Data_Nhập[Main SKU name_GOM]=$A10)*(Data_Nhập[SKU name_NHẬP_GOM]=HG$3)))</f>
        <v>0</v>
      </c>
      <c r="HH10" s="24" cm="1">
        <f t="array" ref="HH10">IF(HH$2="FY",SUMPRODUCT(Data_Nhập[Tổng Nhập-NX]*(Data_Nhập[Year]=HH$1)*(Data_Nhập[Main SKU name_GOM]=$A10)*(Data_Nhập[SKU name_NHẬP_GOM]=HH$3)),SUMPRODUCT(Data_Nhập[Tổng Nhập-NX]*(Data_Nhập[Year]=HH$1)*(Data_Nhập[Month]=HH$2)*(Data_Nhập[Main SKU name_GOM]=$A10)*(Data_Nhập[SKU name_NHẬP_GOM]=HH$3)))</f>
        <v>0</v>
      </c>
      <c r="HI10" s="24" cm="1">
        <f t="array" ref="HI10">IF(HI$2="FY",SUMPRODUCT(Data_Nhập[Tổng Nhập-NX]*(Data_Nhập[Year]=HI$1)*(Data_Nhập[Main SKU name_GOM]=$A10)*(Data_Nhập[SKU name_NHẬP_GOM]=HI$3)),SUMPRODUCT(Data_Nhập[Tổng Nhập-NX]*(Data_Nhập[Year]=HI$1)*(Data_Nhập[Month]=HI$2)*(Data_Nhập[Main SKU name_GOM]=$A10)*(Data_Nhập[SKU name_NHẬP_GOM]=HI$3)))</f>
        <v>0</v>
      </c>
      <c r="HJ10" s="25">
        <f t="shared" si="23"/>
        <v>0</v>
      </c>
      <c r="HL10" s="25" cm="1">
        <f t="array" ref="HL10">IF(HL$2="FY",SUMPRODUCT(Data_Xuất[Xuất-NX]*(Data_Xuất[Year]=HL$1)*(Data_Xuất[Main SKU name_GOM]=$A10)),SUMPRODUCT(Data_Xuất[Xuất-NX]*(Data_Xuất[Year]=HL$1)*(Data_Xuất[Main SKU name_GOM]=$A10)*(Data_Xuất[Month]=HL$2)))</f>
        <v>3500</v>
      </c>
      <c r="HM10" s="24" cm="1">
        <f t="array" ref="HM10">IF(HM$2="FY",SUMPRODUCT(Data_Nhập[Tổng Nhập-NX]*(Data_Nhập[Year]=HM$1)*(Data_Nhập[Main SKU name_GOM]=$A10)*(Data_Nhập[SKU name_NHẬP_GOM]=HM$3)),SUMPRODUCT(Data_Nhập[Tổng Nhập-NX]*(Data_Nhập[Year]=HM$1)*(Data_Nhập[Month]=HM$2)*(Data_Nhập[Main SKU name_GOM]=$A10)*(Data_Nhập[SKU name_NHẬP_GOM]=HM$3)))</f>
        <v>0</v>
      </c>
      <c r="HN10" s="24" cm="1">
        <f t="array" ref="HN10">IF(HN$2="FY",SUMPRODUCT(Data_Nhập[Tổng Nhập-NX]*(Data_Nhập[Year]=HN$1)*(Data_Nhập[Main SKU name_GOM]=$A10)*(Data_Nhập[SKU name_NHẬP_GOM]=HN$3)),SUMPRODUCT(Data_Nhập[Tổng Nhập-NX]*(Data_Nhập[Year]=HN$1)*(Data_Nhập[Month]=HN$2)*(Data_Nhập[Main SKU name_GOM]=$A10)*(Data_Nhập[SKU name_NHẬP_GOM]=HN$3)))</f>
        <v>0</v>
      </c>
      <c r="HO10" s="24" cm="1">
        <f t="array" ref="HO10">IF(HO$2="FY",SUMPRODUCT(Data_Nhập[Tổng Nhập-NX]*(Data_Nhập[Year]=HO$1)*(Data_Nhập[Main SKU name_GOM]=$A10)*(Data_Nhập[SKU name_NHẬP_GOM]=HO$3)),SUMPRODUCT(Data_Nhập[Tổng Nhập-NX]*(Data_Nhập[Year]=HO$1)*(Data_Nhập[Month]=HO$2)*(Data_Nhập[Main SKU name_GOM]=$A10)*(Data_Nhập[SKU name_NHẬP_GOM]=HO$3)))</f>
        <v>0</v>
      </c>
      <c r="HP10" s="24" cm="1">
        <f t="array" ref="HP10">IF(HP$2="FY",SUMPRODUCT(Data_Nhập[Tổng Nhập-NX]*(Data_Nhập[Year]=HP$1)*(Data_Nhập[Main SKU name_GOM]=$A10)*(Data_Nhập[SKU name_NHẬP_GOM]=HP$3)),SUMPRODUCT(Data_Nhập[Tổng Nhập-NX]*(Data_Nhập[Year]=HP$1)*(Data_Nhập[Month]=HP$2)*(Data_Nhập[Main SKU name_GOM]=$A10)*(Data_Nhập[SKU name_NHẬP_GOM]=HP$3)))</f>
        <v>0</v>
      </c>
      <c r="HQ10" s="24" cm="1">
        <f t="array" ref="HQ10">IF(HQ$2="FY",SUMPRODUCT(Data_Nhập[Tổng Nhập-NX]*(Data_Nhập[Year]=HQ$1)*(Data_Nhập[Main SKU name_GOM]=$A10)*(Data_Nhập[SKU name_NHẬP_GOM]=HQ$3)),SUMPRODUCT(Data_Nhập[Tổng Nhập-NX]*(Data_Nhập[Year]=HQ$1)*(Data_Nhập[Month]=HQ$2)*(Data_Nhập[Main SKU name_GOM]=$A10)*(Data_Nhập[SKU name_NHẬP_GOM]=HQ$3)))</f>
        <v>0</v>
      </c>
      <c r="HR10" s="24" cm="1">
        <f t="array" ref="HR10">IF(HR$2="FY",SUMPRODUCT(Data_Nhập[Tổng Nhập-NX]*(Data_Nhập[Year]=HR$1)*(Data_Nhập[Main SKU name_GOM]=$A10)*(Data_Nhập[SKU name_NHẬP_GOM]=HR$3)),SUMPRODUCT(Data_Nhập[Tổng Nhập-NX]*(Data_Nhập[Year]=HR$1)*(Data_Nhập[Month]=HR$2)*(Data_Nhập[Main SKU name_GOM]=$A10)*(Data_Nhập[SKU name_NHẬP_GOM]=HR$3)))</f>
        <v>2430</v>
      </c>
      <c r="HS10" s="24" cm="1">
        <f t="array" ref="HS10">IF(HS$2="FY",SUMPRODUCT(Data_Nhập[Tổng Nhập-NX]*(Data_Nhập[Year]=HS$1)*(Data_Nhập[Main SKU name_GOM]=$A10)*(Data_Nhập[SKU name_NHẬP_GOM]=HS$3)),SUMPRODUCT(Data_Nhập[Tổng Nhập-NX]*(Data_Nhập[Year]=HS$1)*(Data_Nhập[Month]=HS$2)*(Data_Nhập[Main SKU name_GOM]=$A10)*(Data_Nhập[SKU name_NHẬP_GOM]=HS$3)))</f>
        <v>0</v>
      </c>
      <c r="HT10" s="24" cm="1">
        <f t="array" ref="HT10">IF(HT$2="FY",SUMPRODUCT(Data_Nhập[Tổng Nhập-NX]*(Data_Nhập[Year]=HT$1)*(Data_Nhập[Main SKU name_GOM]=$A10)*(Data_Nhập[SKU name_NHẬP_GOM]=HT$3)),SUMPRODUCT(Data_Nhập[Tổng Nhập-NX]*(Data_Nhập[Year]=HT$1)*(Data_Nhập[Month]=HT$2)*(Data_Nhập[Main SKU name_GOM]=$A10)*(Data_Nhập[SKU name_NHẬP_GOM]=HT$3)))</f>
        <v>0</v>
      </c>
      <c r="HU10" s="24" cm="1">
        <f t="array" ref="HU10">IF(HU$2="FY",SUMPRODUCT(Data_Nhập[Tổng Nhập-NX]*(Data_Nhập[Year]=HU$1)*(Data_Nhập[Main SKU name_GOM]=$A10)*(Data_Nhập[SKU name_NHẬP_GOM]=HU$3)),SUMPRODUCT(Data_Nhập[Tổng Nhập-NX]*(Data_Nhập[Year]=HU$1)*(Data_Nhập[Month]=HU$2)*(Data_Nhập[Main SKU name_GOM]=$A10)*(Data_Nhập[SKU name_NHẬP_GOM]=HU$3)))</f>
        <v>0</v>
      </c>
      <c r="HV10" s="24" cm="1">
        <f t="array" ref="HV10">IF(HV$2="FY",SUMPRODUCT(Data_Nhập[Tổng Nhập-NX]*(Data_Nhập[Year]=HV$1)*(Data_Nhập[Main SKU name_GOM]=$A10)*(Data_Nhập[SKU name_NHẬP_GOM]=HV$3)),SUMPRODUCT(Data_Nhập[Tổng Nhập-NX]*(Data_Nhập[Year]=HV$1)*(Data_Nhập[Month]=HV$2)*(Data_Nhập[Main SKU name_GOM]=$A10)*(Data_Nhập[SKU name_NHẬP_GOM]=HV$3)))</f>
        <v>0</v>
      </c>
      <c r="HW10" s="24" cm="1">
        <f t="array" ref="HW10">IF(HW$2="FY",SUMPRODUCT(Data_Nhập[Tổng Nhập-NX]*(Data_Nhập[Year]=HW$1)*(Data_Nhập[Main SKU name_GOM]=$A10)*(Data_Nhập[SKU name_NHẬP_GOM]=HW$3)),SUMPRODUCT(Data_Nhập[Tổng Nhập-NX]*(Data_Nhập[Year]=HW$1)*(Data_Nhập[Month]=HW$2)*(Data_Nhập[Main SKU name_GOM]=$A10)*(Data_Nhập[SKU name_NHẬP_GOM]=HW$3)))</f>
        <v>0</v>
      </c>
      <c r="HX10" s="24" cm="1">
        <f t="array" ref="HX10">IF(HX$2="FY",SUMPRODUCT(Data_Nhập[Tổng Nhập-NX]*(Data_Nhập[Year]=HX$1)*(Data_Nhập[Main SKU name_GOM]=$A10)*(Data_Nhập[SKU name_NHẬP_GOM]=HX$3)),SUMPRODUCT(Data_Nhập[Tổng Nhập-NX]*(Data_Nhập[Year]=HX$1)*(Data_Nhập[Month]=HX$2)*(Data_Nhập[Main SKU name_GOM]=$A10)*(Data_Nhập[SKU name_NHẬP_GOM]=HX$3)))</f>
        <v>0</v>
      </c>
      <c r="HY10" s="24" cm="1">
        <f t="array" ref="HY10">IF(HY$2="FY",SUMPRODUCT(Data_Nhập[Tổng Nhập-NX]*(Data_Nhập[Year]=HY$1)*(Data_Nhập[Main SKU name_GOM]=$A10)*(Data_Nhập[SKU name_NHẬP_GOM]=HY$3)),SUMPRODUCT(Data_Nhập[Tổng Nhập-NX]*(Data_Nhập[Year]=HY$1)*(Data_Nhập[Month]=HY$2)*(Data_Nhập[Main SKU name_GOM]=$A10)*(Data_Nhập[SKU name_NHẬP_GOM]=HY$3)))</f>
        <v>0</v>
      </c>
      <c r="HZ10" s="24" cm="1">
        <f t="array" ref="HZ10">IF(HZ$2="FY",SUMPRODUCT(Data_Nhập[Tổng Nhập-NX]*(Data_Nhập[Year]=HZ$1)*(Data_Nhập[Main SKU name_GOM]=$A10)*(Data_Nhập[SKU name_NHẬP_GOM]=HZ$3)),SUMPRODUCT(Data_Nhập[Tổng Nhập-NX]*(Data_Nhập[Year]=HZ$1)*(Data_Nhập[Month]=HZ$2)*(Data_Nhập[Main SKU name_GOM]=$A10)*(Data_Nhập[SKU name_NHẬP_GOM]=HZ$3)))</f>
        <v>1070</v>
      </c>
      <c r="IA10" s="24" cm="1">
        <f t="array" ref="IA10">IF(IA$2="FY",SUMPRODUCT(Data_Nhập[Tổng Nhập-NX]*(Data_Nhập[Year]=IA$1)*(Data_Nhập[Main SKU name_GOM]=$A10)*(Data_Nhập[SKU name_NHẬP_GOM]=IA$3)),SUMPRODUCT(Data_Nhập[Tổng Nhập-NX]*(Data_Nhập[Year]=IA$1)*(Data_Nhập[Month]=IA$2)*(Data_Nhập[Main SKU name_GOM]=$A10)*(Data_Nhập[SKU name_NHẬP_GOM]=IA$3)))</f>
        <v>0</v>
      </c>
      <c r="IB10" s="25">
        <f t="shared" si="24"/>
        <v>3500</v>
      </c>
    </row>
    <row r="11" spans="1:236" x14ac:dyDescent="0.35">
      <c r="A11" s="5" t="s">
        <v>147</v>
      </c>
      <c r="B11" s="22" t="s">
        <v>147</v>
      </c>
      <c r="D11" s="42" cm="1">
        <f t="array" ref="D11">IF(D$2="FY",SUMPRODUCT(Data_Xuất[Xuất-NX]*(Data_Xuất[Year]=D$1)*(Data_Xuất[Main SKU name_GOM]=$A11)),SUMPRODUCT(Data_Xuất[Xuất-NX]*(Data_Xuất[Year]=D$1)*(Data_Xuất[Main SKU name_GOM]=$A11)*Data_Xuất[Month]=D$2))</f>
        <v>1462720.9999999998</v>
      </c>
      <c r="E11" s="24" cm="1">
        <f t="array" ref="E11">IF(E$2="FY",SUMPRODUCT(Data_Nhập[Tổng Nhập-NX]*(Data_Nhập[Year]=E$1)*(Data_Nhập[Main SKU name_GOM]=$A11)*(Data_Nhập[SKU name_NHẬP_GOM]=E$3)),SUMPRODUCT(Data_Nhập[Tổng Nhập-NX]*(Data_Nhập[Year]=E$1)*(Data_Nhập[Month]=E$2)*(Data_Nhập[Main SKU name_GOM]=$A11)*(Data_Nhập[SKU name_NHẬP_GOM]=E$3)))</f>
        <v>0</v>
      </c>
      <c r="F11" s="24" cm="1">
        <f t="array" ref="F11">IF(F$2="FY",SUMPRODUCT(Data_Nhập[Tổng Nhập-NX]*(Data_Nhập[Year]=F$1)*(Data_Nhập[Main SKU name_GOM]=$A11)*(Data_Nhập[SKU name_NHẬP_GOM]=F$3)),SUMPRODUCT(Data_Nhập[Tổng Nhập-NX]*(Data_Nhập[Year]=F$1)*(Data_Nhập[Month]=F$2)*(Data_Nhập[Main SKU name_GOM]=$A11)*(Data_Nhập[SKU name_NHẬP_GOM]=F$3)))</f>
        <v>0</v>
      </c>
      <c r="G11" s="24" cm="1">
        <f t="array" ref="G11">IF(G$2="FY",SUMPRODUCT(Data_Nhập[Tổng Nhập-NX]*(Data_Nhập[Year]=G$1)*(Data_Nhập[Main SKU name_GOM]=$A11)*(Data_Nhập[SKU name_NHẬP_GOM]=G$3)),SUMPRODUCT(Data_Nhập[Tổng Nhập-NX]*(Data_Nhập[Year]=G$1)*(Data_Nhập[Month]=G$2)*(Data_Nhập[Main SKU name_GOM]=$A11)*(Data_Nhập[SKU name_NHẬP_GOM]=G$3)))</f>
        <v>0</v>
      </c>
      <c r="H11" s="24" cm="1">
        <f t="array" ref="H11">IF(H$2="FY",SUMPRODUCT(Data_Nhập[Tổng Nhập-NX]*(Data_Nhập[Year]=H$1)*(Data_Nhập[Main SKU name_GOM]=$A11)*(Data_Nhập[SKU name_NHẬP_GOM]=H$3)),SUMPRODUCT(Data_Nhập[Tổng Nhập-NX]*(Data_Nhập[Year]=H$1)*(Data_Nhập[Month]=H$2)*(Data_Nhập[Main SKU name_GOM]=$A11)*(Data_Nhập[SKU name_NHẬP_GOM]=H$3)))</f>
        <v>0</v>
      </c>
      <c r="I11" s="24" cm="1">
        <f t="array" ref="I11">IF(I$2="FY",SUMPRODUCT(Data_Nhập[Tổng Nhập-NX]*(Data_Nhập[Year]=I$1)*(Data_Nhập[Main SKU name_GOM]=$A11)*(Data_Nhập[SKU name_NHẬP_GOM]=I$3)),SUMPRODUCT(Data_Nhập[Tổng Nhập-NX]*(Data_Nhập[Year]=I$1)*(Data_Nhập[Month]=I$2)*(Data_Nhập[Main SKU name_GOM]=$A11)*(Data_Nhập[SKU name_NHẬP_GOM]=I$3)))</f>
        <v>0</v>
      </c>
      <c r="J11" s="24" cm="1">
        <f t="array" ref="J11">IF(J$2="FY",SUMPRODUCT(Data_Nhập[Tổng Nhập-NX]*(Data_Nhập[Year]=J$1)*(Data_Nhập[Main SKU name_GOM]=$A11)*(Data_Nhập[SKU name_NHẬP_GOM]=J$3)),SUMPRODUCT(Data_Nhập[Tổng Nhập-NX]*(Data_Nhập[Year]=J$1)*(Data_Nhập[Month]=J$2)*(Data_Nhập[Main SKU name_GOM]=$A11)*(Data_Nhập[SKU name_NHẬP_GOM]=J$3)))</f>
        <v>0</v>
      </c>
      <c r="K11" s="24" cm="1">
        <f t="array" ref="K11">IF(K$2="FY",SUMPRODUCT(Data_Nhập[Tổng Nhập-NX]*(Data_Nhập[Year]=K$1)*(Data_Nhập[Main SKU name_GOM]=$A11)*(Data_Nhập[SKU name_NHẬP_GOM]=K$3)),SUMPRODUCT(Data_Nhập[Tổng Nhập-NX]*(Data_Nhập[Year]=K$1)*(Data_Nhập[Month]=K$2)*(Data_Nhập[Main SKU name_GOM]=$A11)*(Data_Nhập[SKU name_NHẬP_GOM]=K$3)))</f>
        <v>1376722</v>
      </c>
      <c r="L11" s="24" cm="1">
        <f t="array" ref="L11">IF(L$2="FY",SUMPRODUCT(Data_Nhập[Tổng Nhập-NX]*(Data_Nhập[Year]=L$1)*(Data_Nhập[Main SKU name_GOM]=$A11)*(Data_Nhập[SKU name_NHẬP_GOM]=L$3)),SUMPRODUCT(Data_Nhập[Tổng Nhập-NX]*(Data_Nhập[Year]=L$1)*(Data_Nhập[Month]=L$2)*(Data_Nhập[Main SKU name_GOM]=$A11)*(Data_Nhập[SKU name_NHẬP_GOM]=L$3)))</f>
        <v>5500</v>
      </c>
      <c r="M11" s="24" cm="1">
        <f t="array" ref="M11">IF(M$2="FY",SUMPRODUCT(Data_Nhập[Tổng Nhập-NX]*(Data_Nhập[Year]=M$1)*(Data_Nhập[Main SKU name_GOM]=$A11)*(Data_Nhập[SKU name_NHẬP_GOM]=M$3)),SUMPRODUCT(Data_Nhập[Tổng Nhập-NX]*(Data_Nhập[Year]=M$1)*(Data_Nhập[Month]=M$2)*(Data_Nhập[Main SKU name_GOM]=$A11)*(Data_Nhập[SKU name_NHẬP_GOM]=M$3)))</f>
        <v>0</v>
      </c>
      <c r="N11" s="24" cm="1">
        <f t="array" ref="N11">IF(N$2="FY",SUMPRODUCT(Data_Nhập[Tổng Nhập-NX]*(Data_Nhập[Year]=N$1)*(Data_Nhập[Main SKU name_GOM]=$A11)*(Data_Nhập[SKU name_NHẬP_GOM]=N$3)),SUMPRODUCT(Data_Nhập[Tổng Nhập-NX]*(Data_Nhập[Year]=N$1)*(Data_Nhập[Month]=N$2)*(Data_Nhập[Main SKU name_GOM]=$A11)*(Data_Nhập[SKU name_NHẬP_GOM]=N$3)))</f>
        <v>0</v>
      </c>
      <c r="O11" s="24" cm="1">
        <f t="array" ref="O11">IF(O$2="FY",SUMPRODUCT(Data_Nhập[Tổng Nhập-NX]*(Data_Nhập[Year]=O$1)*(Data_Nhập[Main SKU name_GOM]=$A11)*(Data_Nhập[SKU name_NHẬP_GOM]=O$3)),SUMPRODUCT(Data_Nhập[Tổng Nhập-NX]*(Data_Nhập[Year]=O$1)*(Data_Nhập[Month]=O$2)*(Data_Nhập[Main SKU name_GOM]=$A11)*(Data_Nhập[SKU name_NHẬP_GOM]=O$3)))</f>
        <v>0</v>
      </c>
      <c r="P11" s="24" cm="1">
        <f t="array" ref="P11">IF(P$2="FY",SUMPRODUCT(Data_Nhập[Tổng Nhập-NX]*(Data_Nhập[Year]=P$1)*(Data_Nhập[Main SKU name_GOM]=$A11)*(Data_Nhập[SKU name_NHẬP_GOM]=P$3)),SUMPRODUCT(Data_Nhập[Tổng Nhập-NX]*(Data_Nhập[Year]=P$1)*(Data_Nhập[Month]=P$2)*(Data_Nhập[Main SKU name_GOM]=$A11)*(Data_Nhập[SKU name_NHẬP_GOM]=P$3)))</f>
        <v>0</v>
      </c>
      <c r="Q11" s="24" cm="1">
        <f t="array" ref="Q11">IF(Q$2="FY",SUMPRODUCT(Data_Nhập[Tổng Nhập-NX]*(Data_Nhập[Year]=Q$1)*(Data_Nhập[Main SKU name_GOM]=$A11)*(Data_Nhập[SKU name_NHẬP_GOM]=Q$3)),SUMPRODUCT(Data_Nhập[Tổng Nhập-NX]*(Data_Nhập[Year]=Q$1)*(Data_Nhập[Month]=Q$2)*(Data_Nhập[Main SKU name_GOM]=$A11)*(Data_Nhập[SKU name_NHẬP_GOM]=Q$3)))</f>
        <v>0</v>
      </c>
      <c r="R11" s="24" cm="1">
        <f t="array" ref="R11">IF(R$2="FY",SUMPRODUCT(Data_Nhập[Tổng Nhập-NX]*(Data_Nhập[Year]=R$1)*(Data_Nhập[Main SKU name_GOM]=$A11)*(Data_Nhập[SKU name_NHẬP_GOM]=R$3)),SUMPRODUCT(Data_Nhập[Tổng Nhập-NX]*(Data_Nhập[Year]=R$1)*(Data_Nhập[Month]=R$2)*(Data_Nhập[Main SKU name_GOM]=$A11)*(Data_Nhập[SKU name_NHẬP_GOM]=R$3)))</f>
        <v>78863</v>
      </c>
      <c r="S11" s="24" cm="1">
        <f t="array" ref="S11">IF(S$2="FY",SUMPRODUCT(Data_Nhập[Tổng Nhập-NX]*(Data_Nhập[Year]=S$1)*(Data_Nhập[Main SKU name_GOM]=$A11)*(Data_Nhập[SKU name_NHẬP_GOM]=S$3)),SUMPRODUCT(Data_Nhập[Tổng Nhập-NX]*(Data_Nhập[Year]=S$1)*(Data_Nhập[Month]=S$2)*(Data_Nhập[Main SKU name_GOM]=$A11)*(Data_Nhập[SKU name_NHẬP_GOM]=S$3)))</f>
        <v>0</v>
      </c>
      <c r="T11" s="25">
        <f t="shared" si="12"/>
        <v>1461085</v>
      </c>
      <c r="V11" s="25" cm="1">
        <f t="array" ref="V11">IF(V$2="FY",SUMPRODUCT(Data_Xuất[Xuất-NX]*(Data_Xuất[Year]=V$1)*(Data_Xuất[Main SKU name_GOM]=$A11)),SUMPRODUCT(Data_Xuất[Xuất-NX]*(Data_Xuất[Year]=V$1)*(Data_Xuất[Main SKU name_GOM]=$A11)*(Data_Xuất[Month]=V$2)))</f>
        <v>0</v>
      </c>
      <c r="W11" s="24" cm="1">
        <f t="array" ref="W11">IF(W$2="FY",SUMPRODUCT(Data_Nhập[Tổng Nhập-NX]*(Data_Nhập[Year]=W$1)*(Data_Nhập[Main SKU name_GOM]=$A11)*(Data_Nhập[SKU name_NHẬP_GOM]=W$3)),SUMPRODUCT(Data_Nhập[Tổng Nhập-NX]*(Data_Nhập[Year]=W$1)*(Data_Nhập[Month]=W$2)*(Data_Nhập[Main SKU name_GOM]=$A11)*(Data_Nhập[SKU name_NHẬP_GOM]=W$3)))</f>
        <v>0</v>
      </c>
      <c r="X11" s="24" cm="1">
        <f t="array" ref="X11">IF(X$2="FY",SUMPRODUCT(Data_Nhập[Tổng Nhập-NX]*(Data_Nhập[Year]=X$1)*(Data_Nhập[Main SKU name_GOM]=$A11)*(Data_Nhập[SKU name_NHẬP_GOM]=X$3)),SUMPRODUCT(Data_Nhập[Tổng Nhập-NX]*(Data_Nhập[Year]=X$1)*(Data_Nhập[Month]=X$2)*(Data_Nhập[Main SKU name_GOM]=$A11)*(Data_Nhập[SKU name_NHẬP_GOM]=X$3)))</f>
        <v>0</v>
      </c>
      <c r="Y11" s="24" cm="1">
        <f t="array" ref="Y11">IF(Y$2="FY",SUMPRODUCT(Data_Nhập[Tổng Nhập-NX]*(Data_Nhập[Year]=Y$1)*(Data_Nhập[Main SKU name_GOM]=$A11)*(Data_Nhập[SKU name_NHẬP_GOM]=Y$3)),SUMPRODUCT(Data_Nhập[Tổng Nhập-NX]*(Data_Nhập[Year]=Y$1)*(Data_Nhập[Month]=Y$2)*(Data_Nhập[Main SKU name_GOM]=$A11)*(Data_Nhập[SKU name_NHẬP_GOM]=Y$3)))</f>
        <v>0</v>
      </c>
      <c r="Z11" s="24" cm="1">
        <f t="array" ref="Z11">IF(Z$2="FY",SUMPRODUCT(Data_Nhập[Tổng Nhập-NX]*(Data_Nhập[Year]=Z$1)*(Data_Nhập[Main SKU name_GOM]=$A11)*(Data_Nhập[SKU name_NHẬP_GOM]=Z$3)),SUMPRODUCT(Data_Nhập[Tổng Nhập-NX]*(Data_Nhập[Year]=Z$1)*(Data_Nhập[Month]=Z$2)*(Data_Nhập[Main SKU name_GOM]=$A11)*(Data_Nhập[SKU name_NHẬP_GOM]=Z$3)))</f>
        <v>0</v>
      </c>
      <c r="AA11" s="24" cm="1">
        <f t="array" ref="AA11">IF(AA$2="FY",SUMPRODUCT(Data_Nhập[Tổng Nhập-NX]*(Data_Nhập[Year]=AA$1)*(Data_Nhập[Main SKU name_GOM]=$A11)*(Data_Nhập[SKU name_NHẬP_GOM]=AA$3)),SUMPRODUCT(Data_Nhập[Tổng Nhập-NX]*(Data_Nhập[Year]=AA$1)*(Data_Nhập[Month]=AA$2)*(Data_Nhập[Main SKU name_GOM]=$A11)*(Data_Nhập[SKU name_NHẬP_GOM]=AA$3)))</f>
        <v>0</v>
      </c>
      <c r="AB11" s="24" cm="1">
        <f t="array" ref="AB11">IF(AB$2="FY",SUMPRODUCT(Data_Nhập[Tổng Nhập-NX]*(Data_Nhập[Year]=AB$1)*(Data_Nhập[Main SKU name_GOM]=$A11)*(Data_Nhập[SKU name_NHẬP_GOM]=AB$3)),SUMPRODUCT(Data_Nhập[Tổng Nhập-NX]*(Data_Nhập[Year]=AB$1)*(Data_Nhập[Month]=AB$2)*(Data_Nhập[Main SKU name_GOM]=$A11)*(Data_Nhập[SKU name_NHẬP_GOM]=AB$3)))</f>
        <v>0</v>
      </c>
      <c r="AC11" s="24" cm="1">
        <f t="array" ref="AC11">IF(AC$2="FY",SUMPRODUCT(Data_Nhập[Tổng Nhập-NX]*(Data_Nhập[Year]=AC$1)*(Data_Nhập[Main SKU name_GOM]=$A11)*(Data_Nhập[SKU name_NHẬP_GOM]=AC$3)),SUMPRODUCT(Data_Nhập[Tổng Nhập-NX]*(Data_Nhập[Year]=AC$1)*(Data_Nhập[Month]=AC$2)*(Data_Nhập[Main SKU name_GOM]=$A11)*(Data_Nhập[SKU name_NHẬP_GOM]=AC$3)))</f>
        <v>0</v>
      </c>
      <c r="AD11" s="24" cm="1">
        <f t="array" ref="AD11">IF(AD$2="FY",SUMPRODUCT(Data_Nhập[Tổng Nhập-NX]*(Data_Nhập[Year]=AD$1)*(Data_Nhập[Main SKU name_GOM]=$A11)*(Data_Nhập[SKU name_NHẬP_GOM]=AD$3)),SUMPRODUCT(Data_Nhập[Tổng Nhập-NX]*(Data_Nhập[Year]=AD$1)*(Data_Nhập[Month]=AD$2)*(Data_Nhập[Main SKU name_GOM]=$A11)*(Data_Nhập[SKU name_NHẬP_GOM]=AD$3)))</f>
        <v>0</v>
      </c>
      <c r="AE11" s="24" cm="1">
        <f t="array" ref="AE11">IF(AE$2="FY",SUMPRODUCT(Data_Nhập[Tổng Nhập-NX]*(Data_Nhập[Year]=AE$1)*(Data_Nhập[Main SKU name_GOM]=$A11)*(Data_Nhập[SKU name_NHẬP_GOM]=AE$3)),SUMPRODUCT(Data_Nhập[Tổng Nhập-NX]*(Data_Nhập[Year]=AE$1)*(Data_Nhập[Month]=AE$2)*(Data_Nhập[Main SKU name_GOM]=$A11)*(Data_Nhập[SKU name_NHẬP_GOM]=AE$3)))</f>
        <v>0</v>
      </c>
      <c r="AF11" s="24" cm="1">
        <f t="array" ref="AF11">IF(AF$2="FY",SUMPRODUCT(Data_Nhập[Tổng Nhập-NX]*(Data_Nhập[Year]=AF$1)*(Data_Nhập[Main SKU name_GOM]=$A11)*(Data_Nhập[SKU name_NHẬP_GOM]=AF$3)),SUMPRODUCT(Data_Nhập[Tổng Nhập-NX]*(Data_Nhập[Year]=AF$1)*(Data_Nhập[Month]=AF$2)*(Data_Nhập[Main SKU name_GOM]=$A11)*(Data_Nhập[SKU name_NHẬP_GOM]=AF$3)))</f>
        <v>0</v>
      </c>
      <c r="AG11" s="24" cm="1">
        <f t="array" ref="AG11">IF(AG$2="FY",SUMPRODUCT(Data_Nhập[Tổng Nhập-NX]*(Data_Nhập[Year]=AG$1)*(Data_Nhập[Main SKU name_GOM]=$A11)*(Data_Nhập[SKU name_NHẬP_GOM]=AG$3)),SUMPRODUCT(Data_Nhập[Tổng Nhập-NX]*(Data_Nhập[Year]=AG$1)*(Data_Nhập[Month]=AG$2)*(Data_Nhập[Main SKU name_GOM]=$A11)*(Data_Nhập[SKU name_NHẬP_GOM]=AG$3)))</f>
        <v>0</v>
      </c>
      <c r="AH11" s="24" cm="1">
        <f t="array" ref="AH11">IF(AH$2="FY",SUMPRODUCT(Data_Nhập[Tổng Nhập-NX]*(Data_Nhập[Year]=AH$1)*(Data_Nhập[Main SKU name_GOM]=$A11)*(Data_Nhập[SKU name_NHẬP_GOM]=AH$3)),SUMPRODUCT(Data_Nhập[Tổng Nhập-NX]*(Data_Nhập[Year]=AH$1)*(Data_Nhập[Month]=AH$2)*(Data_Nhập[Main SKU name_GOM]=$A11)*(Data_Nhập[SKU name_NHẬP_GOM]=AH$3)))</f>
        <v>0</v>
      </c>
      <c r="AI11" s="24" cm="1">
        <f t="array" ref="AI11">IF(AI$2="FY",SUMPRODUCT(Data_Nhập[Tổng Nhập-NX]*(Data_Nhập[Year]=AI$1)*(Data_Nhập[Main SKU name_GOM]=$A11)*(Data_Nhập[SKU name_NHẬP_GOM]=AI$3)),SUMPRODUCT(Data_Nhập[Tổng Nhập-NX]*(Data_Nhập[Year]=AI$1)*(Data_Nhập[Month]=AI$2)*(Data_Nhập[Main SKU name_GOM]=$A11)*(Data_Nhập[SKU name_NHẬP_GOM]=AI$3)))</f>
        <v>0</v>
      </c>
      <c r="AJ11" s="24" cm="1">
        <f t="array" ref="AJ11">IF(AJ$2="FY",SUMPRODUCT(Data_Nhập[Tổng Nhập-NX]*(Data_Nhập[Year]=AJ$1)*(Data_Nhập[Main SKU name_GOM]=$A11)*(Data_Nhập[SKU name_NHẬP_GOM]=AJ$3)),SUMPRODUCT(Data_Nhập[Tổng Nhập-NX]*(Data_Nhập[Year]=AJ$1)*(Data_Nhập[Month]=AJ$2)*(Data_Nhập[Main SKU name_GOM]=$A11)*(Data_Nhập[SKU name_NHẬP_GOM]=AJ$3)))</f>
        <v>0</v>
      </c>
      <c r="AK11" s="24" cm="1">
        <f t="array" ref="AK11">IF(AK$2="FY",SUMPRODUCT(Data_Nhập[Tổng Nhập-NX]*(Data_Nhập[Year]=AK$1)*(Data_Nhập[Main SKU name_GOM]=$A11)*(Data_Nhập[SKU name_NHẬP_GOM]=AK$3)),SUMPRODUCT(Data_Nhập[Tổng Nhập-NX]*(Data_Nhập[Year]=AK$1)*(Data_Nhập[Month]=AK$2)*(Data_Nhập[Main SKU name_GOM]=$A11)*(Data_Nhập[SKU name_NHẬP_GOM]=AK$3)))</f>
        <v>0</v>
      </c>
      <c r="AL11" s="25">
        <f t="shared" si="13"/>
        <v>0</v>
      </c>
      <c r="AN11" s="25" cm="1">
        <f t="array" ref="AN11">IF(AN$2="FY",SUMPRODUCT(Data_Xuất[Xuất-NX]*(Data_Xuất[Year]=AN$1)*(Data_Xuất[Main SKU name_GOM]=$A11)),SUMPRODUCT(Data_Xuất[Xuất-NX]*(Data_Xuất[Year]=AN$1)*(Data_Xuất[Main SKU name_GOM]=$A11)*(Data_Xuất[Month]=AN$2)))</f>
        <v>2900</v>
      </c>
      <c r="AO11" s="24" cm="1">
        <f t="array" ref="AO11">IF(AO$2="FY",SUMPRODUCT(Data_Nhập[Tổng Nhập-NX]*(Data_Nhập[Year]=AO$1)*(Data_Nhập[Main SKU name_GOM]=$A11)*(Data_Nhập[SKU name_NHẬP_GOM]=AO$3)),SUMPRODUCT(Data_Nhập[Tổng Nhập-NX]*(Data_Nhập[Year]=AO$1)*(Data_Nhập[Month]=AO$2)*(Data_Nhập[Main SKU name_GOM]=$A11)*(Data_Nhập[SKU name_NHẬP_GOM]=AO$3)))</f>
        <v>0</v>
      </c>
      <c r="AP11" s="24" cm="1">
        <f t="array" ref="AP11">IF(AP$2="FY",SUMPRODUCT(Data_Nhập[Tổng Nhập-NX]*(Data_Nhập[Year]=AP$1)*(Data_Nhập[Main SKU name_GOM]=$A11)*(Data_Nhập[SKU name_NHẬP_GOM]=AP$3)),SUMPRODUCT(Data_Nhập[Tổng Nhập-NX]*(Data_Nhập[Year]=AP$1)*(Data_Nhập[Month]=AP$2)*(Data_Nhập[Main SKU name_GOM]=$A11)*(Data_Nhập[SKU name_NHẬP_GOM]=AP$3)))</f>
        <v>0</v>
      </c>
      <c r="AQ11" s="24" cm="1">
        <f t="array" ref="AQ11">IF(AQ$2="FY",SUMPRODUCT(Data_Nhập[Tổng Nhập-NX]*(Data_Nhập[Year]=AQ$1)*(Data_Nhập[Main SKU name_GOM]=$A11)*(Data_Nhập[SKU name_NHẬP_GOM]=AQ$3)),SUMPRODUCT(Data_Nhập[Tổng Nhập-NX]*(Data_Nhập[Year]=AQ$1)*(Data_Nhập[Month]=AQ$2)*(Data_Nhập[Main SKU name_GOM]=$A11)*(Data_Nhập[SKU name_NHẬP_GOM]=AQ$3)))</f>
        <v>0</v>
      </c>
      <c r="AR11" s="24" cm="1">
        <f t="array" ref="AR11">IF(AR$2="FY",SUMPRODUCT(Data_Nhập[Tổng Nhập-NX]*(Data_Nhập[Year]=AR$1)*(Data_Nhập[Main SKU name_GOM]=$A11)*(Data_Nhập[SKU name_NHẬP_GOM]=AR$3)),SUMPRODUCT(Data_Nhập[Tổng Nhập-NX]*(Data_Nhập[Year]=AR$1)*(Data_Nhập[Month]=AR$2)*(Data_Nhập[Main SKU name_GOM]=$A11)*(Data_Nhập[SKU name_NHẬP_GOM]=AR$3)))</f>
        <v>0</v>
      </c>
      <c r="AS11" s="24" cm="1">
        <f t="array" ref="AS11">IF(AS$2="FY",SUMPRODUCT(Data_Nhập[Tổng Nhập-NX]*(Data_Nhập[Year]=AS$1)*(Data_Nhập[Main SKU name_GOM]=$A11)*(Data_Nhập[SKU name_NHẬP_GOM]=AS$3)),SUMPRODUCT(Data_Nhập[Tổng Nhập-NX]*(Data_Nhập[Year]=AS$1)*(Data_Nhập[Month]=AS$2)*(Data_Nhập[Main SKU name_GOM]=$A11)*(Data_Nhập[SKU name_NHẬP_GOM]=AS$3)))</f>
        <v>0</v>
      </c>
      <c r="AT11" s="24" cm="1">
        <f t="array" ref="AT11">IF(AT$2="FY",SUMPRODUCT(Data_Nhập[Tổng Nhập-NX]*(Data_Nhập[Year]=AT$1)*(Data_Nhập[Main SKU name_GOM]=$A11)*(Data_Nhập[SKU name_NHẬP_GOM]=AT$3)),SUMPRODUCT(Data_Nhập[Tổng Nhập-NX]*(Data_Nhập[Year]=AT$1)*(Data_Nhập[Month]=AT$2)*(Data_Nhập[Main SKU name_GOM]=$A11)*(Data_Nhập[SKU name_NHẬP_GOM]=AT$3)))</f>
        <v>0</v>
      </c>
      <c r="AU11" s="24" cm="1">
        <f t="array" ref="AU11">IF(AU$2="FY",SUMPRODUCT(Data_Nhập[Tổng Nhập-NX]*(Data_Nhập[Year]=AU$1)*(Data_Nhập[Main SKU name_GOM]=$A11)*(Data_Nhập[SKU name_NHẬP_GOM]=AU$3)),SUMPRODUCT(Data_Nhập[Tổng Nhập-NX]*(Data_Nhập[Year]=AU$1)*(Data_Nhập[Month]=AU$2)*(Data_Nhập[Main SKU name_GOM]=$A11)*(Data_Nhập[SKU name_NHẬP_GOM]=AU$3)))</f>
        <v>1713</v>
      </c>
      <c r="AV11" s="24" cm="1">
        <f t="array" ref="AV11">IF(AV$2="FY",SUMPRODUCT(Data_Nhập[Tổng Nhập-NX]*(Data_Nhập[Year]=AV$1)*(Data_Nhập[Main SKU name_GOM]=$A11)*(Data_Nhập[SKU name_NHẬP_GOM]=AV$3)),SUMPRODUCT(Data_Nhập[Tổng Nhập-NX]*(Data_Nhập[Year]=AV$1)*(Data_Nhập[Month]=AV$2)*(Data_Nhập[Main SKU name_GOM]=$A11)*(Data_Nhập[SKU name_NHẬP_GOM]=AV$3)))</f>
        <v>0</v>
      </c>
      <c r="AW11" s="24" cm="1">
        <f t="array" ref="AW11">IF(AW$2="FY",SUMPRODUCT(Data_Nhập[Tổng Nhập-NX]*(Data_Nhập[Year]=AW$1)*(Data_Nhập[Main SKU name_GOM]=$A11)*(Data_Nhập[SKU name_NHẬP_GOM]=AW$3)),SUMPRODUCT(Data_Nhập[Tổng Nhập-NX]*(Data_Nhập[Year]=AW$1)*(Data_Nhập[Month]=AW$2)*(Data_Nhập[Main SKU name_GOM]=$A11)*(Data_Nhập[SKU name_NHẬP_GOM]=AW$3)))</f>
        <v>0</v>
      </c>
      <c r="AX11" s="24" cm="1">
        <f t="array" ref="AX11">IF(AX$2="FY",SUMPRODUCT(Data_Nhập[Tổng Nhập-NX]*(Data_Nhập[Year]=AX$1)*(Data_Nhập[Main SKU name_GOM]=$A11)*(Data_Nhập[SKU name_NHẬP_GOM]=AX$3)),SUMPRODUCT(Data_Nhập[Tổng Nhập-NX]*(Data_Nhập[Year]=AX$1)*(Data_Nhập[Month]=AX$2)*(Data_Nhập[Main SKU name_GOM]=$A11)*(Data_Nhập[SKU name_NHẬP_GOM]=AX$3)))</f>
        <v>0</v>
      </c>
      <c r="AY11" s="24" cm="1">
        <f t="array" ref="AY11">IF(AY$2="FY",SUMPRODUCT(Data_Nhập[Tổng Nhập-NX]*(Data_Nhập[Year]=AY$1)*(Data_Nhập[Main SKU name_GOM]=$A11)*(Data_Nhập[SKU name_NHẬP_GOM]=AY$3)),SUMPRODUCT(Data_Nhập[Tổng Nhập-NX]*(Data_Nhập[Year]=AY$1)*(Data_Nhập[Month]=AY$2)*(Data_Nhập[Main SKU name_GOM]=$A11)*(Data_Nhập[SKU name_NHẬP_GOM]=AY$3)))</f>
        <v>0</v>
      </c>
      <c r="AZ11" s="24" cm="1">
        <f t="array" ref="AZ11">IF(AZ$2="FY",SUMPRODUCT(Data_Nhập[Tổng Nhập-NX]*(Data_Nhập[Year]=AZ$1)*(Data_Nhập[Main SKU name_GOM]=$A11)*(Data_Nhập[SKU name_NHẬP_GOM]=AZ$3)),SUMPRODUCT(Data_Nhập[Tổng Nhập-NX]*(Data_Nhập[Year]=AZ$1)*(Data_Nhập[Month]=AZ$2)*(Data_Nhập[Main SKU name_GOM]=$A11)*(Data_Nhập[SKU name_NHẬP_GOM]=AZ$3)))</f>
        <v>0</v>
      </c>
      <c r="BA11" s="24" cm="1">
        <f t="array" ref="BA11">IF(BA$2="FY",SUMPRODUCT(Data_Nhập[Tổng Nhập-NX]*(Data_Nhập[Year]=BA$1)*(Data_Nhập[Main SKU name_GOM]=$A11)*(Data_Nhập[SKU name_NHẬP_GOM]=BA$3)),SUMPRODUCT(Data_Nhập[Tổng Nhập-NX]*(Data_Nhập[Year]=BA$1)*(Data_Nhập[Month]=BA$2)*(Data_Nhập[Main SKU name_GOM]=$A11)*(Data_Nhập[SKU name_NHẬP_GOM]=BA$3)))</f>
        <v>0</v>
      </c>
      <c r="BB11" s="24" cm="1">
        <f t="array" ref="BB11">IF(BB$2="FY",SUMPRODUCT(Data_Nhập[Tổng Nhập-NX]*(Data_Nhập[Year]=BB$1)*(Data_Nhập[Main SKU name_GOM]=$A11)*(Data_Nhập[SKU name_NHẬP_GOM]=BB$3)),SUMPRODUCT(Data_Nhập[Tổng Nhập-NX]*(Data_Nhập[Year]=BB$1)*(Data_Nhập[Month]=BB$2)*(Data_Nhập[Main SKU name_GOM]=$A11)*(Data_Nhập[SKU name_NHẬP_GOM]=BB$3)))</f>
        <v>1653</v>
      </c>
      <c r="BC11" s="24" cm="1">
        <f t="array" ref="BC11">IF(BC$2="FY",SUMPRODUCT(Data_Nhập[Tổng Nhập-NX]*(Data_Nhập[Year]=BC$1)*(Data_Nhập[Main SKU name_GOM]=$A11)*(Data_Nhập[SKU name_NHẬP_GOM]=BC$3)),SUMPRODUCT(Data_Nhập[Tổng Nhập-NX]*(Data_Nhập[Year]=BC$1)*(Data_Nhập[Month]=BC$2)*(Data_Nhập[Main SKU name_GOM]=$A11)*(Data_Nhập[SKU name_NHẬP_GOM]=BC$3)))</f>
        <v>0</v>
      </c>
      <c r="BD11" s="25">
        <f t="shared" si="14"/>
        <v>3366</v>
      </c>
      <c r="BF11" s="25" cm="1">
        <f t="array" ref="BF11">IF(BF$2="FY",SUMPRODUCT(Data_Xuất[Xuất-NX]*(Data_Xuất[Year]=BF$1)*(Data_Xuất[Main SKU name_GOM]=$A11)),SUMPRODUCT(Data_Xuất[Xuất-NX]*(Data_Xuất[Year]=BF$1)*(Data_Xuất[Main SKU name_GOM]=$A11)*(Data_Xuất[Month]=BF$2)))</f>
        <v>20462.000000000004</v>
      </c>
      <c r="BG11" s="24" cm="1">
        <f t="array" ref="BG11">IF(BG$2="FY",SUMPRODUCT(Data_Nhập[Tổng Nhập-NX]*(Data_Nhập[Year]=BG$1)*(Data_Nhập[Main SKU name_GOM]=$A11)*(Data_Nhập[SKU name_NHẬP_GOM]=BG$3)),SUMPRODUCT(Data_Nhập[Tổng Nhập-NX]*(Data_Nhập[Year]=BG$1)*(Data_Nhập[Month]=BG$2)*(Data_Nhập[Main SKU name_GOM]=$A11)*(Data_Nhập[SKU name_NHẬP_GOM]=BG$3)))</f>
        <v>0</v>
      </c>
      <c r="BH11" s="24" cm="1">
        <f t="array" ref="BH11">IF(BH$2="FY",SUMPRODUCT(Data_Nhập[Tổng Nhập-NX]*(Data_Nhập[Year]=BH$1)*(Data_Nhập[Main SKU name_GOM]=$A11)*(Data_Nhập[SKU name_NHẬP_GOM]=BH$3)),SUMPRODUCT(Data_Nhập[Tổng Nhập-NX]*(Data_Nhập[Year]=BH$1)*(Data_Nhập[Month]=BH$2)*(Data_Nhập[Main SKU name_GOM]=$A11)*(Data_Nhập[SKU name_NHẬP_GOM]=BH$3)))</f>
        <v>0</v>
      </c>
      <c r="BI11" s="24" cm="1">
        <f t="array" ref="BI11">IF(BI$2="FY",SUMPRODUCT(Data_Nhập[Tổng Nhập-NX]*(Data_Nhập[Year]=BI$1)*(Data_Nhập[Main SKU name_GOM]=$A11)*(Data_Nhập[SKU name_NHẬP_GOM]=BI$3)),SUMPRODUCT(Data_Nhập[Tổng Nhập-NX]*(Data_Nhập[Year]=BI$1)*(Data_Nhập[Month]=BI$2)*(Data_Nhập[Main SKU name_GOM]=$A11)*(Data_Nhập[SKU name_NHẬP_GOM]=BI$3)))</f>
        <v>0</v>
      </c>
      <c r="BJ11" s="24" cm="1">
        <f t="array" ref="BJ11">IF(BJ$2="FY",SUMPRODUCT(Data_Nhập[Tổng Nhập-NX]*(Data_Nhập[Year]=BJ$1)*(Data_Nhập[Main SKU name_GOM]=$A11)*(Data_Nhập[SKU name_NHẬP_GOM]=BJ$3)),SUMPRODUCT(Data_Nhập[Tổng Nhập-NX]*(Data_Nhập[Year]=BJ$1)*(Data_Nhập[Month]=BJ$2)*(Data_Nhập[Main SKU name_GOM]=$A11)*(Data_Nhập[SKU name_NHẬP_GOM]=BJ$3)))</f>
        <v>0</v>
      </c>
      <c r="BK11" s="24" cm="1">
        <f t="array" ref="BK11">IF(BK$2="FY",SUMPRODUCT(Data_Nhập[Tổng Nhập-NX]*(Data_Nhập[Year]=BK$1)*(Data_Nhập[Main SKU name_GOM]=$A11)*(Data_Nhập[SKU name_NHẬP_GOM]=BK$3)),SUMPRODUCT(Data_Nhập[Tổng Nhập-NX]*(Data_Nhập[Year]=BK$1)*(Data_Nhập[Month]=BK$2)*(Data_Nhập[Main SKU name_GOM]=$A11)*(Data_Nhập[SKU name_NHẬP_GOM]=BK$3)))</f>
        <v>0</v>
      </c>
      <c r="BL11" s="24" cm="1">
        <f t="array" ref="BL11">IF(BL$2="FY",SUMPRODUCT(Data_Nhập[Tổng Nhập-NX]*(Data_Nhập[Year]=BL$1)*(Data_Nhập[Main SKU name_GOM]=$A11)*(Data_Nhập[SKU name_NHẬP_GOM]=BL$3)),SUMPRODUCT(Data_Nhập[Tổng Nhập-NX]*(Data_Nhập[Year]=BL$1)*(Data_Nhập[Month]=BL$2)*(Data_Nhập[Main SKU name_GOM]=$A11)*(Data_Nhập[SKU name_NHẬP_GOM]=BL$3)))</f>
        <v>0</v>
      </c>
      <c r="BM11" s="24" cm="1">
        <f t="array" ref="BM11">IF(BM$2="FY",SUMPRODUCT(Data_Nhập[Tổng Nhập-NX]*(Data_Nhập[Year]=BM$1)*(Data_Nhập[Main SKU name_GOM]=$A11)*(Data_Nhập[SKU name_NHẬP_GOM]=BM$3)),SUMPRODUCT(Data_Nhập[Tổng Nhập-NX]*(Data_Nhập[Year]=BM$1)*(Data_Nhập[Month]=BM$2)*(Data_Nhập[Main SKU name_GOM]=$A11)*(Data_Nhập[SKU name_NHẬP_GOM]=BM$3)))</f>
        <v>13489</v>
      </c>
      <c r="BN11" s="24" cm="1">
        <f t="array" ref="BN11">IF(BN$2="FY",SUMPRODUCT(Data_Nhập[Tổng Nhập-NX]*(Data_Nhập[Year]=BN$1)*(Data_Nhập[Main SKU name_GOM]=$A11)*(Data_Nhập[SKU name_NHẬP_GOM]=BN$3)),SUMPRODUCT(Data_Nhập[Tổng Nhập-NX]*(Data_Nhập[Year]=BN$1)*(Data_Nhập[Month]=BN$2)*(Data_Nhập[Main SKU name_GOM]=$A11)*(Data_Nhập[SKU name_NHẬP_GOM]=BN$3)))</f>
        <v>0</v>
      </c>
      <c r="BO11" s="24" cm="1">
        <f t="array" ref="BO11">IF(BO$2="FY",SUMPRODUCT(Data_Nhập[Tổng Nhập-NX]*(Data_Nhập[Year]=BO$1)*(Data_Nhập[Main SKU name_GOM]=$A11)*(Data_Nhập[SKU name_NHẬP_GOM]=BO$3)),SUMPRODUCT(Data_Nhập[Tổng Nhập-NX]*(Data_Nhập[Year]=BO$1)*(Data_Nhập[Month]=BO$2)*(Data_Nhập[Main SKU name_GOM]=$A11)*(Data_Nhập[SKU name_NHẬP_GOM]=BO$3)))</f>
        <v>0</v>
      </c>
      <c r="BP11" s="24" cm="1">
        <f t="array" ref="BP11">IF(BP$2="FY",SUMPRODUCT(Data_Nhập[Tổng Nhập-NX]*(Data_Nhập[Year]=BP$1)*(Data_Nhập[Main SKU name_GOM]=$A11)*(Data_Nhập[SKU name_NHẬP_GOM]=BP$3)),SUMPRODUCT(Data_Nhập[Tổng Nhập-NX]*(Data_Nhập[Year]=BP$1)*(Data_Nhập[Month]=BP$2)*(Data_Nhập[Main SKU name_GOM]=$A11)*(Data_Nhập[SKU name_NHẬP_GOM]=BP$3)))</f>
        <v>0</v>
      </c>
      <c r="BQ11" s="24" cm="1">
        <f t="array" ref="BQ11">IF(BQ$2="FY",SUMPRODUCT(Data_Nhập[Tổng Nhập-NX]*(Data_Nhập[Year]=BQ$1)*(Data_Nhập[Main SKU name_GOM]=$A11)*(Data_Nhập[SKU name_NHẬP_GOM]=BQ$3)),SUMPRODUCT(Data_Nhập[Tổng Nhập-NX]*(Data_Nhập[Year]=BQ$1)*(Data_Nhập[Month]=BQ$2)*(Data_Nhập[Main SKU name_GOM]=$A11)*(Data_Nhập[SKU name_NHẬP_GOM]=BQ$3)))</f>
        <v>0</v>
      </c>
      <c r="BR11" s="24" cm="1">
        <f t="array" ref="BR11">IF(BR$2="FY",SUMPRODUCT(Data_Nhập[Tổng Nhập-NX]*(Data_Nhập[Year]=BR$1)*(Data_Nhập[Main SKU name_GOM]=$A11)*(Data_Nhập[SKU name_NHẬP_GOM]=BR$3)),SUMPRODUCT(Data_Nhập[Tổng Nhập-NX]*(Data_Nhập[Year]=BR$1)*(Data_Nhập[Month]=BR$2)*(Data_Nhập[Main SKU name_GOM]=$A11)*(Data_Nhập[SKU name_NHẬP_GOM]=BR$3)))</f>
        <v>0</v>
      </c>
      <c r="BS11" s="24" cm="1">
        <f t="array" ref="BS11">IF(BS$2="FY",SUMPRODUCT(Data_Nhập[Tổng Nhập-NX]*(Data_Nhập[Year]=BS$1)*(Data_Nhập[Main SKU name_GOM]=$A11)*(Data_Nhập[SKU name_NHẬP_GOM]=BS$3)),SUMPRODUCT(Data_Nhập[Tổng Nhập-NX]*(Data_Nhập[Year]=BS$1)*(Data_Nhập[Month]=BS$2)*(Data_Nhập[Main SKU name_GOM]=$A11)*(Data_Nhập[SKU name_NHẬP_GOM]=BS$3)))</f>
        <v>0</v>
      </c>
      <c r="BT11" s="24" cm="1">
        <f t="array" ref="BT11">IF(BT$2="FY",SUMPRODUCT(Data_Nhập[Tổng Nhập-NX]*(Data_Nhập[Year]=BT$1)*(Data_Nhập[Main SKU name_GOM]=$A11)*(Data_Nhập[SKU name_NHẬP_GOM]=BT$3)),SUMPRODUCT(Data_Nhập[Tổng Nhập-NX]*(Data_Nhập[Year]=BT$1)*(Data_Nhập[Month]=BT$2)*(Data_Nhập[Main SKU name_GOM]=$A11)*(Data_Nhập[SKU name_NHẬP_GOM]=BT$3)))</f>
        <v>6942</v>
      </c>
      <c r="BU11" s="24" cm="1">
        <f t="array" ref="BU11">IF(BU$2="FY",SUMPRODUCT(Data_Nhập[Tổng Nhập-NX]*(Data_Nhập[Year]=BU$1)*(Data_Nhập[Main SKU name_GOM]=$A11)*(Data_Nhập[SKU name_NHẬP_GOM]=BU$3)),SUMPRODUCT(Data_Nhập[Tổng Nhập-NX]*(Data_Nhập[Year]=BU$1)*(Data_Nhập[Month]=BU$2)*(Data_Nhập[Main SKU name_GOM]=$A11)*(Data_Nhập[SKU name_NHẬP_GOM]=BU$3)))</f>
        <v>0</v>
      </c>
      <c r="BV11" s="25">
        <f t="shared" si="15"/>
        <v>20431</v>
      </c>
      <c r="BX11" s="25" cm="1">
        <f t="array" ref="BX11">IF(BX$2="FY",SUMPRODUCT(Data_Xuất[Xuất-NX]*(Data_Xuất[Year]=BX$1)*(Data_Xuất[Main SKU name_GOM]=$A11)),SUMPRODUCT(Data_Xuất[Xuất-NX]*(Data_Xuất[Year]=BX$1)*(Data_Xuất[Main SKU name_GOM]=$A11)*(Data_Xuất[Month]=BX$2)))</f>
        <v>0</v>
      </c>
      <c r="BY11" s="24" cm="1">
        <f t="array" ref="BY11">IF(BY$2="FY",SUMPRODUCT(Data_Nhập[Tổng Nhập-NX]*(Data_Nhập[Year]=BY$1)*(Data_Nhập[Main SKU name_GOM]=$A11)*(Data_Nhập[SKU name_NHẬP_GOM]=BY$3)),SUMPRODUCT(Data_Nhập[Tổng Nhập-NX]*(Data_Nhập[Year]=BY$1)*(Data_Nhập[Month]=BY$2)*(Data_Nhập[Main SKU name_GOM]=$A11)*(Data_Nhập[SKU name_NHẬP_GOM]=BY$3)))</f>
        <v>0</v>
      </c>
      <c r="BZ11" s="24" cm="1">
        <f t="array" ref="BZ11">IF(BZ$2="FY",SUMPRODUCT(Data_Nhập[Tổng Nhập-NX]*(Data_Nhập[Year]=BZ$1)*(Data_Nhập[Main SKU name_GOM]=$A11)*(Data_Nhập[SKU name_NHẬP_GOM]=BZ$3)),SUMPRODUCT(Data_Nhập[Tổng Nhập-NX]*(Data_Nhập[Year]=BZ$1)*(Data_Nhập[Month]=BZ$2)*(Data_Nhập[Main SKU name_GOM]=$A11)*(Data_Nhập[SKU name_NHẬP_GOM]=BZ$3)))</f>
        <v>0</v>
      </c>
      <c r="CA11" s="24" cm="1">
        <f t="array" ref="CA11">IF(CA$2="FY",SUMPRODUCT(Data_Nhập[Tổng Nhập-NX]*(Data_Nhập[Year]=CA$1)*(Data_Nhập[Main SKU name_GOM]=$A11)*(Data_Nhập[SKU name_NHẬP_GOM]=CA$3)),SUMPRODUCT(Data_Nhập[Tổng Nhập-NX]*(Data_Nhập[Year]=CA$1)*(Data_Nhập[Month]=CA$2)*(Data_Nhập[Main SKU name_GOM]=$A11)*(Data_Nhập[SKU name_NHẬP_GOM]=CA$3)))</f>
        <v>0</v>
      </c>
      <c r="CB11" s="24" cm="1">
        <f t="array" ref="CB11">IF(CB$2="FY",SUMPRODUCT(Data_Nhập[Tổng Nhập-NX]*(Data_Nhập[Year]=CB$1)*(Data_Nhập[Main SKU name_GOM]=$A11)*(Data_Nhập[SKU name_NHẬP_GOM]=CB$3)),SUMPRODUCT(Data_Nhập[Tổng Nhập-NX]*(Data_Nhập[Year]=CB$1)*(Data_Nhập[Month]=CB$2)*(Data_Nhập[Main SKU name_GOM]=$A11)*(Data_Nhập[SKU name_NHẬP_GOM]=CB$3)))</f>
        <v>0</v>
      </c>
      <c r="CC11" s="24" cm="1">
        <f t="array" ref="CC11">IF(CC$2="FY",SUMPRODUCT(Data_Nhập[Tổng Nhập-NX]*(Data_Nhập[Year]=CC$1)*(Data_Nhập[Main SKU name_GOM]=$A11)*(Data_Nhập[SKU name_NHẬP_GOM]=CC$3)),SUMPRODUCT(Data_Nhập[Tổng Nhập-NX]*(Data_Nhập[Year]=CC$1)*(Data_Nhập[Month]=CC$2)*(Data_Nhập[Main SKU name_GOM]=$A11)*(Data_Nhập[SKU name_NHẬP_GOM]=CC$3)))</f>
        <v>0</v>
      </c>
      <c r="CD11" s="24" cm="1">
        <f t="array" ref="CD11">IF(CD$2="FY",SUMPRODUCT(Data_Nhập[Tổng Nhập-NX]*(Data_Nhập[Year]=CD$1)*(Data_Nhập[Main SKU name_GOM]=$A11)*(Data_Nhập[SKU name_NHẬP_GOM]=CD$3)),SUMPRODUCT(Data_Nhập[Tổng Nhập-NX]*(Data_Nhập[Year]=CD$1)*(Data_Nhập[Month]=CD$2)*(Data_Nhập[Main SKU name_GOM]=$A11)*(Data_Nhập[SKU name_NHẬP_GOM]=CD$3)))</f>
        <v>0</v>
      </c>
      <c r="CE11" s="24" cm="1">
        <f t="array" ref="CE11">IF(CE$2="FY",SUMPRODUCT(Data_Nhập[Tổng Nhập-NX]*(Data_Nhập[Year]=CE$1)*(Data_Nhập[Main SKU name_GOM]=$A11)*(Data_Nhập[SKU name_NHẬP_GOM]=CE$3)),SUMPRODUCT(Data_Nhập[Tổng Nhập-NX]*(Data_Nhập[Year]=CE$1)*(Data_Nhập[Month]=CE$2)*(Data_Nhập[Main SKU name_GOM]=$A11)*(Data_Nhập[SKU name_NHẬP_GOM]=CE$3)))</f>
        <v>0</v>
      </c>
      <c r="CF11" s="24" cm="1">
        <f t="array" ref="CF11">IF(CF$2="FY",SUMPRODUCT(Data_Nhập[Tổng Nhập-NX]*(Data_Nhập[Year]=CF$1)*(Data_Nhập[Main SKU name_GOM]=$A11)*(Data_Nhập[SKU name_NHẬP_GOM]=CF$3)),SUMPRODUCT(Data_Nhập[Tổng Nhập-NX]*(Data_Nhập[Year]=CF$1)*(Data_Nhập[Month]=CF$2)*(Data_Nhập[Main SKU name_GOM]=$A11)*(Data_Nhập[SKU name_NHẬP_GOM]=CF$3)))</f>
        <v>0</v>
      </c>
      <c r="CG11" s="24" cm="1">
        <f t="array" ref="CG11">IF(CG$2="FY",SUMPRODUCT(Data_Nhập[Tổng Nhập-NX]*(Data_Nhập[Year]=CG$1)*(Data_Nhập[Main SKU name_GOM]=$A11)*(Data_Nhập[SKU name_NHẬP_GOM]=CG$3)),SUMPRODUCT(Data_Nhập[Tổng Nhập-NX]*(Data_Nhập[Year]=CG$1)*(Data_Nhập[Month]=CG$2)*(Data_Nhập[Main SKU name_GOM]=$A11)*(Data_Nhập[SKU name_NHẬP_GOM]=CG$3)))</f>
        <v>0</v>
      </c>
      <c r="CH11" s="24" cm="1">
        <f t="array" ref="CH11">IF(CH$2="FY",SUMPRODUCT(Data_Nhập[Tổng Nhập-NX]*(Data_Nhập[Year]=CH$1)*(Data_Nhập[Main SKU name_GOM]=$A11)*(Data_Nhập[SKU name_NHẬP_GOM]=CH$3)),SUMPRODUCT(Data_Nhập[Tổng Nhập-NX]*(Data_Nhập[Year]=CH$1)*(Data_Nhập[Month]=CH$2)*(Data_Nhập[Main SKU name_GOM]=$A11)*(Data_Nhập[SKU name_NHẬP_GOM]=CH$3)))</f>
        <v>0</v>
      </c>
      <c r="CI11" s="24" cm="1">
        <f t="array" ref="CI11">IF(CI$2="FY",SUMPRODUCT(Data_Nhập[Tổng Nhập-NX]*(Data_Nhập[Year]=CI$1)*(Data_Nhập[Main SKU name_GOM]=$A11)*(Data_Nhập[SKU name_NHẬP_GOM]=CI$3)),SUMPRODUCT(Data_Nhập[Tổng Nhập-NX]*(Data_Nhập[Year]=CI$1)*(Data_Nhập[Month]=CI$2)*(Data_Nhập[Main SKU name_GOM]=$A11)*(Data_Nhập[SKU name_NHẬP_GOM]=CI$3)))</f>
        <v>0</v>
      </c>
      <c r="CJ11" s="24" cm="1">
        <f t="array" ref="CJ11">IF(CJ$2="FY",SUMPRODUCT(Data_Nhập[Tổng Nhập-NX]*(Data_Nhập[Year]=CJ$1)*(Data_Nhập[Main SKU name_GOM]=$A11)*(Data_Nhập[SKU name_NHẬP_GOM]=CJ$3)),SUMPRODUCT(Data_Nhập[Tổng Nhập-NX]*(Data_Nhập[Year]=CJ$1)*(Data_Nhập[Month]=CJ$2)*(Data_Nhập[Main SKU name_GOM]=$A11)*(Data_Nhập[SKU name_NHẬP_GOM]=CJ$3)))</f>
        <v>0</v>
      </c>
      <c r="CK11" s="24" cm="1">
        <f t="array" ref="CK11">IF(CK$2="FY",SUMPRODUCT(Data_Nhập[Tổng Nhập-NX]*(Data_Nhập[Year]=CK$1)*(Data_Nhập[Main SKU name_GOM]=$A11)*(Data_Nhập[SKU name_NHẬP_GOM]=CK$3)),SUMPRODUCT(Data_Nhập[Tổng Nhập-NX]*(Data_Nhập[Year]=CK$1)*(Data_Nhập[Month]=CK$2)*(Data_Nhập[Main SKU name_GOM]=$A11)*(Data_Nhập[SKU name_NHẬP_GOM]=CK$3)))</f>
        <v>0</v>
      </c>
      <c r="CL11" s="24" cm="1">
        <f t="array" ref="CL11">IF(CL$2="FY",SUMPRODUCT(Data_Nhập[Tổng Nhập-NX]*(Data_Nhập[Year]=CL$1)*(Data_Nhập[Main SKU name_GOM]=$A11)*(Data_Nhập[SKU name_NHẬP_GOM]=CL$3)),SUMPRODUCT(Data_Nhập[Tổng Nhập-NX]*(Data_Nhập[Year]=CL$1)*(Data_Nhập[Month]=CL$2)*(Data_Nhập[Main SKU name_GOM]=$A11)*(Data_Nhập[SKU name_NHẬP_GOM]=CL$3)))</f>
        <v>0</v>
      </c>
      <c r="CM11" s="24" cm="1">
        <f t="array" ref="CM11">IF(CM$2="FY",SUMPRODUCT(Data_Nhập[Tổng Nhập-NX]*(Data_Nhập[Year]=CM$1)*(Data_Nhập[Main SKU name_GOM]=$A11)*(Data_Nhập[SKU name_NHẬP_GOM]=CM$3)),SUMPRODUCT(Data_Nhập[Tổng Nhập-NX]*(Data_Nhập[Year]=CM$1)*(Data_Nhập[Month]=CM$2)*(Data_Nhập[Main SKU name_GOM]=$A11)*(Data_Nhập[SKU name_NHẬP_GOM]=CM$3)))</f>
        <v>0</v>
      </c>
      <c r="CN11" s="25">
        <f t="shared" si="16"/>
        <v>0</v>
      </c>
      <c r="CP11" s="25" cm="1">
        <f t="array" ref="CP11">IF(CP$2="FY",SUMPRODUCT(Data_Xuất[Xuất-NX]*(Data_Xuất[Year]=CP$1)*(Data_Xuất[Main SKU name_GOM]=$A11)),SUMPRODUCT(Data_Xuất[Xuất-NX]*(Data_Xuất[Year]=CP$1)*(Data_Xuất[Main SKU name_GOM]=$A11)*(Data_Xuất[Month]=CP$2)))</f>
        <v>434324</v>
      </c>
      <c r="CQ11" s="24" cm="1">
        <f t="array" ref="CQ11">IF(CQ$2="FY",SUMPRODUCT(Data_Nhập[Tổng Nhập-NX]*(Data_Nhập[Year]=CQ$1)*(Data_Nhập[Main SKU name_GOM]=$A11)*(Data_Nhập[SKU name_NHẬP_GOM]=CQ$3)),SUMPRODUCT(Data_Nhập[Tổng Nhập-NX]*(Data_Nhập[Year]=CQ$1)*(Data_Nhập[Month]=CQ$2)*(Data_Nhập[Main SKU name_GOM]=$A11)*(Data_Nhập[SKU name_NHẬP_GOM]=CQ$3)))</f>
        <v>0</v>
      </c>
      <c r="CR11" s="24" cm="1">
        <f t="array" ref="CR11">IF(CR$2="FY",SUMPRODUCT(Data_Nhập[Tổng Nhập-NX]*(Data_Nhập[Year]=CR$1)*(Data_Nhập[Main SKU name_GOM]=$A11)*(Data_Nhập[SKU name_NHẬP_GOM]=CR$3)),SUMPRODUCT(Data_Nhập[Tổng Nhập-NX]*(Data_Nhập[Year]=CR$1)*(Data_Nhập[Month]=CR$2)*(Data_Nhập[Main SKU name_GOM]=$A11)*(Data_Nhập[SKU name_NHẬP_GOM]=CR$3)))</f>
        <v>0</v>
      </c>
      <c r="CS11" s="24" cm="1">
        <f t="array" ref="CS11">IF(CS$2="FY",SUMPRODUCT(Data_Nhập[Tổng Nhập-NX]*(Data_Nhập[Year]=CS$1)*(Data_Nhập[Main SKU name_GOM]=$A11)*(Data_Nhập[SKU name_NHẬP_GOM]=CS$3)),SUMPRODUCT(Data_Nhập[Tổng Nhập-NX]*(Data_Nhập[Year]=CS$1)*(Data_Nhập[Month]=CS$2)*(Data_Nhập[Main SKU name_GOM]=$A11)*(Data_Nhập[SKU name_NHẬP_GOM]=CS$3)))</f>
        <v>0</v>
      </c>
      <c r="CT11" s="24" cm="1">
        <f t="array" ref="CT11">IF(CT$2="FY",SUMPRODUCT(Data_Nhập[Tổng Nhập-NX]*(Data_Nhập[Year]=CT$1)*(Data_Nhập[Main SKU name_GOM]=$A11)*(Data_Nhập[SKU name_NHẬP_GOM]=CT$3)),SUMPRODUCT(Data_Nhập[Tổng Nhập-NX]*(Data_Nhập[Year]=CT$1)*(Data_Nhập[Month]=CT$2)*(Data_Nhập[Main SKU name_GOM]=$A11)*(Data_Nhập[SKU name_NHẬP_GOM]=CT$3)))</f>
        <v>0</v>
      </c>
      <c r="CU11" s="24" cm="1">
        <f t="array" ref="CU11">IF(CU$2="FY",SUMPRODUCT(Data_Nhập[Tổng Nhập-NX]*(Data_Nhập[Year]=CU$1)*(Data_Nhập[Main SKU name_GOM]=$A11)*(Data_Nhập[SKU name_NHẬP_GOM]=CU$3)),SUMPRODUCT(Data_Nhập[Tổng Nhập-NX]*(Data_Nhập[Year]=CU$1)*(Data_Nhập[Month]=CU$2)*(Data_Nhập[Main SKU name_GOM]=$A11)*(Data_Nhập[SKU name_NHẬP_GOM]=CU$3)))</f>
        <v>0</v>
      </c>
      <c r="CV11" s="24" cm="1">
        <f t="array" ref="CV11">IF(CV$2="FY",SUMPRODUCT(Data_Nhập[Tổng Nhập-NX]*(Data_Nhập[Year]=CV$1)*(Data_Nhập[Main SKU name_GOM]=$A11)*(Data_Nhập[SKU name_NHẬP_GOM]=CV$3)),SUMPRODUCT(Data_Nhập[Tổng Nhập-NX]*(Data_Nhập[Year]=CV$1)*(Data_Nhập[Month]=CV$2)*(Data_Nhập[Main SKU name_GOM]=$A11)*(Data_Nhập[SKU name_NHẬP_GOM]=CV$3)))</f>
        <v>0</v>
      </c>
      <c r="CW11" s="24" cm="1">
        <f t="array" ref="CW11">IF(CW$2="FY",SUMPRODUCT(Data_Nhập[Tổng Nhập-NX]*(Data_Nhập[Year]=CW$1)*(Data_Nhập[Main SKU name_GOM]=$A11)*(Data_Nhập[SKU name_NHẬP_GOM]=CW$3)),SUMPRODUCT(Data_Nhập[Tổng Nhập-NX]*(Data_Nhập[Year]=CW$1)*(Data_Nhập[Month]=CW$2)*(Data_Nhập[Main SKU name_GOM]=$A11)*(Data_Nhập[SKU name_NHẬP_GOM]=CW$3)))</f>
        <v>424600</v>
      </c>
      <c r="CX11" s="24" cm="1">
        <f t="array" ref="CX11">IF(CX$2="FY",SUMPRODUCT(Data_Nhập[Tổng Nhập-NX]*(Data_Nhập[Year]=CX$1)*(Data_Nhập[Main SKU name_GOM]=$A11)*(Data_Nhập[SKU name_NHẬP_GOM]=CX$3)),SUMPRODUCT(Data_Nhập[Tổng Nhập-NX]*(Data_Nhập[Year]=CX$1)*(Data_Nhập[Month]=CX$2)*(Data_Nhập[Main SKU name_GOM]=$A11)*(Data_Nhập[SKU name_NHẬP_GOM]=CX$3)))</f>
        <v>0</v>
      </c>
      <c r="CY11" s="24" cm="1">
        <f t="array" ref="CY11">IF(CY$2="FY",SUMPRODUCT(Data_Nhập[Tổng Nhập-NX]*(Data_Nhập[Year]=CY$1)*(Data_Nhập[Main SKU name_GOM]=$A11)*(Data_Nhập[SKU name_NHẬP_GOM]=CY$3)),SUMPRODUCT(Data_Nhập[Tổng Nhập-NX]*(Data_Nhập[Year]=CY$1)*(Data_Nhập[Month]=CY$2)*(Data_Nhập[Main SKU name_GOM]=$A11)*(Data_Nhập[SKU name_NHẬP_GOM]=CY$3)))</f>
        <v>0</v>
      </c>
      <c r="CZ11" s="24" cm="1">
        <f t="array" ref="CZ11">IF(CZ$2="FY",SUMPRODUCT(Data_Nhập[Tổng Nhập-NX]*(Data_Nhập[Year]=CZ$1)*(Data_Nhập[Main SKU name_GOM]=$A11)*(Data_Nhập[SKU name_NHẬP_GOM]=CZ$3)),SUMPRODUCT(Data_Nhập[Tổng Nhập-NX]*(Data_Nhập[Year]=CZ$1)*(Data_Nhập[Month]=CZ$2)*(Data_Nhập[Main SKU name_GOM]=$A11)*(Data_Nhập[SKU name_NHẬP_GOM]=CZ$3)))</f>
        <v>0</v>
      </c>
      <c r="DA11" s="24" cm="1">
        <f t="array" ref="DA11">IF(DA$2="FY",SUMPRODUCT(Data_Nhập[Tổng Nhập-NX]*(Data_Nhập[Year]=DA$1)*(Data_Nhập[Main SKU name_GOM]=$A11)*(Data_Nhập[SKU name_NHẬP_GOM]=DA$3)),SUMPRODUCT(Data_Nhập[Tổng Nhập-NX]*(Data_Nhập[Year]=DA$1)*(Data_Nhập[Month]=DA$2)*(Data_Nhập[Main SKU name_GOM]=$A11)*(Data_Nhập[SKU name_NHẬP_GOM]=DA$3)))</f>
        <v>0</v>
      </c>
      <c r="DB11" s="24" cm="1">
        <f t="array" ref="DB11">IF(DB$2="FY",SUMPRODUCT(Data_Nhập[Tổng Nhập-NX]*(Data_Nhập[Year]=DB$1)*(Data_Nhập[Main SKU name_GOM]=$A11)*(Data_Nhập[SKU name_NHẬP_GOM]=DB$3)),SUMPRODUCT(Data_Nhập[Tổng Nhập-NX]*(Data_Nhập[Year]=DB$1)*(Data_Nhập[Month]=DB$2)*(Data_Nhập[Main SKU name_GOM]=$A11)*(Data_Nhập[SKU name_NHẬP_GOM]=DB$3)))</f>
        <v>0</v>
      </c>
      <c r="DC11" s="24" cm="1">
        <f t="array" ref="DC11">IF(DC$2="FY",SUMPRODUCT(Data_Nhập[Tổng Nhập-NX]*(Data_Nhập[Year]=DC$1)*(Data_Nhập[Main SKU name_GOM]=$A11)*(Data_Nhập[SKU name_NHẬP_GOM]=DC$3)),SUMPRODUCT(Data_Nhập[Tổng Nhập-NX]*(Data_Nhập[Year]=DC$1)*(Data_Nhập[Month]=DC$2)*(Data_Nhập[Main SKU name_GOM]=$A11)*(Data_Nhập[SKU name_NHẬP_GOM]=DC$3)))</f>
        <v>0</v>
      </c>
      <c r="DD11" s="24" cm="1">
        <f t="array" ref="DD11">IF(DD$2="FY",SUMPRODUCT(Data_Nhập[Tổng Nhập-NX]*(Data_Nhập[Year]=DD$1)*(Data_Nhập[Main SKU name_GOM]=$A11)*(Data_Nhập[SKU name_NHẬP_GOM]=DD$3)),SUMPRODUCT(Data_Nhập[Tổng Nhập-NX]*(Data_Nhập[Year]=DD$1)*(Data_Nhập[Month]=DD$2)*(Data_Nhập[Main SKU name_GOM]=$A11)*(Data_Nhập[SKU name_NHẬP_GOM]=DD$3)))</f>
        <v>7756</v>
      </c>
      <c r="DE11" s="24" cm="1">
        <f t="array" ref="DE11">IF(DE$2="FY",SUMPRODUCT(Data_Nhập[Tổng Nhập-NX]*(Data_Nhập[Year]=DE$1)*(Data_Nhập[Main SKU name_GOM]=$A11)*(Data_Nhập[SKU name_NHẬP_GOM]=DE$3)),SUMPRODUCT(Data_Nhập[Tổng Nhập-NX]*(Data_Nhập[Year]=DE$1)*(Data_Nhập[Month]=DE$2)*(Data_Nhập[Main SKU name_GOM]=$A11)*(Data_Nhập[SKU name_NHẬP_GOM]=DE$3)))</f>
        <v>0</v>
      </c>
      <c r="DF11" s="25">
        <f t="shared" si="17"/>
        <v>432356</v>
      </c>
      <c r="DH11" s="25" cm="1">
        <f t="array" ref="DH11">IF(DH$2="FY",SUMPRODUCT(Data_Xuất[Xuất-NX]*(Data_Xuất[Year]=DH$1)*(Data_Xuất[Main SKU name_GOM]=$A11)),SUMPRODUCT(Data_Xuất[Xuất-NX]*(Data_Xuất[Year]=DH$1)*(Data_Xuất[Main SKU name_GOM]=$A11)*(Data_Xuất[Month]=DH$2)))</f>
        <v>277446</v>
      </c>
      <c r="DI11" s="24" cm="1">
        <f t="array" ref="DI11">IF(DI$2="FY",SUMPRODUCT(Data_Nhập[Tổng Nhập-NX]*(Data_Nhập[Year]=DI$1)*(Data_Nhập[Main SKU name_GOM]=$A11)*(Data_Nhập[SKU name_NHẬP_GOM]=DI$3)),SUMPRODUCT(Data_Nhập[Tổng Nhập-NX]*(Data_Nhập[Year]=DI$1)*(Data_Nhập[Month]=DI$2)*(Data_Nhập[Main SKU name_GOM]=$A11)*(Data_Nhập[SKU name_NHẬP_GOM]=DI$3)))</f>
        <v>0</v>
      </c>
      <c r="DJ11" s="24" cm="1">
        <f t="array" ref="DJ11">IF(DJ$2="FY",SUMPRODUCT(Data_Nhập[Tổng Nhập-NX]*(Data_Nhập[Year]=DJ$1)*(Data_Nhập[Main SKU name_GOM]=$A11)*(Data_Nhập[SKU name_NHẬP_GOM]=DJ$3)),SUMPRODUCT(Data_Nhập[Tổng Nhập-NX]*(Data_Nhập[Year]=DJ$1)*(Data_Nhập[Month]=DJ$2)*(Data_Nhập[Main SKU name_GOM]=$A11)*(Data_Nhập[SKU name_NHẬP_GOM]=DJ$3)))</f>
        <v>0</v>
      </c>
      <c r="DK11" s="24" cm="1">
        <f t="array" ref="DK11">IF(DK$2="FY",SUMPRODUCT(Data_Nhập[Tổng Nhập-NX]*(Data_Nhập[Year]=DK$1)*(Data_Nhập[Main SKU name_GOM]=$A11)*(Data_Nhập[SKU name_NHẬP_GOM]=DK$3)),SUMPRODUCT(Data_Nhập[Tổng Nhập-NX]*(Data_Nhập[Year]=DK$1)*(Data_Nhập[Month]=DK$2)*(Data_Nhập[Main SKU name_GOM]=$A11)*(Data_Nhập[SKU name_NHẬP_GOM]=DK$3)))</f>
        <v>0</v>
      </c>
      <c r="DL11" s="24" cm="1">
        <f t="array" ref="DL11">IF(DL$2="FY",SUMPRODUCT(Data_Nhập[Tổng Nhập-NX]*(Data_Nhập[Year]=DL$1)*(Data_Nhập[Main SKU name_GOM]=$A11)*(Data_Nhập[SKU name_NHẬP_GOM]=DL$3)),SUMPRODUCT(Data_Nhập[Tổng Nhập-NX]*(Data_Nhập[Year]=DL$1)*(Data_Nhập[Month]=DL$2)*(Data_Nhập[Main SKU name_GOM]=$A11)*(Data_Nhập[SKU name_NHẬP_GOM]=DL$3)))</f>
        <v>0</v>
      </c>
      <c r="DM11" s="24" cm="1">
        <f t="array" ref="DM11">IF(DM$2="FY",SUMPRODUCT(Data_Nhập[Tổng Nhập-NX]*(Data_Nhập[Year]=DM$1)*(Data_Nhập[Main SKU name_GOM]=$A11)*(Data_Nhập[SKU name_NHẬP_GOM]=DM$3)),SUMPRODUCT(Data_Nhập[Tổng Nhập-NX]*(Data_Nhập[Year]=DM$1)*(Data_Nhập[Month]=DM$2)*(Data_Nhập[Main SKU name_GOM]=$A11)*(Data_Nhập[SKU name_NHẬP_GOM]=DM$3)))</f>
        <v>0</v>
      </c>
      <c r="DN11" s="24" cm="1">
        <f t="array" ref="DN11">IF(DN$2="FY",SUMPRODUCT(Data_Nhập[Tổng Nhập-NX]*(Data_Nhập[Year]=DN$1)*(Data_Nhập[Main SKU name_GOM]=$A11)*(Data_Nhập[SKU name_NHẬP_GOM]=DN$3)),SUMPRODUCT(Data_Nhập[Tổng Nhập-NX]*(Data_Nhập[Year]=DN$1)*(Data_Nhập[Month]=DN$2)*(Data_Nhập[Main SKU name_GOM]=$A11)*(Data_Nhập[SKU name_NHẬP_GOM]=DN$3)))</f>
        <v>0</v>
      </c>
      <c r="DO11" s="24" cm="1">
        <f t="array" ref="DO11">IF(DO$2="FY",SUMPRODUCT(Data_Nhập[Tổng Nhập-NX]*(Data_Nhập[Year]=DO$1)*(Data_Nhập[Main SKU name_GOM]=$A11)*(Data_Nhập[SKU name_NHẬP_GOM]=DO$3)),SUMPRODUCT(Data_Nhập[Tổng Nhập-NX]*(Data_Nhập[Year]=DO$1)*(Data_Nhập[Month]=DO$2)*(Data_Nhập[Main SKU name_GOM]=$A11)*(Data_Nhập[SKU name_NHẬP_GOM]=DO$3)))</f>
        <v>275000</v>
      </c>
      <c r="DP11" s="24" cm="1">
        <f t="array" ref="DP11">IF(DP$2="FY",SUMPRODUCT(Data_Nhập[Tổng Nhập-NX]*(Data_Nhập[Year]=DP$1)*(Data_Nhập[Main SKU name_GOM]=$A11)*(Data_Nhập[SKU name_NHẬP_GOM]=DP$3)),SUMPRODUCT(Data_Nhập[Tổng Nhập-NX]*(Data_Nhập[Year]=DP$1)*(Data_Nhập[Month]=DP$2)*(Data_Nhập[Main SKU name_GOM]=$A11)*(Data_Nhập[SKU name_NHẬP_GOM]=DP$3)))</f>
        <v>0</v>
      </c>
      <c r="DQ11" s="24" cm="1">
        <f t="array" ref="DQ11">IF(DQ$2="FY",SUMPRODUCT(Data_Nhập[Tổng Nhập-NX]*(Data_Nhập[Year]=DQ$1)*(Data_Nhập[Main SKU name_GOM]=$A11)*(Data_Nhập[SKU name_NHẬP_GOM]=DQ$3)),SUMPRODUCT(Data_Nhập[Tổng Nhập-NX]*(Data_Nhập[Year]=DQ$1)*(Data_Nhập[Month]=DQ$2)*(Data_Nhập[Main SKU name_GOM]=$A11)*(Data_Nhập[SKU name_NHẬP_GOM]=DQ$3)))</f>
        <v>0</v>
      </c>
      <c r="DR11" s="24" cm="1">
        <f t="array" ref="DR11">IF(DR$2="FY",SUMPRODUCT(Data_Nhập[Tổng Nhập-NX]*(Data_Nhập[Year]=DR$1)*(Data_Nhập[Main SKU name_GOM]=$A11)*(Data_Nhập[SKU name_NHẬP_GOM]=DR$3)),SUMPRODUCT(Data_Nhập[Tổng Nhập-NX]*(Data_Nhập[Year]=DR$1)*(Data_Nhập[Month]=DR$2)*(Data_Nhập[Main SKU name_GOM]=$A11)*(Data_Nhập[SKU name_NHẬP_GOM]=DR$3)))</f>
        <v>0</v>
      </c>
      <c r="DS11" s="24" cm="1">
        <f t="array" ref="DS11">IF(DS$2="FY",SUMPRODUCT(Data_Nhập[Tổng Nhập-NX]*(Data_Nhập[Year]=DS$1)*(Data_Nhập[Main SKU name_GOM]=$A11)*(Data_Nhập[SKU name_NHẬP_GOM]=DS$3)),SUMPRODUCT(Data_Nhập[Tổng Nhập-NX]*(Data_Nhập[Year]=DS$1)*(Data_Nhập[Month]=DS$2)*(Data_Nhập[Main SKU name_GOM]=$A11)*(Data_Nhập[SKU name_NHẬP_GOM]=DS$3)))</f>
        <v>0</v>
      </c>
      <c r="DT11" s="24" cm="1">
        <f t="array" ref="DT11">IF(DT$2="FY",SUMPRODUCT(Data_Nhập[Tổng Nhập-NX]*(Data_Nhập[Year]=DT$1)*(Data_Nhập[Main SKU name_GOM]=$A11)*(Data_Nhập[SKU name_NHẬP_GOM]=DT$3)),SUMPRODUCT(Data_Nhập[Tổng Nhập-NX]*(Data_Nhập[Year]=DT$1)*(Data_Nhập[Month]=DT$2)*(Data_Nhập[Main SKU name_GOM]=$A11)*(Data_Nhập[SKU name_NHẬP_GOM]=DT$3)))</f>
        <v>0</v>
      </c>
      <c r="DU11" s="24" cm="1">
        <f t="array" ref="DU11">IF(DU$2="FY",SUMPRODUCT(Data_Nhập[Tổng Nhập-NX]*(Data_Nhập[Year]=DU$1)*(Data_Nhập[Main SKU name_GOM]=$A11)*(Data_Nhập[SKU name_NHẬP_GOM]=DU$3)),SUMPRODUCT(Data_Nhập[Tổng Nhập-NX]*(Data_Nhập[Year]=DU$1)*(Data_Nhập[Month]=DU$2)*(Data_Nhập[Main SKU name_GOM]=$A11)*(Data_Nhập[SKU name_NHẬP_GOM]=DU$3)))</f>
        <v>0</v>
      </c>
      <c r="DV11" s="24" cm="1">
        <f t="array" ref="DV11">IF(DV$2="FY",SUMPRODUCT(Data_Nhập[Tổng Nhập-NX]*(Data_Nhập[Year]=DV$1)*(Data_Nhập[Main SKU name_GOM]=$A11)*(Data_Nhập[SKU name_NHẬP_GOM]=DV$3)),SUMPRODUCT(Data_Nhập[Tổng Nhập-NX]*(Data_Nhập[Year]=DV$1)*(Data_Nhập[Month]=DV$2)*(Data_Nhập[Main SKU name_GOM]=$A11)*(Data_Nhập[SKU name_NHẬP_GOM]=DV$3)))</f>
        <v>2446</v>
      </c>
      <c r="DW11" s="24" cm="1">
        <f t="array" ref="DW11">IF(DW$2="FY",SUMPRODUCT(Data_Nhập[Tổng Nhập-NX]*(Data_Nhập[Year]=DW$1)*(Data_Nhập[Main SKU name_GOM]=$A11)*(Data_Nhập[SKU name_NHẬP_GOM]=DW$3)),SUMPRODUCT(Data_Nhập[Tổng Nhập-NX]*(Data_Nhập[Year]=DW$1)*(Data_Nhập[Month]=DW$2)*(Data_Nhập[Main SKU name_GOM]=$A11)*(Data_Nhập[SKU name_NHẬP_GOM]=DW$3)))</f>
        <v>0</v>
      </c>
      <c r="DX11" s="25">
        <f t="shared" si="18"/>
        <v>277446</v>
      </c>
      <c r="DZ11" s="25" cm="1">
        <f t="array" ref="DZ11">IF(DZ$2="FY",SUMPRODUCT(Data_Xuất[Xuất-NX]*(Data_Xuất[Year]=DZ$1)*(Data_Xuất[Main SKU name_GOM]=$A11)),SUMPRODUCT(Data_Xuất[Xuất-NX]*(Data_Xuất[Year]=DZ$1)*(Data_Xuất[Main SKU name_GOM]=$A11)*(Data_Xuất[Month]=DZ$2)))</f>
        <v>340003</v>
      </c>
      <c r="EA11" s="24" cm="1">
        <f t="array" ref="EA11">IF(EA$2="FY",SUMPRODUCT(Data_Nhập[Tổng Nhập-NX]*(Data_Nhập[Year]=EA$1)*(Data_Nhập[Main SKU name_GOM]=$A11)*(Data_Nhập[SKU name_NHẬP_GOM]=EA$3)),SUMPRODUCT(Data_Nhập[Tổng Nhập-NX]*(Data_Nhập[Year]=EA$1)*(Data_Nhập[Month]=EA$2)*(Data_Nhập[Main SKU name_GOM]=$A11)*(Data_Nhập[SKU name_NHẬP_GOM]=EA$3)))</f>
        <v>0</v>
      </c>
      <c r="EB11" s="24" cm="1">
        <f t="array" ref="EB11">IF(EB$2="FY",SUMPRODUCT(Data_Nhập[Tổng Nhập-NX]*(Data_Nhập[Year]=EB$1)*(Data_Nhập[Main SKU name_GOM]=$A11)*(Data_Nhập[SKU name_NHẬP_GOM]=EB$3)),SUMPRODUCT(Data_Nhập[Tổng Nhập-NX]*(Data_Nhập[Year]=EB$1)*(Data_Nhập[Month]=EB$2)*(Data_Nhập[Main SKU name_GOM]=$A11)*(Data_Nhập[SKU name_NHẬP_GOM]=EB$3)))</f>
        <v>0</v>
      </c>
      <c r="EC11" s="24" cm="1">
        <f t="array" ref="EC11">IF(EC$2="FY",SUMPRODUCT(Data_Nhập[Tổng Nhập-NX]*(Data_Nhập[Year]=EC$1)*(Data_Nhập[Main SKU name_GOM]=$A11)*(Data_Nhập[SKU name_NHẬP_GOM]=EC$3)),SUMPRODUCT(Data_Nhập[Tổng Nhập-NX]*(Data_Nhập[Year]=EC$1)*(Data_Nhập[Month]=EC$2)*(Data_Nhập[Main SKU name_GOM]=$A11)*(Data_Nhập[SKU name_NHẬP_GOM]=EC$3)))</f>
        <v>0</v>
      </c>
      <c r="ED11" s="24" cm="1">
        <f t="array" ref="ED11">IF(ED$2="FY",SUMPRODUCT(Data_Nhập[Tổng Nhập-NX]*(Data_Nhập[Year]=ED$1)*(Data_Nhập[Main SKU name_GOM]=$A11)*(Data_Nhập[SKU name_NHẬP_GOM]=ED$3)),SUMPRODUCT(Data_Nhập[Tổng Nhập-NX]*(Data_Nhập[Year]=ED$1)*(Data_Nhập[Month]=ED$2)*(Data_Nhập[Main SKU name_GOM]=$A11)*(Data_Nhập[SKU name_NHẬP_GOM]=ED$3)))</f>
        <v>0</v>
      </c>
      <c r="EE11" s="24" cm="1">
        <f t="array" ref="EE11">IF(EE$2="FY",SUMPRODUCT(Data_Nhập[Tổng Nhập-NX]*(Data_Nhập[Year]=EE$1)*(Data_Nhập[Main SKU name_GOM]=$A11)*(Data_Nhập[SKU name_NHẬP_GOM]=EE$3)),SUMPRODUCT(Data_Nhập[Tổng Nhập-NX]*(Data_Nhập[Year]=EE$1)*(Data_Nhập[Month]=EE$2)*(Data_Nhập[Main SKU name_GOM]=$A11)*(Data_Nhập[SKU name_NHẬP_GOM]=EE$3)))</f>
        <v>0</v>
      </c>
      <c r="EF11" s="24" cm="1">
        <f t="array" ref="EF11">IF(EF$2="FY",SUMPRODUCT(Data_Nhập[Tổng Nhập-NX]*(Data_Nhập[Year]=EF$1)*(Data_Nhập[Main SKU name_GOM]=$A11)*(Data_Nhập[SKU name_NHẬP_GOM]=EF$3)),SUMPRODUCT(Data_Nhập[Tổng Nhập-NX]*(Data_Nhập[Year]=EF$1)*(Data_Nhập[Month]=EF$2)*(Data_Nhập[Main SKU name_GOM]=$A11)*(Data_Nhập[SKU name_NHẬP_GOM]=EF$3)))</f>
        <v>0</v>
      </c>
      <c r="EG11" s="24" cm="1">
        <f t="array" ref="EG11">IF(EG$2="FY",SUMPRODUCT(Data_Nhập[Tổng Nhập-NX]*(Data_Nhập[Year]=EG$1)*(Data_Nhập[Main SKU name_GOM]=$A11)*(Data_Nhập[SKU name_NHẬP_GOM]=EG$3)),SUMPRODUCT(Data_Nhập[Tổng Nhập-NX]*(Data_Nhập[Year]=EG$1)*(Data_Nhập[Month]=EG$2)*(Data_Nhập[Main SKU name_GOM]=$A11)*(Data_Nhập[SKU name_NHẬP_GOM]=EG$3)))</f>
        <v>320189</v>
      </c>
      <c r="EH11" s="24" cm="1">
        <f t="array" ref="EH11">IF(EH$2="FY",SUMPRODUCT(Data_Nhập[Tổng Nhập-NX]*(Data_Nhập[Year]=EH$1)*(Data_Nhập[Main SKU name_GOM]=$A11)*(Data_Nhập[SKU name_NHẬP_GOM]=EH$3)),SUMPRODUCT(Data_Nhập[Tổng Nhập-NX]*(Data_Nhập[Year]=EH$1)*(Data_Nhập[Month]=EH$2)*(Data_Nhập[Main SKU name_GOM]=$A11)*(Data_Nhập[SKU name_NHẬP_GOM]=EH$3)))</f>
        <v>0</v>
      </c>
      <c r="EI11" s="24" cm="1">
        <f t="array" ref="EI11">IF(EI$2="FY",SUMPRODUCT(Data_Nhập[Tổng Nhập-NX]*(Data_Nhập[Year]=EI$1)*(Data_Nhập[Main SKU name_GOM]=$A11)*(Data_Nhập[SKU name_NHẬP_GOM]=EI$3)),SUMPRODUCT(Data_Nhập[Tổng Nhập-NX]*(Data_Nhập[Year]=EI$1)*(Data_Nhập[Month]=EI$2)*(Data_Nhập[Main SKU name_GOM]=$A11)*(Data_Nhập[SKU name_NHẬP_GOM]=EI$3)))</f>
        <v>0</v>
      </c>
      <c r="EJ11" s="24" cm="1">
        <f t="array" ref="EJ11">IF(EJ$2="FY",SUMPRODUCT(Data_Nhập[Tổng Nhập-NX]*(Data_Nhập[Year]=EJ$1)*(Data_Nhập[Main SKU name_GOM]=$A11)*(Data_Nhập[SKU name_NHẬP_GOM]=EJ$3)),SUMPRODUCT(Data_Nhập[Tổng Nhập-NX]*(Data_Nhập[Year]=EJ$1)*(Data_Nhập[Month]=EJ$2)*(Data_Nhập[Main SKU name_GOM]=$A11)*(Data_Nhập[SKU name_NHẬP_GOM]=EJ$3)))</f>
        <v>0</v>
      </c>
      <c r="EK11" s="24" cm="1">
        <f t="array" ref="EK11">IF(EK$2="FY",SUMPRODUCT(Data_Nhập[Tổng Nhập-NX]*(Data_Nhập[Year]=EK$1)*(Data_Nhập[Main SKU name_GOM]=$A11)*(Data_Nhập[SKU name_NHẬP_GOM]=EK$3)),SUMPRODUCT(Data_Nhập[Tổng Nhập-NX]*(Data_Nhập[Year]=EK$1)*(Data_Nhập[Month]=EK$2)*(Data_Nhập[Main SKU name_GOM]=$A11)*(Data_Nhập[SKU name_NHẬP_GOM]=EK$3)))</f>
        <v>0</v>
      </c>
      <c r="EL11" s="24" cm="1">
        <f t="array" ref="EL11">IF(EL$2="FY",SUMPRODUCT(Data_Nhập[Tổng Nhập-NX]*(Data_Nhập[Year]=EL$1)*(Data_Nhập[Main SKU name_GOM]=$A11)*(Data_Nhập[SKU name_NHẬP_GOM]=EL$3)),SUMPRODUCT(Data_Nhập[Tổng Nhập-NX]*(Data_Nhập[Year]=EL$1)*(Data_Nhập[Month]=EL$2)*(Data_Nhập[Main SKU name_GOM]=$A11)*(Data_Nhập[SKU name_NHẬP_GOM]=EL$3)))</f>
        <v>0</v>
      </c>
      <c r="EM11" s="24" cm="1">
        <f t="array" ref="EM11">IF(EM$2="FY",SUMPRODUCT(Data_Nhập[Tổng Nhập-NX]*(Data_Nhập[Year]=EM$1)*(Data_Nhập[Main SKU name_GOM]=$A11)*(Data_Nhập[SKU name_NHẬP_GOM]=EM$3)),SUMPRODUCT(Data_Nhập[Tổng Nhập-NX]*(Data_Nhập[Year]=EM$1)*(Data_Nhập[Month]=EM$2)*(Data_Nhập[Main SKU name_GOM]=$A11)*(Data_Nhập[SKU name_NHẬP_GOM]=EM$3)))</f>
        <v>0</v>
      </c>
      <c r="EN11" s="24" cm="1">
        <f t="array" ref="EN11">IF(EN$2="FY",SUMPRODUCT(Data_Nhập[Tổng Nhập-NX]*(Data_Nhập[Year]=EN$1)*(Data_Nhập[Main SKU name_GOM]=$A11)*(Data_Nhập[SKU name_NHẬP_GOM]=EN$3)),SUMPRODUCT(Data_Nhập[Tổng Nhập-NX]*(Data_Nhập[Year]=EN$1)*(Data_Nhập[Month]=EN$2)*(Data_Nhập[Main SKU name_GOM]=$A11)*(Data_Nhập[SKU name_NHẬP_GOM]=EN$3)))</f>
        <v>19814</v>
      </c>
      <c r="EO11" s="24" cm="1">
        <f t="array" ref="EO11">IF(EO$2="FY",SUMPRODUCT(Data_Nhập[Tổng Nhập-NX]*(Data_Nhập[Year]=EO$1)*(Data_Nhập[Main SKU name_GOM]=$A11)*(Data_Nhập[SKU name_NHẬP_GOM]=EO$3)),SUMPRODUCT(Data_Nhập[Tổng Nhập-NX]*(Data_Nhập[Year]=EO$1)*(Data_Nhập[Month]=EO$2)*(Data_Nhập[Main SKU name_GOM]=$A11)*(Data_Nhập[SKU name_NHẬP_GOM]=EO$3)))</f>
        <v>0</v>
      </c>
      <c r="EP11" s="25">
        <f t="shared" si="19"/>
        <v>340003</v>
      </c>
      <c r="ER11" s="25" cm="1">
        <f t="array" ref="ER11">IF(ER$2="FY",SUMPRODUCT(Data_Xuất[Xuất-NX]*(Data_Xuất[Year]=ER$1)*(Data_Xuất[Main SKU name_GOM]=$A11)),SUMPRODUCT(Data_Xuất[Xuất-NX]*(Data_Xuất[Year]=ER$1)*(Data_Xuất[Main SKU name_GOM]=$A11)*(Data_Xuất[Month]=ER$2)))</f>
        <v>34549</v>
      </c>
      <c r="ES11" s="24" cm="1">
        <f t="array" ref="ES11">IF(ES$2="FY",SUMPRODUCT(Data_Nhập[Tổng Nhập-NX]*(Data_Nhập[Year]=ES$1)*(Data_Nhập[Main SKU name_GOM]=$A11)*(Data_Nhập[SKU name_NHẬP_GOM]=ES$3)),SUMPRODUCT(Data_Nhập[Tổng Nhập-NX]*(Data_Nhập[Year]=ES$1)*(Data_Nhập[Month]=ES$2)*(Data_Nhập[Main SKU name_GOM]=$A11)*(Data_Nhập[SKU name_NHẬP_GOM]=ES$3)))</f>
        <v>0</v>
      </c>
      <c r="ET11" s="24" cm="1">
        <f t="array" ref="ET11">IF(ET$2="FY",SUMPRODUCT(Data_Nhập[Tổng Nhập-NX]*(Data_Nhập[Year]=ET$1)*(Data_Nhập[Main SKU name_GOM]=$A11)*(Data_Nhập[SKU name_NHẬP_GOM]=ET$3)),SUMPRODUCT(Data_Nhập[Tổng Nhập-NX]*(Data_Nhập[Year]=ET$1)*(Data_Nhập[Month]=ET$2)*(Data_Nhập[Main SKU name_GOM]=$A11)*(Data_Nhập[SKU name_NHẬP_GOM]=ET$3)))</f>
        <v>0</v>
      </c>
      <c r="EU11" s="24" cm="1">
        <f t="array" ref="EU11">IF(EU$2="FY",SUMPRODUCT(Data_Nhập[Tổng Nhập-NX]*(Data_Nhập[Year]=EU$1)*(Data_Nhập[Main SKU name_GOM]=$A11)*(Data_Nhập[SKU name_NHẬP_GOM]=EU$3)),SUMPRODUCT(Data_Nhập[Tổng Nhập-NX]*(Data_Nhập[Year]=EU$1)*(Data_Nhập[Month]=EU$2)*(Data_Nhập[Main SKU name_GOM]=$A11)*(Data_Nhập[SKU name_NHẬP_GOM]=EU$3)))</f>
        <v>0</v>
      </c>
      <c r="EV11" s="24" cm="1">
        <f t="array" ref="EV11">IF(EV$2="FY",SUMPRODUCT(Data_Nhập[Tổng Nhập-NX]*(Data_Nhập[Year]=EV$1)*(Data_Nhập[Main SKU name_GOM]=$A11)*(Data_Nhập[SKU name_NHẬP_GOM]=EV$3)),SUMPRODUCT(Data_Nhập[Tổng Nhập-NX]*(Data_Nhập[Year]=EV$1)*(Data_Nhập[Month]=EV$2)*(Data_Nhập[Main SKU name_GOM]=$A11)*(Data_Nhập[SKU name_NHẬP_GOM]=EV$3)))</f>
        <v>0</v>
      </c>
      <c r="EW11" s="24" cm="1">
        <f t="array" ref="EW11">IF(EW$2="FY",SUMPRODUCT(Data_Nhập[Tổng Nhập-NX]*(Data_Nhập[Year]=EW$1)*(Data_Nhập[Main SKU name_GOM]=$A11)*(Data_Nhập[SKU name_NHẬP_GOM]=EW$3)),SUMPRODUCT(Data_Nhập[Tổng Nhập-NX]*(Data_Nhập[Year]=EW$1)*(Data_Nhập[Month]=EW$2)*(Data_Nhập[Main SKU name_GOM]=$A11)*(Data_Nhập[SKU name_NHẬP_GOM]=EW$3)))</f>
        <v>0</v>
      </c>
      <c r="EX11" s="24" cm="1">
        <f t="array" ref="EX11">IF(EX$2="FY",SUMPRODUCT(Data_Nhập[Tổng Nhập-NX]*(Data_Nhập[Year]=EX$1)*(Data_Nhập[Main SKU name_GOM]=$A11)*(Data_Nhập[SKU name_NHẬP_GOM]=EX$3)),SUMPRODUCT(Data_Nhập[Tổng Nhập-NX]*(Data_Nhập[Year]=EX$1)*(Data_Nhập[Month]=EX$2)*(Data_Nhập[Main SKU name_GOM]=$A11)*(Data_Nhập[SKU name_NHẬP_GOM]=EX$3)))</f>
        <v>0</v>
      </c>
      <c r="EY11" s="24" cm="1">
        <f t="array" ref="EY11">IF(EY$2="FY",SUMPRODUCT(Data_Nhập[Tổng Nhập-NX]*(Data_Nhập[Year]=EY$1)*(Data_Nhập[Main SKU name_GOM]=$A11)*(Data_Nhập[SKU name_NHẬP_GOM]=EY$3)),SUMPRODUCT(Data_Nhập[Tổng Nhập-NX]*(Data_Nhập[Year]=EY$1)*(Data_Nhập[Month]=EY$2)*(Data_Nhập[Main SKU name_GOM]=$A11)*(Data_Nhập[SKU name_NHẬP_GOM]=EY$3)))</f>
        <v>30428</v>
      </c>
      <c r="EZ11" s="24" cm="1">
        <f t="array" ref="EZ11">IF(EZ$2="FY",SUMPRODUCT(Data_Nhập[Tổng Nhập-NX]*(Data_Nhập[Year]=EZ$1)*(Data_Nhập[Main SKU name_GOM]=$A11)*(Data_Nhập[SKU name_NHẬP_GOM]=EZ$3)),SUMPRODUCT(Data_Nhập[Tổng Nhập-NX]*(Data_Nhập[Year]=EZ$1)*(Data_Nhập[Month]=EZ$2)*(Data_Nhập[Main SKU name_GOM]=$A11)*(Data_Nhập[SKU name_NHẬP_GOM]=EZ$3)))</f>
        <v>0</v>
      </c>
      <c r="FA11" s="24" cm="1">
        <f t="array" ref="FA11">IF(FA$2="FY",SUMPRODUCT(Data_Nhập[Tổng Nhập-NX]*(Data_Nhập[Year]=FA$1)*(Data_Nhập[Main SKU name_GOM]=$A11)*(Data_Nhập[SKU name_NHẬP_GOM]=FA$3)),SUMPRODUCT(Data_Nhập[Tổng Nhập-NX]*(Data_Nhập[Year]=FA$1)*(Data_Nhập[Month]=FA$2)*(Data_Nhập[Main SKU name_GOM]=$A11)*(Data_Nhập[SKU name_NHẬP_GOM]=FA$3)))</f>
        <v>0</v>
      </c>
      <c r="FB11" s="24" cm="1">
        <f t="array" ref="FB11">IF(FB$2="FY",SUMPRODUCT(Data_Nhập[Tổng Nhập-NX]*(Data_Nhập[Year]=FB$1)*(Data_Nhập[Main SKU name_GOM]=$A11)*(Data_Nhập[SKU name_NHẬP_GOM]=FB$3)),SUMPRODUCT(Data_Nhập[Tổng Nhập-NX]*(Data_Nhập[Year]=FB$1)*(Data_Nhập[Month]=FB$2)*(Data_Nhập[Main SKU name_GOM]=$A11)*(Data_Nhập[SKU name_NHẬP_GOM]=FB$3)))</f>
        <v>0</v>
      </c>
      <c r="FC11" s="24" cm="1">
        <f t="array" ref="FC11">IF(FC$2="FY",SUMPRODUCT(Data_Nhập[Tổng Nhập-NX]*(Data_Nhập[Year]=FC$1)*(Data_Nhập[Main SKU name_GOM]=$A11)*(Data_Nhập[SKU name_NHẬP_GOM]=FC$3)),SUMPRODUCT(Data_Nhập[Tổng Nhập-NX]*(Data_Nhập[Year]=FC$1)*(Data_Nhập[Month]=FC$2)*(Data_Nhập[Main SKU name_GOM]=$A11)*(Data_Nhập[SKU name_NHẬP_GOM]=FC$3)))</f>
        <v>0</v>
      </c>
      <c r="FD11" s="24" cm="1">
        <f t="array" ref="FD11">IF(FD$2="FY",SUMPRODUCT(Data_Nhập[Tổng Nhập-NX]*(Data_Nhập[Year]=FD$1)*(Data_Nhập[Main SKU name_GOM]=$A11)*(Data_Nhập[SKU name_NHẬP_GOM]=FD$3)),SUMPRODUCT(Data_Nhập[Tổng Nhập-NX]*(Data_Nhập[Year]=FD$1)*(Data_Nhập[Month]=FD$2)*(Data_Nhập[Main SKU name_GOM]=$A11)*(Data_Nhập[SKU name_NHẬP_GOM]=FD$3)))</f>
        <v>0</v>
      </c>
      <c r="FE11" s="24" cm="1">
        <f t="array" ref="FE11">IF(FE$2="FY",SUMPRODUCT(Data_Nhập[Tổng Nhập-NX]*(Data_Nhập[Year]=FE$1)*(Data_Nhập[Main SKU name_GOM]=$A11)*(Data_Nhập[SKU name_NHẬP_GOM]=FE$3)),SUMPRODUCT(Data_Nhập[Tổng Nhập-NX]*(Data_Nhập[Year]=FE$1)*(Data_Nhập[Month]=FE$2)*(Data_Nhập[Main SKU name_GOM]=$A11)*(Data_Nhập[SKU name_NHẬP_GOM]=FE$3)))</f>
        <v>0</v>
      </c>
      <c r="FF11" s="24" cm="1">
        <f t="array" ref="FF11">IF(FF$2="FY",SUMPRODUCT(Data_Nhập[Tổng Nhập-NX]*(Data_Nhập[Year]=FF$1)*(Data_Nhập[Main SKU name_GOM]=$A11)*(Data_Nhập[SKU name_NHẬP_GOM]=FF$3)),SUMPRODUCT(Data_Nhập[Tổng Nhập-NX]*(Data_Nhập[Year]=FF$1)*(Data_Nhập[Month]=FF$2)*(Data_Nhập[Main SKU name_GOM]=$A11)*(Data_Nhập[SKU name_NHẬP_GOM]=FF$3)))</f>
        <v>4121</v>
      </c>
      <c r="FG11" s="24" cm="1">
        <f t="array" ref="FG11">IF(FG$2="FY",SUMPRODUCT(Data_Nhập[Tổng Nhập-NX]*(Data_Nhập[Year]=FG$1)*(Data_Nhập[Main SKU name_GOM]=$A11)*(Data_Nhập[SKU name_NHẬP_GOM]=FG$3)),SUMPRODUCT(Data_Nhập[Tổng Nhập-NX]*(Data_Nhập[Year]=FG$1)*(Data_Nhập[Month]=FG$2)*(Data_Nhập[Main SKU name_GOM]=$A11)*(Data_Nhập[SKU name_NHẬP_GOM]=FG$3)))</f>
        <v>0</v>
      </c>
      <c r="FH11" s="25">
        <f t="shared" si="20"/>
        <v>34549</v>
      </c>
      <c r="FJ11" s="25" cm="1">
        <f t="array" ref="FJ11">IF(FJ$2="FY",SUMPRODUCT(Data_Xuất[Xuất-NX]*(Data_Xuất[Year]=FJ$1)*(Data_Xuất[Main SKU name_GOM]=$A11)),SUMPRODUCT(Data_Xuất[Xuất-NX]*(Data_Xuất[Year]=FJ$1)*(Data_Xuất[Main SKU name_GOM]=$A11)*(Data_Xuất[Month]=FJ$2)))</f>
        <v>5000</v>
      </c>
      <c r="FK11" s="24" cm="1">
        <f t="array" ref="FK11">IF(FK$2="FY",SUMPRODUCT(Data_Nhập[Tổng Nhập-NX]*(Data_Nhập[Year]=FK$1)*(Data_Nhập[Main SKU name_GOM]=$A11)*(Data_Nhập[SKU name_NHẬP_GOM]=FK$3)),SUMPRODUCT(Data_Nhập[Tổng Nhập-NX]*(Data_Nhập[Year]=FK$1)*(Data_Nhập[Month]=FK$2)*(Data_Nhập[Main SKU name_GOM]=$A11)*(Data_Nhập[SKU name_NHẬP_GOM]=FK$3)))</f>
        <v>0</v>
      </c>
      <c r="FL11" s="24" cm="1">
        <f t="array" ref="FL11">IF(FL$2="FY",SUMPRODUCT(Data_Nhập[Tổng Nhập-NX]*(Data_Nhập[Year]=FL$1)*(Data_Nhập[Main SKU name_GOM]=$A11)*(Data_Nhập[SKU name_NHẬP_GOM]=FL$3)),SUMPRODUCT(Data_Nhập[Tổng Nhập-NX]*(Data_Nhập[Year]=FL$1)*(Data_Nhập[Month]=FL$2)*(Data_Nhập[Main SKU name_GOM]=$A11)*(Data_Nhập[SKU name_NHẬP_GOM]=FL$3)))</f>
        <v>0</v>
      </c>
      <c r="FM11" s="24" cm="1">
        <f t="array" ref="FM11">IF(FM$2="FY",SUMPRODUCT(Data_Nhập[Tổng Nhập-NX]*(Data_Nhập[Year]=FM$1)*(Data_Nhập[Main SKU name_GOM]=$A11)*(Data_Nhập[SKU name_NHẬP_GOM]=FM$3)),SUMPRODUCT(Data_Nhập[Tổng Nhập-NX]*(Data_Nhập[Year]=FM$1)*(Data_Nhập[Month]=FM$2)*(Data_Nhập[Main SKU name_GOM]=$A11)*(Data_Nhập[SKU name_NHẬP_GOM]=FM$3)))</f>
        <v>0</v>
      </c>
      <c r="FN11" s="24" cm="1">
        <f t="array" ref="FN11">IF(FN$2="FY",SUMPRODUCT(Data_Nhập[Tổng Nhập-NX]*(Data_Nhập[Year]=FN$1)*(Data_Nhập[Main SKU name_GOM]=$A11)*(Data_Nhập[SKU name_NHẬP_GOM]=FN$3)),SUMPRODUCT(Data_Nhập[Tổng Nhập-NX]*(Data_Nhập[Year]=FN$1)*(Data_Nhập[Month]=FN$2)*(Data_Nhập[Main SKU name_GOM]=$A11)*(Data_Nhập[SKU name_NHẬP_GOM]=FN$3)))</f>
        <v>0</v>
      </c>
      <c r="FO11" s="24" cm="1">
        <f t="array" ref="FO11">IF(FO$2="FY",SUMPRODUCT(Data_Nhập[Tổng Nhập-NX]*(Data_Nhập[Year]=FO$1)*(Data_Nhập[Main SKU name_GOM]=$A11)*(Data_Nhập[SKU name_NHẬP_GOM]=FO$3)),SUMPRODUCT(Data_Nhập[Tổng Nhập-NX]*(Data_Nhập[Year]=FO$1)*(Data_Nhập[Month]=FO$2)*(Data_Nhập[Main SKU name_GOM]=$A11)*(Data_Nhập[SKU name_NHẬP_GOM]=FO$3)))</f>
        <v>0</v>
      </c>
      <c r="FP11" s="24" cm="1">
        <f t="array" ref="FP11">IF(FP$2="FY",SUMPRODUCT(Data_Nhập[Tổng Nhập-NX]*(Data_Nhập[Year]=FP$1)*(Data_Nhập[Main SKU name_GOM]=$A11)*(Data_Nhập[SKU name_NHẬP_GOM]=FP$3)),SUMPRODUCT(Data_Nhập[Tổng Nhập-NX]*(Data_Nhập[Year]=FP$1)*(Data_Nhập[Month]=FP$2)*(Data_Nhập[Main SKU name_GOM]=$A11)*(Data_Nhập[SKU name_NHẬP_GOM]=FP$3)))</f>
        <v>0</v>
      </c>
      <c r="FQ11" s="24" cm="1">
        <f t="array" ref="FQ11">IF(FQ$2="FY",SUMPRODUCT(Data_Nhập[Tổng Nhập-NX]*(Data_Nhập[Year]=FQ$1)*(Data_Nhập[Main SKU name_GOM]=$A11)*(Data_Nhập[SKU name_NHẬP_GOM]=FQ$3)),SUMPRODUCT(Data_Nhập[Tổng Nhập-NX]*(Data_Nhập[Year]=FQ$1)*(Data_Nhập[Month]=FQ$2)*(Data_Nhập[Main SKU name_GOM]=$A11)*(Data_Nhập[SKU name_NHẬP_GOM]=FQ$3)))</f>
        <v>3735</v>
      </c>
      <c r="FR11" s="24" cm="1">
        <f t="array" ref="FR11">IF(FR$2="FY",SUMPRODUCT(Data_Nhập[Tổng Nhập-NX]*(Data_Nhập[Year]=FR$1)*(Data_Nhập[Main SKU name_GOM]=$A11)*(Data_Nhập[SKU name_NHẬP_GOM]=FR$3)),SUMPRODUCT(Data_Nhập[Tổng Nhập-NX]*(Data_Nhập[Year]=FR$1)*(Data_Nhập[Month]=FR$2)*(Data_Nhập[Main SKU name_GOM]=$A11)*(Data_Nhập[SKU name_NHẬP_GOM]=FR$3)))</f>
        <v>0</v>
      </c>
      <c r="FS11" s="24" cm="1">
        <f t="array" ref="FS11">IF(FS$2="FY",SUMPRODUCT(Data_Nhập[Tổng Nhập-NX]*(Data_Nhập[Year]=FS$1)*(Data_Nhập[Main SKU name_GOM]=$A11)*(Data_Nhập[SKU name_NHẬP_GOM]=FS$3)),SUMPRODUCT(Data_Nhập[Tổng Nhập-NX]*(Data_Nhập[Year]=FS$1)*(Data_Nhập[Month]=FS$2)*(Data_Nhập[Main SKU name_GOM]=$A11)*(Data_Nhập[SKU name_NHẬP_GOM]=FS$3)))</f>
        <v>0</v>
      </c>
      <c r="FT11" s="24" cm="1">
        <f t="array" ref="FT11">IF(FT$2="FY",SUMPRODUCT(Data_Nhập[Tổng Nhập-NX]*(Data_Nhập[Year]=FT$1)*(Data_Nhập[Main SKU name_GOM]=$A11)*(Data_Nhập[SKU name_NHẬP_GOM]=FT$3)),SUMPRODUCT(Data_Nhập[Tổng Nhập-NX]*(Data_Nhập[Year]=FT$1)*(Data_Nhập[Month]=FT$2)*(Data_Nhập[Main SKU name_GOM]=$A11)*(Data_Nhập[SKU name_NHẬP_GOM]=FT$3)))</f>
        <v>0</v>
      </c>
      <c r="FU11" s="24" cm="1">
        <f t="array" ref="FU11">IF(FU$2="FY",SUMPRODUCT(Data_Nhập[Tổng Nhập-NX]*(Data_Nhập[Year]=FU$1)*(Data_Nhập[Main SKU name_GOM]=$A11)*(Data_Nhập[SKU name_NHẬP_GOM]=FU$3)),SUMPRODUCT(Data_Nhập[Tổng Nhập-NX]*(Data_Nhập[Year]=FU$1)*(Data_Nhập[Month]=FU$2)*(Data_Nhập[Main SKU name_GOM]=$A11)*(Data_Nhập[SKU name_NHẬP_GOM]=FU$3)))</f>
        <v>0</v>
      </c>
      <c r="FV11" s="24" cm="1">
        <f t="array" ref="FV11">IF(FV$2="FY",SUMPRODUCT(Data_Nhập[Tổng Nhập-NX]*(Data_Nhập[Year]=FV$1)*(Data_Nhập[Main SKU name_GOM]=$A11)*(Data_Nhập[SKU name_NHẬP_GOM]=FV$3)),SUMPRODUCT(Data_Nhập[Tổng Nhập-NX]*(Data_Nhập[Year]=FV$1)*(Data_Nhập[Month]=FV$2)*(Data_Nhập[Main SKU name_GOM]=$A11)*(Data_Nhập[SKU name_NHẬP_GOM]=FV$3)))</f>
        <v>0</v>
      </c>
      <c r="FW11" s="24" cm="1">
        <f t="array" ref="FW11">IF(FW$2="FY",SUMPRODUCT(Data_Nhập[Tổng Nhập-NX]*(Data_Nhập[Year]=FW$1)*(Data_Nhập[Main SKU name_GOM]=$A11)*(Data_Nhập[SKU name_NHẬP_GOM]=FW$3)),SUMPRODUCT(Data_Nhập[Tổng Nhập-NX]*(Data_Nhập[Year]=FW$1)*(Data_Nhập[Month]=FW$2)*(Data_Nhập[Main SKU name_GOM]=$A11)*(Data_Nhập[SKU name_NHẬP_GOM]=FW$3)))</f>
        <v>0</v>
      </c>
      <c r="FX11" s="24" cm="1">
        <f t="array" ref="FX11">IF(FX$2="FY",SUMPRODUCT(Data_Nhập[Tổng Nhập-NX]*(Data_Nhập[Year]=FX$1)*(Data_Nhập[Main SKU name_GOM]=$A11)*(Data_Nhập[SKU name_NHẬP_GOM]=FX$3)),SUMPRODUCT(Data_Nhập[Tổng Nhập-NX]*(Data_Nhập[Year]=FX$1)*(Data_Nhập[Month]=FX$2)*(Data_Nhập[Main SKU name_GOM]=$A11)*(Data_Nhập[SKU name_NHẬP_GOM]=FX$3)))</f>
        <v>1265</v>
      </c>
      <c r="FY11" s="24" cm="1">
        <f t="array" ref="FY11">IF(FY$2="FY",SUMPRODUCT(Data_Nhập[Tổng Nhập-NX]*(Data_Nhập[Year]=FY$1)*(Data_Nhập[Main SKU name_GOM]=$A11)*(Data_Nhập[SKU name_NHẬP_GOM]=FY$3)),SUMPRODUCT(Data_Nhập[Tổng Nhập-NX]*(Data_Nhập[Year]=FY$1)*(Data_Nhập[Month]=FY$2)*(Data_Nhập[Main SKU name_GOM]=$A11)*(Data_Nhập[SKU name_NHẬP_GOM]=FY$3)))</f>
        <v>0</v>
      </c>
      <c r="FZ11" s="25">
        <f t="shared" si="21"/>
        <v>5000</v>
      </c>
      <c r="GB11" s="25" cm="1">
        <f t="array" ref="GB11">IF(GB$2="FY",SUMPRODUCT(Data_Xuất[Xuất-NX]*(Data_Xuất[Year]=GB$1)*(Data_Xuất[Main SKU name_GOM]=$A11)),SUMPRODUCT(Data_Xuất[Xuất-NX]*(Data_Xuất[Year]=GB$1)*(Data_Xuất[Main SKU name_GOM]=$A11)*(Data_Xuất[Month]=GB$2)))</f>
        <v>34400</v>
      </c>
      <c r="GC11" s="24" cm="1">
        <f t="array" ref="GC11">IF(GC$2="FY",SUMPRODUCT(Data_Nhập[Tổng Nhập-NX]*(Data_Nhập[Year]=GC$1)*(Data_Nhập[Main SKU name_GOM]=$A11)*(Data_Nhập[SKU name_NHẬP_GOM]=GC$3)),SUMPRODUCT(Data_Nhập[Tổng Nhập-NX]*(Data_Nhập[Year]=GC$1)*(Data_Nhập[Month]=GC$2)*(Data_Nhập[Main SKU name_GOM]=$A11)*(Data_Nhập[SKU name_NHẬP_GOM]=GC$3)))</f>
        <v>0</v>
      </c>
      <c r="GD11" s="24" cm="1">
        <f t="array" ref="GD11">IF(GD$2="FY",SUMPRODUCT(Data_Nhập[Tổng Nhập-NX]*(Data_Nhập[Year]=GD$1)*(Data_Nhập[Main SKU name_GOM]=$A11)*(Data_Nhập[SKU name_NHẬP_GOM]=GD$3)),SUMPRODUCT(Data_Nhập[Tổng Nhập-NX]*(Data_Nhập[Year]=GD$1)*(Data_Nhập[Month]=GD$2)*(Data_Nhập[Main SKU name_GOM]=$A11)*(Data_Nhập[SKU name_NHẬP_GOM]=GD$3)))</f>
        <v>0</v>
      </c>
      <c r="GE11" s="24" cm="1">
        <f t="array" ref="GE11">IF(GE$2="FY",SUMPRODUCT(Data_Nhập[Tổng Nhập-NX]*(Data_Nhập[Year]=GE$1)*(Data_Nhập[Main SKU name_GOM]=$A11)*(Data_Nhập[SKU name_NHẬP_GOM]=GE$3)),SUMPRODUCT(Data_Nhập[Tổng Nhập-NX]*(Data_Nhập[Year]=GE$1)*(Data_Nhập[Month]=GE$2)*(Data_Nhập[Main SKU name_GOM]=$A11)*(Data_Nhập[SKU name_NHẬP_GOM]=GE$3)))</f>
        <v>0</v>
      </c>
      <c r="GF11" s="24" cm="1">
        <f t="array" ref="GF11">IF(GF$2="FY",SUMPRODUCT(Data_Nhập[Tổng Nhập-NX]*(Data_Nhập[Year]=GF$1)*(Data_Nhập[Main SKU name_GOM]=$A11)*(Data_Nhập[SKU name_NHẬP_GOM]=GF$3)),SUMPRODUCT(Data_Nhập[Tổng Nhập-NX]*(Data_Nhập[Year]=GF$1)*(Data_Nhập[Month]=GF$2)*(Data_Nhập[Main SKU name_GOM]=$A11)*(Data_Nhập[SKU name_NHẬP_GOM]=GF$3)))</f>
        <v>0</v>
      </c>
      <c r="GG11" s="24" cm="1">
        <f t="array" ref="GG11">IF(GG$2="FY",SUMPRODUCT(Data_Nhập[Tổng Nhập-NX]*(Data_Nhập[Year]=GG$1)*(Data_Nhập[Main SKU name_GOM]=$A11)*(Data_Nhập[SKU name_NHẬP_GOM]=GG$3)),SUMPRODUCT(Data_Nhập[Tổng Nhập-NX]*(Data_Nhập[Year]=GG$1)*(Data_Nhập[Month]=GG$2)*(Data_Nhập[Main SKU name_GOM]=$A11)*(Data_Nhập[SKU name_NHẬP_GOM]=GG$3)))</f>
        <v>0</v>
      </c>
      <c r="GH11" s="24" cm="1">
        <f t="array" ref="GH11">IF(GH$2="FY",SUMPRODUCT(Data_Nhập[Tổng Nhập-NX]*(Data_Nhập[Year]=GH$1)*(Data_Nhập[Main SKU name_GOM]=$A11)*(Data_Nhập[SKU name_NHẬP_GOM]=GH$3)),SUMPRODUCT(Data_Nhập[Tổng Nhập-NX]*(Data_Nhập[Year]=GH$1)*(Data_Nhập[Month]=GH$2)*(Data_Nhập[Main SKU name_GOM]=$A11)*(Data_Nhập[SKU name_NHẬP_GOM]=GH$3)))</f>
        <v>0</v>
      </c>
      <c r="GI11" s="24" cm="1">
        <f t="array" ref="GI11">IF(GI$2="FY",SUMPRODUCT(Data_Nhập[Tổng Nhập-NX]*(Data_Nhập[Year]=GI$1)*(Data_Nhập[Main SKU name_GOM]=$A11)*(Data_Nhập[SKU name_NHẬP_GOM]=GI$3)),SUMPRODUCT(Data_Nhập[Tổng Nhập-NX]*(Data_Nhập[Year]=GI$1)*(Data_Nhập[Month]=GI$2)*(Data_Nhập[Main SKU name_GOM]=$A11)*(Data_Nhập[SKU name_NHẬP_GOM]=GI$3)))</f>
        <v>27500</v>
      </c>
      <c r="GJ11" s="24" cm="1">
        <f t="array" ref="GJ11">IF(GJ$2="FY",SUMPRODUCT(Data_Nhập[Tổng Nhập-NX]*(Data_Nhập[Year]=GJ$1)*(Data_Nhập[Main SKU name_GOM]=$A11)*(Data_Nhập[SKU name_NHẬP_GOM]=GJ$3)),SUMPRODUCT(Data_Nhập[Tổng Nhập-NX]*(Data_Nhập[Year]=GJ$1)*(Data_Nhập[Month]=GJ$2)*(Data_Nhập[Main SKU name_GOM]=$A11)*(Data_Nhập[SKU name_NHẬP_GOM]=GJ$3)))</f>
        <v>0</v>
      </c>
      <c r="GK11" s="24" cm="1">
        <f t="array" ref="GK11">IF(GK$2="FY",SUMPRODUCT(Data_Nhập[Tổng Nhập-NX]*(Data_Nhập[Year]=GK$1)*(Data_Nhập[Main SKU name_GOM]=$A11)*(Data_Nhập[SKU name_NHẬP_GOM]=GK$3)),SUMPRODUCT(Data_Nhập[Tổng Nhập-NX]*(Data_Nhập[Year]=GK$1)*(Data_Nhập[Month]=GK$2)*(Data_Nhập[Main SKU name_GOM]=$A11)*(Data_Nhập[SKU name_NHẬP_GOM]=GK$3)))</f>
        <v>0</v>
      </c>
      <c r="GL11" s="24" cm="1">
        <f t="array" ref="GL11">IF(GL$2="FY",SUMPRODUCT(Data_Nhập[Tổng Nhập-NX]*(Data_Nhập[Year]=GL$1)*(Data_Nhập[Main SKU name_GOM]=$A11)*(Data_Nhập[SKU name_NHẬP_GOM]=GL$3)),SUMPRODUCT(Data_Nhập[Tổng Nhập-NX]*(Data_Nhập[Year]=GL$1)*(Data_Nhập[Month]=GL$2)*(Data_Nhập[Main SKU name_GOM]=$A11)*(Data_Nhập[SKU name_NHẬP_GOM]=GL$3)))</f>
        <v>0</v>
      </c>
      <c r="GM11" s="24" cm="1">
        <f t="array" ref="GM11">IF(GM$2="FY",SUMPRODUCT(Data_Nhập[Tổng Nhập-NX]*(Data_Nhập[Year]=GM$1)*(Data_Nhập[Main SKU name_GOM]=$A11)*(Data_Nhập[SKU name_NHẬP_GOM]=GM$3)),SUMPRODUCT(Data_Nhập[Tổng Nhập-NX]*(Data_Nhập[Year]=GM$1)*(Data_Nhập[Month]=GM$2)*(Data_Nhập[Main SKU name_GOM]=$A11)*(Data_Nhập[SKU name_NHẬP_GOM]=GM$3)))</f>
        <v>0</v>
      </c>
      <c r="GN11" s="24" cm="1">
        <f t="array" ref="GN11">IF(GN$2="FY",SUMPRODUCT(Data_Nhập[Tổng Nhập-NX]*(Data_Nhập[Year]=GN$1)*(Data_Nhập[Main SKU name_GOM]=$A11)*(Data_Nhập[SKU name_NHẬP_GOM]=GN$3)),SUMPRODUCT(Data_Nhập[Tổng Nhập-NX]*(Data_Nhập[Year]=GN$1)*(Data_Nhập[Month]=GN$2)*(Data_Nhập[Main SKU name_GOM]=$A11)*(Data_Nhập[SKU name_NHẬP_GOM]=GN$3)))</f>
        <v>0</v>
      </c>
      <c r="GO11" s="24" cm="1">
        <f t="array" ref="GO11">IF(GO$2="FY",SUMPRODUCT(Data_Nhập[Tổng Nhập-NX]*(Data_Nhập[Year]=GO$1)*(Data_Nhập[Main SKU name_GOM]=$A11)*(Data_Nhập[SKU name_NHẬP_GOM]=GO$3)),SUMPRODUCT(Data_Nhập[Tổng Nhập-NX]*(Data_Nhập[Year]=GO$1)*(Data_Nhập[Month]=GO$2)*(Data_Nhập[Main SKU name_GOM]=$A11)*(Data_Nhập[SKU name_NHẬP_GOM]=GO$3)))</f>
        <v>0</v>
      </c>
      <c r="GP11" s="24" cm="1">
        <f t="array" ref="GP11">IF(GP$2="FY",SUMPRODUCT(Data_Nhập[Tổng Nhập-NX]*(Data_Nhập[Year]=GP$1)*(Data_Nhập[Main SKU name_GOM]=$A11)*(Data_Nhập[SKU name_NHẬP_GOM]=GP$3)),SUMPRODUCT(Data_Nhập[Tổng Nhập-NX]*(Data_Nhập[Year]=GP$1)*(Data_Nhập[Month]=GP$2)*(Data_Nhập[Main SKU name_GOM]=$A11)*(Data_Nhập[SKU name_NHẬP_GOM]=GP$3)))</f>
        <v>6849</v>
      </c>
      <c r="GQ11" s="24" cm="1">
        <f t="array" ref="GQ11">IF(GQ$2="FY",SUMPRODUCT(Data_Nhập[Tổng Nhập-NX]*(Data_Nhập[Year]=GQ$1)*(Data_Nhập[Main SKU name_GOM]=$A11)*(Data_Nhập[SKU name_NHẬP_GOM]=GQ$3)),SUMPRODUCT(Data_Nhập[Tổng Nhập-NX]*(Data_Nhập[Year]=GQ$1)*(Data_Nhập[Month]=GQ$2)*(Data_Nhập[Main SKU name_GOM]=$A11)*(Data_Nhập[SKU name_NHẬP_GOM]=GQ$3)))</f>
        <v>0</v>
      </c>
      <c r="GR11" s="25">
        <f t="shared" si="22"/>
        <v>34349</v>
      </c>
      <c r="GT11" s="25" cm="1">
        <f t="array" ref="GT11">IF(GT$2="FY",SUMPRODUCT(Data_Xuất[Xuất-NX]*(Data_Xuất[Year]=GT$1)*(Data_Xuất[Main SKU name_GOM]=$A11)),SUMPRODUCT(Data_Xuất[Xuất-NX]*(Data_Xuất[Year]=GT$1)*(Data_Xuất[Main SKU name_GOM]=$A11)*(Data_Xuất[Month]=GT$2)))</f>
        <v>161087</v>
      </c>
      <c r="GU11" s="24" cm="1">
        <f t="array" ref="GU11">IF(GU$2="FY",SUMPRODUCT(Data_Nhập[Tổng Nhập-NX]*(Data_Nhập[Year]=GU$1)*(Data_Nhập[Main SKU name_GOM]=$A11)*(Data_Nhập[SKU name_NHẬP_GOM]=GU$3)),SUMPRODUCT(Data_Nhập[Tổng Nhập-NX]*(Data_Nhập[Year]=GU$1)*(Data_Nhập[Month]=GU$2)*(Data_Nhập[Main SKU name_GOM]=$A11)*(Data_Nhập[SKU name_NHẬP_GOM]=GU$3)))</f>
        <v>0</v>
      </c>
      <c r="GV11" s="24" cm="1">
        <f t="array" ref="GV11">IF(GV$2="FY",SUMPRODUCT(Data_Nhập[Tổng Nhập-NX]*(Data_Nhập[Year]=GV$1)*(Data_Nhập[Main SKU name_GOM]=$A11)*(Data_Nhập[SKU name_NHẬP_GOM]=GV$3)),SUMPRODUCT(Data_Nhập[Tổng Nhập-NX]*(Data_Nhập[Year]=GV$1)*(Data_Nhập[Month]=GV$2)*(Data_Nhập[Main SKU name_GOM]=$A11)*(Data_Nhập[SKU name_NHẬP_GOM]=GV$3)))</f>
        <v>0</v>
      </c>
      <c r="GW11" s="24" cm="1">
        <f t="array" ref="GW11">IF(GW$2="FY",SUMPRODUCT(Data_Nhập[Tổng Nhập-NX]*(Data_Nhập[Year]=GW$1)*(Data_Nhập[Main SKU name_GOM]=$A11)*(Data_Nhập[SKU name_NHẬP_GOM]=GW$3)),SUMPRODUCT(Data_Nhập[Tổng Nhập-NX]*(Data_Nhập[Year]=GW$1)*(Data_Nhập[Month]=GW$2)*(Data_Nhập[Main SKU name_GOM]=$A11)*(Data_Nhập[SKU name_NHẬP_GOM]=GW$3)))</f>
        <v>0</v>
      </c>
      <c r="GX11" s="24" cm="1">
        <f t="array" ref="GX11">IF(GX$2="FY",SUMPRODUCT(Data_Nhập[Tổng Nhập-NX]*(Data_Nhập[Year]=GX$1)*(Data_Nhập[Main SKU name_GOM]=$A11)*(Data_Nhập[SKU name_NHẬP_GOM]=GX$3)),SUMPRODUCT(Data_Nhập[Tổng Nhập-NX]*(Data_Nhập[Year]=GX$1)*(Data_Nhập[Month]=GX$2)*(Data_Nhập[Main SKU name_GOM]=$A11)*(Data_Nhập[SKU name_NHẬP_GOM]=GX$3)))</f>
        <v>0</v>
      </c>
      <c r="GY11" s="24" cm="1">
        <f t="array" ref="GY11">IF(GY$2="FY",SUMPRODUCT(Data_Nhập[Tổng Nhập-NX]*(Data_Nhập[Year]=GY$1)*(Data_Nhập[Main SKU name_GOM]=$A11)*(Data_Nhập[SKU name_NHẬP_GOM]=GY$3)),SUMPRODUCT(Data_Nhập[Tổng Nhập-NX]*(Data_Nhập[Year]=GY$1)*(Data_Nhập[Month]=GY$2)*(Data_Nhập[Main SKU name_GOM]=$A11)*(Data_Nhập[SKU name_NHẬP_GOM]=GY$3)))</f>
        <v>0</v>
      </c>
      <c r="GZ11" s="24" cm="1">
        <f t="array" ref="GZ11">IF(GZ$2="FY",SUMPRODUCT(Data_Nhập[Tổng Nhập-NX]*(Data_Nhập[Year]=GZ$1)*(Data_Nhập[Main SKU name_GOM]=$A11)*(Data_Nhập[SKU name_NHẬP_GOM]=GZ$3)),SUMPRODUCT(Data_Nhập[Tổng Nhập-NX]*(Data_Nhập[Year]=GZ$1)*(Data_Nhập[Month]=GZ$2)*(Data_Nhập[Main SKU name_GOM]=$A11)*(Data_Nhập[SKU name_NHẬP_GOM]=GZ$3)))</f>
        <v>0</v>
      </c>
      <c r="HA11" s="24" cm="1">
        <f t="array" ref="HA11">IF(HA$2="FY",SUMPRODUCT(Data_Nhập[Tổng Nhập-NX]*(Data_Nhập[Year]=HA$1)*(Data_Nhập[Main SKU name_GOM]=$A11)*(Data_Nhập[SKU name_NHẬP_GOM]=HA$3)),SUMPRODUCT(Data_Nhập[Tổng Nhập-NX]*(Data_Nhập[Year]=HA$1)*(Data_Nhập[Month]=HA$2)*(Data_Nhập[Main SKU name_GOM]=$A11)*(Data_Nhập[SKU name_NHẬP_GOM]=HA$3)))</f>
        <v>151586</v>
      </c>
      <c r="HB11" s="24" cm="1">
        <f t="array" ref="HB11">IF(HB$2="FY",SUMPRODUCT(Data_Nhập[Tổng Nhập-NX]*(Data_Nhập[Year]=HB$1)*(Data_Nhập[Main SKU name_GOM]=$A11)*(Data_Nhập[SKU name_NHẬP_GOM]=HB$3)),SUMPRODUCT(Data_Nhập[Tổng Nhập-NX]*(Data_Nhập[Year]=HB$1)*(Data_Nhập[Month]=HB$2)*(Data_Nhập[Main SKU name_GOM]=$A11)*(Data_Nhập[SKU name_NHẬP_GOM]=HB$3)))</f>
        <v>0</v>
      </c>
      <c r="HC11" s="24" cm="1">
        <f t="array" ref="HC11">IF(HC$2="FY",SUMPRODUCT(Data_Nhập[Tổng Nhập-NX]*(Data_Nhập[Year]=HC$1)*(Data_Nhập[Main SKU name_GOM]=$A11)*(Data_Nhập[SKU name_NHẬP_GOM]=HC$3)),SUMPRODUCT(Data_Nhập[Tổng Nhập-NX]*(Data_Nhập[Year]=HC$1)*(Data_Nhập[Month]=HC$2)*(Data_Nhập[Main SKU name_GOM]=$A11)*(Data_Nhập[SKU name_NHẬP_GOM]=HC$3)))</f>
        <v>0</v>
      </c>
      <c r="HD11" s="24" cm="1">
        <f t="array" ref="HD11">IF(HD$2="FY",SUMPRODUCT(Data_Nhập[Tổng Nhập-NX]*(Data_Nhập[Year]=HD$1)*(Data_Nhập[Main SKU name_GOM]=$A11)*(Data_Nhập[SKU name_NHẬP_GOM]=HD$3)),SUMPRODUCT(Data_Nhập[Tổng Nhập-NX]*(Data_Nhập[Year]=HD$1)*(Data_Nhập[Month]=HD$2)*(Data_Nhập[Main SKU name_GOM]=$A11)*(Data_Nhập[SKU name_NHẬP_GOM]=HD$3)))</f>
        <v>0</v>
      </c>
      <c r="HE11" s="24" cm="1">
        <f t="array" ref="HE11">IF(HE$2="FY",SUMPRODUCT(Data_Nhập[Tổng Nhập-NX]*(Data_Nhập[Year]=HE$1)*(Data_Nhập[Main SKU name_GOM]=$A11)*(Data_Nhập[SKU name_NHẬP_GOM]=HE$3)),SUMPRODUCT(Data_Nhập[Tổng Nhập-NX]*(Data_Nhập[Year]=HE$1)*(Data_Nhập[Month]=HE$2)*(Data_Nhập[Main SKU name_GOM]=$A11)*(Data_Nhập[SKU name_NHẬP_GOM]=HE$3)))</f>
        <v>0</v>
      </c>
      <c r="HF11" s="24" cm="1">
        <f t="array" ref="HF11">IF(HF$2="FY",SUMPRODUCT(Data_Nhập[Tổng Nhập-NX]*(Data_Nhập[Year]=HF$1)*(Data_Nhập[Main SKU name_GOM]=$A11)*(Data_Nhập[SKU name_NHẬP_GOM]=HF$3)),SUMPRODUCT(Data_Nhập[Tổng Nhập-NX]*(Data_Nhập[Year]=HF$1)*(Data_Nhập[Month]=HF$2)*(Data_Nhập[Main SKU name_GOM]=$A11)*(Data_Nhập[SKU name_NHẬP_GOM]=HF$3)))</f>
        <v>0</v>
      </c>
      <c r="HG11" s="24" cm="1">
        <f t="array" ref="HG11">IF(HG$2="FY",SUMPRODUCT(Data_Nhập[Tổng Nhập-NX]*(Data_Nhập[Year]=HG$1)*(Data_Nhập[Main SKU name_GOM]=$A11)*(Data_Nhập[SKU name_NHẬP_GOM]=HG$3)),SUMPRODUCT(Data_Nhập[Tổng Nhập-NX]*(Data_Nhập[Year]=HG$1)*(Data_Nhập[Month]=HG$2)*(Data_Nhập[Main SKU name_GOM]=$A11)*(Data_Nhập[SKU name_NHẬP_GOM]=HG$3)))</f>
        <v>0</v>
      </c>
      <c r="HH11" s="24" cm="1">
        <f t="array" ref="HH11">IF(HH$2="FY",SUMPRODUCT(Data_Nhập[Tổng Nhập-NX]*(Data_Nhập[Year]=HH$1)*(Data_Nhập[Main SKU name_GOM]=$A11)*(Data_Nhập[SKU name_NHẬP_GOM]=HH$3)),SUMPRODUCT(Data_Nhập[Tổng Nhập-NX]*(Data_Nhập[Year]=HH$1)*(Data_Nhập[Month]=HH$2)*(Data_Nhập[Main SKU name_GOM]=$A11)*(Data_Nhập[SKU name_NHẬP_GOM]=HH$3)))</f>
        <v>9501</v>
      </c>
      <c r="HI11" s="24" cm="1">
        <f t="array" ref="HI11">IF(HI$2="FY",SUMPRODUCT(Data_Nhập[Tổng Nhập-NX]*(Data_Nhập[Year]=HI$1)*(Data_Nhập[Main SKU name_GOM]=$A11)*(Data_Nhập[SKU name_NHẬP_GOM]=HI$3)),SUMPRODUCT(Data_Nhập[Tổng Nhập-NX]*(Data_Nhập[Year]=HI$1)*(Data_Nhập[Month]=HI$2)*(Data_Nhập[Main SKU name_GOM]=$A11)*(Data_Nhập[SKU name_NHẬP_GOM]=HI$3)))</f>
        <v>0</v>
      </c>
      <c r="HJ11" s="25">
        <f t="shared" si="23"/>
        <v>161087</v>
      </c>
      <c r="HL11" s="25" cm="1">
        <f t="array" ref="HL11">IF(HL$2="FY",SUMPRODUCT(Data_Xuất[Xuất-NX]*(Data_Xuất[Year]=HL$1)*(Data_Xuất[Main SKU name_GOM]=$A11)),SUMPRODUCT(Data_Xuất[Xuất-NX]*(Data_Xuất[Year]=HL$1)*(Data_Xuất[Main SKU name_GOM]=$A11)*(Data_Xuất[Month]=HL$2)))</f>
        <v>152550</v>
      </c>
      <c r="HM11" s="24" cm="1">
        <f t="array" ref="HM11">IF(HM$2="FY",SUMPRODUCT(Data_Nhập[Tổng Nhập-NX]*(Data_Nhập[Year]=HM$1)*(Data_Nhập[Main SKU name_GOM]=$A11)*(Data_Nhập[SKU name_NHẬP_GOM]=HM$3)),SUMPRODUCT(Data_Nhập[Tổng Nhập-NX]*(Data_Nhập[Year]=HM$1)*(Data_Nhập[Month]=HM$2)*(Data_Nhập[Main SKU name_GOM]=$A11)*(Data_Nhập[SKU name_NHẬP_GOM]=HM$3)))</f>
        <v>0</v>
      </c>
      <c r="HN11" s="24" cm="1">
        <f t="array" ref="HN11">IF(HN$2="FY",SUMPRODUCT(Data_Nhập[Tổng Nhập-NX]*(Data_Nhập[Year]=HN$1)*(Data_Nhập[Main SKU name_GOM]=$A11)*(Data_Nhập[SKU name_NHẬP_GOM]=HN$3)),SUMPRODUCT(Data_Nhập[Tổng Nhập-NX]*(Data_Nhập[Year]=HN$1)*(Data_Nhập[Month]=HN$2)*(Data_Nhập[Main SKU name_GOM]=$A11)*(Data_Nhập[SKU name_NHẬP_GOM]=HN$3)))</f>
        <v>0</v>
      </c>
      <c r="HO11" s="24" cm="1">
        <f t="array" ref="HO11">IF(HO$2="FY",SUMPRODUCT(Data_Nhập[Tổng Nhập-NX]*(Data_Nhập[Year]=HO$1)*(Data_Nhập[Main SKU name_GOM]=$A11)*(Data_Nhập[SKU name_NHẬP_GOM]=HO$3)),SUMPRODUCT(Data_Nhập[Tổng Nhập-NX]*(Data_Nhập[Year]=HO$1)*(Data_Nhập[Month]=HO$2)*(Data_Nhập[Main SKU name_GOM]=$A11)*(Data_Nhập[SKU name_NHẬP_GOM]=HO$3)))</f>
        <v>0</v>
      </c>
      <c r="HP11" s="24" cm="1">
        <f t="array" ref="HP11">IF(HP$2="FY",SUMPRODUCT(Data_Nhập[Tổng Nhập-NX]*(Data_Nhập[Year]=HP$1)*(Data_Nhập[Main SKU name_GOM]=$A11)*(Data_Nhập[SKU name_NHẬP_GOM]=HP$3)),SUMPRODUCT(Data_Nhập[Tổng Nhập-NX]*(Data_Nhập[Year]=HP$1)*(Data_Nhập[Month]=HP$2)*(Data_Nhập[Main SKU name_GOM]=$A11)*(Data_Nhập[SKU name_NHẬP_GOM]=HP$3)))</f>
        <v>0</v>
      </c>
      <c r="HQ11" s="24" cm="1">
        <f t="array" ref="HQ11">IF(HQ$2="FY",SUMPRODUCT(Data_Nhập[Tổng Nhập-NX]*(Data_Nhập[Year]=HQ$1)*(Data_Nhập[Main SKU name_GOM]=$A11)*(Data_Nhập[SKU name_NHẬP_GOM]=HQ$3)),SUMPRODUCT(Data_Nhập[Tổng Nhập-NX]*(Data_Nhập[Year]=HQ$1)*(Data_Nhập[Month]=HQ$2)*(Data_Nhập[Main SKU name_GOM]=$A11)*(Data_Nhập[SKU name_NHẬP_GOM]=HQ$3)))</f>
        <v>0</v>
      </c>
      <c r="HR11" s="24" cm="1">
        <f t="array" ref="HR11">IF(HR$2="FY",SUMPRODUCT(Data_Nhập[Tổng Nhập-NX]*(Data_Nhập[Year]=HR$1)*(Data_Nhập[Main SKU name_GOM]=$A11)*(Data_Nhập[SKU name_NHẬP_GOM]=HR$3)),SUMPRODUCT(Data_Nhập[Tổng Nhập-NX]*(Data_Nhập[Year]=HR$1)*(Data_Nhập[Month]=HR$2)*(Data_Nhập[Main SKU name_GOM]=$A11)*(Data_Nhập[SKU name_NHẬP_GOM]=HR$3)))</f>
        <v>0</v>
      </c>
      <c r="HS11" s="24" cm="1">
        <f t="array" ref="HS11">IF(HS$2="FY",SUMPRODUCT(Data_Nhập[Tổng Nhập-NX]*(Data_Nhập[Year]=HS$1)*(Data_Nhập[Main SKU name_GOM]=$A11)*(Data_Nhập[SKU name_NHẬP_GOM]=HS$3)),SUMPRODUCT(Data_Nhập[Tổng Nhập-NX]*(Data_Nhập[Year]=HS$1)*(Data_Nhập[Month]=HS$2)*(Data_Nhập[Main SKU name_GOM]=$A11)*(Data_Nhập[SKU name_NHẬP_GOM]=HS$3)))</f>
        <v>128482</v>
      </c>
      <c r="HT11" s="24" cm="1">
        <f t="array" ref="HT11">IF(HT$2="FY",SUMPRODUCT(Data_Nhập[Tổng Nhập-NX]*(Data_Nhập[Year]=HT$1)*(Data_Nhập[Main SKU name_GOM]=$A11)*(Data_Nhập[SKU name_NHẬP_GOM]=HT$3)),SUMPRODUCT(Data_Nhập[Tổng Nhập-NX]*(Data_Nhập[Year]=HT$1)*(Data_Nhập[Month]=HT$2)*(Data_Nhập[Main SKU name_GOM]=$A11)*(Data_Nhập[SKU name_NHẬP_GOM]=HT$3)))</f>
        <v>5500</v>
      </c>
      <c r="HU11" s="24" cm="1">
        <f t="array" ref="HU11">IF(HU$2="FY",SUMPRODUCT(Data_Nhập[Tổng Nhập-NX]*(Data_Nhập[Year]=HU$1)*(Data_Nhập[Main SKU name_GOM]=$A11)*(Data_Nhập[SKU name_NHẬP_GOM]=HU$3)),SUMPRODUCT(Data_Nhập[Tổng Nhập-NX]*(Data_Nhập[Year]=HU$1)*(Data_Nhập[Month]=HU$2)*(Data_Nhập[Main SKU name_GOM]=$A11)*(Data_Nhập[SKU name_NHẬP_GOM]=HU$3)))</f>
        <v>0</v>
      </c>
      <c r="HV11" s="24" cm="1">
        <f t="array" ref="HV11">IF(HV$2="FY",SUMPRODUCT(Data_Nhập[Tổng Nhập-NX]*(Data_Nhập[Year]=HV$1)*(Data_Nhập[Main SKU name_GOM]=$A11)*(Data_Nhập[SKU name_NHẬP_GOM]=HV$3)),SUMPRODUCT(Data_Nhập[Tổng Nhập-NX]*(Data_Nhập[Year]=HV$1)*(Data_Nhập[Month]=HV$2)*(Data_Nhập[Main SKU name_GOM]=$A11)*(Data_Nhập[SKU name_NHẬP_GOM]=HV$3)))</f>
        <v>0</v>
      </c>
      <c r="HW11" s="24" cm="1">
        <f t="array" ref="HW11">IF(HW$2="FY",SUMPRODUCT(Data_Nhập[Tổng Nhập-NX]*(Data_Nhập[Year]=HW$1)*(Data_Nhập[Main SKU name_GOM]=$A11)*(Data_Nhập[SKU name_NHẬP_GOM]=HW$3)),SUMPRODUCT(Data_Nhập[Tổng Nhập-NX]*(Data_Nhập[Year]=HW$1)*(Data_Nhập[Month]=HW$2)*(Data_Nhập[Main SKU name_GOM]=$A11)*(Data_Nhập[SKU name_NHẬP_GOM]=HW$3)))</f>
        <v>0</v>
      </c>
      <c r="HX11" s="24" cm="1">
        <f t="array" ref="HX11">IF(HX$2="FY",SUMPRODUCT(Data_Nhập[Tổng Nhập-NX]*(Data_Nhập[Year]=HX$1)*(Data_Nhập[Main SKU name_GOM]=$A11)*(Data_Nhập[SKU name_NHẬP_GOM]=HX$3)),SUMPRODUCT(Data_Nhập[Tổng Nhập-NX]*(Data_Nhập[Year]=HX$1)*(Data_Nhập[Month]=HX$2)*(Data_Nhập[Main SKU name_GOM]=$A11)*(Data_Nhập[SKU name_NHẬP_GOM]=HX$3)))</f>
        <v>0</v>
      </c>
      <c r="HY11" s="24" cm="1">
        <f t="array" ref="HY11">IF(HY$2="FY",SUMPRODUCT(Data_Nhập[Tổng Nhập-NX]*(Data_Nhập[Year]=HY$1)*(Data_Nhập[Main SKU name_GOM]=$A11)*(Data_Nhập[SKU name_NHẬP_GOM]=HY$3)),SUMPRODUCT(Data_Nhập[Tổng Nhập-NX]*(Data_Nhập[Year]=HY$1)*(Data_Nhập[Month]=HY$2)*(Data_Nhập[Main SKU name_GOM]=$A11)*(Data_Nhập[SKU name_NHẬP_GOM]=HY$3)))</f>
        <v>0</v>
      </c>
      <c r="HZ11" s="24" cm="1">
        <f t="array" ref="HZ11">IF(HZ$2="FY",SUMPRODUCT(Data_Nhập[Tổng Nhập-NX]*(Data_Nhập[Year]=HZ$1)*(Data_Nhập[Main SKU name_GOM]=$A11)*(Data_Nhập[SKU name_NHẬP_GOM]=HZ$3)),SUMPRODUCT(Data_Nhập[Tổng Nhập-NX]*(Data_Nhập[Year]=HZ$1)*(Data_Nhập[Month]=HZ$2)*(Data_Nhập[Main SKU name_GOM]=$A11)*(Data_Nhập[SKU name_NHẬP_GOM]=HZ$3)))</f>
        <v>18516</v>
      </c>
      <c r="IA11" s="24" cm="1">
        <f t="array" ref="IA11">IF(IA$2="FY",SUMPRODUCT(Data_Nhập[Tổng Nhập-NX]*(Data_Nhập[Year]=IA$1)*(Data_Nhập[Main SKU name_GOM]=$A11)*(Data_Nhập[SKU name_NHẬP_GOM]=IA$3)),SUMPRODUCT(Data_Nhập[Tổng Nhập-NX]*(Data_Nhập[Year]=IA$1)*(Data_Nhập[Month]=IA$2)*(Data_Nhập[Main SKU name_GOM]=$A11)*(Data_Nhập[SKU name_NHẬP_GOM]=IA$3)))</f>
        <v>0</v>
      </c>
      <c r="IB11" s="25">
        <f t="shared" si="24"/>
        <v>152498</v>
      </c>
    </row>
    <row r="12" spans="1:236" ht="15" thickBot="1" x14ac:dyDescent="0.4">
      <c r="A12" s="5" t="s">
        <v>76</v>
      </c>
      <c r="B12" s="23" t="s">
        <v>76</v>
      </c>
      <c r="D12" s="43" cm="1">
        <f t="array" ref="D12">IF(D$2="FY",SUMPRODUCT(Data_Xuất[Xuất-NX]*(Data_Xuất[Year]=D$1)*(Data_Xuất[Main SKU name_GOM]=$A12)),SUMPRODUCT(Data_Xuất[Xuất-NX]*(Data_Xuất[Year]=D$1)*(Data_Xuất[Main SKU name_GOM]=$A12)*Data_Xuất[Month]=D$2))</f>
        <v>0</v>
      </c>
      <c r="E12" s="26" cm="1">
        <f t="array" ref="E12">IF(E$2="FY",SUMPRODUCT(Data_Nhập[Tổng Nhập-NX]*(Data_Nhập[Year]=E$1)*(Data_Nhập[Main SKU name_GOM]=$A12)*(Data_Nhập[SKU name_NHẬP_GOM]=E$3)),SUMPRODUCT(Data_Nhập[Tổng Nhập-NX]*(Data_Nhập[Year]=E$1)*(Data_Nhập[Month]=E$2)*(Data_Nhập[Main SKU name_GOM]=$A12)*(Data_Nhập[SKU name_NHẬP_GOM]=E$3)))</f>
        <v>0</v>
      </c>
      <c r="F12" s="26" cm="1">
        <f t="array" ref="F12">IF(F$2="FY",SUMPRODUCT(Data_Nhập[Tổng Nhập-NX]*(Data_Nhập[Year]=F$1)*(Data_Nhập[Main SKU name_GOM]=$A12)*(Data_Nhập[SKU name_NHẬP_GOM]=F$3)),SUMPRODUCT(Data_Nhập[Tổng Nhập-NX]*(Data_Nhập[Year]=F$1)*(Data_Nhập[Month]=F$2)*(Data_Nhập[Main SKU name_GOM]=$A12)*(Data_Nhập[SKU name_NHẬP_GOM]=F$3)))</f>
        <v>0</v>
      </c>
      <c r="G12" s="26" cm="1">
        <f t="array" ref="G12">IF(G$2="FY",SUMPRODUCT(Data_Nhập[Tổng Nhập-NX]*(Data_Nhập[Year]=G$1)*(Data_Nhập[Main SKU name_GOM]=$A12)*(Data_Nhập[SKU name_NHẬP_GOM]=G$3)),SUMPRODUCT(Data_Nhập[Tổng Nhập-NX]*(Data_Nhập[Year]=G$1)*(Data_Nhập[Month]=G$2)*(Data_Nhập[Main SKU name_GOM]=$A12)*(Data_Nhập[SKU name_NHẬP_GOM]=G$3)))</f>
        <v>0</v>
      </c>
      <c r="H12" s="26" cm="1">
        <f t="array" ref="H12">IF(H$2="FY",SUMPRODUCT(Data_Nhập[Tổng Nhập-NX]*(Data_Nhập[Year]=H$1)*(Data_Nhập[Main SKU name_GOM]=$A12)*(Data_Nhập[SKU name_NHẬP_GOM]=H$3)),SUMPRODUCT(Data_Nhập[Tổng Nhập-NX]*(Data_Nhập[Year]=H$1)*(Data_Nhập[Month]=H$2)*(Data_Nhập[Main SKU name_GOM]=$A12)*(Data_Nhập[SKU name_NHẬP_GOM]=H$3)))</f>
        <v>0</v>
      </c>
      <c r="I12" s="26" cm="1">
        <f t="array" ref="I12">IF(I$2="FY",SUMPRODUCT(Data_Nhập[Tổng Nhập-NX]*(Data_Nhập[Year]=I$1)*(Data_Nhập[Main SKU name_GOM]=$A12)*(Data_Nhập[SKU name_NHẬP_GOM]=I$3)),SUMPRODUCT(Data_Nhập[Tổng Nhập-NX]*(Data_Nhập[Year]=I$1)*(Data_Nhập[Month]=I$2)*(Data_Nhập[Main SKU name_GOM]=$A12)*(Data_Nhập[SKU name_NHẬP_GOM]=I$3)))</f>
        <v>0</v>
      </c>
      <c r="J12" s="26" cm="1">
        <f t="array" ref="J12">IF(J$2="FY",SUMPRODUCT(Data_Nhập[Tổng Nhập-NX]*(Data_Nhập[Year]=J$1)*(Data_Nhập[Main SKU name_GOM]=$A12)*(Data_Nhập[SKU name_NHẬP_GOM]=J$3)),SUMPRODUCT(Data_Nhập[Tổng Nhập-NX]*(Data_Nhập[Year]=J$1)*(Data_Nhập[Month]=J$2)*(Data_Nhập[Main SKU name_GOM]=$A12)*(Data_Nhập[SKU name_NHẬP_GOM]=J$3)))</f>
        <v>0</v>
      </c>
      <c r="K12" s="26" cm="1">
        <f t="array" ref="K12">IF(K$2="FY",SUMPRODUCT(Data_Nhập[Tổng Nhập-NX]*(Data_Nhập[Year]=K$1)*(Data_Nhập[Main SKU name_GOM]=$A12)*(Data_Nhập[SKU name_NHẬP_GOM]=K$3)),SUMPRODUCT(Data_Nhập[Tổng Nhập-NX]*(Data_Nhập[Year]=K$1)*(Data_Nhập[Month]=K$2)*(Data_Nhập[Main SKU name_GOM]=$A12)*(Data_Nhập[SKU name_NHẬP_GOM]=K$3)))</f>
        <v>0</v>
      </c>
      <c r="L12" s="26" cm="1">
        <f t="array" ref="L12">IF(L$2="FY",SUMPRODUCT(Data_Nhập[Tổng Nhập-NX]*(Data_Nhập[Year]=L$1)*(Data_Nhập[Main SKU name_GOM]=$A12)*(Data_Nhập[SKU name_NHẬP_GOM]=L$3)),SUMPRODUCT(Data_Nhập[Tổng Nhập-NX]*(Data_Nhập[Year]=L$1)*(Data_Nhập[Month]=L$2)*(Data_Nhập[Main SKU name_GOM]=$A12)*(Data_Nhập[SKU name_NHẬP_GOM]=L$3)))</f>
        <v>0</v>
      </c>
      <c r="M12" s="26" cm="1">
        <f t="array" ref="M12">IF(M$2="FY",SUMPRODUCT(Data_Nhập[Tổng Nhập-NX]*(Data_Nhập[Year]=M$1)*(Data_Nhập[Main SKU name_GOM]=$A12)*(Data_Nhập[SKU name_NHẬP_GOM]=M$3)),SUMPRODUCT(Data_Nhập[Tổng Nhập-NX]*(Data_Nhập[Year]=M$1)*(Data_Nhập[Month]=M$2)*(Data_Nhập[Main SKU name_GOM]=$A12)*(Data_Nhập[SKU name_NHẬP_GOM]=M$3)))</f>
        <v>0</v>
      </c>
      <c r="N12" s="26" cm="1">
        <f t="array" ref="N12">IF(N$2="FY",SUMPRODUCT(Data_Nhập[Tổng Nhập-NX]*(Data_Nhập[Year]=N$1)*(Data_Nhập[Main SKU name_GOM]=$A12)*(Data_Nhập[SKU name_NHẬP_GOM]=N$3)),SUMPRODUCT(Data_Nhập[Tổng Nhập-NX]*(Data_Nhập[Year]=N$1)*(Data_Nhập[Month]=N$2)*(Data_Nhập[Main SKU name_GOM]=$A12)*(Data_Nhập[SKU name_NHẬP_GOM]=N$3)))</f>
        <v>0</v>
      </c>
      <c r="O12" s="26" cm="1">
        <f t="array" ref="O12">IF(O$2="FY",SUMPRODUCT(Data_Nhập[Tổng Nhập-NX]*(Data_Nhập[Year]=O$1)*(Data_Nhập[Main SKU name_GOM]=$A12)*(Data_Nhập[SKU name_NHẬP_GOM]=O$3)),SUMPRODUCT(Data_Nhập[Tổng Nhập-NX]*(Data_Nhập[Year]=O$1)*(Data_Nhập[Month]=O$2)*(Data_Nhập[Main SKU name_GOM]=$A12)*(Data_Nhập[SKU name_NHẬP_GOM]=O$3)))</f>
        <v>0</v>
      </c>
      <c r="P12" s="26" cm="1">
        <f t="array" ref="P12">IF(P$2="FY",SUMPRODUCT(Data_Nhập[Tổng Nhập-NX]*(Data_Nhập[Year]=P$1)*(Data_Nhập[Main SKU name_GOM]=$A12)*(Data_Nhập[SKU name_NHẬP_GOM]=P$3)),SUMPRODUCT(Data_Nhập[Tổng Nhập-NX]*(Data_Nhập[Year]=P$1)*(Data_Nhập[Month]=P$2)*(Data_Nhập[Main SKU name_GOM]=$A12)*(Data_Nhập[SKU name_NHẬP_GOM]=P$3)))</f>
        <v>0</v>
      </c>
      <c r="Q12" s="26" cm="1">
        <f t="array" ref="Q12">IF(Q$2="FY",SUMPRODUCT(Data_Nhập[Tổng Nhập-NX]*(Data_Nhập[Year]=Q$1)*(Data_Nhập[Main SKU name_GOM]=$A12)*(Data_Nhập[SKU name_NHẬP_GOM]=Q$3)),SUMPRODUCT(Data_Nhập[Tổng Nhập-NX]*(Data_Nhập[Year]=Q$1)*(Data_Nhập[Month]=Q$2)*(Data_Nhập[Main SKU name_GOM]=$A12)*(Data_Nhập[SKU name_NHẬP_GOM]=Q$3)))</f>
        <v>0</v>
      </c>
      <c r="R12" s="26" cm="1">
        <f t="array" ref="R12">IF(R$2="FY",SUMPRODUCT(Data_Nhập[Tổng Nhập-NX]*(Data_Nhập[Year]=R$1)*(Data_Nhập[Main SKU name_GOM]=$A12)*(Data_Nhập[SKU name_NHẬP_GOM]=R$3)),SUMPRODUCT(Data_Nhập[Tổng Nhập-NX]*(Data_Nhập[Year]=R$1)*(Data_Nhập[Month]=R$2)*(Data_Nhập[Main SKU name_GOM]=$A12)*(Data_Nhập[SKU name_NHẬP_GOM]=R$3)))</f>
        <v>0</v>
      </c>
      <c r="S12" s="26" cm="1">
        <f t="array" ref="S12">IF(S$2="FY",SUMPRODUCT(Data_Nhập[Tổng Nhập-NX]*(Data_Nhập[Year]=S$1)*(Data_Nhập[Main SKU name_GOM]=$A12)*(Data_Nhập[SKU name_NHẬP_GOM]=S$3)),SUMPRODUCT(Data_Nhập[Tổng Nhập-NX]*(Data_Nhập[Year]=S$1)*(Data_Nhập[Month]=S$2)*(Data_Nhập[Main SKU name_GOM]=$A12)*(Data_Nhập[SKU name_NHẬP_GOM]=S$3)))</f>
        <v>0</v>
      </c>
      <c r="T12" s="27">
        <f t="shared" si="12"/>
        <v>0</v>
      </c>
      <c r="V12" s="27" cm="1">
        <f t="array" ref="V12">IF(V$2="FY",SUMPRODUCT(Data_Xuất[Xuất-NX]*(Data_Xuất[Year]=V$1)*(Data_Xuất[Main SKU name_GOM]=$A12)),SUMPRODUCT(Data_Xuất[Xuất-NX]*(Data_Xuất[Year]=V$1)*(Data_Xuất[Main SKU name_GOM]=$A12)*(Data_Xuất[Month]=V$2)))</f>
        <v>0</v>
      </c>
      <c r="W12" s="26" cm="1">
        <f t="array" ref="W12">IF(W$2="FY",SUMPRODUCT(Data_Nhập[Tổng Nhập-NX]*(Data_Nhập[Year]=W$1)*(Data_Nhập[Main SKU name_GOM]=$A12)*(Data_Nhập[SKU name_NHẬP_GOM]=W$3)),SUMPRODUCT(Data_Nhập[Tổng Nhập-NX]*(Data_Nhập[Year]=W$1)*(Data_Nhập[Month]=W$2)*(Data_Nhập[Main SKU name_GOM]=$A12)*(Data_Nhập[SKU name_NHẬP_GOM]=W$3)))</f>
        <v>0</v>
      </c>
      <c r="X12" s="26" cm="1">
        <f t="array" ref="X12">IF(X$2="FY",SUMPRODUCT(Data_Nhập[Tổng Nhập-NX]*(Data_Nhập[Year]=X$1)*(Data_Nhập[Main SKU name_GOM]=$A12)*(Data_Nhập[SKU name_NHẬP_GOM]=X$3)),SUMPRODUCT(Data_Nhập[Tổng Nhập-NX]*(Data_Nhập[Year]=X$1)*(Data_Nhập[Month]=X$2)*(Data_Nhập[Main SKU name_GOM]=$A12)*(Data_Nhập[SKU name_NHẬP_GOM]=X$3)))</f>
        <v>0</v>
      </c>
      <c r="Y12" s="26" cm="1">
        <f t="array" ref="Y12">IF(Y$2="FY",SUMPRODUCT(Data_Nhập[Tổng Nhập-NX]*(Data_Nhập[Year]=Y$1)*(Data_Nhập[Main SKU name_GOM]=$A12)*(Data_Nhập[SKU name_NHẬP_GOM]=Y$3)),SUMPRODUCT(Data_Nhập[Tổng Nhập-NX]*(Data_Nhập[Year]=Y$1)*(Data_Nhập[Month]=Y$2)*(Data_Nhập[Main SKU name_GOM]=$A12)*(Data_Nhập[SKU name_NHẬP_GOM]=Y$3)))</f>
        <v>0</v>
      </c>
      <c r="Z12" s="26" cm="1">
        <f t="array" ref="Z12">IF(Z$2="FY",SUMPRODUCT(Data_Nhập[Tổng Nhập-NX]*(Data_Nhập[Year]=Z$1)*(Data_Nhập[Main SKU name_GOM]=$A12)*(Data_Nhập[SKU name_NHẬP_GOM]=Z$3)),SUMPRODUCT(Data_Nhập[Tổng Nhập-NX]*(Data_Nhập[Year]=Z$1)*(Data_Nhập[Month]=Z$2)*(Data_Nhập[Main SKU name_GOM]=$A12)*(Data_Nhập[SKU name_NHẬP_GOM]=Z$3)))</f>
        <v>0</v>
      </c>
      <c r="AA12" s="26" cm="1">
        <f t="array" ref="AA12">IF(AA$2="FY",SUMPRODUCT(Data_Nhập[Tổng Nhập-NX]*(Data_Nhập[Year]=AA$1)*(Data_Nhập[Main SKU name_GOM]=$A12)*(Data_Nhập[SKU name_NHẬP_GOM]=AA$3)),SUMPRODUCT(Data_Nhập[Tổng Nhập-NX]*(Data_Nhập[Year]=AA$1)*(Data_Nhập[Month]=AA$2)*(Data_Nhập[Main SKU name_GOM]=$A12)*(Data_Nhập[SKU name_NHẬP_GOM]=AA$3)))</f>
        <v>0</v>
      </c>
      <c r="AB12" s="26" cm="1">
        <f t="array" ref="AB12">IF(AB$2="FY",SUMPRODUCT(Data_Nhập[Tổng Nhập-NX]*(Data_Nhập[Year]=AB$1)*(Data_Nhập[Main SKU name_GOM]=$A12)*(Data_Nhập[SKU name_NHẬP_GOM]=AB$3)),SUMPRODUCT(Data_Nhập[Tổng Nhập-NX]*(Data_Nhập[Year]=AB$1)*(Data_Nhập[Month]=AB$2)*(Data_Nhập[Main SKU name_GOM]=$A12)*(Data_Nhập[SKU name_NHẬP_GOM]=AB$3)))</f>
        <v>0</v>
      </c>
      <c r="AC12" s="26" cm="1">
        <f t="array" ref="AC12">IF(AC$2="FY",SUMPRODUCT(Data_Nhập[Tổng Nhập-NX]*(Data_Nhập[Year]=AC$1)*(Data_Nhập[Main SKU name_GOM]=$A12)*(Data_Nhập[SKU name_NHẬP_GOM]=AC$3)),SUMPRODUCT(Data_Nhập[Tổng Nhập-NX]*(Data_Nhập[Year]=AC$1)*(Data_Nhập[Month]=AC$2)*(Data_Nhập[Main SKU name_GOM]=$A12)*(Data_Nhập[SKU name_NHẬP_GOM]=AC$3)))</f>
        <v>0</v>
      </c>
      <c r="AD12" s="26" cm="1">
        <f t="array" ref="AD12">IF(AD$2="FY",SUMPRODUCT(Data_Nhập[Tổng Nhập-NX]*(Data_Nhập[Year]=AD$1)*(Data_Nhập[Main SKU name_GOM]=$A12)*(Data_Nhập[SKU name_NHẬP_GOM]=AD$3)),SUMPRODUCT(Data_Nhập[Tổng Nhập-NX]*(Data_Nhập[Year]=AD$1)*(Data_Nhập[Month]=AD$2)*(Data_Nhập[Main SKU name_GOM]=$A12)*(Data_Nhập[SKU name_NHẬP_GOM]=AD$3)))</f>
        <v>0</v>
      </c>
      <c r="AE12" s="26" cm="1">
        <f t="array" ref="AE12">IF(AE$2="FY",SUMPRODUCT(Data_Nhập[Tổng Nhập-NX]*(Data_Nhập[Year]=AE$1)*(Data_Nhập[Main SKU name_GOM]=$A12)*(Data_Nhập[SKU name_NHẬP_GOM]=AE$3)),SUMPRODUCT(Data_Nhập[Tổng Nhập-NX]*(Data_Nhập[Year]=AE$1)*(Data_Nhập[Month]=AE$2)*(Data_Nhập[Main SKU name_GOM]=$A12)*(Data_Nhập[SKU name_NHẬP_GOM]=AE$3)))</f>
        <v>0</v>
      </c>
      <c r="AF12" s="26" cm="1">
        <f t="array" ref="AF12">IF(AF$2="FY",SUMPRODUCT(Data_Nhập[Tổng Nhập-NX]*(Data_Nhập[Year]=AF$1)*(Data_Nhập[Main SKU name_GOM]=$A12)*(Data_Nhập[SKU name_NHẬP_GOM]=AF$3)),SUMPRODUCT(Data_Nhập[Tổng Nhập-NX]*(Data_Nhập[Year]=AF$1)*(Data_Nhập[Month]=AF$2)*(Data_Nhập[Main SKU name_GOM]=$A12)*(Data_Nhập[SKU name_NHẬP_GOM]=AF$3)))</f>
        <v>0</v>
      </c>
      <c r="AG12" s="26" cm="1">
        <f t="array" ref="AG12">IF(AG$2="FY",SUMPRODUCT(Data_Nhập[Tổng Nhập-NX]*(Data_Nhập[Year]=AG$1)*(Data_Nhập[Main SKU name_GOM]=$A12)*(Data_Nhập[SKU name_NHẬP_GOM]=AG$3)),SUMPRODUCT(Data_Nhập[Tổng Nhập-NX]*(Data_Nhập[Year]=AG$1)*(Data_Nhập[Month]=AG$2)*(Data_Nhập[Main SKU name_GOM]=$A12)*(Data_Nhập[SKU name_NHẬP_GOM]=AG$3)))</f>
        <v>0</v>
      </c>
      <c r="AH12" s="26" cm="1">
        <f t="array" ref="AH12">IF(AH$2="FY",SUMPRODUCT(Data_Nhập[Tổng Nhập-NX]*(Data_Nhập[Year]=AH$1)*(Data_Nhập[Main SKU name_GOM]=$A12)*(Data_Nhập[SKU name_NHẬP_GOM]=AH$3)),SUMPRODUCT(Data_Nhập[Tổng Nhập-NX]*(Data_Nhập[Year]=AH$1)*(Data_Nhập[Month]=AH$2)*(Data_Nhập[Main SKU name_GOM]=$A12)*(Data_Nhập[SKU name_NHẬP_GOM]=AH$3)))</f>
        <v>0</v>
      </c>
      <c r="AI12" s="26" cm="1">
        <f t="array" ref="AI12">IF(AI$2="FY",SUMPRODUCT(Data_Nhập[Tổng Nhập-NX]*(Data_Nhập[Year]=AI$1)*(Data_Nhập[Main SKU name_GOM]=$A12)*(Data_Nhập[SKU name_NHẬP_GOM]=AI$3)),SUMPRODUCT(Data_Nhập[Tổng Nhập-NX]*(Data_Nhập[Year]=AI$1)*(Data_Nhập[Month]=AI$2)*(Data_Nhập[Main SKU name_GOM]=$A12)*(Data_Nhập[SKU name_NHẬP_GOM]=AI$3)))</f>
        <v>0</v>
      </c>
      <c r="AJ12" s="26" cm="1">
        <f t="array" ref="AJ12">IF(AJ$2="FY",SUMPRODUCT(Data_Nhập[Tổng Nhập-NX]*(Data_Nhập[Year]=AJ$1)*(Data_Nhập[Main SKU name_GOM]=$A12)*(Data_Nhập[SKU name_NHẬP_GOM]=AJ$3)),SUMPRODUCT(Data_Nhập[Tổng Nhập-NX]*(Data_Nhập[Year]=AJ$1)*(Data_Nhập[Month]=AJ$2)*(Data_Nhập[Main SKU name_GOM]=$A12)*(Data_Nhập[SKU name_NHẬP_GOM]=AJ$3)))</f>
        <v>0</v>
      </c>
      <c r="AK12" s="26" cm="1">
        <f t="array" ref="AK12">IF(AK$2="FY",SUMPRODUCT(Data_Nhập[Tổng Nhập-NX]*(Data_Nhập[Year]=AK$1)*(Data_Nhập[Main SKU name_GOM]=$A12)*(Data_Nhập[SKU name_NHẬP_GOM]=AK$3)),SUMPRODUCT(Data_Nhập[Tổng Nhập-NX]*(Data_Nhập[Year]=AK$1)*(Data_Nhập[Month]=AK$2)*(Data_Nhập[Main SKU name_GOM]=$A12)*(Data_Nhập[SKU name_NHẬP_GOM]=AK$3)))</f>
        <v>0</v>
      </c>
      <c r="AL12" s="27">
        <f t="shared" si="13"/>
        <v>0</v>
      </c>
      <c r="AN12" s="27" cm="1">
        <f t="array" ref="AN12">IF(AN$2="FY",SUMPRODUCT(Data_Xuất[Xuất-NX]*(Data_Xuất[Year]=AN$1)*(Data_Xuất[Main SKU name_GOM]=$A12)),SUMPRODUCT(Data_Xuất[Xuất-NX]*(Data_Xuất[Year]=AN$1)*(Data_Xuất[Main SKU name_GOM]=$A12)*(Data_Xuất[Month]=AN$2)))</f>
        <v>0</v>
      </c>
      <c r="AO12" s="26" cm="1">
        <f t="array" ref="AO12">IF(AO$2="FY",SUMPRODUCT(Data_Nhập[Tổng Nhập-NX]*(Data_Nhập[Year]=AO$1)*(Data_Nhập[Main SKU name_GOM]=$A12)*(Data_Nhập[SKU name_NHẬP_GOM]=AO$3)),SUMPRODUCT(Data_Nhập[Tổng Nhập-NX]*(Data_Nhập[Year]=AO$1)*(Data_Nhập[Month]=AO$2)*(Data_Nhập[Main SKU name_GOM]=$A12)*(Data_Nhập[SKU name_NHẬP_GOM]=AO$3)))</f>
        <v>0</v>
      </c>
      <c r="AP12" s="26" cm="1">
        <f t="array" ref="AP12">IF(AP$2="FY",SUMPRODUCT(Data_Nhập[Tổng Nhập-NX]*(Data_Nhập[Year]=AP$1)*(Data_Nhập[Main SKU name_GOM]=$A12)*(Data_Nhập[SKU name_NHẬP_GOM]=AP$3)),SUMPRODUCT(Data_Nhập[Tổng Nhập-NX]*(Data_Nhập[Year]=AP$1)*(Data_Nhập[Month]=AP$2)*(Data_Nhập[Main SKU name_GOM]=$A12)*(Data_Nhập[SKU name_NHẬP_GOM]=AP$3)))</f>
        <v>0</v>
      </c>
      <c r="AQ12" s="26" cm="1">
        <f t="array" ref="AQ12">IF(AQ$2="FY",SUMPRODUCT(Data_Nhập[Tổng Nhập-NX]*(Data_Nhập[Year]=AQ$1)*(Data_Nhập[Main SKU name_GOM]=$A12)*(Data_Nhập[SKU name_NHẬP_GOM]=AQ$3)),SUMPRODUCT(Data_Nhập[Tổng Nhập-NX]*(Data_Nhập[Year]=AQ$1)*(Data_Nhập[Month]=AQ$2)*(Data_Nhập[Main SKU name_GOM]=$A12)*(Data_Nhập[SKU name_NHẬP_GOM]=AQ$3)))</f>
        <v>0</v>
      </c>
      <c r="AR12" s="26" cm="1">
        <f t="array" ref="AR12">IF(AR$2="FY",SUMPRODUCT(Data_Nhập[Tổng Nhập-NX]*(Data_Nhập[Year]=AR$1)*(Data_Nhập[Main SKU name_GOM]=$A12)*(Data_Nhập[SKU name_NHẬP_GOM]=AR$3)),SUMPRODUCT(Data_Nhập[Tổng Nhập-NX]*(Data_Nhập[Year]=AR$1)*(Data_Nhập[Month]=AR$2)*(Data_Nhập[Main SKU name_GOM]=$A12)*(Data_Nhập[SKU name_NHẬP_GOM]=AR$3)))</f>
        <v>0</v>
      </c>
      <c r="AS12" s="26" cm="1">
        <f t="array" ref="AS12">IF(AS$2="FY",SUMPRODUCT(Data_Nhập[Tổng Nhập-NX]*(Data_Nhập[Year]=AS$1)*(Data_Nhập[Main SKU name_GOM]=$A12)*(Data_Nhập[SKU name_NHẬP_GOM]=AS$3)),SUMPRODUCT(Data_Nhập[Tổng Nhập-NX]*(Data_Nhập[Year]=AS$1)*(Data_Nhập[Month]=AS$2)*(Data_Nhập[Main SKU name_GOM]=$A12)*(Data_Nhập[SKU name_NHẬP_GOM]=AS$3)))</f>
        <v>0</v>
      </c>
      <c r="AT12" s="26" cm="1">
        <f t="array" ref="AT12">IF(AT$2="FY",SUMPRODUCT(Data_Nhập[Tổng Nhập-NX]*(Data_Nhập[Year]=AT$1)*(Data_Nhập[Main SKU name_GOM]=$A12)*(Data_Nhập[SKU name_NHẬP_GOM]=AT$3)),SUMPRODUCT(Data_Nhập[Tổng Nhập-NX]*(Data_Nhập[Year]=AT$1)*(Data_Nhập[Month]=AT$2)*(Data_Nhập[Main SKU name_GOM]=$A12)*(Data_Nhập[SKU name_NHẬP_GOM]=AT$3)))</f>
        <v>0</v>
      </c>
      <c r="AU12" s="26" cm="1">
        <f t="array" ref="AU12">IF(AU$2="FY",SUMPRODUCT(Data_Nhập[Tổng Nhập-NX]*(Data_Nhập[Year]=AU$1)*(Data_Nhập[Main SKU name_GOM]=$A12)*(Data_Nhập[SKU name_NHẬP_GOM]=AU$3)),SUMPRODUCT(Data_Nhập[Tổng Nhập-NX]*(Data_Nhập[Year]=AU$1)*(Data_Nhập[Month]=AU$2)*(Data_Nhập[Main SKU name_GOM]=$A12)*(Data_Nhập[SKU name_NHẬP_GOM]=AU$3)))</f>
        <v>0</v>
      </c>
      <c r="AV12" s="26" cm="1">
        <f t="array" ref="AV12">IF(AV$2="FY",SUMPRODUCT(Data_Nhập[Tổng Nhập-NX]*(Data_Nhập[Year]=AV$1)*(Data_Nhập[Main SKU name_GOM]=$A12)*(Data_Nhập[SKU name_NHẬP_GOM]=AV$3)),SUMPRODUCT(Data_Nhập[Tổng Nhập-NX]*(Data_Nhập[Year]=AV$1)*(Data_Nhập[Month]=AV$2)*(Data_Nhập[Main SKU name_GOM]=$A12)*(Data_Nhập[SKU name_NHẬP_GOM]=AV$3)))</f>
        <v>0</v>
      </c>
      <c r="AW12" s="26" cm="1">
        <f t="array" ref="AW12">IF(AW$2="FY",SUMPRODUCT(Data_Nhập[Tổng Nhập-NX]*(Data_Nhập[Year]=AW$1)*(Data_Nhập[Main SKU name_GOM]=$A12)*(Data_Nhập[SKU name_NHẬP_GOM]=AW$3)),SUMPRODUCT(Data_Nhập[Tổng Nhập-NX]*(Data_Nhập[Year]=AW$1)*(Data_Nhập[Month]=AW$2)*(Data_Nhập[Main SKU name_GOM]=$A12)*(Data_Nhập[SKU name_NHẬP_GOM]=AW$3)))</f>
        <v>0</v>
      </c>
      <c r="AX12" s="26" cm="1">
        <f t="array" ref="AX12">IF(AX$2="FY",SUMPRODUCT(Data_Nhập[Tổng Nhập-NX]*(Data_Nhập[Year]=AX$1)*(Data_Nhập[Main SKU name_GOM]=$A12)*(Data_Nhập[SKU name_NHẬP_GOM]=AX$3)),SUMPRODUCT(Data_Nhập[Tổng Nhập-NX]*(Data_Nhập[Year]=AX$1)*(Data_Nhập[Month]=AX$2)*(Data_Nhập[Main SKU name_GOM]=$A12)*(Data_Nhập[SKU name_NHẬP_GOM]=AX$3)))</f>
        <v>0</v>
      </c>
      <c r="AY12" s="26" cm="1">
        <f t="array" ref="AY12">IF(AY$2="FY",SUMPRODUCT(Data_Nhập[Tổng Nhập-NX]*(Data_Nhập[Year]=AY$1)*(Data_Nhập[Main SKU name_GOM]=$A12)*(Data_Nhập[SKU name_NHẬP_GOM]=AY$3)),SUMPRODUCT(Data_Nhập[Tổng Nhập-NX]*(Data_Nhập[Year]=AY$1)*(Data_Nhập[Month]=AY$2)*(Data_Nhập[Main SKU name_GOM]=$A12)*(Data_Nhập[SKU name_NHẬP_GOM]=AY$3)))</f>
        <v>0</v>
      </c>
      <c r="AZ12" s="26" cm="1">
        <f t="array" ref="AZ12">IF(AZ$2="FY",SUMPRODUCT(Data_Nhập[Tổng Nhập-NX]*(Data_Nhập[Year]=AZ$1)*(Data_Nhập[Main SKU name_GOM]=$A12)*(Data_Nhập[SKU name_NHẬP_GOM]=AZ$3)),SUMPRODUCT(Data_Nhập[Tổng Nhập-NX]*(Data_Nhập[Year]=AZ$1)*(Data_Nhập[Month]=AZ$2)*(Data_Nhập[Main SKU name_GOM]=$A12)*(Data_Nhập[SKU name_NHẬP_GOM]=AZ$3)))</f>
        <v>0</v>
      </c>
      <c r="BA12" s="26" cm="1">
        <f t="array" ref="BA12">IF(BA$2="FY",SUMPRODUCT(Data_Nhập[Tổng Nhập-NX]*(Data_Nhập[Year]=BA$1)*(Data_Nhập[Main SKU name_GOM]=$A12)*(Data_Nhập[SKU name_NHẬP_GOM]=BA$3)),SUMPRODUCT(Data_Nhập[Tổng Nhập-NX]*(Data_Nhập[Year]=BA$1)*(Data_Nhập[Month]=BA$2)*(Data_Nhập[Main SKU name_GOM]=$A12)*(Data_Nhập[SKU name_NHẬP_GOM]=BA$3)))</f>
        <v>0</v>
      </c>
      <c r="BB12" s="26" cm="1">
        <f t="array" ref="BB12">IF(BB$2="FY",SUMPRODUCT(Data_Nhập[Tổng Nhập-NX]*(Data_Nhập[Year]=BB$1)*(Data_Nhập[Main SKU name_GOM]=$A12)*(Data_Nhập[SKU name_NHẬP_GOM]=BB$3)),SUMPRODUCT(Data_Nhập[Tổng Nhập-NX]*(Data_Nhập[Year]=BB$1)*(Data_Nhập[Month]=BB$2)*(Data_Nhập[Main SKU name_GOM]=$A12)*(Data_Nhập[SKU name_NHẬP_GOM]=BB$3)))</f>
        <v>0</v>
      </c>
      <c r="BC12" s="26" cm="1">
        <f t="array" ref="BC12">IF(BC$2="FY",SUMPRODUCT(Data_Nhập[Tổng Nhập-NX]*(Data_Nhập[Year]=BC$1)*(Data_Nhập[Main SKU name_GOM]=$A12)*(Data_Nhập[SKU name_NHẬP_GOM]=BC$3)),SUMPRODUCT(Data_Nhập[Tổng Nhập-NX]*(Data_Nhập[Year]=BC$1)*(Data_Nhập[Month]=BC$2)*(Data_Nhập[Main SKU name_GOM]=$A12)*(Data_Nhập[SKU name_NHẬP_GOM]=BC$3)))</f>
        <v>0</v>
      </c>
      <c r="BD12" s="27">
        <f t="shared" si="14"/>
        <v>0</v>
      </c>
      <c r="BF12" s="27" cm="1">
        <f t="array" ref="BF12">IF(BF$2="FY",SUMPRODUCT(Data_Xuất[Xuất-NX]*(Data_Xuất[Year]=BF$1)*(Data_Xuất[Main SKU name_GOM]=$A12)),SUMPRODUCT(Data_Xuất[Xuất-NX]*(Data_Xuất[Year]=BF$1)*(Data_Xuất[Main SKU name_GOM]=$A12)*(Data_Xuất[Month]=BF$2)))</f>
        <v>0</v>
      </c>
      <c r="BG12" s="26" cm="1">
        <f t="array" ref="BG12">IF(BG$2="FY",SUMPRODUCT(Data_Nhập[Tổng Nhập-NX]*(Data_Nhập[Year]=BG$1)*(Data_Nhập[Main SKU name_GOM]=$A12)*(Data_Nhập[SKU name_NHẬP_GOM]=BG$3)),SUMPRODUCT(Data_Nhập[Tổng Nhập-NX]*(Data_Nhập[Year]=BG$1)*(Data_Nhập[Month]=BG$2)*(Data_Nhập[Main SKU name_GOM]=$A12)*(Data_Nhập[SKU name_NHẬP_GOM]=BG$3)))</f>
        <v>0</v>
      </c>
      <c r="BH12" s="26" cm="1">
        <f t="array" ref="BH12">IF(BH$2="FY",SUMPRODUCT(Data_Nhập[Tổng Nhập-NX]*(Data_Nhập[Year]=BH$1)*(Data_Nhập[Main SKU name_GOM]=$A12)*(Data_Nhập[SKU name_NHẬP_GOM]=BH$3)),SUMPRODUCT(Data_Nhập[Tổng Nhập-NX]*(Data_Nhập[Year]=BH$1)*(Data_Nhập[Month]=BH$2)*(Data_Nhập[Main SKU name_GOM]=$A12)*(Data_Nhập[SKU name_NHẬP_GOM]=BH$3)))</f>
        <v>0</v>
      </c>
      <c r="BI12" s="26" cm="1">
        <f t="array" ref="BI12">IF(BI$2="FY",SUMPRODUCT(Data_Nhập[Tổng Nhập-NX]*(Data_Nhập[Year]=BI$1)*(Data_Nhập[Main SKU name_GOM]=$A12)*(Data_Nhập[SKU name_NHẬP_GOM]=BI$3)),SUMPRODUCT(Data_Nhập[Tổng Nhập-NX]*(Data_Nhập[Year]=BI$1)*(Data_Nhập[Month]=BI$2)*(Data_Nhập[Main SKU name_GOM]=$A12)*(Data_Nhập[SKU name_NHẬP_GOM]=BI$3)))</f>
        <v>0</v>
      </c>
      <c r="BJ12" s="26" cm="1">
        <f t="array" ref="BJ12">IF(BJ$2="FY",SUMPRODUCT(Data_Nhập[Tổng Nhập-NX]*(Data_Nhập[Year]=BJ$1)*(Data_Nhập[Main SKU name_GOM]=$A12)*(Data_Nhập[SKU name_NHẬP_GOM]=BJ$3)),SUMPRODUCT(Data_Nhập[Tổng Nhập-NX]*(Data_Nhập[Year]=BJ$1)*(Data_Nhập[Month]=BJ$2)*(Data_Nhập[Main SKU name_GOM]=$A12)*(Data_Nhập[SKU name_NHẬP_GOM]=BJ$3)))</f>
        <v>0</v>
      </c>
      <c r="BK12" s="26" cm="1">
        <f t="array" ref="BK12">IF(BK$2="FY",SUMPRODUCT(Data_Nhập[Tổng Nhập-NX]*(Data_Nhập[Year]=BK$1)*(Data_Nhập[Main SKU name_GOM]=$A12)*(Data_Nhập[SKU name_NHẬP_GOM]=BK$3)),SUMPRODUCT(Data_Nhập[Tổng Nhập-NX]*(Data_Nhập[Year]=BK$1)*(Data_Nhập[Month]=BK$2)*(Data_Nhập[Main SKU name_GOM]=$A12)*(Data_Nhập[SKU name_NHẬP_GOM]=BK$3)))</f>
        <v>0</v>
      </c>
      <c r="BL12" s="26" cm="1">
        <f t="array" ref="BL12">IF(BL$2="FY",SUMPRODUCT(Data_Nhập[Tổng Nhập-NX]*(Data_Nhập[Year]=BL$1)*(Data_Nhập[Main SKU name_GOM]=$A12)*(Data_Nhập[SKU name_NHẬP_GOM]=BL$3)),SUMPRODUCT(Data_Nhập[Tổng Nhập-NX]*(Data_Nhập[Year]=BL$1)*(Data_Nhập[Month]=BL$2)*(Data_Nhập[Main SKU name_GOM]=$A12)*(Data_Nhập[SKU name_NHẬP_GOM]=BL$3)))</f>
        <v>0</v>
      </c>
      <c r="BM12" s="26" cm="1">
        <f t="array" ref="BM12">IF(BM$2="FY",SUMPRODUCT(Data_Nhập[Tổng Nhập-NX]*(Data_Nhập[Year]=BM$1)*(Data_Nhập[Main SKU name_GOM]=$A12)*(Data_Nhập[SKU name_NHẬP_GOM]=BM$3)),SUMPRODUCT(Data_Nhập[Tổng Nhập-NX]*(Data_Nhập[Year]=BM$1)*(Data_Nhập[Month]=BM$2)*(Data_Nhập[Main SKU name_GOM]=$A12)*(Data_Nhập[SKU name_NHẬP_GOM]=BM$3)))</f>
        <v>0</v>
      </c>
      <c r="BN12" s="26" cm="1">
        <f t="array" ref="BN12">IF(BN$2="FY",SUMPRODUCT(Data_Nhập[Tổng Nhập-NX]*(Data_Nhập[Year]=BN$1)*(Data_Nhập[Main SKU name_GOM]=$A12)*(Data_Nhập[SKU name_NHẬP_GOM]=BN$3)),SUMPRODUCT(Data_Nhập[Tổng Nhập-NX]*(Data_Nhập[Year]=BN$1)*(Data_Nhập[Month]=BN$2)*(Data_Nhập[Main SKU name_GOM]=$A12)*(Data_Nhập[SKU name_NHẬP_GOM]=BN$3)))</f>
        <v>0</v>
      </c>
      <c r="BO12" s="26" cm="1">
        <f t="array" ref="BO12">IF(BO$2="FY",SUMPRODUCT(Data_Nhập[Tổng Nhập-NX]*(Data_Nhập[Year]=BO$1)*(Data_Nhập[Main SKU name_GOM]=$A12)*(Data_Nhập[SKU name_NHẬP_GOM]=BO$3)),SUMPRODUCT(Data_Nhập[Tổng Nhập-NX]*(Data_Nhập[Year]=BO$1)*(Data_Nhập[Month]=BO$2)*(Data_Nhập[Main SKU name_GOM]=$A12)*(Data_Nhập[SKU name_NHẬP_GOM]=BO$3)))</f>
        <v>0</v>
      </c>
      <c r="BP12" s="26" cm="1">
        <f t="array" ref="BP12">IF(BP$2="FY",SUMPRODUCT(Data_Nhập[Tổng Nhập-NX]*(Data_Nhập[Year]=BP$1)*(Data_Nhập[Main SKU name_GOM]=$A12)*(Data_Nhập[SKU name_NHẬP_GOM]=BP$3)),SUMPRODUCT(Data_Nhập[Tổng Nhập-NX]*(Data_Nhập[Year]=BP$1)*(Data_Nhập[Month]=BP$2)*(Data_Nhập[Main SKU name_GOM]=$A12)*(Data_Nhập[SKU name_NHẬP_GOM]=BP$3)))</f>
        <v>0</v>
      </c>
      <c r="BQ12" s="26" cm="1">
        <f t="array" ref="BQ12">IF(BQ$2="FY",SUMPRODUCT(Data_Nhập[Tổng Nhập-NX]*(Data_Nhập[Year]=BQ$1)*(Data_Nhập[Main SKU name_GOM]=$A12)*(Data_Nhập[SKU name_NHẬP_GOM]=BQ$3)),SUMPRODUCT(Data_Nhập[Tổng Nhập-NX]*(Data_Nhập[Year]=BQ$1)*(Data_Nhập[Month]=BQ$2)*(Data_Nhập[Main SKU name_GOM]=$A12)*(Data_Nhập[SKU name_NHẬP_GOM]=BQ$3)))</f>
        <v>0</v>
      </c>
      <c r="BR12" s="26" cm="1">
        <f t="array" ref="BR12">IF(BR$2="FY",SUMPRODUCT(Data_Nhập[Tổng Nhập-NX]*(Data_Nhập[Year]=BR$1)*(Data_Nhập[Main SKU name_GOM]=$A12)*(Data_Nhập[SKU name_NHẬP_GOM]=BR$3)),SUMPRODUCT(Data_Nhập[Tổng Nhập-NX]*(Data_Nhập[Year]=BR$1)*(Data_Nhập[Month]=BR$2)*(Data_Nhập[Main SKU name_GOM]=$A12)*(Data_Nhập[SKU name_NHẬP_GOM]=BR$3)))</f>
        <v>0</v>
      </c>
      <c r="BS12" s="26" cm="1">
        <f t="array" ref="BS12">IF(BS$2="FY",SUMPRODUCT(Data_Nhập[Tổng Nhập-NX]*(Data_Nhập[Year]=BS$1)*(Data_Nhập[Main SKU name_GOM]=$A12)*(Data_Nhập[SKU name_NHẬP_GOM]=BS$3)),SUMPRODUCT(Data_Nhập[Tổng Nhập-NX]*(Data_Nhập[Year]=BS$1)*(Data_Nhập[Month]=BS$2)*(Data_Nhập[Main SKU name_GOM]=$A12)*(Data_Nhập[SKU name_NHẬP_GOM]=BS$3)))</f>
        <v>0</v>
      </c>
      <c r="BT12" s="26" cm="1">
        <f t="array" ref="BT12">IF(BT$2="FY",SUMPRODUCT(Data_Nhập[Tổng Nhập-NX]*(Data_Nhập[Year]=BT$1)*(Data_Nhập[Main SKU name_GOM]=$A12)*(Data_Nhập[SKU name_NHẬP_GOM]=BT$3)),SUMPRODUCT(Data_Nhập[Tổng Nhập-NX]*(Data_Nhập[Year]=BT$1)*(Data_Nhập[Month]=BT$2)*(Data_Nhập[Main SKU name_GOM]=$A12)*(Data_Nhập[SKU name_NHẬP_GOM]=BT$3)))</f>
        <v>0</v>
      </c>
      <c r="BU12" s="26" cm="1">
        <f t="array" ref="BU12">IF(BU$2="FY",SUMPRODUCT(Data_Nhập[Tổng Nhập-NX]*(Data_Nhập[Year]=BU$1)*(Data_Nhập[Main SKU name_GOM]=$A12)*(Data_Nhập[SKU name_NHẬP_GOM]=BU$3)),SUMPRODUCT(Data_Nhập[Tổng Nhập-NX]*(Data_Nhập[Year]=BU$1)*(Data_Nhập[Month]=BU$2)*(Data_Nhập[Main SKU name_GOM]=$A12)*(Data_Nhập[SKU name_NHẬP_GOM]=BU$3)))</f>
        <v>0</v>
      </c>
      <c r="BV12" s="27">
        <f t="shared" si="15"/>
        <v>0</v>
      </c>
      <c r="BX12" s="27" cm="1">
        <f t="array" ref="BX12">IF(BX$2="FY",SUMPRODUCT(Data_Xuất[Xuất-NX]*(Data_Xuất[Year]=BX$1)*(Data_Xuất[Main SKU name_GOM]=$A12)),SUMPRODUCT(Data_Xuất[Xuất-NX]*(Data_Xuất[Year]=BX$1)*(Data_Xuất[Main SKU name_GOM]=$A12)*(Data_Xuất[Month]=BX$2)))</f>
        <v>0</v>
      </c>
      <c r="BY12" s="26" cm="1">
        <f t="array" ref="BY12">IF(BY$2="FY",SUMPRODUCT(Data_Nhập[Tổng Nhập-NX]*(Data_Nhập[Year]=BY$1)*(Data_Nhập[Main SKU name_GOM]=$A12)*(Data_Nhập[SKU name_NHẬP_GOM]=BY$3)),SUMPRODUCT(Data_Nhập[Tổng Nhập-NX]*(Data_Nhập[Year]=BY$1)*(Data_Nhập[Month]=BY$2)*(Data_Nhập[Main SKU name_GOM]=$A12)*(Data_Nhập[SKU name_NHẬP_GOM]=BY$3)))</f>
        <v>0</v>
      </c>
      <c r="BZ12" s="26" cm="1">
        <f t="array" ref="BZ12">IF(BZ$2="FY",SUMPRODUCT(Data_Nhập[Tổng Nhập-NX]*(Data_Nhập[Year]=BZ$1)*(Data_Nhập[Main SKU name_GOM]=$A12)*(Data_Nhập[SKU name_NHẬP_GOM]=BZ$3)),SUMPRODUCT(Data_Nhập[Tổng Nhập-NX]*(Data_Nhập[Year]=BZ$1)*(Data_Nhập[Month]=BZ$2)*(Data_Nhập[Main SKU name_GOM]=$A12)*(Data_Nhập[SKU name_NHẬP_GOM]=BZ$3)))</f>
        <v>0</v>
      </c>
      <c r="CA12" s="26" cm="1">
        <f t="array" ref="CA12">IF(CA$2="FY",SUMPRODUCT(Data_Nhập[Tổng Nhập-NX]*(Data_Nhập[Year]=CA$1)*(Data_Nhập[Main SKU name_GOM]=$A12)*(Data_Nhập[SKU name_NHẬP_GOM]=CA$3)),SUMPRODUCT(Data_Nhập[Tổng Nhập-NX]*(Data_Nhập[Year]=CA$1)*(Data_Nhập[Month]=CA$2)*(Data_Nhập[Main SKU name_GOM]=$A12)*(Data_Nhập[SKU name_NHẬP_GOM]=CA$3)))</f>
        <v>0</v>
      </c>
      <c r="CB12" s="26" cm="1">
        <f t="array" ref="CB12">IF(CB$2="FY",SUMPRODUCT(Data_Nhập[Tổng Nhập-NX]*(Data_Nhập[Year]=CB$1)*(Data_Nhập[Main SKU name_GOM]=$A12)*(Data_Nhập[SKU name_NHẬP_GOM]=CB$3)),SUMPRODUCT(Data_Nhập[Tổng Nhập-NX]*(Data_Nhập[Year]=CB$1)*(Data_Nhập[Month]=CB$2)*(Data_Nhập[Main SKU name_GOM]=$A12)*(Data_Nhập[SKU name_NHẬP_GOM]=CB$3)))</f>
        <v>0</v>
      </c>
      <c r="CC12" s="26" cm="1">
        <f t="array" ref="CC12">IF(CC$2="FY",SUMPRODUCT(Data_Nhập[Tổng Nhập-NX]*(Data_Nhập[Year]=CC$1)*(Data_Nhập[Main SKU name_GOM]=$A12)*(Data_Nhập[SKU name_NHẬP_GOM]=CC$3)),SUMPRODUCT(Data_Nhập[Tổng Nhập-NX]*(Data_Nhập[Year]=CC$1)*(Data_Nhập[Month]=CC$2)*(Data_Nhập[Main SKU name_GOM]=$A12)*(Data_Nhập[SKU name_NHẬP_GOM]=CC$3)))</f>
        <v>0</v>
      </c>
      <c r="CD12" s="26" cm="1">
        <f t="array" ref="CD12">IF(CD$2="FY",SUMPRODUCT(Data_Nhập[Tổng Nhập-NX]*(Data_Nhập[Year]=CD$1)*(Data_Nhập[Main SKU name_GOM]=$A12)*(Data_Nhập[SKU name_NHẬP_GOM]=CD$3)),SUMPRODUCT(Data_Nhập[Tổng Nhập-NX]*(Data_Nhập[Year]=CD$1)*(Data_Nhập[Month]=CD$2)*(Data_Nhập[Main SKU name_GOM]=$A12)*(Data_Nhập[SKU name_NHẬP_GOM]=CD$3)))</f>
        <v>0</v>
      </c>
      <c r="CE12" s="26" cm="1">
        <f t="array" ref="CE12">IF(CE$2="FY",SUMPRODUCT(Data_Nhập[Tổng Nhập-NX]*(Data_Nhập[Year]=CE$1)*(Data_Nhập[Main SKU name_GOM]=$A12)*(Data_Nhập[SKU name_NHẬP_GOM]=CE$3)),SUMPRODUCT(Data_Nhập[Tổng Nhập-NX]*(Data_Nhập[Year]=CE$1)*(Data_Nhập[Month]=CE$2)*(Data_Nhập[Main SKU name_GOM]=$A12)*(Data_Nhập[SKU name_NHẬP_GOM]=CE$3)))</f>
        <v>0</v>
      </c>
      <c r="CF12" s="26" cm="1">
        <f t="array" ref="CF12">IF(CF$2="FY",SUMPRODUCT(Data_Nhập[Tổng Nhập-NX]*(Data_Nhập[Year]=CF$1)*(Data_Nhập[Main SKU name_GOM]=$A12)*(Data_Nhập[SKU name_NHẬP_GOM]=CF$3)),SUMPRODUCT(Data_Nhập[Tổng Nhập-NX]*(Data_Nhập[Year]=CF$1)*(Data_Nhập[Month]=CF$2)*(Data_Nhập[Main SKU name_GOM]=$A12)*(Data_Nhập[SKU name_NHẬP_GOM]=CF$3)))</f>
        <v>0</v>
      </c>
      <c r="CG12" s="26" cm="1">
        <f t="array" ref="CG12">IF(CG$2="FY",SUMPRODUCT(Data_Nhập[Tổng Nhập-NX]*(Data_Nhập[Year]=CG$1)*(Data_Nhập[Main SKU name_GOM]=$A12)*(Data_Nhập[SKU name_NHẬP_GOM]=CG$3)),SUMPRODUCT(Data_Nhập[Tổng Nhập-NX]*(Data_Nhập[Year]=CG$1)*(Data_Nhập[Month]=CG$2)*(Data_Nhập[Main SKU name_GOM]=$A12)*(Data_Nhập[SKU name_NHẬP_GOM]=CG$3)))</f>
        <v>0</v>
      </c>
      <c r="CH12" s="26" cm="1">
        <f t="array" ref="CH12">IF(CH$2="FY",SUMPRODUCT(Data_Nhập[Tổng Nhập-NX]*(Data_Nhập[Year]=CH$1)*(Data_Nhập[Main SKU name_GOM]=$A12)*(Data_Nhập[SKU name_NHẬP_GOM]=CH$3)),SUMPRODUCT(Data_Nhập[Tổng Nhập-NX]*(Data_Nhập[Year]=CH$1)*(Data_Nhập[Month]=CH$2)*(Data_Nhập[Main SKU name_GOM]=$A12)*(Data_Nhập[SKU name_NHẬP_GOM]=CH$3)))</f>
        <v>0</v>
      </c>
      <c r="CI12" s="26" cm="1">
        <f t="array" ref="CI12">IF(CI$2="FY",SUMPRODUCT(Data_Nhập[Tổng Nhập-NX]*(Data_Nhập[Year]=CI$1)*(Data_Nhập[Main SKU name_GOM]=$A12)*(Data_Nhập[SKU name_NHẬP_GOM]=CI$3)),SUMPRODUCT(Data_Nhập[Tổng Nhập-NX]*(Data_Nhập[Year]=CI$1)*(Data_Nhập[Month]=CI$2)*(Data_Nhập[Main SKU name_GOM]=$A12)*(Data_Nhập[SKU name_NHẬP_GOM]=CI$3)))</f>
        <v>0</v>
      </c>
      <c r="CJ12" s="26" cm="1">
        <f t="array" ref="CJ12">IF(CJ$2="FY",SUMPRODUCT(Data_Nhập[Tổng Nhập-NX]*(Data_Nhập[Year]=CJ$1)*(Data_Nhập[Main SKU name_GOM]=$A12)*(Data_Nhập[SKU name_NHẬP_GOM]=CJ$3)),SUMPRODUCT(Data_Nhập[Tổng Nhập-NX]*(Data_Nhập[Year]=CJ$1)*(Data_Nhập[Month]=CJ$2)*(Data_Nhập[Main SKU name_GOM]=$A12)*(Data_Nhập[SKU name_NHẬP_GOM]=CJ$3)))</f>
        <v>0</v>
      </c>
      <c r="CK12" s="26" cm="1">
        <f t="array" ref="CK12">IF(CK$2="FY",SUMPRODUCT(Data_Nhập[Tổng Nhập-NX]*(Data_Nhập[Year]=CK$1)*(Data_Nhập[Main SKU name_GOM]=$A12)*(Data_Nhập[SKU name_NHẬP_GOM]=CK$3)),SUMPRODUCT(Data_Nhập[Tổng Nhập-NX]*(Data_Nhập[Year]=CK$1)*(Data_Nhập[Month]=CK$2)*(Data_Nhập[Main SKU name_GOM]=$A12)*(Data_Nhập[SKU name_NHẬP_GOM]=CK$3)))</f>
        <v>0</v>
      </c>
      <c r="CL12" s="26" cm="1">
        <f t="array" ref="CL12">IF(CL$2="FY",SUMPRODUCT(Data_Nhập[Tổng Nhập-NX]*(Data_Nhập[Year]=CL$1)*(Data_Nhập[Main SKU name_GOM]=$A12)*(Data_Nhập[SKU name_NHẬP_GOM]=CL$3)),SUMPRODUCT(Data_Nhập[Tổng Nhập-NX]*(Data_Nhập[Year]=CL$1)*(Data_Nhập[Month]=CL$2)*(Data_Nhập[Main SKU name_GOM]=$A12)*(Data_Nhập[SKU name_NHẬP_GOM]=CL$3)))</f>
        <v>0</v>
      </c>
      <c r="CM12" s="26" cm="1">
        <f t="array" ref="CM12">IF(CM$2="FY",SUMPRODUCT(Data_Nhập[Tổng Nhập-NX]*(Data_Nhập[Year]=CM$1)*(Data_Nhập[Main SKU name_GOM]=$A12)*(Data_Nhập[SKU name_NHẬP_GOM]=CM$3)),SUMPRODUCT(Data_Nhập[Tổng Nhập-NX]*(Data_Nhập[Year]=CM$1)*(Data_Nhập[Month]=CM$2)*(Data_Nhập[Main SKU name_GOM]=$A12)*(Data_Nhập[SKU name_NHẬP_GOM]=CM$3)))</f>
        <v>0</v>
      </c>
      <c r="CN12" s="27">
        <f t="shared" si="16"/>
        <v>0</v>
      </c>
      <c r="CP12" s="27" cm="1">
        <f t="array" ref="CP12">IF(CP$2="FY",SUMPRODUCT(Data_Xuất[Xuất-NX]*(Data_Xuất[Year]=CP$1)*(Data_Xuất[Main SKU name_GOM]=$A12)),SUMPRODUCT(Data_Xuất[Xuất-NX]*(Data_Xuất[Year]=CP$1)*(Data_Xuất[Main SKU name_GOM]=$A12)*(Data_Xuất[Month]=CP$2)))</f>
        <v>0</v>
      </c>
      <c r="CQ12" s="26" cm="1">
        <f t="array" ref="CQ12">IF(CQ$2="FY",SUMPRODUCT(Data_Nhập[Tổng Nhập-NX]*(Data_Nhập[Year]=CQ$1)*(Data_Nhập[Main SKU name_GOM]=$A12)*(Data_Nhập[SKU name_NHẬP_GOM]=CQ$3)),SUMPRODUCT(Data_Nhập[Tổng Nhập-NX]*(Data_Nhập[Year]=CQ$1)*(Data_Nhập[Month]=CQ$2)*(Data_Nhập[Main SKU name_GOM]=$A12)*(Data_Nhập[SKU name_NHẬP_GOM]=CQ$3)))</f>
        <v>0</v>
      </c>
      <c r="CR12" s="26" cm="1">
        <f t="array" ref="CR12">IF(CR$2="FY",SUMPRODUCT(Data_Nhập[Tổng Nhập-NX]*(Data_Nhập[Year]=CR$1)*(Data_Nhập[Main SKU name_GOM]=$A12)*(Data_Nhập[SKU name_NHẬP_GOM]=CR$3)),SUMPRODUCT(Data_Nhập[Tổng Nhập-NX]*(Data_Nhập[Year]=CR$1)*(Data_Nhập[Month]=CR$2)*(Data_Nhập[Main SKU name_GOM]=$A12)*(Data_Nhập[SKU name_NHẬP_GOM]=CR$3)))</f>
        <v>0</v>
      </c>
      <c r="CS12" s="26" cm="1">
        <f t="array" ref="CS12">IF(CS$2="FY",SUMPRODUCT(Data_Nhập[Tổng Nhập-NX]*(Data_Nhập[Year]=CS$1)*(Data_Nhập[Main SKU name_GOM]=$A12)*(Data_Nhập[SKU name_NHẬP_GOM]=CS$3)),SUMPRODUCT(Data_Nhập[Tổng Nhập-NX]*(Data_Nhập[Year]=CS$1)*(Data_Nhập[Month]=CS$2)*(Data_Nhập[Main SKU name_GOM]=$A12)*(Data_Nhập[SKU name_NHẬP_GOM]=CS$3)))</f>
        <v>0</v>
      </c>
      <c r="CT12" s="26" cm="1">
        <f t="array" ref="CT12">IF(CT$2="FY",SUMPRODUCT(Data_Nhập[Tổng Nhập-NX]*(Data_Nhập[Year]=CT$1)*(Data_Nhập[Main SKU name_GOM]=$A12)*(Data_Nhập[SKU name_NHẬP_GOM]=CT$3)),SUMPRODUCT(Data_Nhập[Tổng Nhập-NX]*(Data_Nhập[Year]=CT$1)*(Data_Nhập[Month]=CT$2)*(Data_Nhập[Main SKU name_GOM]=$A12)*(Data_Nhập[SKU name_NHẬP_GOM]=CT$3)))</f>
        <v>0</v>
      </c>
      <c r="CU12" s="26" cm="1">
        <f t="array" ref="CU12">IF(CU$2="FY",SUMPRODUCT(Data_Nhập[Tổng Nhập-NX]*(Data_Nhập[Year]=CU$1)*(Data_Nhập[Main SKU name_GOM]=$A12)*(Data_Nhập[SKU name_NHẬP_GOM]=CU$3)),SUMPRODUCT(Data_Nhập[Tổng Nhập-NX]*(Data_Nhập[Year]=CU$1)*(Data_Nhập[Month]=CU$2)*(Data_Nhập[Main SKU name_GOM]=$A12)*(Data_Nhập[SKU name_NHẬP_GOM]=CU$3)))</f>
        <v>0</v>
      </c>
      <c r="CV12" s="26" cm="1">
        <f t="array" ref="CV12">IF(CV$2="FY",SUMPRODUCT(Data_Nhập[Tổng Nhập-NX]*(Data_Nhập[Year]=CV$1)*(Data_Nhập[Main SKU name_GOM]=$A12)*(Data_Nhập[SKU name_NHẬP_GOM]=CV$3)),SUMPRODUCT(Data_Nhập[Tổng Nhập-NX]*(Data_Nhập[Year]=CV$1)*(Data_Nhập[Month]=CV$2)*(Data_Nhập[Main SKU name_GOM]=$A12)*(Data_Nhập[SKU name_NHẬP_GOM]=CV$3)))</f>
        <v>0</v>
      </c>
      <c r="CW12" s="26" cm="1">
        <f t="array" ref="CW12">IF(CW$2="FY",SUMPRODUCT(Data_Nhập[Tổng Nhập-NX]*(Data_Nhập[Year]=CW$1)*(Data_Nhập[Main SKU name_GOM]=$A12)*(Data_Nhập[SKU name_NHẬP_GOM]=CW$3)),SUMPRODUCT(Data_Nhập[Tổng Nhập-NX]*(Data_Nhập[Year]=CW$1)*(Data_Nhập[Month]=CW$2)*(Data_Nhập[Main SKU name_GOM]=$A12)*(Data_Nhập[SKU name_NHẬP_GOM]=CW$3)))</f>
        <v>0</v>
      </c>
      <c r="CX12" s="26" cm="1">
        <f t="array" ref="CX12">IF(CX$2="FY",SUMPRODUCT(Data_Nhập[Tổng Nhập-NX]*(Data_Nhập[Year]=CX$1)*(Data_Nhập[Main SKU name_GOM]=$A12)*(Data_Nhập[SKU name_NHẬP_GOM]=CX$3)),SUMPRODUCT(Data_Nhập[Tổng Nhập-NX]*(Data_Nhập[Year]=CX$1)*(Data_Nhập[Month]=CX$2)*(Data_Nhập[Main SKU name_GOM]=$A12)*(Data_Nhập[SKU name_NHẬP_GOM]=CX$3)))</f>
        <v>0</v>
      </c>
      <c r="CY12" s="26" cm="1">
        <f t="array" ref="CY12">IF(CY$2="FY",SUMPRODUCT(Data_Nhập[Tổng Nhập-NX]*(Data_Nhập[Year]=CY$1)*(Data_Nhập[Main SKU name_GOM]=$A12)*(Data_Nhập[SKU name_NHẬP_GOM]=CY$3)),SUMPRODUCT(Data_Nhập[Tổng Nhập-NX]*(Data_Nhập[Year]=CY$1)*(Data_Nhập[Month]=CY$2)*(Data_Nhập[Main SKU name_GOM]=$A12)*(Data_Nhập[SKU name_NHẬP_GOM]=CY$3)))</f>
        <v>0</v>
      </c>
      <c r="CZ12" s="26" cm="1">
        <f t="array" ref="CZ12">IF(CZ$2="FY",SUMPRODUCT(Data_Nhập[Tổng Nhập-NX]*(Data_Nhập[Year]=CZ$1)*(Data_Nhập[Main SKU name_GOM]=$A12)*(Data_Nhập[SKU name_NHẬP_GOM]=CZ$3)),SUMPRODUCT(Data_Nhập[Tổng Nhập-NX]*(Data_Nhập[Year]=CZ$1)*(Data_Nhập[Month]=CZ$2)*(Data_Nhập[Main SKU name_GOM]=$A12)*(Data_Nhập[SKU name_NHẬP_GOM]=CZ$3)))</f>
        <v>0</v>
      </c>
      <c r="DA12" s="26" cm="1">
        <f t="array" ref="DA12">IF(DA$2="FY",SUMPRODUCT(Data_Nhập[Tổng Nhập-NX]*(Data_Nhập[Year]=DA$1)*(Data_Nhập[Main SKU name_GOM]=$A12)*(Data_Nhập[SKU name_NHẬP_GOM]=DA$3)),SUMPRODUCT(Data_Nhập[Tổng Nhập-NX]*(Data_Nhập[Year]=DA$1)*(Data_Nhập[Month]=DA$2)*(Data_Nhập[Main SKU name_GOM]=$A12)*(Data_Nhập[SKU name_NHẬP_GOM]=DA$3)))</f>
        <v>0</v>
      </c>
      <c r="DB12" s="26" cm="1">
        <f t="array" ref="DB12">IF(DB$2="FY",SUMPRODUCT(Data_Nhập[Tổng Nhập-NX]*(Data_Nhập[Year]=DB$1)*(Data_Nhập[Main SKU name_GOM]=$A12)*(Data_Nhập[SKU name_NHẬP_GOM]=DB$3)),SUMPRODUCT(Data_Nhập[Tổng Nhập-NX]*(Data_Nhập[Year]=DB$1)*(Data_Nhập[Month]=DB$2)*(Data_Nhập[Main SKU name_GOM]=$A12)*(Data_Nhập[SKU name_NHẬP_GOM]=DB$3)))</f>
        <v>0</v>
      </c>
      <c r="DC12" s="26" cm="1">
        <f t="array" ref="DC12">IF(DC$2="FY",SUMPRODUCT(Data_Nhập[Tổng Nhập-NX]*(Data_Nhập[Year]=DC$1)*(Data_Nhập[Main SKU name_GOM]=$A12)*(Data_Nhập[SKU name_NHẬP_GOM]=DC$3)),SUMPRODUCT(Data_Nhập[Tổng Nhập-NX]*(Data_Nhập[Year]=DC$1)*(Data_Nhập[Month]=DC$2)*(Data_Nhập[Main SKU name_GOM]=$A12)*(Data_Nhập[SKU name_NHẬP_GOM]=DC$3)))</f>
        <v>0</v>
      </c>
      <c r="DD12" s="26" cm="1">
        <f t="array" ref="DD12">IF(DD$2="FY",SUMPRODUCT(Data_Nhập[Tổng Nhập-NX]*(Data_Nhập[Year]=DD$1)*(Data_Nhập[Main SKU name_GOM]=$A12)*(Data_Nhập[SKU name_NHẬP_GOM]=DD$3)),SUMPRODUCT(Data_Nhập[Tổng Nhập-NX]*(Data_Nhập[Year]=DD$1)*(Data_Nhập[Month]=DD$2)*(Data_Nhập[Main SKU name_GOM]=$A12)*(Data_Nhập[SKU name_NHẬP_GOM]=DD$3)))</f>
        <v>0</v>
      </c>
      <c r="DE12" s="26" cm="1">
        <f t="array" ref="DE12">IF(DE$2="FY",SUMPRODUCT(Data_Nhập[Tổng Nhập-NX]*(Data_Nhập[Year]=DE$1)*(Data_Nhập[Main SKU name_GOM]=$A12)*(Data_Nhập[SKU name_NHẬP_GOM]=DE$3)),SUMPRODUCT(Data_Nhập[Tổng Nhập-NX]*(Data_Nhập[Year]=DE$1)*(Data_Nhập[Month]=DE$2)*(Data_Nhập[Main SKU name_GOM]=$A12)*(Data_Nhập[SKU name_NHẬP_GOM]=DE$3)))</f>
        <v>0</v>
      </c>
      <c r="DF12" s="27">
        <f t="shared" si="17"/>
        <v>0</v>
      </c>
      <c r="DH12" s="27" cm="1">
        <f t="array" ref="DH12">IF(DH$2="FY",SUMPRODUCT(Data_Xuất[Xuất-NX]*(Data_Xuất[Year]=DH$1)*(Data_Xuất[Main SKU name_GOM]=$A12)),SUMPRODUCT(Data_Xuất[Xuất-NX]*(Data_Xuất[Year]=DH$1)*(Data_Xuất[Main SKU name_GOM]=$A12)*(Data_Xuất[Month]=DH$2)))</f>
        <v>0</v>
      </c>
      <c r="DI12" s="26" cm="1">
        <f t="array" ref="DI12">IF(DI$2="FY",SUMPRODUCT(Data_Nhập[Tổng Nhập-NX]*(Data_Nhập[Year]=DI$1)*(Data_Nhập[Main SKU name_GOM]=$A12)*(Data_Nhập[SKU name_NHẬP_GOM]=DI$3)),SUMPRODUCT(Data_Nhập[Tổng Nhập-NX]*(Data_Nhập[Year]=DI$1)*(Data_Nhập[Month]=DI$2)*(Data_Nhập[Main SKU name_GOM]=$A12)*(Data_Nhập[SKU name_NHẬP_GOM]=DI$3)))</f>
        <v>0</v>
      </c>
      <c r="DJ12" s="26" cm="1">
        <f t="array" ref="DJ12">IF(DJ$2="FY",SUMPRODUCT(Data_Nhập[Tổng Nhập-NX]*(Data_Nhập[Year]=DJ$1)*(Data_Nhập[Main SKU name_GOM]=$A12)*(Data_Nhập[SKU name_NHẬP_GOM]=DJ$3)),SUMPRODUCT(Data_Nhập[Tổng Nhập-NX]*(Data_Nhập[Year]=DJ$1)*(Data_Nhập[Month]=DJ$2)*(Data_Nhập[Main SKU name_GOM]=$A12)*(Data_Nhập[SKU name_NHẬP_GOM]=DJ$3)))</f>
        <v>0</v>
      </c>
      <c r="DK12" s="26" cm="1">
        <f t="array" ref="DK12">IF(DK$2="FY",SUMPRODUCT(Data_Nhập[Tổng Nhập-NX]*(Data_Nhập[Year]=DK$1)*(Data_Nhập[Main SKU name_GOM]=$A12)*(Data_Nhập[SKU name_NHẬP_GOM]=DK$3)),SUMPRODUCT(Data_Nhập[Tổng Nhập-NX]*(Data_Nhập[Year]=DK$1)*(Data_Nhập[Month]=DK$2)*(Data_Nhập[Main SKU name_GOM]=$A12)*(Data_Nhập[SKU name_NHẬP_GOM]=DK$3)))</f>
        <v>0</v>
      </c>
      <c r="DL12" s="26" cm="1">
        <f t="array" ref="DL12">IF(DL$2="FY",SUMPRODUCT(Data_Nhập[Tổng Nhập-NX]*(Data_Nhập[Year]=DL$1)*(Data_Nhập[Main SKU name_GOM]=$A12)*(Data_Nhập[SKU name_NHẬP_GOM]=DL$3)),SUMPRODUCT(Data_Nhập[Tổng Nhập-NX]*(Data_Nhập[Year]=DL$1)*(Data_Nhập[Month]=DL$2)*(Data_Nhập[Main SKU name_GOM]=$A12)*(Data_Nhập[SKU name_NHẬP_GOM]=DL$3)))</f>
        <v>0</v>
      </c>
      <c r="DM12" s="26" cm="1">
        <f t="array" ref="DM12">IF(DM$2="FY",SUMPRODUCT(Data_Nhập[Tổng Nhập-NX]*(Data_Nhập[Year]=DM$1)*(Data_Nhập[Main SKU name_GOM]=$A12)*(Data_Nhập[SKU name_NHẬP_GOM]=DM$3)),SUMPRODUCT(Data_Nhập[Tổng Nhập-NX]*(Data_Nhập[Year]=DM$1)*(Data_Nhập[Month]=DM$2)*(Data_Nhập[Main SKU name_GOM]=$A12)*(Data_Nhập[SKU name_NHẬP_GOM]=DM$3)))</f>
        <v>0</v>
      </c>
      <c r="DN12" s="26" cm="1">
        <f t="array" ref="DN12">IF(DN$2="FY",SUMPRODUCT(Data_Nhập[Tổng Nhập-NX]*(Data_Nhập[Year]=DN$1)*(Data_Nhập[Main SKU name_GOM]=$A12)*(Data_Nhập[SKU name_NHẬP_GOM]=DN$3)),SUMPRODUCT(Data_Nhập[Tổng Nhập-NX]*(Data_Nhập[Year]=DN$1)*(Data_Nhập[Month]=DN$2)*(Data_Nhập[Main SKU name_GOM]=$A12)*(Data_Nhập[SKU name_NHẬP_GOM]=DN$3)))</f>
        <v>0</v>
      </c>
      <c r="DO12" s="26" cm="1">
        <f t="array" ref="DO12">IF(DO$2="FY",SUMPRODUCT(Data_Nhập[Tổng Nhập-NX]*(Data_Nhập[Year]=DO$1)*(Data_Nhập[Main SKU name_GOM]=$A12)*(Data_Nhập[SKU name_NHẬP_GOM]=DO$3)),SUMPRODUCT(Data_Nhập[Tổng Nhập-NX]*(Data_Nhập[Year]=DO$1)*(Data_Nhập[Month]=DO$2)*(Data_Nhập[Main SKU name_GOM]=$A12)*(Data_Nhập[SKU name_NHẬP_GOM]=DO$3)))</f>
        <v>0</v>
      </c>
      <c r="DP12" s="26" cm="1">
        <f t="array" ref="DP12">IF(DP$2="FY",SUMPRODUCT(Data_Nhập[Tổng Nhập-NX]*(Data_Nhập[Year]=DP$1)*(Data_Nhập[Main SKU name_GOM]=$A12)*(Data_Nhập[SKU name_NHẬP_GOM]=DP$3)),SUMPRODUCT(Data_Nhập[Tổng Nhập-NX]*(Data_Nhập[Year]=DP$1)*(Data_Nhập[Month]=DP$2)*(Data_Nhập[Main SKU name_GOM]=$A12)*(Data_Nhập[SKU name_NHẬP_GOM]=DP$3)))</f>
        <v>0</v>
      </c>
      <c r="DQ12" s="26" cm="1">
        <f t="array" ref="DQ12">IF(DQ$2="FY",SUMPRODUCT(Data_Nhập[Tổng Nhập-NX]*(Data_Nhập[Year]=DQ$1)*(Data_Nhập[Main SKU name_GOM]=$A12)*(Data_Nhập[SKU name_NHẬP_GOM]=DQ$3)),SUMPRODUCT(Data_Nhập[Tổng Nhập-NX]*(Data_Nhập[Year]=DQ$1)*(Data_Nhập[Month]=DQ$2)*(Data_Nhập[Main SKU name_GOM]=$A12)*(Data_Nhập[SKU name_NHẬP_GOM]=DQ$3)))</f>
        <v>0</v>
      </c>
      <c r="DR12" s="26" cm="1">
        <f t="array" ref="DR12">IF(DR$2="FY",SUMPRODUCT(Data_Nhập[Tổng Nhập-NX]*(Data_Nhập[Year]=DR$1)*(Data_Nhập[Main SKU name_GOM]=$A12)*(Data_Nhập[SKU name_NHẬP_GOM]=DR$3)),SUMPRODUCT(Data_Nhập[Tổng Nhập-NX]*(Data_Nhập[Year]=DR$1)*(Data_Nhập[Month]=DR$2)*(Data_Nhập[Main SKU name_GOM]=$A12)*(Data_Nhập[SKU name_NHẬP_GOM]=DR$3)))</f>
        <v>0</v>
      </c>
      <c r="DS12" s="26" cm="1">
        <f t="array" ref="DS12">IF(DS$2="FY",SUMPRODUCT(Data_Nhập[Tổng Nhập-NX]*(Data_Nhập[Year]=DS$1)*(Data_Nhập[Main SKU name_GOM]=$A12)*(Data_Nhập[SKU name_NHẬP_GOM]=DS$3)),SUMPRODUCT(Data_Nhập[Tổng Nhập-NX]*(Data_Nhập[Year]=DS$1)*(Data_Nhập[Month]=DS$2)*(Data_Nhập[Main SKU name_GOM]=$A12)*(Data_Nhập[SKU name_NHẬP_GOM]=DS$3)))</f>
        <v>0</v>
      </c>
      <c r="DT12" s="26" cm="1">
        <f t="array" ref="DT12">IF(DT$2="FY",SUMPRODUCT(Data_Nhập[Tổng Nhập-NX]*(Data_Nhập[Year]=DT$1)*(Data_Nhập[Main SKU name_GOM]=$A12)*(Data_Nhập[SKU name_NHẬP_GOM]=DT$3)),SUMPRODUCT(Data_Nhập[Tổng Nhập-NX]*(Data_Nhập[Year]=DT$1)*(Data_Nhập[Month]=DT$2)*(Data_Nhập[Main SKU name_GOM]=$A12)*(Data_Nhập[SKU name_NHẬP_GOM]=DT$3)))</f>
        <v>0</v>
      </c>
      <c r="DU12" s="26" cm="1">
        <f t="array" ref="DU12">IF(DU$2="FY",SUMPRODUCT(Data_Nhập[Tổng Nhập-NX]*(Data_Nhập[Year]=DU$1)*(Data_Nhập[Main SKU name_GOM]=$A12)*(Data_Nhập[SKU name_NHẬP_GOM]=DU$3)),SUMPRODUCT(Data_Nhập[Tổng Nhập-NX]*(Data_Nhập[Year]=DU$1)*(Data_Nhập[Month]=DU$2)*(Data_Nhập[Main SKU name_GOM]=$A12)*(Data_Nhập[SKU name_NHẬP_GOM]=DU$3)))</f>
        <v>0</v>
      </c>
      <c r="DV12" s="26" cm="1">
        <f t="array" ref="DV12">IF(DV$2="FY",SUMPRODUCT(Data_Nhập[Tổng Nhập-NX]*(Data_Nhập[Year]=DV$1)*(Data_Nhập[Main SKU name_GOM]=$A12)*(Data_Nhập[SKU name_NHẬP_GOM]=DV$3)),SUMPRODUCT(Data_Nhập[Tổng Nhập-NX]*(Data_Nhập[Year]=DV$1)*(Data_Nhập[Month]=DV$2)*(Data_Nhập[Main SKU name_GOM]=$A12)*(Data_Nhập[SKU name_NHẬP_GOM]=DV$3)))</f>
        <v>0</v>
      </c>
      <c r="DW12" s="26" cm="1">
        <f t="array" ref="DW12">IF(DW$2="FY",SUMPRODUCT(Data_Nhập[Tổng Nhập-NX]*(Data_Nhập[Year]=DW$1)*(Data_Nhập[Main SKU name_GOM]=$A12)*(Data_Nhập[SKU name_NHẬP_GOM]=DW$3)),SUMPRODUCT(Data_Nhập[Tổng Nhập-NX]*(Data_Nhập[Year]=DW$1)*(Data_Nhập[Month]=DW$2)*(Data_Nhập[Main SKU name_GOM]=$A12)*(Data_Nhập[SKU name_NHẬP_GOM]=DW$3)))</f>
        <v>0</v>
      </c>
      <c r="DX12" s="27">
        <f t="shared" si="18"/>
        <v>0</v>
      </c>
      <c r="DZ12" s="27" cm="1">
        <f t="array" ref="DZ12">IF(DZ$2="FY",SUMPRODUCT(Data_Xuất[Xuất-NX]*(Data_Xuất[Year]=DZ$1)*(Data_Xuất[Main SKU name_GOM]=$A12)),SUMPRODUCT(Data_Xuất[Xuất-NX]*(Data_Xuất[Year]=DZ$1)*(Data_Xuất[Main SKU name_GOM]=$A12)*(Data_Xuất[Month]=DZ$2)))</f>
        <v>0</v>
      </c>
      <c r="EA12" s="26" cm="1">
        <f t="array" ref="EA12">IF(EA$2="FY",SUMPRODUCT(Data_Nhập[Tổng Nhập-NX]*(Data_Nhập[Year]=EA$1)*(Data_Nhập[Main SKU name_GOM]=$A12)*(Data_Nhập[SKU name_NHẬP_GOM]=EA$3)),SUMPRODUCT(Data_Nhập[Tổng Nhập-NX]*(Data_Nhập[Year]=EA$1)*(Data_Nhập[Month]=EA$2)*(Data_Nhập[Main SKU name_GOM]=$A12)*(Data_Nhập[SKU name_NHẬP_GOM]=EA$3)))</f>
        <v>0</v>
      </c>
      <c r="EB12" s="26" cm="1">
        <f t="array" ref="EB12">IF(EB$2="FY",SUMPRODUCT(Data_Nhập[Tổng Nhập-NX]*(Data_Nhập[Year]=EB$1)*(Data_Nhập[Main SKU name_GOM]=$A12)*(Data_Nhập[SKU name_NHẬP_GOM]=EB$3)),SUMPRODUCT(Data_Nhập[Tổng Nhập-NX]*(Data_Nhập[Year]=EB$1)*(Data_Nhập[Month]=EB$2)*(Data_Nhập[Main SKU name_GOM]=$A12)*(Data_Nhập[SKU name_NHẬP_GOM]=EB$3)))</f>
        <v>0</v>
      </c>
      <c r="EC12" s="26" cm="1">
        <f t="array" ref="EC12">IF(EC$2="FY",SUMPRODUCT(Data_Nhập[Tổng Nhập-NX]*(Data_Nhập[Year]=EC$1)*(Data_Nhập[Main SKU name_GOM]=$A12)*(Data_Nhập[SKU name_NHẬP_GOM]=EC$3)),SUMPRODUCT(Data_Nhập[Tổng Nhập-NX]*(Data_Nhập[Year]=EC$1)*(Data_Nhập[Month]=EC$2)*(Data_Nhập[Main SKU name_GOM]=$A12)*(Data_Nhập[SKU name_NHẬP_GOM]=EC$3)))</f>
        <v>0</v>
      </c>
      <c r="ED12" s="26" cm="1">
        <f t="array" ref="ED12">IF(ED$2="FY",SUMPRODUCT(Data_Nhập[Tổng Nhập-NX]*(Data_Nhập[Year]=ED$1)*(Data_Nhập[Main SKU name_GOM]=$A12)*(Data_Nhập[SKU name_NHẬP_GOM]=ED$3)),SUMPRODUCT(Data_Nhập[Tổng Nhập-NX]*(Data_Nhập[Year]=ED$1)*(Data_Nhập[Month]=ED$2)*(Data_Nhập[Main SKU name_GOM]=$A12)*(Data_Nhập[SKU name_NHẬP_GOM]=ED$3)))</f>
        <v>0</v>
      </c>
      <c r="EE12" s="26" cm="1">
        <f t="array" ref="EE12">IF(EE$2="FY",SUMPRODUCT(Data_Nhập[Tổng Nhập-NX]*(Data_Nhập[Year]=EE$1)*(Data_Nhập[Main SKU name_GOM]=$A12)*(Data_Nhập[SKU name_NHẬP_GOM]=EE$3)),SUMPRODUCT(Data_Nhập[Tổng Nhập-NX]*(Data_Nhập[Year]=EE$1)*(Data_Nhập[Month]=EE$2)*(Data_Nhập[Main SKU name_GOM]=$A12)*(Data_Nhập[SKU name_NHẬP_GOM]=EE$3)))</f>
        <v>0</v>
      </c>
      <c r="EF12" s="26" cm="1">
        <f t="array" ref="EF12">IF(EF$2="FY",SUMPRODUCT(Data_Nhập[Tổng Nhập-NX]*(Data_Nhập[Year]=EF$1)*(Data_Nhập[Main SKU name_GOM]=$A12)*(Data_Nhập[SKU name_NHẬP_GOM]=EF$3)),SUMPRODUCT(Data_Nhập[Tổng Nhập-NX]*(Data_Nhập[Year]=EF$1)*(Data_Nhập[Month]=EF$2)*(Data_Nhập[Main SKU name_GOM]=$A12)*(Data_Nhập[SKU name_NHẬP_GOM]=EF$3)))</f>
        <v>0</v>
      </c>
      <c r="EG12" s="26" cm="1">
        <f t="array" ref="EG12">IF(EG$2="FY",SUMPRODUCT(Data_Nhập[Tổng Nhập-NX]*(Data_Nhập[Year]=EG$1)*(Data_Nhập[Main SKU name_GOM]=$A12)*(Data_Nhập[SKU name_NHẬP_GOM]=EG$3)),SUMPRODUCT(Data_Nhập[Tổng Nhập-NX]*(Data_Nhập[Year]=EG$1)*(Data_Nhập[Month]=EG$2)*(Data_Nhập[Main SKU name_GOM]=$A12)*(Data_Nhập[SKU name_NHẬP_GOM]=EG$3)))</f>
        <v>0</v>
      </c>
      <c r="EH12" s="26" cm="1">
        <f t="array" ref="EH12">IF(EH$2="FY",SUMPRODUCT(Data_Nhập[Tổng Nhập-NX]*(Data_Nhập[Year]=EH$1)*(Data_Nhập[Main SKU name_GOM]=$A12)*(Data_Nhập[SKU name_NHẬP_GOM]=EH$3)),SUMPRODUCT(Data_Nhập[Tổng Nhập-NX]*(Data_Nhập[Year]=EH$1)*(Data_Nhập[Month]=EH$2)*(Data_Nhập[Main SKU name_GOM]=$A12)*(Data_Nhập[SKU name_NHẬP_GOM]=EH$3)))</f>
        <v>0</v>
      </c>
      <c r="EI12" s="26" cm="1">
        <f t="array" ref="EI12">IF(EI$2="FY",SUMPRODUCT(Data_Nhập[Tổng Nhập-NX]*(Data_Nhập[Year]=EI$1)*(Data_Nhập[Main SKU name_GOM]=$A12)*(Data_Nhập[SKU name_NHẬP_GOM]=EI$3)),SUMPRODUCT(Data_Nhập[Tổng Nhập-NX]*(Data_Nhập[Year]=EI$1)*(Data_Nhập[Month]=EI$2)*(Data_Nhập[Main SKU name_GOM]=$A12)*(Data_Nhập[SKU name_NHẬP_GOM]=EI$3)))</f>
        <v>0</v>
      </c>
      <c r="EJ12" s="26" cm="1">
        <f t="array" ref="EJ12">IF(EJ$2="FY",SUMPRODUCT(Data_Nhập[Tổng Nhập-NX]*(Data_Nhập[Year]=EJ$1)*(Data_Nhập[Main SKU name_GOM]=$A12)*(Data_Nhập[SKU name_NHẬP_GOM]=EJ$3)),SUMPRODUCT(Data_Nhập[Tổng Nhập-NX]*(Data_Nhập[Year]=EJ$1)*(Data_Nhập[Month]=EJ$2)*(Data_Nhập[Main SKU name_GOM]=$A12)*(Data_Nhập[SKU name_NHẬP_GOM]=EJ$3)))</f>
        <v>0</v>
      </c>
      <c r="EK12" s="26" cm="1">
        <f t="array" ref="EK12">IF(EK$2="FY",SUMPRODUCT(Data_Nhập[Tổng Nhập-NX]*(Data_Nhập[Year]=EK$1)*(Data_Nhập[Main SKU name_GOM]=$A12)*(Data_Nhập[SKU name_NHẬP_GOM]=EK$3)),SUMPRODUCT(Data_Nhập[Tổng Nhập-NX]*(Data_Nhập[Year]=EK$1)*(Data_Nhập[Month]=EK$2)*(Data_Nhập[Main SKU name_GOM]=$A12)*(Data_Nhập[SKU name_NHẬP_GOM]=EK$3)))</f>
        <v>0</v>
      </c>
      <c r="EL12" s="26" cm="1">
        <f t="array" ref="EL12">IF(EL$2="FY",SUMPRODUCT(Data_Nhập[Tổng Nhập-NX]*(Data_Nhập[Year]=EL$1)*(Data_Nhập[Main SKU name_GOM]=$A12)*(Data_Nhập[SKU name_NHẬP_GOM]=EL$3)),SUMPRODUCT(Data_Nhập[Tổng Nhập-NX]*(Data_Nhập[Year]=EL$1)*(Data_Nhập[Month]=EL$2)*(Data_Nhập[Main SKU name_GOM]=$A12)*(Data_Nhập[SKU name_NHẬP_GOM]=EL$3)))</f>
        <v>0</v>
      </c>
      <c r="EM12" s="26" cm="1">
        <f t="array" ref="EM12">IF(EM$2="FY",SUMPRODUCT(Data_Nhập[Tổng Nhập-NX]*(Data_Nhập[Year]=EM$1)*(Data_Nhập[Main SKU name_GOM]=$A12)*(Data_Nhập[SKU name_NHẬP_GOM]=EM$3)),SUMPRODUCT(Data_Nhập[Tổng Nhập-NX]*(Data_Nhập[Year]=EM$1)*(Data_Nhập[Month]=EM$2)*(Data_Nhập[Main SKU name_GOM]=$A12)*(Data_Nhập[SKU name_NHẬP_GOM]=EM$3)))</f>
        <v>0</v>
      </c>
      <c r="EN12" s="26" cm="1">
        <f t="array" ref="EN12">IF(EN$2="FY",SUMPRODUCT(Data_Nhập[Tổng Nhập-NX]*(Data_Nhập[Year]=EN$1)*(Data_Nhập[Main SKU name_GOM]=$A12)*(Data_Nhập[SKU name_NHẬP_GOM]=EN$3)),SUMPRODUCT(Data_Nhập[Tổng Nhập-NX]*(Data_Nhập[Year]=EN$1)*(Data_Nhập[Month]=EN$2)*(Data_Nhập[Main SKU name_GOM]=$A12)*(Data_Nhập[SKU name_NHẬP_GOM]=EN$3)))</f>
        <v>0</v>
      </c>
      <c r="EO12" s="26" cm="1">
        <f t="array" ref="EO12">IF(EO$2="FY",SUMPRODUCT(Data_Nhập[Tổng Nhập-NX]*(Data_Nhập[Year]=EO$1)*(Data_Nhập[Main SKU name_GOM]=$A12)*(Data_Nhập[SKU name_NHẬP_GOM]=EO$3)),SUMPRODUCT(Data_Nhập[Tổng Nhập-NX]*(Data_Nhập[Year]=EO$1)*(Data_Nhập[Month]=EO$2)*(Data_Nhập[Main SKU name_GOM]=$A12)*(Data_Nhập[SKU name_NHẬP_GOM]=EO$3)))</f>
        <v>0</v>
      </c>
      <c r="EP12" s="27">
        <f t="shared" si="19"/>
        <v>0</v>
      </c>
      <c r="ER12" s="27" cm="1">
        <f t="array" ref="ER12">IF(ER$2="FY",SUMPRODUCT(Data_Xuất[Xuất-NX]*(Data_Xuất[Year]=ER$1)*(Data_Xuất[Main SKU name_GOM]=$A12)),SUMPRODUCT(Data_Xuất[Xuất-NX]*(Data_Xuất[Year]=ER$1)*(Data_Xuất[Main SKU name_GOM]=$A12)*(Data_Xuất[Month]=ER$2)))</f>
        <v>0</v>
      </c>
      <c r="ES12" s="26" cm="1">
        <f t="array" ref="ES12">IF(ES$2="FY",SUMPRODUCT(Data_Nhập[Tổng Nhập-NX]*(Data_Nhập[Year]=ES$1)*(Data_Nhập[Main SKU name_GOM]=$A12)*(Data_Nhập[SKU name_NHẬP_GOM]=ES$3)),SUMPRODUCT(Data_Nhập[Tổng Nhập-NX]*(Data_Nhập[Year]=ES$1)*(Data_Nhập[Month]=ES$2)*(Data_Nhập[Main SKU name_GOM]=$A12)*(Data_Nhập[SKU name_NHẬP_GOM]=ES$3)))</f>
        <v>0</v>
      </c>
      <c r="ET12" s="26" cm="1">
        <f t="array" ref="ET12">IF(ET$2="FY",SUMPRODUCT(Data_Nhập[Tổng Nhập-NX]*(Data_Nhập[Year]=ET$1)*(Data_Nhập[Main SKU name_GOM]=$A12)*(Data_Nhập[SKU name_NHẬP_GOM]=ET$3)),SUMPRODUCT(Data_Nhập[Tổng Nhập-NX]*(Data_Nhập[Year]=ET$1)*(Data_Nhập[Month]=ET$2)*(Data_Nhập[Main SKU name_GOM]=$A12)*(Data_Nhập[SKU name_NHẬP_GOM]=ET$3)))</f>
        <v>0</v>
      </c>
      <c r="EU12" s="26" cm="1">
        <f t="array" ref="EU12">IF(EU$2="FY",SUMPRODUCT(Data_Nhập[Tổng Nhập-NX]*(Data_Nhập[Year]=EU$1)*(Data_Nhập[Main SKU name_GOM]=$A12)*(Data_Nhập[SKU name_NHẬP_GOM]=EU$3)),SUMPRODUCT(Data_Nhập[Tổng Nhập-NX]*(Data_Nhập[Year]=EU$1)*(Data_Nhập[Month]=EU$2)*(Data_Nhập[Main SKU name_GOM]=$A12)*(Data_Nhập[SKU name_NHẬP_GOM]=EU$3)))</f>
        <v>0</v>
      </c>
      <c r="EV12" s="26" cm="1">
        <f t="array" ref="EV12">IF(EV$2="FY",SUMPRODUCT(Data_Nhập[Tổng Nhập-NX]*(Data_Nhập[Year]=EV$1)*(Data_Nhập[Main SKU name_GOM]=$A12)*(Data_Nhập[SKU name_NHẬP_GOM]=EV$3)),SUMPRODUCT(Data_Nhập[Tổng Nhập-NX]*(Data_Nhập[Year]=EV$1)*(Data_Nhập[Month]=EV$2)*(Data_Nhập[Main SKU name_GOM]=$A12)*(Data_Nhập[SKU name_NHẬP_GOM]=EV$3)))</f>
        <v>0</v>
      </c>
      <c r="EW12" s="26" cm="1">
        <f t="array" ref="EW12">IF(EW$2="FY",SUMPRODUCT(Data_Nhập[Tổng Nhập-NX]*(Data_Nhập[Year]=EW$1)*(Data_Nhập[Main SKU name_GOM]=$A12)*(Data_Nhập[SKU name_NHẬP_GOM]=EW$3)),SUMPRODUCT(Data_Nhập[Tổng Nhập-NX]*(Data_Nhập[Year]=EW$1)*(Data_Nhập[Month]=EW$2)*(Data_Nhập[Main SKU name_GOM]=$A12)*(Data_Nhập[SKU name_NHẬP_GOM]=EW$3)))</f>
        <v>0</v>
      </c>
      <c r="EX12" s="26" cm="1">
        <f t="array" ref="EX12">IF(EX$2="FY",SUMPRODUCT(Data_Nhập[Tổng Nhập-NX]*(Data_Nhập[Year]=EX$1)*(Data_Nhập[Main SKU name_GOM]=$A12)*(Data_Nhập[SKU name_NHẬP_GOM]=EX$3)),SUMPRODUCT(Data_Nhập[Tổng Nhập-NX]*(Data_Nhập[Year]=EX$1)*(Data_Nhập[Month]=EX$2)*(Data_Nhập[Main SKU name_GOM]=$A12)*(Data_Nhập[SKU name_NHẬP_GOM]=EX$3)))</f>
        <v>0</v>
      </c>
      <c r="EY12" s="26" cm="1">
        <f t="array" ref="EY12">IF(EY$2="FY",SUMPRODUCT(Data_Nhập[Tổng Nhập-NX]*(Data_Nhập[Year]=EY$1)*(Data_Nhập[Main SKU name_GOM]=$A12)*(Data_Nhập[SKU name_NHẬP_GOM]=EY$3)),SUMPRODUCT(Data_Nhập[Tổng Nhập-NX]*(Data_Nhập[Year]=EY$1)*(Data_Nhập[Month]=EY$2)*(Data_Nhập[Main SKU name_GOM]=$A12)*(Data_Nhập[SKU name_NHẬP_GOM]=EY$3)))</f>
        <v>0</v>
      </c>
      <c r="EZ12" s="26" cm="1">
        <f t="array" ref="EZ12">IF(EZ$2="FY",SUMPRODUCT(Data_Nhập[Tổng Nhập-NX]*(Data_Nhập[Year]=EZ$1)*(Data_Nhập[Main SKU name_GOM]=$A12)*(Data_Nhập[SKU name_NHẬP_GOM]=EZ$3)),SUMPRODUCT(Data_Nhập[Tổng Nhập-NX]*(Data_Nhập[Year]=EZ$1)*(Data_Nhập[Month]=EZ$2)*(Data_Nhập[Main SKU name_GOM]=$A12)*(Data_Nhập[SKU name_NHẬP_GOM]=EZ$3)))</f>
        <v>0</v>
      </c>
      <c r="FA12" s="26" cm="1">
        <f t="array" ref="FA12">IF(FA$2="FY",SUMPRODUCT(Data_Nhập[Tổng Nhập-NX]*(Data_Nhập[Year]=FA$1)*(Data_Nhập[Main SKU name_GOM]=$A12)*(Data_Nhập[SKU name_NHẬP_GOM]=FA$3)),SUMPRODUCT(Data_Nhập[Tổng Nhập-NX]*(Data_Nhập[Year]=FA$1)*(Data_Nhập[Month]=FA$2)*(Data_Nhập[Main SKU name_GOM]=$A12)*(Data_Nhập[SKU name_NHẬP_GOM]=FA$3)))</f>
        <v>0</v>
      </c>
      <c r="FB12" s="26" cm="1">
        <f t="array" ref="FB12">IF(FB$2="FY",SUMPRODUCT(Data_Nhập[Tổng Nhập-NX]*(Data_Nhập[Year]=FB$1)*(Data_Nhập[Main SKU name_GOM]=$A12)*(Data_Nhập[SKU name_NHẬP_GOM]=FB$3)),SUMPRODUCT(Data_Nhập[Tổng Nhập-NX]*(Data_Nhập[Year]=FB$1)*(Data_Nhập[Month]=FB$2)*(Data_Nhập[Main SKU name_GOM]=$A12)*(Data_Nhập[SKU name_NHẬP_GOM]=FB$3)))</f>
        <v>0</v>
      </c>
      <c r="FC12" s="26" cm="1">
        <f t="array" ref="FC12">IF(FC$2="FY",SUMPRODUCT(Data_Nhập[Tổng Nhập-NX]*(Data_Nhập[Year]=FC$1)*(Data_Nhập[Main SKU name_GOM]=$A12)*(Data_Nhập[SKU name_NHẬP_GOM]=FC$3)),SUMPRODUCT(Data_Nhập[Tổng Nhập-NX]*(Data_Nhập[Year]=FC$1)*(Data_Nhập[Month]=FC$2)*(Data_Nhập[Main SKU name_GOM]=$A12)*(Data_Nhập[SKU name_NHẬP_GOM]=FC$3)))</f>
        <v>0</v>
      </c>
      <c r="FD12" s="26" cm="1">
        <f t="array" ref="FD12">IF(FD$2="FY",SUMPRODUCT(Data_Nhập[Tổng Nhập-NX]*(Data_Nhập[Year]=FD$1)*(Data_Nhập[Main SKU name_GOM]=$A12)*(Data_Nhập[SKU name_NHẬP_GOM]=FD$3)),SUMPRODUCT(Data_Nhập[Tổng Nhập-NX]*(Data_Nhập[Year]=FD$1)*(Data_Nhập[Month]=FD$2)*(Data_Nhập[Main SKU name_GOM]=$A12)*(Data_Nhập[SKU name_NHẬP_GOM]=FD$3)))</f>
        <v>0</v>
      </c>
      <c r="FE12" s="26" cm="1">
        <f t="array" ref="FE12">IF(FE$2="FY",SUMPRODUCT(Data_Nhập[Tổng Nhập-NX]*(Data_Nhập[Year]=FE$1)*(Data_Nhập[Main SKU name_GOM]=$A12)*(Data_Nhập[SKU name_NHẬP_GOM]=FE$3)),SUMPRODUCT(Data_Nhập[Tổng Nhập-NX]*(Data_Nhập[Year]=FE$1)*(Data_Nhập[Month]=FE$2)*(Data_Nhập[Main SKU name_GOM]=$A12)*(Data_Nhập[SKU name_NHẬP_GOM]=FE$3)))</f>
        <v>0</v>
      </c>
      <c r="FF12" s="26" cm="1">
        <f t="array" ref="FF12">IF(FF$2="FY",SUMPRODUCT(Data_Nhập[Tổng Nhập-NX]*(Data_Nhập[Year]=FF$1)*(Data_Nhập[Main SKU name_GOM]=$A12)*(Data_Nhập[SKU name_NHẬP_GOM]=FF$3)),SUMPRODUCT(Data_Nhập[Tổng Nhập-NX]*(Data_Nhập[Year]=FF$1)*(Data_Nhập[Month]=FF$2)*(Data_Nhập[Main SKU name_GOM]=$A12)*(Data_Nhập[SKU name_NHẬP_GOM]=FF$3)))</f>
        <v>0</v>
      </c>
      <c r="FG12" s="26" cm="1">
        <f t="array" ref="FG12">IF(FG$2="FY",SUMPRODUCT(Data_Nhập[Tổng Nhập-NX]*(Data_Nhập[Year]=FG$1)*(Data_Nhập[Main SKU name_GOM]=$A12)*(Data_Nhập[SKU name_NHẬP_GOM]=FG$3)),SUMPRODUCT(Data_Nhập[Tổng Nhập-NX]*(Data_Nhập[Year]=FG$1)*(Data_Nhập[Month]=FG$2)*(Data_Nhập[Main SKU name_GOM]=$A12)*(Data_Nhập[SKU name_NHẬP_GOM]=FG$3)))</f>
        <v>0</v>
      </c>
      <c r="FH12" s="27">
        <f t="shared" si="20"/>
        <v>0</v>
      </c>
      <c r="FJ12" s="27" cm="1">
        <f t="array" ref="FJ12">IF(FJ$2="FY",SUMPRODUCT(Data_Xuất[Xuất-NX]*(Data_Xuất[Year]=FJ$1)*(Data_Xuất[Main SKU name_GOM]=$A12)),SUMPRODUCT(Data_Xuất[Xuất-NX]*(Data_Xuất[Year]=FJ$1)*(Data_Xuất[Main SKU name_GOM]=$A12)*(Data_Xuất[Month]=FJ$2)))</f>
        <v>0</v>
      </c>
      <c r="FK12" s="26" cm="1">
        <f t="array" ref="FK12">IF(FK$2="FY",SUMPRODUCT(Data_Nhập[Tổng Nhập-NX]*(Data_Nhập[Year]=FK$1)*(Data_Nhập[Main SKU name_GOM]=$A12)*(Data_Nhập[SKU name_NHẬP_GOM]=FK$3)),SUMPRODUCT(Data_Nhập[Tổng Nhập-NX]*(Data_Nhập[Year]=FK$1)*(Data_Nhập[Month]=FK$2)*(Data_Nhập[Main SKU name_GOM]=$A12)*(Data_Nhập[SKU name_NHẬP_GOM]=FK$3)))</f>
        <v>0</v>
      </c>
      <c r="FL12" s="26" cm="1">
        <f t="array" ref="FL12">IF(FL$2="FY",SUMPRODUCT(Data_Nhập[Tổng Nhập-NX]*(Data_Nhập[Year]=FL$1)*(Data_Nhập[Main SKU name_GOM]=$A12)*(Data_Nhập[SKU name_NHẬP_GOM]=FL$3)),SUMPRODUCT(Data_Nhập[Tổng Nhập-NX]*(Data_Nhập[Year]=FL$1)*(Data_Nhập[Month]=FL$2)*(Data_Nhập[Main SKU name_GOM]=$A12)*(Data_Nhập[SKU name_NHẬP_GOM]=FL$3)))</f>
        <v>0</v>
      </c>
      <c r="FM12" s="26" cm="1">
        <f t="array" ref="FM12">IF(FM$2="FY",SUMPRODUCT(Data_Nhập[Tổng Nhập-NX]*(Data_Nhập[Year]=FM$1)*(Data_Nhập[Main SKU name_GOM]=$A12)*(Data_Nhập[SKU name_NHẬP_GOM]=FM$3)),SUMPRODUCT(Data_Nhập[Tổng Nhập-NX]*(Data_Nhập[Year]=FM$1)*(Data_Nhập[Month]=FM$2)*(Data_Nhập[Main SKU name_GOM]=$A12)*(Data_Nhập[SKU name_NHẬP_GOM]=FM$3)))</f>
        <v>0</v>
      </c>
      <c r="FN12" s="26" cm="1">
        <f t="array" ref="FN12">IF(FN$2="FY",SUMPRODUCT(Data_Nhập[Tổng Nhập-NX]*(Data_Nhập[Year]=FN$1)*(Data_Nhập[Main SKU name_GOM]=$A12)*(Data_Nhập[SKU name_NHẬP_GOM]=FN$3)),SUMPRODUCT(Data_Nhập[Tổng Nhập-NX]*(Data_Nhập[Year]=FN$1)*(Data_Nhập[Month]=FN$2)*(Data_Nhập[Main SKU name_GOM]=$A12)*(Data_Nhập[SKU name_NHẬP_GOM]=FN$3)))</f>
        <v>0</v>
      </c>
      <c r="FO12" s="26" cm="1">
        <f t="array" ref="FO12">IF(FO$2="FY",SUMPRODUCT(Data_Nhập[Tổng Nhập-NX]*(Data_Nhập[Year]=FO$1)*(Data_Nhập[Main SKU name_GOM]=$A12)*(Data_Nhập[SKU name_NHẬP_GOM]=FO$3)),SUMPRODUCT(Data_Nhập[Tổng Nhập-NX]*(Data_Nhập[Year]=FO$1)*(Data_Nhập[Month]=FO$2)*(Data_Nhập[Main SKU name_GOM]=$A12)*(Data_Nhập[SKU name_NHẬP_GOM]=FO$3)))</f>
        <v>0</v>
      </c>
      <c r="FP12" s="26" cm="1">
        <f t="array" ref="FP12">IF(FP$2="FY",SUMPRODUCT(Data_Nhập[Tổng Nhập-NX]*(Data_Nhập[Year]=FP$1)*(Data_Nhập[Main SKU name_GOM]=$A12)*(Data_Nhập[SKU name_NHẬP_GOM]=FP$3)),SUMPRODUCT(Data_Nhập[Tổng Nhập-NX]*(Data_Nhập[Year]=FP$1)*(Data_Nhập[Month]=FP$2)*(Data_Nhập[Main SKU name_GOM]=$A12)*(Data_Nhập[SKU name_NHẬP_GOM]=FP$3)))</f>
        <v>0</v>
      </c>
      <c r="FQ12" s="26" cm="1">
        <f t="array" ref="FQ12">IF(FQ$2="FY",SUMPRODUCT(Data_Nhập[Tổng Nhập-NX]*(Data_Nhập[Year]=FQ$1)*(Data_Nhập[Main SKU name_GOM]=$A12)*(Data_Nhập[SKU name_NHẬP_GOM]=FQ$3)),SUMPRODUCT(Data_Nhập[Tổng Nhập-NX]*(Data_Nhập[Year]=FQ$1)*(Data_Nhập[Month]=FQ$2)*(Data_Nhập[Main SKU name_GOM]=$A12)*(Data_Nhập[SKU name_NHẬP_GOM]=FQ$3)))</f>
        <v>0</v>
      </c>
      <c r="FR12" s="26" cm="1">
        <f t="array" ref="FR12">IF(FR$2="FY",SUMPRODUCT(Data_Nhập[Tổng Nhập-NX]*(Data_Nhập[Year]=FR$1)*(Data_Nhập[Main SKU name_GOM]=$A12)*(Data_Nhập[SKU name_NHẬP_GOM]=FR$3)),SUMPRODUCT(Data_Nhập[Tổng Nhập-NX]*(Data_Nhập[Year]=FR$1)*(Data_Nhập[Month]=FR$2)*(Data_Nhập[Main SKU name_GOM]=$A12)*(Data_Nhập[SKU name_NHẬP_GOM]=FR$3)))</f>
        <v>0</v>
      </c>
      <c r="FS12" s="26" cm="1">
        <f t="array" ref="FS12">IF(FS$2="FY",SUMPRODUCT(Data_Nhập[Tổng Nhập-NX]*(Data_Nhập[Year]=FS$1)*(Data_Nhập[Main SKU name_GOM]=$A12)*(Data_Nhập[SKU name_NHẬP_GOM]=FS$3)),SUMPRODUCT(Data_Nhập[Tổng Nhập-NX]*(Data_Nhập[Year]=FS$1)*(Data_Nhập[Month]=FS$2)*(Data_Nhập[Main SKU name_GOM]=$A12)*(Data_Nhập[SKU name_NHẬP_GOM]=FS$3)))</f>
        <v>0</v>
      </c>
      <c r="FT12" s="26" cm="1">
        <f t="array" ref="FT12">IF(FT$2="FY",SUMPRODUCT(Data_Nhập[Tổng Nhập-NX]*(Data_Nhập[Year]=FT$1)*(Data_Nhập[Main SKU name_GOM]=$A12)*(Data_Nhập[SKU name_NHẬP_GOM]=FT$3)),SUMPRODUCT(Data_Nhập[Tổng Nhập-NX]*(Data_Nhập[Year]=FT$1)*(Data_Nhập[Month]=FT$2)*(Data_Nhập[Main SKU name_GOM]=$A12)*(Data_Nhập[SKU name_NHẬP_GOM]=FT$3)))</f>
        <v>0</v>
      </c>
      <c r="FU12" s="26" cm="1">
        <f t="array" ref="FU12">IF(FU$2="FY",SUMPRODUCT(Data_Nhập[Tổng Nhập-NX]*(Data_Nhập[Year]=FU$1)*(Data_Nhập[Main SKU name_GOM]=$A12)*(Data_Nhập[SKU name_NHẬP_GOM]=FU$3)),SUMPRODUCT(Data_Nhập[Tổng Nhập-NX]*(Data_Nhập[Year]=FU$1)*(Data_Nhập[Month]=FU$2)*(Data_Nhập[Main SKU name_GOM]=$A12)*(Data_Nhập[SKU name_NHẬP_GOM]=FU$3)))</f>
        <v>0</v>
      </c>
      <c r="FV12" s="26" cm="1">
        <f t="array" ref="FV12">IF(FV$2="FY",SUMPRODUCT(Data_Nhập[Tổng Nhập-NX]*(Data_Nhập[Year]=FV$1)*(Data_Nhập[Main SKU name_GOM]=$A12)*(Data_Nhập[SKU name_NHẬP_GOM]=FV$3)),SUMPRODUCT(Data_Nhập[Tổng Nhập-NX]*(Data_Nhập[Year]=FV$1)*(Data_Nhập[Month]=FV$2)*(Data_Nhập[Main SKU name_GOM]=$A12)*(Data_Nhập[SKU name_NHẬP_GOM]=FV$3)))</f>
        <v>0</v>
      </c>
      <c r="FW12" s="26" cm="1">
        <f t="array" ref="FW12">IF(FW$2="FY",SUMPRODUCT(Data_Nhập[Tổng Nhập-NX]*(Data_Nhập[Year]=FW$1)*(Data_Nhập[Main SKU name_GOM]=$A12)*(Data_Nhập[SKU name_NHẬP_GOM]=FW$3)),SUMPRODUCT(Data_Nhập[Tổng Nhập-NX]*(Data_Nhập[Year]=FW$1)*(Data_Nhập[Month]=FW$2)*(Data_Nhập[Main SKU name_GOM]=$A12)*(Data_Nhập[SKU name_NHẬP_GOM]=FW$3)))</f>
        <v>0</v>
      </c>
      <c r="FX12" s="26" cm="1">
        <f t="array" ref="FX12">IF(FX$2="FY",SUMPRODUCT(Data_Nhập[Tổng Nhập-NX]*(Data_Nhập[Year]=FX$1)*(Data_Nhập[Main SKU name_GOM]=$A12)*(Data_Nhập[SKU name_NHẬP_GOM]=FX$3)),SUMPRODUCT(Data_Nhập[Tổng Nhập-NX]*(Data_Nhập[Year]=FX$1)*(Data_Nhập[Month]=FX$2)*(Data_Nhập[Main SKU name_GOM]=$A12)*(Data_Nhập[SKU name_NHẬP_GOM]=FX$3)))</f>
        <v>0</v>
      </c>
      <c r="FY12" s="26" cm="1">
        <f t="array" ref="FY12">IF(FY$2="FY",SUMPRODUCT(Data_Nhập[Tổng Nhập-NX]*(Data_Nhập[Year]=FY$1)*(Data_Nhập[Main SKU name_GOM]=$A12)*(Data_Nhập[SKU name_NHẬP_GOM]=FY$3)),SUMPRODUCT(Data_Nhập[Tổng Nhập-NX]*(Data_Nhập[Year]=FY$1)*(Data_Nhập[Month]=FY$2)*(Data_Nhập[Main SKU name_GOM]=$A12)*(Data_Nhập[SKU name_NHẬP_GOM]=FY$3)))</f>
        <v>0</v>
      </c>
      <c r="FZ12" s="27">
        <f t="shared" si="21"/>
        <v>0</v>
      </c>
      <c r="GB12" s="27" cm="1">
        <f t="array" ref="GB12">IF(GB$2="FY",SUMPRODUCT(Data_Xuất[Xuất-NX]*(Data_Xuất[Year]=GB$1)*(Data_Xuất[Main SKU name_GOM]=$A12)),SUMPRODUCT(Data_Xuất[Xuất-NX]*(Data_Xuất[Year]=GB$1)*(Data_Xuất[Main SKU name_GOM]=$A12)*(Data_Xuất[Month]=GB$2)))</f>
        <v>0</v>
      </c>
      <c r="GC12" s="26" cm="1">
        <f t="array" ref="GC12">IF(GC$2="FY",SUMPRODUCT(Data_Nhập[Tổng Nhập-NX]*(Data_Nhập[Year]=GC$1)*(Data_Nhập[Main SKU name_GOM]=$A12)*(Data_Nhập[SKU name_NHẬP_GOM]=GC$3)),SUMPRODUCT(Data_Nhập[Tổng Nhập-NX]*(Data_Nhập[Year]=GC$1)*(Data_Nhập[Month]=GC$2)*(Data_Nhập[Main SKU name_GOM]=$A12)*(Data_Nhập[SKU name_NHẬP_GOM]=GC$3)))</f>
        <v>0</v>
      </c>
      <c r="GD12" s="26" cm="1">
        <f t="array" ref="GD12">IF(GD$2="FY",SUMPRODUCT(Data_Nhập[Tổng Nhập-NX]*(Data_Nhập[Year]=GD$1)*(Data_Nhập[Main SKU name_GOM]=$A12)*(Data_Nhập[SKU name_NHẬP_GOM]=GD$3)),SUMPRODUCT(Data_Nhập[Tổng Nhập-NX]*(Data_Nhập[Year]=GD$1)*(Data_Nhập[Month]=GD$2)*(Data_Nhập[Main SKU name_GOM]=$A12)*(Data_Nhập[SKU name_NHẬP_GOM]=GD$3)))</f>
        <v>0</v>
      </c>
      <c r="GE12" s="26" cm="1">
        <f t="array" ref="GE12">IF(GE$2="FY",SUMPRODUCT(Data_Nhập[Tổng Nhập-NX]*(Data_Nhập[Year]=GE$1)*(Data_Nhập[Main SKU name_GOM]=$A12)*(Data_Nhập[SKU name_NHẬP_GOM]=GE$3)),SUMPRODUCT(Data_Nhập[Tổng Nhập-NX]*(Data_Nhập[Year]=GE$1)*(Data_Nhập[Month]=GE$2)*(Data_Nhập[Main SKU name_GOM]=$A12)*(Data_Nhập[SKU name_NHẬP_GOM]=GE$3)))</f>
        <v>0</v>
      </c>
      <c r="GF12" s="26" cm="1">
        <f t="array" ref="GF12">IF(GF$2="FY",SUMPRODUCT(Data_Nhập[Tổng Nhập-NX]*(Data_Nhập[Year]=GF$1)*(Data_Nhập[Main SKU name_GOM]=$A12)*(Data_Nhập[SKU name_NHẬP_GOM]=GF$3)),SUMPRODUCT(Data_Nhập[Tổng Nhập-NX]*(Data_Nhập[Year]=GF$1)*(Data_Nhập[Month]=GF$2)*(Data_Nhập[Main SKU name_GOM]=$A12)*(Data_Nhập[SKU name_NHẬP_GOM]=GF$3)))</f>
        <v>0</v>
      </c>
      <c r="GG12" s="26" cm="1">
        <f t="array" ref="GG12">IF(GG$2="FY",SUMPRODUCT(Data_Nhập[Tổng Nhập-NX]*(Data_Nhập[Year]=GG$1)*(Data_Nhập[Main SKU name_GOM]=$A12)*(Data_Nhập[SKU name_NHẬP_GOM]=GG$3)),SUMPRODUCT(Data_Nhập[Tổng Nhập-NX]*(Data_Nhập[Year]=GG$1)*(Data_Nhập[Month]=GG$2)*(Data_Nhập[Main SKU name_GOM]=$A12)*(Data_Nhập[SKU name_NHẬP_GOM]=GG$3)))</f>
        <v>0</v>
      </c>
      <c r="GH12" s="26" cm="1">
        <f t="array" ref="GH12">IF(GH$2="FY",SUMPRODUCT(Data_Nhập[Tổng Nhập-NX]*(Data_Nhập[Year]=GH$1)*(Data_Nhập[Main SKU name_GOM]=$A12)*(Data_Nhập[SKU name_NHẬP_GOM]=GH$3)),SUMPRODUCT(Data_Nhập[Tổng Nhập-NX]*(Data_Nhập[Year]=GH$1)*(Data_Nhập[Month]=GH$2)*(Data_Nhập[Main SKU name_GOM]=$A12)*(Data_Nhập[SKU name_NHẬP_GOM]=GH$3)))</f>
        <v>0</v>
      </c>
      <c r="GI12" s="26" cm="1">
        <f t="array" ref="GI12">IF(GI$2="FY",SUMPRODUCT(Data_Nhập[Tổng Nhập-NX]*(Data_Nhập[Year]=GI$1)*(Data_Nhập[Main SKU name_GOM]=$A12)*(Data_Nhập[SKU name_NHẬP_GOM]=GI$3)),SUMPRODUCT(Data_Nhập[Tổng Nhập-NX]*(Data_Nhập[Year]=GI$1)*(Data_Nhập[Month]=GI$2)*(Data_Nhập[Main SKU name_GOM]=$A12)*(Data_Nhập[SKU name_NHẬP_GOM]=GI$3)))</f>
        <v>0</v>
      </c>
      <c r="GJ12" s="26" cm="1">
        <f t="array" ref="GJ12">IF(GJ$2="FY",SUMPRODUCT(Data_Nhập[Tổng Nhập-NX]*(Data_Nhập[Year]=GJ$1)*(Data_Nhập[Main SKU name_GOM]=$A12)*(Data_Nhập[SKU name_NHẬP_GOM]=GJ$3)),SUMPRODUCT(Data_Nhập[Tổng Nhập-NX]*(Data_Nhập[Year]=GJ$1)*(Data_Nhập[Month]=GJ$2)*(Data_Nhập[Main SKU name_GOM]=$A12)*(Data_Nhập[SKU name_NHẬP_GOM]=GJ$3)))</f>
        <v>0</v>
      </c>
      <c r="GK12" s="26" cm="1">
        <f t="array" ref="GK12">IF(GK$2="FY",SUMPRODUCT(Data_Nhập[Tổng Nhập-NX]*(Data_Nhập[Year]=GK$1)*(Data_Nhập[Main SKU name_GOM]=$A12)*(Data_Nhập[SKU name_NHẬP_GOM]=GK$3)),SUMPRODUCT(Data_Nhập[Tổng Nhập-NX]*(Data_Nhập[Year]=GK$1)*(Data_Nhập[Month]=GK$2)*(Data_Nhập[Main SKU name_GOM]=$A12)*(Data_Nhập[SKU name_NHẬP_GOM]=GK$3)))</f>
        <v>0</v>
      </c>
      <c r="GL12" s="26" cm="1">
        <f t="array" ref="GL12">IF(GL$2="FY",SUMPRODUCT(Data_Nhập[Tổng Nhập-NX]*(Data_Nhập[Year]=GL$1)*(Data_Nhập[Main SKU name_GOM]=$A12)*(Data_Nhập[SKU name_NHẬP_GOM]=GL$3)),SUMPRODUCT(Data_Nhập[Tổng Nhập-NX]*(Data_Nhập[Year]=GL$1)*(Data_Nhập[Month]=GL$2)*(Data_Nhập[Main SKU name_GOM]=$A12)*(Data_Nhập[SKU name_NHẬP_GOM]=GL$3)))</f>
        <v>0</v>
      </c>
      <c r="GM12" s="26" cm="1">
        <f t="array" ref="GM12">IF(GM$2="FY",SUMPRODUCT(Data_Nhập[Tổng Nhập-NX]*(Data_Nhập[Year]=GM$1)*(Data_Nhập[Main SKU name_GOM]=$A12)*(Data_Nhập[SKU name_NHẬP_GOM]=GM$3)),SUMPRODUCT(Data_Nhập[Tổng Nhập-NX]*(Data_Nhập[Year]=GM$1)*(Data_Nhập[Month]=GM$2)*(Data_Nhập[Main SKU name_GOM]=$A12)*(Data_Nhập[SKU name_NHẬP_GOM]=GM$3)))</f>
        <v>0</v>
      </c>
      <c r="GN12" s="26" cm="1">
        <f t="array" ref="GN12">IF(GN$2="FY",SUMPRODUCT(Data_Nhập[Tổng Nhập-NX]*(Data_Nhập[Year]=GN$1)*(Data_Nhập[Main SKU name_GOM]=$A12)*(Data_Nhập[SKU name_NHẬP_GOM]=GN$3)),SUMPRODUCT(Data_Nhập[Tổng Nhập-NX]*(Data_Nhập[Year]=GN$1)*(Data_Nhập[Month]=GN$2)*(Data_Nhập[Main SKU name_GOM]=$A12)*(Data_Nhập[SKU name_NHẬP_GOM]=GN$3)))</f>
        <v>0</v>
      </c>
      <c r="GO12" s="26" cm="1">
        <f t="array" ref="GO12">IF(GO$2="FY",SUMPRODUCT(Data_Nhập[Tổng Nhập-NX]*(Data_Nhập[Year]=GO$1)*(Data_Nhập[Main SKU name_GOM]=$A12)*(Data_Nhập[SKU name_NHẬP_GOM]=GO$3)),SUMPRODUCT(Data_Nhập[Tổng Nhập-NX]*(Data_Nhập[Year]=GO$1)*(Data_Nhập[Month]=GO$2)*(Data_Nhập[Main SKU name_GOM]=$A12)*(Data_Nhập[SKU name_NHẬP_GOM]=GO$3)))</f>
        <v>0</v>
      </c>
      <c r="GP12" s="26" cm="1">
        <f t="array" ref="GP12">IF(GP$2="FY",SUMPRODUCT(Data_Nhập[Tổng Nhập-NX]*(Data_Nhập[Year]=GP$1)*(Data_Nhập[Main SKU name_GOM]=$A12)*(Data_Nhập[SKU name_NHẬP_GOM]=GP$3)),SUMPRODUCT(Data_Nhập[Tổng Nhập-NX]*(Data_Nhập[Year]=GP$1)*(Data_Nhập[Month]=GP$2)*(Data_Nhập[Main SKU name_GOM]=$A12)*(Data_Nhập[SKU name_NHẬP_GOM]=GP$3)))</f>
        <v>0</v>
      </c>
      <c r="GQ12" s="26" cm="1">
        <f t="array" ref="GQ12">IF(GQ$2="FY",SUMPRODUCT(Data_Nhập[Tổng Nhập-NX]*(Data_Nhập[Year]=GQ$1)*(Data_Nhập[Main SKU name_GOM]=$A12)*(Data_Nhập[SKU name_NHẬP_GOM]=GQ$3)),SUMPRODUCT(Data_Nhập[Tổng Nhập-NX]*(Data_Nhập[Year]=GQ$1)*(Data_Nhập[Month]=GQ$2)*(Data_Nhập[Main SKU name_GOM]=$A12)*(Data_Nhập[SKU name_NHẬP_GOM]=GQ$3)))</f>
        <v>0</v>
      </c>
      <c r="GR12" s="27">
        <f t="shared" si="22"/>
        <v>0</v>
      </c>
      <c r="GT12" s="27" cm="1">
        <f t="array" ref="GT12">IF(GT$2="FY",SUMPRODUCT(Data_Xuất[Xuất-NX]*(Data_Xuất[Year]=GT$1)*(Data_Xuất[Main SKU name_GOM]=$A12)),SUMPRODUCT(Data_Xuất[Xuất-NX]*(Data_Xuất[Year]=GT$1)*(Data_Xuất[Main SKU name_GOM]=$A12)*(Data_Xuất[Month]=GT$2)))</f>
        <v>0</v>
      </c>
      <c r="GU12" s="26" cm="1">
        <f t="array" ref="GU12">IF(GU$2="FY",SUMPRODUCT(Data_Nhập[Tổng Nhập-NX]*(Data_Nhập[Year]=GU$1)*(Data_Nhập[Main SKU name_GOM]=$A12)*(Data_Nhập[SKU name_NHẬP_GOM]=GU$3)),SUMPRODUCT(Data_Nhập[Tổng Nhập-NX]*(Data_Nhập[Year]=GU$1)*(Data_Nhập[Month]=GU$2)*(Data_Nhập[Main SKU name_GOM]=$A12)*(Data_Nhập[SKU name_NHẬP_GOM]=GU$3)))</f>
        <v>0</v>
      </c>
      <c r="GV12" s="26" cm="1">
        <f t="array" ref="GV12">IF(GV$2="FY",SUMPRODUCT(Data_Nhập[Tổng Nhập-NX]*(Data_Nhập[Year]=GV$1)*(Data_Nhập[Main SKU name_GOM]=$A12)*(Data_Nhập[SKU name_NHẬP_GOM]=GV$3)),SUMPRODUCT(Data_Nhập[Tổng Nhập-NX]*(Data_Nhập[Year]=GV$1)*(Data_Nhập[Month]=GV$2)*(Data_Nhập[Main SKU name_GOM]=$A12)*(Data_Nhập[SKU name_NHẬP_GOM]=GV$3)))</f>
        <v>0</v>
      </c>
      <c r="GW12" s="26" cm="1">
        <f t="array" ref="GW12">IF(GW$2="FY",SUMPRODUCT(Data_Nhập[Tổng Nhập-NX]*(Data_Nhập[Year]=GW$1)*(Data_Nhập[Main SKU name_GOM]=$A12)*(Data_Nhập[SKU name_NHẬP_GOM]=GW$3)),SUMPRODUCT(Data_Nhập[Tổng Nhập-NX]*(Data_Nhập[Year]=GW$1)*(Data_Nhập[Month]=GW$2)*(Data_Nhập[Main SKU name_GOM]=$A12)*(Data_Nhập[SKU name_NHẬP_GOM]=GW$3)))</f>
        <v>0</v>
      </c>
      <c r="GX12" s="26" cm="1">
        <f t="array" ref="GX12">IF(GX$2="FY",SUMPRODUCT(Data_Nhập[Tổng Nhập-NX]*(Data_Nhập[Year]=GX$1)*(Data_Nhập[Main SKU name_GOM]=$A12)*(Data_Nhập[SKU name_NHẬP_GOM]=GX$3)),SUMPRODUCT(Data_Nhập[Tổng Nhập-NX]*(Data_Nhập[Year]=GX$1)*(Data_Nhập[Month]=GX$2)*(Data_Nhập[Main SKU name_GOM]=$A12)*(Data_Nhập[SKU name_NHẬP_GOM]=GX$3)))</f>
        <v>0</v>
      </c>
      <c r="GY12" s="26" cm="1">
        <f t="array" ref="GY12">IF(GY$2="FY",SUMPRODUCT(Data_Nhập[Tổng Nhập-NX]*(Data_Nhập[Year]=GY$1)*(Data_Nhập[Main SKU name_GOM]=$A12)*(Data_Nhập[SKU name_NHẬP_GOM]=GY$3)),SUMPRODUCT(Data_Nhập[Tổng Nhập-NX]*(Data_Nhập[Year]=GY$1)*(Data_Nhập[Month]=GY$2)*(Data_Nhập[Main SKU name_GOM]=$A12)*(Data_Nhập[SKU name_NHẬP_GOM]=GY$3)))</f>
        <v>0</v>
      </c>
      <c r="GZ12" s="26" cm="1">
        <f t="array" ref="GZ12">IF(GZ$2="FY",SUMPRODUCT(Data_Nhập[Tổng Nhập-NX]*(Data_Nhập[Year]=GZ$1)*(Data_Nhập[Main SKU name_GOM]=$A12)*(Data_Nhập[SKU name_NHẬP_GOM]=GZ$3)),SUMPRODUCT(Data_Nhập[Tổng Nhập-NX]*(Data_Nhập[Year]=GZ$1)*(Data_Nhập[Month]=GZ$2)*(Data_Nhập[Main SKU name_GOM]=$A12)*(Data_Nhập[SKU name_NHẬP_GOM]=GZ$3)))</f>
        <v>0</v>
      </c>
      <c r="HA12" s="26" cm="1">
        <f t="array" ref="HA12">IF(HA$2="FY",SUMPRODUCT(Data_Nhập[Tổng Nhập-NX]*(Data_Nhập[Year]=HA$1)*(Data_Nhập[Main SKU name_GOM]=$A12)*(Data_Nhập[SKU name_NHẬP_GOM]=HA$3)),SUMPRODUCT(Data_Nhập[Tổng Nhập-NX]*(Data_Nhập[Year]=HA$1)*(Data_Nhập[Month]=HA$2)*(Data_Nhập[Main SKU name_GOM]=$A12)*(Data_Nhập[SKU name_NHẬP_GOM]=HA$3)))</f>
        <v>0</v>
      </c>
      <c r="HB12" s="26" cm="1">
        <f t="array" ref="HB12">IF(HB$2="FY",SUMPRODUCT(Data_Nhập[Tổng Nhập-NX]*(Data_Nhập[Year]=HB$1)*(Data_Nhập[Main SKU name_GOM]=$A12)*(Data_Nhập[SKU name_NHẬP_GOM]=HB$3)),SUMPRODUCT(Data_Nhập[Tổng Nhập-NX]*(Data_Nhập[Year]=HB$1)*(Data_Nhập[Month]=HB$2)*(Data_Nhập[Main SKU name_GOM]=$A12)*(Data_Nhập[SKU name_NHẬP_GOM]=HB$3)))</f>
        <v>0</v>
      </c>
      <c r="HC12" s="26" cm="1">
        <f t="array" ref="HC12">IF(HC$2="FY",SUMPRODUCT(Data_Nhập[Tổng Nhập-NX]*(Data_Nhập[Year]=HC$1)*(Data_Nhập[Main SKU name_GOM]=$A12)*(Data_Nhập[SKU name_NHẬP_GOM]=HC$3)),SUMPRODUCT(Data_Nhập[Tổng Nhập-NX]*(Data_Nhập[Year]=HC$1)*(Data_Nhập[Month]=HC$2)*(Data_Nhập[Main SKU name_GOM]=$A12)*(Data_Nhập[SKU name_NHẬP_GOM]=HC$3)))</f>
        <v>0</v>
      </c>
      <c r="HD12" s="26" cm="1">
        <f t="array" ref="HD12">IF(HD$2="FY",SUMPRODUCT(Data_Nhập[Tổng Nhập-NX]*(Data_Nhập[Year]=HD$1)*(Data_Nhập[Main SKU name_GOM]=$A12)*(Data_Nhập[SKU name_NHẬP_GOM]=HD$3)),SUMPRODUCT(Data_Nhập[Tổng Nhập-NX]*(Data_Nhập[Year]=HD$1)*(Data_Nhập[Month]=HD$2)*(Data_Nhập[Main SKU name_GOM]=$A12)*(Data_Nhập[SKU name_NHẬP_GOM]=HD$3)))</f>
        <v>0</v>
      </c>
      <c r="HE12" s="26" cm="1">
        <f t="array" ref="HE12">IF(HE$2="FY",SUMPRODUCT(Data_Nhập[Tổng Nhập-NX]*(Data_Nhập[Year]=HE$1)*(Data_Nhập[Main SKU name_GOM]=$A12)*(Data_Nhập[SKU name_NHẬP_GOM]=HE$3)),SUMPRODUCT(Data_Nhập[Tổng Nhập-NX]*(Data_Nhập[Year]=HE$1)*(Data_Nhập[Month]=HE$2)*(Data_Nhập[Main SKU name_GOM]=$A12)*(Data_Nhập[SKU name_NHẬP_GOM]=HE$3)))</f>
        <v>0</v>
      </c>
      <c r="HF12" s="26" cm="1">
        <f t="array" ref="HF12">IF(HF$2="FY",SUMPRODUCT(Data_Nhập[Tổng Nhập-NX]*(Data_Nhập[Year]=HF$1)*(Data_Nhập[Main SKU name_GOM]=$A12)*(Data_Nhập[SKU name_NHẬP_GOM]=HF$3)),SUMPRODUCT(Data_Nhập[Tổng Nhập-NX]*(Data_Nhập[Year]=HF$1)*(Data_Nhập[Month]=HF$2)*(Data_Nhập[Main SKU name_GOM]=$A12)*(Data_Nhập[SKU name_NHẬP_GOM]=HF$3)))</f>
        <v>0</v>
      </c>
      <c r="HG12" s="26" cm="1">
        <f t="array" ref="HG12">IF(HG$2="FY",SUMPRODUCT(Data_Nhập[Tổng Nhập-NX]*(Data_Nhập[Year]=HG$1)*(Data_Nhập[Main SKU name_GOM]=$A12)*(Data_Nhập[SKU name_NHẬP_GOM]=HG$3)),SUMPRODUCT(Data_Nhập[Tổng Nhập-NX]*(Data_Nhập[Year]=HG$1)*(Data_Nhập[Month]=HG$2)*(Data_Nhập[Main SKU name_GOM]=$A12)*(Data_Nhập[SKU name_NHẬP_GOM]=HG$3)))</f>
        <v>0</v>
      </c>
      <c r="HH12" s="26" cm="1">
        <f t="array" ref="HH12">IF(HH$2="FY",SUMPRODUCT(Data_Nhập[Tổng Nhập-NX]*(Data_Nhập[Year]=HH$1)*(Data_Nhập[Main SKU name_GOM]=$A12)*(Data_Nhập[SKU name_NHẬP_GOM]=HH$3)),SUMPRODUCT(Data_Nhập[Tổng Nhập-NX]*(Data_Nhập[Year]=HH$1)*(Data_Nhập[Month]=HH$2)*(Data_Nhập[Main SKU name_GOM]=$A12)*(Data_Nhập[SKU name_NHẬP_GOM]=HH$3)))</f>
        <v>0</v>
      </c>
      <c r="HI12" s="26" cm="1">
        <f t="array" ref="HI12">IF(HI$2="FY",SUMPRODUCT(Data_Nhập[Tổng Nhập-NX]*(Data_Nhập[Year]=HI$1)*(Data_Nhập[Main SKU name_GOM]=$A12)*(Data_Nhập[SKU name_NHẬP_GOM]=HI$3)),SUMPRODUCT(Data_Nhập[Tổng Nhập-NX]*(Data_Nhập[Year]=HI$1)*(Data_Nhập[Month]=HI$2)*(Data_Nhập[Main SKU name_GOM]=$A12)*(Data_Nhập[SKU name_NHẬP_GOM]=HI$3)))</f>
        <v>0</v>
      </c>
      <c r="HJ12" s="27">
        <f t="shared" si="23"/>
        <v>0</v>
      </c>
      <c r="HL12" s="27" cm="1">
        <f t="array" ref="HL12">IF(HL$2="FY",SUMPRODUCT(Data_Xuất[Xuất-NX]*(Data_Xuất[Year]=HL$1)*(Data_Xuất[Main SKU name_GOM]=$A12)),SUMPRODUCT(Data_Xuất[Xuất-NX]*(Data_Xuất[Year]=HL$1)*(Data_Xuất[Main SKU name_GOM]=$A12)*(Data_Xuất[Month]=HL$2)))</f>
        <v>0</v>
      </c>
      <c r="HM12" s="26" cm="1">
        <f t="array" ref="HM12">IF(HM$2="FY",SUMPRODUCT(Data_Nhập[Tổng Nhập-NX]*(Data_Nhập[Year]=HM$1)*(Data_Nhập[Main SKU name_GOM]=$A12)*(Data_Nhập[SKU name_NHẬP_GOM]=HM$3)),SUMPRODUCT(Data_Nhập[Tổng Nhập-NX]*(Data_Nhập[Year]=HM$1)*(Data_Nhập[Month]=HM$2)*(Data_Nhập[Main SKU name_GOM]=$A12)*(Data_Nhập[SKU name_NHẬP_GOM]=HM$3)))</f>
        <v>0</v>
      </c>
      <c r="HN12" s="26" cm="1">
        <f t="array" ref="HN12">IF(HN$2="FY",SUMPRODUCT(Data_Nhập[Tổng Nhập-NX]*(Data_Nhập[Year]=HN$1)*(Data_Nhập[Main SKU name_GOM]=$A12)*(Data_Nhập[SKU name_NHẬP_GOM]=HN$3)),SUMPRODUCT(Data_Nhập[Tổng Nhập-NX]*(Data_Nhập[Year]=HN$1)*(Data_Nhập[Month]=HN$2)*(Data_Nhập[Main SKU name_GOM]=$A12)*(Data_Nhập[SKU name_NHẬP_GOM]=HN$3)))</f>
        <v>0</v>
      </c>
      <c r="HO12" s="26" cm="1">
        <f t="array" ref="HO12">IF(HO$2="FY",SUMPRODUCT(Data_Nhập[Tổng Nhập-NX]*(Data_Nhập[Year]=HO$1)*(Data_Nhập[Main SKU name_GOM]=$A12)*(Data_Nhập[SKU name_NHẬP_GOM]=HO$3)),SUMPRODUCT(Data_Nhập[Tổng Nhập-NX]*(Data_Nhập[Year]=HO$1)*(Data_Nhập[Month]=HO$2)*(Data_Nhập[Main SKU name_GOM]=$A12)*(Data_Nhập[SKU name_NHẬP_GOM]=HO$3)))</f>
        <v>0</v>
      </c>
      <c r="HP12" s="26" cm="1">
        <f t="array" ref="HP12">IF(HP$2="FY",SUMPRODUCT(Data_Nhập[Tổng Nhập-NX]*(Data_Nhập[Year]=HP$1)*(Data_Nhập[Main SKU name_GOM]=$A12)*(Data_Nhập[SKU name_NHẬP_GOM]=HP$3)),SUMPRODUCT(Data_Nhập[Tổng Nhập-NX]*(Data_Nhập[Year]=HP$1)*(Data_Nhập[Month]=HP$2)*(Data_Nhập[Main SKU name_GOM]=$A12)*(Data_Nhập[SKU name_NHẬP_GOM]=HP$3)))</f>
        <v>0</v>
      </c>
      <c r="HQ12" s="26" cm="1">
        <f t="array" ref="HQ12">IF(HQ$2="FY",SUMPRODUCT(Data_Nhập[Tổng Nhập-NX]*(Data_Nhập[Year]=HQ$1)*(Data_Nhập[Main SKU name_GOM]=$A12)*(Data_Nhập[SKU name_NHẬP_GOM]=HQ$3)),SUMPRODUCT(Data_Nhập[Tổng Nhập-NX]*(Data_Nhập[Year]=HQ$1)*(Data_Nhập[Month]=HQ$2)*(Data_Nhập[Main SKU name_GOM]=$A12)*(Data_Nhập[SKU name_NHẬP_GOM]=HQ$3)))</f>
        <v>0</v>
      </c>
      <c r="HR12" s="26" cm="1">
        <f t="array" ref="HR12">IF(HR$2="FY",SUMPRODUCT(Data_Nhập[Tổng Nhập-NX]*(Data_Nhập[Year]=HR$1)*(Data_Nhập[Main SKU name_GOM]=$A12)*(Data_Nhập[SKU name_NHẬP_GOM]=HR$3)),SUMPRODUCT(Data_Nhập[Tổng Nhập-NX]*(Data_Nhập[Year]=HR$1)*(Data_Nhập[Month]=HR$2)*(Data_Nhập[Main SKU name_GOM]=$A12)*(Data_Nhập[SKU name_NHẬP_GOM]=HR$3)))</f>
        <v>0</v>
      </c>
      <c r="HS12" s="26" cm="1">
        <f t="array" ref="HS12">IF(HS$2="FY",SUMPRODUCT(Data_Nhập[Tổng Nhập-NX]*(Data_Nhập[Year]=HS$1)*(Data_Nhập[Main SKU name_GOM]=$A12)*(Data_Nhập[SKU name_NHẬP_GOM]=HS$3)),SUMPRODUCT(Data_Nhập[Tổng Nhập-NX]*(Data_Nhập[Year]=HS$1)*(Data_Nhập[Month]=HS$2)*(Data_Nhập[Main SKU name_GOM]=$A12)*(Data_Nhập[SKU name_NHẬP_GOM]=HS$3)))</f>
        <v>0</v>
      </c>
      <c r="HT12" s="26" cm="1">
        <f t="array" ref="HT12">IF(HT$2="FY",SUMPRODUCT(Data_Nhập[Tổng Nhập-NX]*(Data_Nhập[Year]=HT$1)*(Data_Nhập[Main SKU name_GOM]=$A12)*(Data_Nhập[SKU name_NHẬP_GOM]=HT$3)),SUMPRODUCT(Data_Nhập[Tổng Nhập-NX]*(Data_Nhập[Year]=HT$1)*(Data_Nhập[Month]=HT$2)*(Data_Nhập[Main SKU name_GOM]=$A12)*(Data_Nhập[SKU name_NHẬP_GOM]=HT$3)))</f>
        <v>0</v>
      </c>
      <c r="HU12" s="26" cm="1">
        <f t="array" ref="HU12">IF(HU$2="FY",SUMPRODUCT(Data_Nhập[Tổng Nhập-NX]*(Data_Nhập[Year]=HU$1)*(Data_Nhập[Main SKU name_GOM]=$A12)*(Data_Nhập[SKU name_NHẬP_GOM]=HU$3)),SUMPRODUCT(Data_Nhập[Tổng Nhập-NX]*(Data_Nhập[Year]=HU$1)*(Data_Nhập[Month]=HU$2)*(Data_Nhập[Main SKU name_GOM]=$A12)*(Data_Nhập[SKU name_NHẬP_GOM]=HU$3)))</f>
        <v>0</v>
      </c>
      <c r="HV12" s="26" cm="1">
        <f t="array" ref="HV12">IF(HV$2="FY",SUMPRODUCT(Data_Nhập[Tổng Nhập-NX]*(Data_Nhập[Year]=HV$1)*(Data_Nhập[Main SKU name_GOM]=$A12)*(Data_Nhập[SKU name_NHẬP_GOM]=HV$3)),SUMPRODUCT(Data_Nhập[Tổng Nhập-NX]*(Data_Nhập[Year]=HV$1)*(Data_Nhập[Month]=HV$2)*(Data_Nhập[Main SKU name_GOM]=$A12)*(Data_Nhập[SKU name_NHẬP_GOM]=HV$3)))</f>
        <v>0</v>
      </c>
      <c r="HW12" s="26" cm="1">
        <f t="array" ref="HW12">IF(HW$2="FY",SUMPRODUCT(Data_Nhập[Tổng Nhập-NX]*(Data_Nhập[Year]=HW$1)*(Data_Nhập[Main SKU name_GOM]=$A12)*(Data_Nhập[SKU name_NHẬP_GOM]=HW$3)),SUMPRODUCT(Data_Nhập[Tổng Nhập-NX]*(Data_Nhập[Year]=HW$1)*(Data_Nhập[Month]=HW$2)*(Data_Nhập[Main SKU name_GOM]=$A12)*(Data_Nhập[SKU name_NHẬP_GOM]=HW$3)))</f>
        <v>0</v>
      </c>
      <c r="HX12" s="26" cm="1">
        <f t="array" ref="HX12">IF(HX$2="FY",SUMPRODUCT(Data_Nhập[Tổng Nhập-NX]*(Data_Nhập[Year]=HX$1)*(Data_Nhập[Main SKU name_GOM]=$A12)*(Data_Nhập[SKU name_NHẬP_GOM]=HX$3)),SUMPRODUCT(Data_Nhập[Tổng Nhập-NX]*(Data_Nhập[Year]=HX$1)*(Data_Nhập[Month]=HX$2)*(Data_Nhập[Main SKU name_GOM]=$A12)*(Data_Nhập[SKU name_NHẬP_GOM]=HX$3)))</f>
        <v>0</v>
      </c>
      <c r="HY12" s="26" cm="1">
        <f t="array" ref="HY12">IF(HY$2="FY",SUMPRODUCT(Data_Nhập[Tổng Nhập-NX]*(Data_Nhập[Year]=HY$1)*(Data_Nhập[Main SKU name_GOM]=$A12)*(Data_Nhập[SKU name_NHẬP_GOM]=HY$3)),SUMPRODUCT(Data_Nhập[Tổng Nhập-NX]*(Data_Nhập[Year]=HY$1)*(Data_Nhập[Month]=HY$2)*(Data_Nhập[Main SKU name_GOM]=$A12)*(Data_Nhập[SKU name_NHẬP_GOM]=HY$3)))</f>
        <v>0</v>
      </c>
      <c r="HZ12" s="26" cm="1">
        <f t="array" ref="HZ12">IF(HZ$2="FY",SUMPRODUCT(Data_Nhập[Tổng Nhập-NX]*(Data_Nhập[Year]=HZ$1)*(Data_Nhập[Main SKU name_GOM]=$A12)*(Data_Nhập[SKU name_NHẬP_GOM]=HZ$3)),SUMPRODUCT(Data_Nhập[Tổng Nhập-NX]*(Data_Nhập[Year]=HZ$1)*(Data_Nhập[Month]=HZ$2)*(Data_Nhập[Main SKU name_GOM]=$A12)*(Data_Nhập[SKU name_NHẬP_GOM]=HZ$3)))</f>
        <v>0</v>
      </c>
      <c r="IA12" s="26" cm="1">
        <f t="array" ref="IA12">IF(IA$2="FY",SUMPRODUCT(Data_Nhập[Tổng Nhập-NX]*(Data_Nhập[Year]=IA$1)*(Data_Nhập[Main SKU name_GOM]=$A12)*(Data_Nhập[SKU name_NHẬP_GOM]=IA$3)),SUMPRODUCT(Data_Nhập[Tổng Nhập-NX]*(Data_Nhập[Year]=IA$1)*(Data_Nhập[Month]=IA$2)*(Data_Nhập[Main SKU name_GOM]=$A12)*(Data_Nhập[SKU name_NHẬP_GOM]=IA$3)))</f>
        <v>0</v>
      </c>
      <c r="IB12" s="27">
        <f t="shared" si="24"/>
        <v>0</v>
      </c>
    </row>
    <row r="13" spans="1:236" s="1" customFormat="1" ht="15" thickBot="1" x14ac:dyDescent="0.4">
      <c r="A13" s="6"/>
      <c r="B13" s="7" t="s">
        <v>78</v>
      </c>
      <c r="D13" s="44">
        <f>SUM(D6:D12)</f>
        <v>40865870.61300002</v>
      </c>
      <c r="E13" s="8">
        <f>SUM(E6:E12)</f>
        <v>5865271</v>
      </c>
      <c r="F13" s="8">
        <f t="shared" ref="F13" si="25">SUM(F6:F12)</f>
        <v>5427021</v>
      </c>
      <c r="G13" s="8">
        <f t="shared" ref="G13" si="26">SUM(G6:G12)</f>
        <v>23268175</v>
      </c>
      <c r="H13" s="8">
        <f t="shared" ref="H13" si="27">SUM(H6:H12)</f>
        <v>915344</v>
      </c>
      <c r="I13" s="8">
        <f t="shared" ref="I13:T13" si="28">SUM(I6:I12)</f>
        <v>2272766.5</v>
      </c>
      <c r="J13" s="8">
        <f t="shared" si="28"/>
        <v>4630</v>
      </c>
      <c r="K13" s="8">
        <f t="shared" si="28"/>
        <v>1394746</v>
      </c>
      <c r="L13" s="8">
        <f t="shared" si="28"/>
        <v>5500</v>
      </c>
      <c r="M13" s="8">
        <f t="shared" si="28"/>
        <v>16500</v>
      </c>
      <c r="N13" s="8">
        <f t="shared" si="28"/>
        <v>0</v>
      </c>
      <c r="O13" s="8">
        <f t="shared" si="28"/>
        <v>13200</v>
      </c>
      <c r="P13" s="8">
        <f t="shared" si="28"/>
        <v>6600</v>
      </c>
      <c r="Q13" s="8">
        <f t="shared" si="28"/>
        <v>0</v>
      </c>
      <c r="R13" s="8">
        <f t="shared" si="28"/>
        <v>1541612.6099999999</v>
      </c>
      <c r="S13" s="8">
        <f t="shared" si="28"/>
        <v>0</v>
      </c>
      <c r="T13" s="8">
        <f t="shared" si="28"/>
        <v>40731366.109999999</v>
      </c>
      <c r="V13" s="8">
        <f>SUM(V6:V12)</f>
        <v>4611991</v>
      </c>
      <c r="W13" s="8">
        <f>SUM(W6:W12)</f>
        <v>232198</v>
      </c>
      <c r="X13" s="8">
        <f t="shared" ref="X13:AL13" si="29">SUM(X6:X12)</f>
        <v>755700</v>
      </c>
      <c r="Y13" s="8">
        <f t="shared" si="29"/>
        <v>3270376.9999999995</v>
      </c>
      <c r="Z13" s="8">
        <f t="shared" si="29"/>
        <v>169844</v>
      </c>
      <c r="AA13" s="8">
        <f t="shared" si="29"/>
        <v>23661</v>
      </c>
      <c r="AB13" s="8">
        <f t="shared" si="29"/>
        <v>0</v>
      </c>
      <c r="AC13" s="8">
        <f t="shared" si="29"/>
        <v>8610</v>
      </c>
      <c r="AD13" s="8">
        <f t="shared" si="29"/>
        <v>0</v>
      </c>
      <c r="AE13" s="8">
        <f t="shared" si="29"/>
        <v>0</v>
      </c>
      <c r="AF13" s="8">
        <f t="shared" si="29"/>
        <v>0</v>
      </c>
      <c r="AG13" s="8">
        <f t="shared" si="29"/>
        <v>0</v>
      </c>
      <c r="AH13" s="8">
        <f t="shared" si="29"/>
        <v>0</v>
      </c>
      <c r="AI13" s="8">
        <f t="shared" si="29"/>
        <v>0</v>
      </c>
      <c r="AJ13" s="8">
        <f t="shared" si="29"/>
        <v>125751</v>
      </c>
      <c r="AK13" s="8">
        <f t="shared" si="29"/>
        <v>0</v>
      </c>
      <c r="AL13" s="8">
        <f t="shared" si="29"/>
        <v>4586141</v>
      </c>
      <c r="AN13" s="8">
        <f>SUM(AN6:AN12)</f>
        <v>3142314.5000000005</v>
      </c>
      <c r="AO13" s="8">
        <f>SUM(AO6:AO12)</f>
        <v>232233</v>
      </c>
      <c r="AP13" s="8">
        <f t="shared" ref="AP13:BD13" si="30">SUM(AP6:AP12)</f>
        <v>201300</v>
      </c>
      <c r="AQ13" s="8">
        <f t="shared" si="30"/>
        <v>2440402</v>
      </c>
      <c r="AR13" s="8">
        <f t="shared" si="30"/>
        <v>157300</v>
      </c>
      <c r="AS13" s="8">
        <f t="shared" si="30"/>
        <v>7631</v>
      </c>
      <c r="AT13" s="8">
        <f t="shared" si="30"/>
        <v>0</v>
      </c>
      <c r="AU13" s="8">
        <f t="shared" si="30"/>
        <v>4577</v>
      </c>
      <c r="AV13" s="8">
        <f t="shared" si="30"/>
        <v>0</v>
      </c>
      <c r="AW13" s="8">
        <f t="shared" si="30"/>
        <v>0</v>
      </c>
      <c r="AX13" s="8">
        <f t="shared" si="30"/>
        <v>0</v>
      </c>
      <c r="AY13" s="8">
        <f t="shared" si="30"/>
        <v>0</v>
      </c>
      <c r="AZ13" s="8">
        <f t="shared" si="30"/>
        <v>0</v>
      </c>
      <c r="BA13" s="8">
        <f t="shared" si="30"/>
        <v>0</v>
      </c>
      <c r="BB13" s="8">
        <f t="shared" si="30"/>
        <v>81824</v>
      </c>
      <c r="BC13" s="8">
        <f t="shared" si="30"/>
        <v>0</v>
      </c>
      <c r="BD13" s="8">
        <f t="shared" si="30"/>
        <v>3125267</v>
      </c>
      <c r="BF13" s="8">
        <f>SUM(BF6:BF12)</f>
        <v>4126162.0000000014</v>
      </c>
      <c r="BG13" s="8">
        <f>SUM(BG6:BG12)</f>
        <v>28600</v>
      </c>
      <c r="BH13" s="8">
        <f t="shared" ref="BH13:BV13" si="31">SUM(BH6:BH12)</f>
        <v>441100</v>
      </c>
      <c r="BI13" s="8">
        <f t="shared" si="31"/>
        <v>3343928.9999999995</v>
      </c>
      <c r="BJ13" s="8">
        <f t="shared" si="31"/>
        <v>118800</v>
      </c>
      <c r="BK13" s="8">
        <f t="shared" si="31"/>
        <v>19130</v>
      </c>
      <c r="BL13" s="8">
        <f t="shared" si="31"/>
        <v>0</v>
      </c>
      <c r="BM13" s="8">
        <f t="shared" si="31"/>
        <v>14589</v>
      </c>
      <c r="BN13" s="8">
        <f t="shared" si="31"/>
        <v>0</v>
      </c>
      <c r="BO13" s="8">
        <f t="shared" si="31"/>
        <v>0</v>
      </c>
      <c r="BP13" s="8">
        <f t="shared" si="31"/>
        <v>0</v>
      </c>
      <c r="BQ13" s="8">
        <f t="shared" si="31"/>
        <v>0</v>
      </c>
      <c r="BR13" s="8">
        <f t="shared" si="31"/>
        <v>0</v>
      </c>
      <c r="BS13" s="8">
        <f t="shared" si="31"/>
        <v>0</v>
      </c>
      <c r="BT13" s="8">
        <f t="shared" si="31"/>
        <v>146935.99999999997</v>
      </c>
      <c r="BU13" s="8">
        <f t="shared" si="31"/>
        <v>0</v>
      </c>
      <c r="BV13" s="8">
        <f t="shared" si="31"/>
        <v>4113083.9999999995</v>
      </c>
      <c r="BX13" s="8">
        <f>SUM(BX6:BX12)</f>
        <v>1524220</v>
      </c>
      <c r="BY13" s="8">
        <f>SUM(BY6:BY12)</f>
        <v>127600.00000000001</v>
      </c>
      <c r="BZ13" s="8">
        <f t="shared" ref="BZ13:CN13" si="32">SUM(BZ6:BZ12)</f>
        <v>240901.00000000003</v>
      </c>
      <c r="CA13" s="8">
        <f t="shared" si="32"/>
        <v>1045000</v>
      </c>
      <c r="CB13" s="8">
        <f t="shared" si="32"/>
        <v>47300</v>
      </c>
      <c r="CC13" s="8">
        <f t="shared" si="32"/>
        <v>15400</v>
      </c>
      <c r="CD13" s="8">
        <f t="shared" si="32"/>
        <v>0</v>
      </c>
      <c r="CE13" s="8">
        <f t="shared" si="32"/>
        <v>0</v>
      </c>
      <c r="CF13" s="8">
        <f t="shared" si="32"/>
        <v>0</v>
      </c>
      <c r="CG13" s="8">
        <f t="shared" si="32"/>
        <v>0</v>
      </c>
      <c r="CH13" s="8">
        <f t="shared" si="32"/>
        <v>0</v>
      </c>
      <c r="CI13" s="8">
        <f t="shared" si="32"/>
        <v>0</v>
      </c>
      <c r="CJ13" s="8">
        <f t="shared" si="32"/>
        <v>0</v>
      </c>
      <c r="CK13" s="8">
        <f t="shared" si="32"/>
        <v>0</v>
      </c>
      <c r="CL13" s="8">
        <f t="shared" si="32"/>
        <v>43725</v>
      </c>
      <c r="CM13" s="8">
        <f t="shared" si="32"/>
        <v>0</v>
      </c>
      <c r="CN13" s="8">
        <f t="shared" si="32"/>
        <v>1519926</v>
      </c>
      <c r="CP13" s="8">
        <f>SUM(CP6:CP12)</f>
        <v>5037683.5999999996</v>
      </c>
      <c r="CQ13" s="8">
        <f>SUM(CQ6:CQ12)</f>
        <v>196900</v>
      </c>
      <c r="CR13" s="8">
        <f t="shared" ref="CR13:DF13" si="33">SUM(CR6:CR12)</f>
        <v>475200</v>
      </c>
      <c r="CS13" s="8">
        <f t="shared" si="33"/>
        <v>3210900.0000000005</v>
      </c>
      <c r="CT13" s="8">
        <f t="shared" si="33"/>
        <v>243100</v>
      </c>
      <c r="CU13" s="8">
        <f t="shared" si="33"/>
        <v>320099.99999999994</v>
      </c>
      <c r="CV13" s="8">
        <f t="shared" si="33"/>
        <v>0</v>
      </c>
      <c r="CW13" s="8">
        <f t="shared" si="33"/>
        <v>424600</v>
      </c>
      <c r="CX13" s="8">
        <f t="shared" si="33"/>
        <v>0</v>
      </c>
      <c r="CY13" s="8">
        <f t="shared" si="33"/>
        <v>0</v>
      </c>
      <c r="CZ13" s="8">
        <f t="shared" si="33"/>
        <v>0</v>
      </c>
      <c r="DA13" s="8">
        <f t="shared" si="33"/>
        <v>0</v>
      </c>
      <c r="DB13" s="8">
        <f t="shared" si="33"/>
        <v>0</v>
      </c>
      <c r="DC13" s="8">
        <f t="shared" si="33"/>
        <v>0</v>
      </c>
      <c r="DD13" s="8">
        <f t="shared" si="33"/>
        <v>142460.69999999998</v>
      </c>
      <c r="DE13" s="8">
        <f t="shared" si="33"/>
        <v>0</v>
      </c>
      <c r="DF13" s="8">
        <f t="shared" si="33"/>
        <v>5013260.7</v>
      </c>
      <c r="DH13" s="8">
        <f>SUM(DH6:DH12)</f>
        <v>4521572.3</v>
      </c>
      <c r="DI13" s="8">
        <f>SUM(DI6:DI12)</f>
        <v>207900</v>
      </c>
      <c r="DJ13" s="8">
        <f t="shared" ref="DJ13:DX13" si="34">SUM(DJ6:DJ12)</f>
        <v>489500.00000000006</v>
      </c>
      <c r="DK13" s="8">
        <f t="shared" si="34"/>
        <v>2899599.9999999995</v>
      </c>
      <c r="DL13" s="8">
        <f t="shared" si="34"/>
        <v>105600.00000000001</v>
      </c>
      <c r="DM13" s="8">
        <f t="shared" si="34"/>
        <v>380800</v>
      </c>
      <c r="DN13" s="8">
        <f t="shared" si="34"/>
        <v>0</v>
      </c>
      <c r="DO13" s="8">
        <f t="shared" si="34"/>
        <v>275000</v>
      </c>
      <c r="DP13" s="8">
        <f t="shared" si="34"/>
        <v>0</v>
      </c>
      <c r="DQ13" s="8">
        <f t="shared" si="34"/>
        <v>0</v>
      </c>
      <c r="DR13" s="8">
        <f t="shared" si="34"/>
        <v>0</v>
      </c>
      <c r="DS13" s="8">
        <f t="shared" si="34"/>
        <v>0</v>
      </c>
      <c r="DT13" s="8">
        <f t="shared" si="34"/>
        <v>0</v>
      </c>
      <c r="DU13" s="8">
        <f t="shared" si="34"/>
        <v>0</v>
      </c>
      <c r="DV13" s="8">
        <f t="shared" si="34"/>
        <v>143601.90000000002</v>
      </c>
      <c r="DW13" s="8">
        <f t="shared" si="34"/>
        <v>0</v>
      </c>
      <c r="DX13" s="8">
        <f t="shared" si="34"/>
        <v>4502001.8999999994</v>
      </c>
      <c r="DZ13" s="8">
        <f>SUM(DZ6:DZ12)</f>
        <v>1330392.8790000002</v>
      </c>
      <c r="EA13" s="8">
        <f>SUM(EA6:EA12)</f>
        <v>446599.99999999994</v>
      </c>
      <c r="EB13" s="8">
        <f t="shared" ref="EB13:EP13" si="35">SUM(EB6:EB12)</f>
        <v>284900</v>
      </c>
      <c r="EC13" s="8">
        <f t="shared" si="35"/>
        <v>134200</v>
      </c>
      <c r="ED13" s="8">
        <f t="shared" si="35"/>
        <v>3300</v>
      </c>
      <c r="EE13" s="8">
        <f t="shared" si="35"/>
        <v>49200</v>
      </c>
      <c r="EF13" s="8">
        <f t="shared" si="35"/>
        <v>0</v>
      </c>
      <c r="EG13" s="8">
        <f t="shared" si="35"/>
        <v>320189</v>
      </c>
      <c r="EH13" s="8">
        <f t="shared" si="35"/>
        <v>0</v>
      </c>
      <c r="EI13" s="8">
        <f t="shared" si="35"/>
        <v>0</v>
      </c>
      <c r="EJ13" s="8">
        <f t="shared" si="35"/>
        <v>0</v>
      </c>
      <c r="EK13" s="8">
        <f t="shared" si="35"/>
        <v>0</v>
      </c>
      <c r="EL13" s="8">
        <f t="shared" si="35"/>
        <v>0</v>
      </c>
      <c r="EM13" s="8">
        <f t="shared" si="35"/>
        <v>0</v>
      </c>
      <c r="EN13" s="8">
        <f t="shared" si="35"/>
        <v>91921.4</v>
      </c>
      <c r="EO13" s="8">
        <f t="shared" si="35"/>
        <v>0</v>
      </c>
      <c r="EP13" s="8">
        <f t="shared" si="35"/>
        <v>1330310.3999999999</v>
      </c>
      <c r="ER13" s="8">
        <f>SUM(ER6:ER12)</f>
        <v>1996451.6279999998</v>
      </c>
      <c r="ES13" s="8">
        <f>SUM(ES6:ES12)</f>
        <v>586300</v>
      </c>
      <c r="ET13" s="8">
        <f t="shared" ref="ET13:FH13" si="36">SUM(ET6:ET12)</f>
        <v>129164</v>
      </c>
      <c r="EU13" s="8">
        <f t="shared" si="36"/>
        <v>1033556</v>
      </c>
      <c r="EV13" s="8">
        <f t="shared" si="36"/>
        <v>2200</v>
      </c>
      <c r="EW13" s="8">
        <f t="shared" si="36"/>
        <v>98150</v>
      </c>
      <c r="EX13" s="8">
        <f t="shared" si="36"/>
        <v>0</v>
      </c>
      <c r="EY13" s="8">
        <f t="shared" si="36"/>
        <v>30428</v>
      </c>
      <c r="EZ13" s="8">
        <f t="shared" si="36"/>
        <v>0</v>
      </c>
      <c r="FA13" s="8">
        <f t="shared" si="36"/>
        <v>0</v>
      </c>
      <c r="FB13" s="8">
        <f t="shared" si="36"/>
        <v>0</v>
      </c>
      <c r="FC13" s="8">
        <f t="shared" si="36"/>
        <v>0</v>
      </c>
      <c r="FD13" s="8">
        <f t="shared" si="36"/>
        <v>0</v>
      </c>
      <c r="FE13" s="8">
        <f t="shared" si="36"/>
        <v>0</v>
      </c>
      <c r="FF13" s="8">
        <f t="shared" si="36"/>
        <v>116145.16499999999</v>
      </c>
      <c r="FG13" s="8">
        <f t="shared" si="36"/>
        <v>0</v>
      </c>
      <c r="FH13" s="8">
        <f t="shared" si="36"/>
        <v>1995943.165</v>
      </c>
      <c r="FJ13" s="8">
        <f>SUM(FJ6:FJ12)</f>
        <v>3129010.9509999999</v>
      </c>
      <c r="FK13" s="8">
        <f>SUM(FK6:FK12)</f>
        <v>1211100.0000000002</v>
      </c>
      <c r="FL13" s="8">
        <f t="shared" ref="FL13:FZ13" si="37">SUM(FL6:FL12)</f>
        <v>263255</v>
      </c>
      <c r="FM13" s="8">
        <f t="shared" si="37"/>
        <v>1280401</v>
      </c>
      <c r="FN13" s="8">
        <f t="shared" si="37"/>
        <v>4100</v>
      </c>
      <c r="FO13" s="8">
        <f t="shared" si="37"/>
        <v>239237</v>
      </c>
      <c r="FP13" s="8">
        <f t="shared" si="37"/>
        <v>2200</v>
      </c>
      <c r="FQ13" s="8">
        <f t="shared" si="37"/>
        <v>9185</v>
      </c>
      <c r="FR13" s="8">
        <f t="shared" si="37"/>
        <v>0</v>
      </c>
      <c r="FS13" s="8">
        <f t="shared" si="37"/>
        <v>0</v>
      </c>
      <c r="FT13" s="8">
        <f t="shared" si="37"/>
        <v>0</v>
      </c>
      <c r="FU13" s="8">
        <f t="shared" si="37"/>
        <v>0</v>
      </c>
      <c r="FV13" s="8">
        <f t="shared" si="37"/>
        <v>0</v>
      </c>
      <c r="FW13" s="8">
        <f t="shared" si="37"/>
        <v>0</v>
      </c>
      <c r="FX13" s="8">
        <f t="shared" si="37"/>
        <v>115678.44500000001</v>
      </c>
      <c r="FY13" s="8">
        <f t="shared" si="37"/>
        <v>0</v>
      </c>
      <c r="FZ13" s="8">
        <f t="shared" si="37"/>
        <v>3125156.4450000003</v>
      </c>
      <c r="GB13" s="8">
        <f>SUM(GB6:GB12)</f>
        <v>3560891.5</v>
      </c>
      <c r="GC13" s="8">
        <f>SUM(GC6:GC12)</f>
        <v>717040.00000000012</v>
      </c>
      <c r="GD13" s="8">
        <f t="shared" ref="GD13:GR13" si="38">SUM(GD6:GD12)</f>
        <v>469700</v>
      </c>
      <c r="GE13" s="8">
        <f t="shared" si="38"/>
        <v>1282310</v>
      </c>
      <c r="GF13" s="8">
        <f t="shared" si="38"/>
        <v>53900</v>
      </c>
      <c r="GG13" s="8">
        <f t="shared" si="38"/>
        <v>837822.5</v>
      </c>
      <c r="GH13" s="8">
        <f t="shared" si="38"/>
        <v>0</v>
      </c>
      <c r="GI13" s="8">
        <f t="shared" si="38"/>
        <v>27500</v>
      </c>
      <c r="GJ13" s="8">
        <f t="shared" si="38"/>
        <v>0</v>
      </c>
      <c r="GK13" s="8">
        <f t="shared" si="38"/>
        <v>0</v>
      </c>
      <c r="GL13" s="8">
        <f t="shared" si="38"/>
        <v>0</v>
      </c>
      <c r="GM13" s="8">
        <f t="shared" si="38"/>
        <v>0</v>
      </c>
      <c r="GN13" s="8">
        <f t="shared" si="38"/>
        <v>0</v>
      </c>
      <c r="GO13" s="8">
        <f t="shared" si="38"/>
        <v>0</v>
      </c>
      <c r="GP13" s="8">
        <f t="shared" si="38"/>
        <v>164680</v>
      </c>
      <c r="GQ13" s="8">
        <f t="shared" si="38"/>
        <v>0</v>
      </c>
      <c r="GR13" s="8">
        <f t="shared" si="38"/>
        <v>3552952.5</v>
      </c>
      <c r="GT13" s="8">
        <f>SUM(GT6:GT12)</f>
        <v>4542259.7549999999</v>
      </c>
      <c r="GU13" s="8">
        <f>SUM(GU6:GU12)</f>
        <v>909699.99999999988</v>
      </c>
      <c r="GV13" s="8">
        <f t="shared" ref="GV13:HJ13" si="39">SUM(GV6:GV12)</f>
        <v>1438701.0000000002</v>
      </c>
      <c r="GW13" s="8">
        <f t="shared" si="39"/>
        <v>1574100</v>
      </c>
      <c r="GX13" s="8">
        <f t="shared" si="39"/>
        <v>6600</v>
      </c>
      <c r="GY13" s="8">
        <f t="shared" si="39"/>
        <v>222235</v>
      </c>
      <c r="GZ13" s="8">
        <f t="shared" si="39"/>
        <v>0</v>
      </c>
      <c r="HA13" s="8">
        <f t="shared" si="39"/>
        <v>151586</v>
      </c>
      <c r="HB13" s="8">
        <f t="shared" si="39"/>
        <v>0</v>
      </c>
      <c r="HC13" s="8">
        <f t="shared" si="39"/>
        <v>0</v>
      </c>
      <c r="HD13" s="8">
        <f t="shared" si="39"/>
        <v>0</v>
      </c>
      <c r="HE13" s="8">
        <f t="shared" si="39"/>
        <v>0</v>
      </c>
      <c r="HF13" s="8">
        <f t="shared" si="39"/>
        <v>0</v>
      </c>
      <c r="HG13" s="8">
        <f t="shared" si="39"/>
        <v>0</v>
      </c>
      <c r="HH13" s="8">
        <f t="shared" si="39"/>
        <v>227888</v>
      </c>
      <c r="HI13" s="8">
        <f t="shared" si="39"/>
        <v>0</v>
      </c>
      <c r="HJ13" s="8">
        <f t="shared" si="39"/>
        <v>4530810</v>
      </c>
      <c r="HL13" s="8">
        <f>SUM(HL6:HL12)</f>
        <v>3342920.4999999991</v>
      </c>
      <c r="HM13" s="8">
        <f>SUM(HM6:HM12)</f>
        <v>969100</v>
      </c>
      <c r="HN13" s="8">
        <f t="shared" ref="HN13:IB13" si="40">SUM(HN6:HN12)</f>
        <v>237600</v>
      </c>
      <c r="HO13" s="8">
        <f t="shared" si="40"/>
        <v>1753400</v>
      </c>
      <c r="HP13" s="8">
        <f t="shared" si="40"/>
        <v>3300</v>
      </c>
      <c r="HQ13" s="8">
        <f t="shared" si="40"/>
        <v>59400</v>
      </c>
      <c r="HR13" s="8">
        <f t="shared" si="40"/>
        <v>2430</v>
      </c>
      <c r="HS13" s="8">
        <f t="shared" si="40"/>
        <v>128482</v>
      </c>
      <c r="HT13" s="8">
        <f t="shared" si="40"/>
        <v>5500</v>
      </c>
      <c r="HU13" s="8">
        <f t="shared" si="40"/>
        <v>16500</v>
      </c>
      <c r="HV13" s="8">
        <f t="shared" si="40"/>
        <v>0</v>
      </c>
      <c r="HW13" s="8">
        <f t="shared" si="40"/>
        <v>13200</v>
      </c>
      <c r="HX13" s="8">
        <f t="shared" si="40"/>
        <v>6600</v>
      </c>
      <c r="HY13" s="8">
        <f t="shared" si="40"/>
        <v>0</v>
      </c>
      <c r="HZ13" s="8">
        <f t="shared" si="40"/>
        <v>141001</v>
      </c>
      <c r="IA13" s="8">
        <f t="shared" si="40"/>
        <v>0</v>
      </c>
      <c r="IB13" s="8">
        <f t="shared" si="40"/>
        <v>3336513</v>
      </c>
    </row>
    <row r="14" spans="1:236" x14ac:dyDescent="0.35">
      <c r="T14" s="33">
        <f>D13-T13</f>
        <v>134504.50300002098</v>
      </c>
      <c r="AL14" s="33">
        <f>V13-AL13</f>
        <v>25850</v>
      </c>
      <c r="BD14" s="33">
        <f>AN13-BD13</f>
        <v>17047.500000000466</v>
      </c>
      <c r="BV14" s="33">
        <f>BF13-BV13</f>
        <v>13078.000000001863</v>
      </c>
      <c r="CN14" s="33">
        <f>BX13-CN13</f>
        <v>4294</v>
      </c>
    </row>
    <row r="15" spans="1:236" x14ac:dyDescent="0.35">
      <c r="T15" s="34">
        <f>T14/D13</f>
        <v>3.2913651656605882E-3</v>
      </c>
      <c r="AL15" s="34">
        <f>AL14/V13</f>
        <v>5.6049545630076037E-3</v>
      </c>
      <c r="BD15" s="34">
        <f>BD14/AN13</f>
        <v>5.4251412454101788E-3</v>
      </c>
      <c r="BV15" s="34">
        <f>BV14/BF13</f>
        <v>3.1695313950353518E-3</v>
      </c>
      <c r="CN15" s="34">
        <f>CN14/BX13</f>
        <v>2.8171786225085617E-3</v>
      </c>
    </row>
    <row r="16" spans="1:236" s="11" customFormat="1" ht="15" thickBot="1" x14ac:dyDescent="0.4">
      <c r="B16" s="12" t="s">
        <v>82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2:236" s="11" customFormat="1" x14ac:dyDescent="0.35">
      <c r="B17" s="14" t="s">
        <v>68</v>
      </c>
      <c r="C17" s="14"/>
      <c r="D17" s="45">
        <f>IFERROR(D6/T6,0)</f>
        <v>1.0023132956629632</v>
      </c>
      <c r="E17" s="15">
        <f>IFERROR(E6/T6,0)</f>
        <v>0.84065012496784719</v>
      </c>
      <c r="F17" s="16">
        <f t="shared" ref="F17:F23" si="41">IFERROR(F6/T6,0)</f>
        <v>4.9701846085092781E-2</v>
      </c>
      <c r="G17" s="16">
        <f t="shared" ref="G17:G23" si="42">IFERROR(G6/T6,0)</f>
        <v>1.9655228254985158E-3</v>
      </c>
      <c r="H17" s="16">
        <f t="shared" ref="H17:H23" si="43">IFERROR(H6/T6,0)</f>
        <v>2.6284630141154832E-3</v>
      </c>
      <c r="I17" s="16">
        <f t="shared" ref="I17:I23" si="44">IFERROR(I6/T6,0)</f>
        <v>5.9827925174727958E-2</v>
      </c>
      <c r="J17" s="16">
        <f t="shared" ref="J17:J23" si="45">IFERROR(J6/T6,0)</f>
        <v>0</v>
      </c>
      <c r="K17" s="16">
        <f t="shared" ref="K17:K23" si="46">IFERROR(K6/T6,0)</f>
        <v>0</v>
      </c>
      <c r="L17" s="16">
        <f t="shared" ref="L17:L23" si="47">IFERROR(L6/T6,0)</f>
        <v>0</v>
      </c>
      <c r="M17" s="16">
        <f t="shared" ref="M17:M23" si="48">IFERROR(M6/T6,0)</f>
        <v>1.9713472605866126E-3</v>
      </c>
      <c r="N17" s="16">
        <f t="shared" ref="N17:N23" si="49">IFERROR(N6/T6,0)</f>
        <v>0</v>
      </c>
      <c r="O17" s="16">
        <f t="shared" ref="O17:O23" si="50">IFERROR(O6/T6,0)</f>
        <v>0</v>
      </c>
      <c r="P17" s="16">
        <f t="shared" ref="P17:P23" si="51">IFERROR(P6/T6,0)</f>
        <v>4.9283681514665316E-4</v>
      </c>
      <c r="Q17" s="16">
        <f t="shared" ref="Q17:Q23" si="52">IFERROR(Q6/T6,0)</f>
        <v>0</v>
      </c>
      <c r="R17" s="16">
        <f t="shared" ref="R17:R23" si="53">IFERROR(R6/T6,0)</f>
        <v>4.2761933856984839E-2</v>
      </c>
      <c r="S17" s="16">
        <f t="shared" ref="S17:S23" si="54">IFERROR(S6/T6,0)</f>
        <v>0</v>
      </c>
      <c r="T17" s="48">
        <f t="shared" ref="T17:T24" si="55">IFERROR(T6/T6,0)</f>
        <v>1</v>
      </c>
      <c r="V17" s="45">
        <f>IFERROR(V6/AL6,0)</f>
        <v>1.0010708548991611</v>
      </c>
      <c r="W17" s="15">
        <f t="shared" ref="W17:W23" si="56">IFERROR(W6/AL6,0)</f>
        <v>0.89663922277661812</v>
      </c>
      <c r="X17" s="16">
        <f t="shared" ref="X17:X23" si="57">IFERROR(X6/AL6,0)</f>
        <v>4.694689956467421E-2</v>
      </c>
      <c r="Y17" s="16">
        <f t="shared" ref="Y17:Y23" si="58">IFERROR(Y6/AL6,0)</f>
        <v>8.3844834677075167E-3</v>
      </c>
      <c r="Z17" s="16">
        <f t="shared" ref="Z17:Z23" si="59">IFERROR(Z6/AL6,0)</f>
        <v>2.1339499802124639E-2</v>
      </c>
      <c r="AA17" s="16">
        <f t="shared" ref="AA17:AA23" si="60">IFERROR(AA6/AL6,0)</f>
        <v>0</v>
      </c>
      <c r="AB17" s="16">
        <f t="shared" ref="AB17:AB23" si="61">IFERROR(AB6/AL6,0)</f>
        <v>0</v>
      </c>
      <c r="AC17" s="16">
        <f t="shared" ref="AC17:AC23" si="62">IFERROR(AC6/AL6,0)</f>
        <v>0</v>
      </c>
      <c r="AD17" s="16">
        <f t="shared" ref="AD17:AD23" si="63">IFERROR(AD6/AL6,0)</f>
        <v>0</v>
      </c>
      <c r="AE17" s="16">
        <f t="shared" ref="AE17:AE23" si="64">IFERROR(AE6/AL6,0)</f>
        <v>0</v>
      </c>
      <c r="AF17" s="16">
        <f t="shared" ref="AF17:AF23" si="65">IFERROR(AF6/AL6,0)</f>
        <v>0</v>
      </c>
      <c r="AG17" s="16">
        <f t="shared" ref="AG17:AG23" si="66">IFERROR(AG6/AL6,0)</f>
        <v>0</v>
      </c>
      <c r="AH17" s="16">
        <f t="shared" ref="AH17:AH23" si="67">IFERROR(AH6/AL6,0)</f>
        <v>0</v>
      </c>
      <c r="AI17" s="16">
        <f t="shared" ref="AI17:AI23" si="68">IFERROR(AI6/AL6,0)</f>
        <v>0</v>
      </c>
      <c r="AJ17" s="16">
        <f t="shared" ref="AJ17:AJ23" si="69">IFERROR(AJ6/AL6,0)</f>
        <v>2.6689894388875524E-2</v>
      </c>
      <c r="AK17" s="16">
        <f t="shared" ref="AK17:AK23" si="70">IFERROR(AK6/AL6,0)</f>
        <v>0</v>
      </c>
      <c r="AL17" s="48">
        <f t="shared" ref="AL17:AL24" si="71">IFERROR(AL6/AL6,0)</f>
        <v>1</v>
      </c>
      <c r="AN17" s="45">
        <f>IFERROR(AN6/BD6,0)</f>
        <v>1.009831306824406</v>
      </c>
      <c r="AO17" s="15">
        <f t="shared" ref="AO17:AO23" si="72">IFERROR(AO6/BD6,0)</f>
        <v>0.79497001314492277</v>
      </c>
      <c r="AP17" s="16">
        <f t="shared" ref="AP17:AP23" si="73">IFERROR(AP6/BD6,0)</f>
        <v>0.13179154343301566</v>
      </c>
      <c r="AQ17" s="16">
        <f t="shared" ref="AQ17:AQ23" si="74">IFERROR(AQ6/BD6,0)</f>
        <v>7.5309453390294667E-3</v>
      </c>
      <c r="AR17" s="16">
        <f t="shared" ref="AR17:AR23" si="75">IFERROR(AR6/BD6,0)</f>
        <v>2.2592836017088398E-2</v>
      </c>
      <c r="AS17" s="16">
        <f t="shared" ref="AS17:AS23" si="76">IFERROR(AS6/BD6,0)</f>
        <v>7.5309453390294667E-3</v>
      </c>
      <c r="AT17" s="16">
        <f t="shared" ref="AT17:AT23" si="77">IFERROR(AT6/BD6,0)</f>
        <v>0</v>
      </c>
      <c r="AU17" s="16">
        <f t="shared" ref="AU17:AU23" si="78">IFERROR(AU6/BD6,0)</f>
        <v>0</v>
      </c>
      <c r="AV17" s="16">
        <f t="shared" ref="AV17:AV23" si="79">IFERROR(AV6/BD6,0)</f>
        <v>0</v>
      </c>
      <c r="AW17" s="16">
        <f t="shared" ref="AW17:AW23" si="80">IFERROR(AW6/BD6,0)</f>
        <v>0</v>
      </c>
      <c r="AX17" s="16">
        <f t="shared" ref="AX17:AX23" si="81">IFERROR(AX6/BD6,0)</f>
        <v>0</v>
      </c>
      <c r="AY17" s="16">
        <f t="shared" ref="AY17:AY23" si="82">IFERROR(AY6/BD6,0)</f>
        <v>0</v>
      </c>
      <c r="AZ17" s="16">
        <f t="shared" ref="AZ17:AZ23" si="83">IFERROR(AZ6/BD6,0)</f>
        <v>0</v>
      </c>
      <c r="BA17" s="16">
        <f t="shared" ref="BA17:BA23" si="84">IFERROR(BA6/BD6,0)</f>
        <v>0</v>
      </c>
      <c r="BB17" s="16">
        <f t="shared" ref="BB17:BB23" si="85">IFERROR(BB6/BD6,0)</f>
        <v>3.5583716726914232E-2</v>
      </c>
      <c r="BC17" s="16">
        <f t="shared" ref="BC17:BC23" si="86">IFERROR(BC6/BD6,0)</f>
        <v>0</v>
      </c>
      <c r="BD17" s="48">
        <f t="shared" ref="BD17:BD24" si="87">IFERROR(BD6/BD6,0)</f>
        <v>1</v>
      </c>
      <c r="BF17" s="45">
        <f>IFERROR(BF6/BV6,0)</f>
        <v>0.99493059174681364</v>
      </c>
      <c r="BG17" s="15">
        <f t="shared" ref="BG17:BG23" si="88">IFERROR(BG6/BV6,0)</f>
        <v>0.6775003553323542</v>
      </c>
      <c r="BH17" s="16">
        <f t="shared" ref="BH17:BH23" si="89">IFERROR(BH6/BV6,0)</f>
        <v>0.23451935376889183</v>
      </c>
      <c r="BI17" s="16">
        <f t="shared" ref="BI17:BI23" si="90">IFERROR(BI6/BV6,0)</f>
        <v>2.6057705974321315E-2</v>
      </c>
      <c r="BJ17" s="16">
        <f t="shared" ref="BJ17:BJ23" si="91">IFERROR(BJ6/BV6,0)</f>
        <v>0</v>
      </c>
      <c r="BK17" s="16">
        <f t="shared" ref="BK17:BK23" si="92">IFERROR(BK6/BV6,0)</f>
        <v>5.211541194864263E-2</v>
      </c>
      <c r="BL17" s="16">
        <f t="shared" ref="BL17:BL23" si="93">IFERROR(BL6/BV6,0)</f>
        <v>0</v>
      </c>
      <c r="BM17" s="16">
        <f t="shared" ref="BM17:BM23" si="94">IFERROR(BM6/BV6,0)</f>
        <v>0</v>
      </c>
      <c r="BN17" s="16">
        <f t="shared" ref="BN17:BN23" si="95">IFERROR(BN6/BV6,0)</f>
        <v>0</v>
      </c>
      <c r="BO17" s="16">
        <f t="shared" ref="BO17:BO23" si="96">IFERROR(BO6/BV6,0)</f>
        <v>0</v>
      </c>
      <c r="BP17" s="16">
        <f t="shared" ref="BP17:BP23" si="97">IFERROR(BP6/BV6,0)</f>
        <v>0</v>
      </c>
      <c r="BQ17" s="16">
        <f t="shared" ref="BQ17:BQ23" si="98">IFERROR(BQ6/BV6,0)</f>
        <v>0</v>
      </c>
      <c r="BR17" s="16">
        <f t="shared" ref="BR17:BR23" si="99">IFERROR(BR6/BV6,0)</f>
        <v>0</v>
      </c>
      <c r="BS17" s="16">
        <f t="shared" ref="BS17:BS23" si="100">IFERROR(BS6/BV6,0)</f>
        <v>0</v>
      </c>
      <c r="BT17" s="16">
        <f t="shared" ref="BT17:BT23" si="101">IFERROR(BT6/BV6,0)</f>
        <v>9.8071729757900229E-3</v>
      </c>
      <c r="BU17" s="16">
        <f t="shared" ref="BU17:BU23" si="102">IFERROR(BU6/BV6,0)</f>
        <v>0</v>
      </c>
      <c r="BV17" s="48">
        <f t="shared" ref="BV17:BV24" si="103">IFERROR(BV6/BV6,0)</f>
        <v>1</v>
      </c>
      <c r="BX17" s="45">
        <f>IFERROR(BX6/CN6,0)</f>
        <v>1.0226946279804656</v>
      </c>
      <c r="BY17" s="15">
        <f t="shared" ref="BY17:BY24" si="104">IFERROR(BY6/CN6,0)</f>
        <v>0.90850330364837706</v>
      </c>
      <c r="BZ17" s="16">
        <f t="shared" ref="BZ17:BZ24" si="105">IFERROR(BZ6/CN6,0)</f>
        <v>5.5300201091640334E-2</v>
      </c>
      <c r="CA17" s="16">
        <f t="shared" ref="CA17:CA24" si="106">IFERROR(CA6/CN6,0)</f>
        <v>0</v>
      </c>
      <c r="CB17" s="16">
        <f t="shared" ref="CB17:CB24" si="107">IFERROR(CB6/CN6,0)</f>
        <v>0</v>
      </c>
      <c r="CC17" s="16">
        <f t="shared" ref="CC17:CC24" si="108">IFERROR(CC6/CN6,0)</f>
        <v>0</v>
      </c>
      <c r="CD17" s="16">
        <f t="shared" ref="CD17:CD24" si="109">IFERROR(CD6/CN6,0)</f>
        <v>0</v>
      </c>
      <c r="CE17" s="16">
        <f t="shared" ref="CE17:CE24" si="110">IFERROR(CE6/CN6,0)</f>
        <v>0</v>
      </c>
      <c r="CF17" s="16">
        <f t="shared" ref="CF17:CF24" si="111">IFERROR(CF6/CN6,0)</f>
        <v>0</v>
      </c>
      <c r="CG17" s="16">
        <f t="shared" ref="CG17:CG24" si="112">IFERROR(CG6/CN6,0)</f>
        <v>0</v>
      </c>
      <c r="CH17" s="16">
        <f t="shared" ref="CH17:CH24" si="113">IFERROR(CH6/CN6,0)</f>
        <v>0</v>
      </c>
      <c r="CI17" s="16">
        <f t="shared" ref="CI17:CI24" si="114">IFERROR(CI6/CN6,0)</f>
        <v>0</v>
      </c>
      <c r="CJ17" s="16">
        <f t="shared" ref="CJ17:CJ24" si="115">IFERROR(CJ6/CN6,0)</f>
        <v>0</v>
      </c>
      <c r="CK17" s="16">
        <f t="shared" ref="CK17:CK24" si="116">IFERROR(CK6/CN6,0)</f>
        <v>0</v>
      </c>
      <c r="CL17" s="16">
        <f t="shared" ref="CL17:CL24" si="117">IFERROR(CL6/CN6,0)</f>
        <v>3.6196495259982767E-2</v>
      </c>
      <c r="CM17" s="16">
        <f t="shared" ref="CM17:CM24" si="118">IFERROR(CM6/CN6,0)</f>
        <v>0</v>
      </c>
      <c r="CN17" s="48">
        <f t="shared" ref="CN17:DF24" si="119">IFERROR(CN6/CN6,0)</f>
        <v>1</v>
      </c>
      <c r="CP17" s="45">
        <f>IFERROR(CP6/DF6,0)</f>
        <v>1.0039090091980085</v>
      </c>
      <c r="CQ17" s="15">
        <f t="shared" ref="CQ17:CQ24" si="120">IFERROR(CQ6/DF6,0)</f>
        <v>0.75793590456705462</v>
      </c>
      <c r="CR17" s="16">
        <f t="shared" ref="CR17:CR24" si="121">IFERROR(CR6/DF6,0)</f>
        <v>0.16513687306209571</v>
      </c>
      <c r="CS17" s="16">
        <f t="shared" ref="CS17:CS24" si="122">IFERROR(CS6/DF6,0)</f>
        <v>0</v>
      </c>
      <c r="CT17" s="16">
        <f t="shared" ref="CT17:CT24" si="123">IFERROR(CT6/DF6,0)</f>
        <v>1.6937115185855969E-2</v>
      </c>
      <c r="CU17" s="16">
        <f t="shared" ref="CU17:CU24" si="124">IFERROR(CU6/DF6,0)</f>
        <v>2.1171393982319962E-2</v>
      </c>
      <c r="CV17" s="16">
        <f t="shared" ref="CV17:CV24" si="125">IFERROR(CV6/DF6,0)</f>
        <v>0</v>
      </c>
      <c r="CW17" s="16">
        <f t="shared" ref="CW17:CW24" si="126">IFERROR(CW6/DF6,0)</f>
        <v>0</v>
      </c>
      <c r="CX17" s="16">
        <f t="shared" ref="CX17:CX24" si="127">IFERROR(CX6/DF6,0)</f>
        <v>0</v>
      </c>
      <c r="CY17" s="16">
        <f t="shared" ref="CY17:CY24" si="128">IFERROR(CY6/DF6,0)</f>
        <v>0</v>
      </c>
      <c r="CZ17" s="16">
        <f t="shared" ref="CZ17:CZ24" si="129">IFERROR(CZ6/DF6,0)</f>
        <v>0</v>
      </c>
      <c r="DA17" s="16">
        <f t="shared" ref="DA17:DA24" si="130">IFERROR(DA6/DF6,0)</f>
        <v>0</v>
      </c>
      <c r="DB17" s="16">
        <f t="shared" ref="DB17:DB24" si="131">IFERROR(DB6/DF6,0)</f>
        <v>0</v>
      </c>
      <c r="DC17" s="16">
        <f t="shared" ref="DC17:DC24" si="132">IFERROR(DC6/DF6,0)</f>
        <v>0</v>
      </c>
      <c r="DD17" s="16">
        <f t="shared" ref="DD17:DD24" si="133">IFERROR(DD6/DF6,0)</f>
        <v>3.8818713202673757E-2</v>
      </c>
      <c r="DE17" s="16">
        <f t="shared" ref="DE17:DE24" si="134">IFERROR(DE6/DF6,0)</f>
        <v>0</v>
      </c>
      <c r="DF17" s="48">
        <f t="shared" ref="DF17:DF23" si="135">IFERROR(DF6/DF6,0)</f>
        <v>1</v>
      </c>
      <c r="DH17" s="45">
        <f>IFERROR(DH6/DX6,0)</f>
        <v>1.0061806100337107</v>
      </c>
      <c r="DI17" s="15">
        <f t="shared" ref="DI17:DI24" si="136">IFERROR(DI6/DX6,0)</f>
        <v>0.84286574352799515</v>
      </c>
      <c r="DJ17" s="16">
        <f t="shared" ref="DJ17:DJ24" si="137">IFERROR(DJ6/DX6,0)</f>
        <v>8.9192142172274627E-2</v>
      </c>
      <c r="DK17" s="16">
        <f t="shared" ref="DK17:DK24" si="138">IFERROR(DK6/DX6,0)</f>
        <v>0</v>
      </c>
      <c r="DL17" s="16">
        <f t="shared" ref="DL17:DL24" si="139">IFERROR(DL6/DX6,0)</f>
        <v>0</v>
      </c>
      <c r="DM17" s="16">
        <f t="shared" ref="DM17:DM24" si="140">IFERROR(DM6/DX6,0)</f>
        <v>4.4596071086137308E-3</v>
      </c>
      <c r="DN17" s="16">
        <f t="shared" ref="DN17:DN24" si="141">IFERROR(DN6/DX6,0)</f>
        <v>0</v>
      </c>
      <c r="DO17" s="16">
        <f t="shared" ref="DO17:DO24" si="142">IFERROR(DO6/DX6,0)</f>
        <v>0</v>
      </c>
      <c r="DP17" s="16">
        <f t="shared" ref="DP17:DP24" si="143">IFERROR(DP6/DX6,0)</f>
        <v>0</v>
      </c>
      <c r="DQ17" s="16">
        <f t="shared" ref="DQ17:DQ24" si="144">IFERROR(DQ6/DX6,0)</f>
        <v>0</v>
      </c>
      <c r="DR17" s="16">
        <f t="shared" ref="DR17:DR24" si="145">IFERROR(DR6/DX6,0)</f>
        <v>0</v>
      </c>
      <c r="DS17" s="16">
        <f t="shared" ref="DS17:DS24" si="146">IFERROR(DS6/DX6,0)</f>
        <v>0</v>
      </c>
      <c r="DT17" s="16">
        <f t="shared" ref="DT17:DT24" si="147">IFERROR(DT6/DX6,0)</f>
        <v>0</v>
      </c>
      <c r="DU17" s="16">
        <f t="shared" ref="DU17:DU24" si="148">IFERROR(DU6/DX6,0)</f>
        <v>0</v>
      </c>
      <c r="DV17" s="16">
        <f t="shared" ref="DV17:DV24" si="149">IFERROR(DV6/DX6,0)</f>
        <v>6.3482507191116463E-2</v>
      </c>
      <c r="DW17" s="16">
        <f t="shared" ref="DW17:DW24" si="150">IFERROR(DW6/DX6,0)</f>
        <v>0</v>
      </c>
      <c r="DX17" s="48">
        <f t="shared" ref="DX17:EP24" si="151">IFERROR(DX6/DX6,0)</f>
        <v>1</v>
      </c>
      <c r="DZ17" s="45">
        <f>IFERROR(DZ6/EP6,0)</f>
        <v>1.0000006044830545</v>
      </c>
      <c r="EA17" s="15">
        <f t="shared" ref="EA17:EA24" si="152">IFERROR(EA6/EP6,0)</f>
        <v>0.72451302281826035</v>
      </c>
      <c r="EB17" s="16">
        <f t="shared" ref="EB17:EB24" si="153">IFERROR(EB6/EP6,0)</f>
        <v>0.15252905743542325</v>
      </c>
      <c r="EC17" s="16">
        <f t="shared" ref="EC17:EC24" si="154">IFERROR(EC6/EP6,0)</f>
        <v>1.6682865656999418E-2</v>
      </c>
      <c r="ED17" s="16">
        <f t="shared" ref="ED17:ED24" si="155">IFERROR(ED6/EP6,0)</f>
        <v>0</v>
      </c>
      <c r="EE17" s="16">
        <f t="shared" ref="EE17:EE24" si="156">IFERROR(EE6/EP6,0)</f>
        <v>9.533066089713953E-3</v>
      </c>
      <c r="EF17" s="16">
        <f t="shared" ref="EF17:EF24" si="157">IFERROR(EF6/EP6,0)</f>
        <v>0</v>
      </c>
      <c r="EG17" s="16">
        <f t="shared" ref="EG17:EG24" si="158">IFERROR(EG6/EP6,0)</f>
        <v>0</v>
      </c>
      <c r="EH17" s="16">
        <f t="shared" ref="EH17:EH24" si="159">IFERROR(EH6/EP6,0)</f>
        <v>0</v>
      </c>
      <c r="EI17" s="16">
        <f t="shared" ref="EI17:EI24" si="160">IFERROR(EI6/EP6,0)</f>
        <v>0</v>
      </c>
      <c r="EJ17" s="16">
        <f t="shared" ref="EJ17:EJ24" si="161">IFERROR(EJ6/EP6,0)</f>
        <v>0</v>
      </c>
      <c r="EK17" s="16">
        <f t="shared" ref="EK17:EK24" si="162">IFERROR(EK6/EP6,0)</f>
        <v>0</v>
      </c>
      <c r="EL17" s="16">
        <f t="shared" ref="EL17:EL24" si="163">IFERROR(EL6/EP6,0)</f>
        <v>0</v>
      </c>
      <c r="EM17" s="16">
        <f t="shared" ref="EM17:EM24" si="164">IFERROR(EM6/EP6,0)</f>
        <v>0</v>
      </c>
      <c r="EN17" s="16">
        <f t="shared" ref="EN17:EN24" si="165">IFERROR(EN6/EP6,0)</f>
        <v>9.6741987999603082E-2</v>
      </c>
      <c r="EO17" s="16">
        <f t="shared" ref="EO17:EO24" si="166">IFERROR(EO6/EP6,0)</f>
        <v>0</v>
      </c>
      <c r="EP17" s="48">
        <f t="shared" ref="EP17:EP23" si="167">IFERROR(EP6/EP6,0)</f>
        <v>1</v>
      </c>
      <c r="ER17" s="45">
        <f>IFERROR(ER6/FH6,0)</f>
        <v>1.000370132167911</v>
      </c>
      <c r="ES17" s="15">
        <f t="shared" ref="ES17:ES24" si="168">IFERROR(ES6/FH6,0)</f>
        <v>0.9028859518241944</v>
      </c>
      <c r="ET17" s="16">
        <f t="shared" ref="ET17:ET24" si="169">IFERROR(ET6/FH6,0)</f>
        <v>2.6530254887440218E-2</v>
      </c>
      <c r="EU17" s="16">
        <f t="shared" ref="EU17:EU24" si="170">IFERROR(EU6/FH6,0)</f>
        <v>0</v>
      </c>
      <c r="EV17" s="16">
        <f t="shared" ref="EV17:EV24" si="171">IFERROR(EV6/FH6,0)</f>
        <v>0</v>
      </c>
      <c r="EW17" s="16">
        <f t="shared" ref="EW17:EW24" si="172">IFERROR(EW6/FH6,0)</f>
        <v>3.4107200834667901E-2</v>
      </c>
      <c r="EX17" s="16">
        <f t="shared" ref="EX17:EX24" si="173">IFERROR(EX6/FH6,0)</f>
        <v>0</v>
      </c>
      <c r="EY17" s="16">
        <f t="shared" ref="EY17:EY24" si="174">IFERROR(EY6/FH6,0)</f>
        <v>0</v>
      </c>
      <c r="EZ17" s="16">
        <f t="shared" ref="EZ17:EZ24" si="175">IFERROR(EZ6/FH6,0)</f>
        <v>0</v>
      </c>
      <c r="FA17" s="16">
        <f t="shared" ref="FA17:FA24" si="176">IFERROR(FA6/FH6,0)</f>
        <v>0</v>
      </c>
      <c r="FB17" s="16">
        <f t="shared" ref="FB17:FB24" si="177">IFERROR(FB6/FH6,0)</f>
        <v>0</v>
      </c>
      <c r="FC17" s="16">
        <f t="shared" ref="FC17:FC24" si="178">IFERROR(FC6/FH6,0)</f>
        <v>0</v>
      </c>
      <c r="FD17" s="16">
        <f t="shared" ref="FD17:FD24" si="179">IFERROR(FD6/FH6,0)</f>
        <v>0</v>
      </c>
      <c r="FE17" s="16">
        <f t="shared" ref="FE17:FE24" si="180">IFERROR(FE6/FH6,0)</f>
        <v>0</v>
      </c>
      <c r="FF17" s="16">
        <f t="shared" ref="FF17:FF24" si="181">IFERROR(FF6/FH6,0)</f>
        <v>3.6476592453697457E-2</v>
      </c>
      <c r="FG17" s="16">
        <f t="shared" ref="FG17:FG24" si="182">IFERROR(FG6/FH6,0)</f>
        <v>0</v>
      </c>
      <c r="FH17" s="48">
        <f t="shared" ref="FH17:FZ24" si="183">IFERROR(FH6/FH6,0)</f>
        <v>1</v>
      </c>
      <c r="FJ17" s="45">
        <f>IFERROR(FJ6/FZ6,0)</f>
        <v>1.000760062056621</v>
      </c>
      <c r="FK17" s="15">
        <f t="shared" ref="FK17:FK24" si="184">IFERROR(FK6/FZ6,0)</f>
        <v>0.81192744499595004</v>
      </c>
      <c r="FL17" s="16">
        <f t="shared" ref="FL17:FL24" si="185">IFERROR(FL6/FZ6,0)</f>
        <v>6.0763710563312597E-2</v>
      </c>
      <c r="FM17" s="16">
        <f t="shared" ref="FM17:FM24" si="186">IFERROR(FM6/FZ6,0)</f>
        <v>0</v>
      </c>
      <c r="FN17" s="16">
        <f t="shared" ref="FN17:FN24" si="187">IFERROR(FN6/FZ6,0)</f>
        <v>0</v>
      </c>
      <c r="FO17" s="16">
        <f t="shared" ref="FO17:FO24" si="188">IFERROR(FO6/FZ6,0)</f>
        <v>9.3877936552426336E-2</v>
      </c>
      <c r="FP17" s="16">
        <f t="shared" ref="FP17:FP24" si="189">IFERROR(FP6/FZ6,0)</f>
        <v>0</v>
      </c>
      <c r="FQ17" s="16">
        <f t="shared" ref="FQ17:FQ24" si="190">IFERROR(FQ6/FZ6,0)</f>
        <v>0</v>
      </c>
      <c r="FR17" s="16">
        <f t="shared" ref="FR17:FR24" si="191">IFERROR(FR6/FZ6,0)</f>
        <v>0</v>
      </c>
      <c r="FS17" s="16">
        <f t="shared" ref="FS17:FS24" si="192">IFERROR(FS6/FZ6,0)</f>
        <v>0</v>
      </c>
      <c r="FT17" s="16">
        <f t="shared" ref="FT17:FT24" si="193">IFERROR(FT6/FZ6,0)</f>
        <v>0</v>
      </c>
      <c r="FU17" s="16">
        <f t="shared" ref="FU17:FU24" si="194">IFERROR(FU6/FZ6,0)</f>
        <v>0</v>
      </c>
      <c r="FV17" s="16">
        <f t="shared" ref="FV17:FV24" si="195">IFERROR(FV6/FZ6,0)</f>
        <v>0</v>
      </c>
      <c r="FW17" s="16">
        <f t="shared" ref="FW17:FW24" si="196">IFERROR(FW6/FZ6,0)</f>
        <v>0</v>
      </c>
      <c r="FX17" s="16">
        <f t="shared" ref="FX17:FX24" si="197">IFERROR(FX6/FZ6,0)</f>
        <v>3.3430907888310948E-2</v>
      </c>
      <c r="FY17" s="16">
        <f t="shared" ref="FY17:FY24" si="198">IFERROR(FY6/FZ6,0)</f>
        <v>0</v>
      </c>
      <c r="FZ17" s="48">
        <f t="shared" ref="FZ17:FZ23" si="199">IFERROR(FZ6/FZ6,0)</f>
        <v>1</v>
      </c>
      <c r="GB17" s="45">
        <f>IFERROR(GB6/GR6,0)</f>
        <v>1.0016011855969753</v>
      </c>
      <c r="GC17" s="15">
        <f t="shared" ref="GC17:GC24" si="200">IFERROR(GC6/GR6,0)</f>
        <v>0.78788900995231304</v>
      </c>
      <c r="GD17" s="16">
        <f t="shared" ref="GD17:GD24" si="201">IFERROR(GD6/GR6,0)</f>
        <v>1.8553063448103705E-2</v>
      </c>
      <c r="GE17" s="16">
        <f t="shared" ref="GE17:GE24" si="202">IFERROR(GE6/GR6,0)</f>
        <v>0</v>
      </c>
      <c r="GF17" s="16">
        <f t="shared" ref="GF17:GF24" si="203">IFERROR(GF6/GR6,0)</f>
        <v>1.2368708965402471E-3</v>
      </c>
      <c r="GG17" s="16">
        <f t="shared" ref="GG17:GG24" si="204">IFERROR(GG6/GR6,0)</f>
        <v>0.14842450758482964</v>
      </c>
      <c r="GH17" s="16">
        <f t="shared" ref="GH17:GH24" si="205">IFERROR(GH6/GR6,0)</f>
        <v>0</v>
      </c>
      <c r="GI17" s="16">
        <f t="shared" ref="GI17:GI24" si="206">IFERROR(GI6/GR6,0)</f>
        <v>0</v>
      </c>
      <c r="GJ17" s="16">
        <f t="shared" ref="GJ17:GJ24" si="207">IFERROR(GJ6/GR6,0)</f>
        <v>0</v>
      </c>
      <c r="GK17" s="16">
        <f t="shared" ref="GK17:GK24" si="208">IFERROR(GK6/GR6,0)</f>
        <v>0</v>
      </c>
      <c r="GL17" s="16">
        <f t="shared" ref="GL17:GL24" si="209">IFERROR(GL6/GR6,0)</f>
        <v>0</v>
      </c>
      <c r="GM17" s="16">
        <f t="shared" ref="GM17:GM24" si="210">IFERROR(GM6/GR6,0)</f>
        <v>0</v>
      </c>
      <c r="GN17" s="16">
        <f t="shared" ref="GN17:GN24" si="211">IFERROR(GN6/GR6,0)</f>
        <v>0</v>
      </c>
      <c r="GO17" s="16">
        <f t="shared" ref="GO17:GO24" si="212">IFERROR(GO6/GR6,0)</f>
        <v>0</v>
      </c>
      <c r="GP17" s="16">
        <f t="shared" ref="GP17:GP24" si="213">IFERROR(GP6/GR6,0)</f>
        <v>4.389654811821337E-2</v>
      </c>
      <c r="GQ17" s="16">
        <f t="shared" ref="GQ17:GQ24" si="214">IFERROR(GQ6/GR6,0)</f>
        <v>0</v>
      </c>
      <c r="GR17" s="48">
        <f t="shared" ref="GR17:HJ24" si="215">IFERROR(GR6/GR6,0)</f>
        <v>1</v>
      </c>
      <c r="GT17" s="45">
        <f>IFERROR(GT6/HJ6,0)</f>
        <v>1.0021206280354067</v>
      </c>
      <c r="GU17" s="15">
        <f t="shared" ref="GU17:GU24" si="216">IFERROR(GU6/HJ6,0)</f>
        <v>0.87781999060003135</v>
      </c>
      <c r="GV17" s="16">
        <f t="shared" ref="GV17:GV24" si="217">IFERROR(GV6/HJ6,0)</f>
        <v>6.4624784584051392E-3</v>
      </c>
      <c r="GW17" s="16">
        <f t="shared" ref="GW17:GW24" si="218">IFERROR(GW6/HJ6,0)</f>
        <v>0</v>
      </c>
      <c r="GX17" s="16">
        <f t="shared" ref="GX17:GX24" si="219">IFERROR(GX6/HJ6,0)</f>
        <v>0</v>
      </c>
      <c r="GY17" s="16">
        <f t="shared" ref="GY17:GY24" si="220">IFERROR(GY6/HJ6,0)</f>
        <v>6.6778944070186461E-2</v>
      </c>
      <c r="GZ17" s="16">
        <f t="shared" ref="GZ17:GZ24" si="221">IFERROR(GZ6/HJ6,0)</f>
        <v>0</v>
      </c>
      <c r="HA17" s="16">
        <f t="shared" ref="HA17:HA24" si="222">IFERROR(HA6/HJ6,0)</f>
        <v>0</v>
      </c>
      <c r="HB17" s="16">
        <f t="shared" ref="HB17:HB24" si="223">IFERROR(HB6/HJ6,0)</f>
        <v>0</v>
      </c>
      <c r="HC17" s="16">
        <f t="shared" ref="HC17:HC24" si="224">IFERROR(HC6/HJ6,0)</f>
        <v>0</v>
      </c>
      <c r="HD17" s="16">
        <f t="shared" ref="HD17:HD24" si="225">IFERROR(HD6/HJ6,0)</f>
        <v>0</v>
      </c>
      <c r="HE17" s="16">
        <f t="shared" ref="HE17:HE24" si="226">IFERROR(HE6/HJ6,0)</f>
        <v>0</v>
      </c>
      <c r="HF17" s="16">
        <f t="shared" ref="HF17:HF24" si="227">IFERROR(HF6/HJ6,0)</f>
        <v>0</v>
      </c>
      <c r="HG17" s="16">
        <f t="shared" ref="HG17:HG24" si="228">IFERROR(HG6/HJ6,0)</f>
        <v>0</v>
      </c>
      <c r="HH17" s="16">
        <f t="shared" ref="HH17:HH24" si="229">IFERROR(HH6/HJ6,0)</f>
        <v>4.8938586871377102E-2</v>
      </c>
      <c r="HI17" s="16">
        <f t="shared" ref="HI17:HI24" si="230">IFERROR(HI6/HJ6,0)</f>
        <v>0</v>
      </c>
      <c r="HJ17" s="48">
        <f t="shared" ref="HJ17:HJ23" si="231">IFERROR(HJ6/HJ6,0)</f>
        <v>1</v>
      </c>
      <c r="HL17" s="45">
        <f>IFERROR(HL6/IB6,0)</f>
        <v>1.0018425348697335</v>
      </c>
      <c r="HM17" s="15">
        <f t="shared" ref="HM17:HM24" si="232">IFERROR(HM6/IB6,0)</f>
        <v>0.92518162811345428</v>
      </c>
      <c r="HN17" s="16">
        <f t="shared" ref="HN17:HN24" si="233">IFERROR(HN6/IB6,0)</f>
        <v>1.0501494076202659E-3</v>
      </c>
      <c r="HO17" s="16">
        <f t="shared" ref="HO17:HO24" si="234">IFERROR(HO6/IB6,0)</f>
        <v>0</v>
      </c>
      <c r="HP17" s="16">
        <f t="shared" ref="HP17:HP24" si="235">IFERROR(HP6/IB6,0)</f>
        <v>0</v>
      </c>
      <c r="HQ17" s="16">
        <f t="shared" ref="HQ17:HQ24" si="236">IFERROR(HQ6/IB6,0)</f>
        <v>2.5203585782886381E-2</v>
      </c>
      <c r="HR17" s="16">
        <f t="shared" ref="HR17:HR24" si="237">IFERROR(HR6/IB6,0)</f>
        <v>0</v>
      </c>
      <c r="HS17" s="16">
        <f t="shared" ref="HS17:HS24" si="238">IFERROR(HS6/IB6,0)</f>
        <v>0</v>
      </c>
      <c r="HT17" s="16">
        <f t="shared" ref="HT17:HT24" si="239">IFERROR(HT6/IB6,0)</f>
        <v>0</v>
      </c>
      <c r="HU17" s="16">
        <f t="shared" ref="HU17:HU24" si="240">IFERROR(HU6/IB6,0)</f>
        <v>1.2601792891443192E-2</v>
      </c>
      <c r="HV17" s="16">
        <f t="shared" ref="HV17:HV24" si="241">IFERROR(HV6/IB6,0)</f>
        <v>0</v>
      </c>
      <c r="HW17" s="16">
        <f t="shared" ref="HW17:HW24" si="242">IFERROR(HW6/IB6,0)</f>
        <v>0</v>
      </c>
      <c r="HX17" s="16">
        <f t="shared" ref="HX17:HX24" si="243">IFERROR(HX6/IB6,0)</f>
        <v>3.1504482228607981E-3</v>
      </c>
      <c r="HY17" s="16">
        <f t="shared" ref="HY17:HY24" si="244">IFERROR(HY6/IB6,0)</f>
        <v>0</v>
      </c>
      <c r="HZ17" s="16">
        <f t="shared" ref="HZ17:HZ24" si="245">IFERROR(HZ6/IB6,0)</f>
        <v>3.2812395581735036E-2</v>
      </c>
      <c r="IA17" s="16">
        <f t="shared" ref="IA17:IA24" si="246">IFERROR(IA6/IB6,0)</f>
        <v>0</v>
      </c>
      <c r="IB17" s="48">
        <f t="shared" ref="IB17:IB24" si="247">IFERROR(IB6/IB6,0)</f>
        <v>1</v>
      </c>
    </row>
    <row r="18" spans="2:236" s="11" customFormat="1" x14ac:dyDescent="0.35">
      <c r="B18" s="17" t="s">
        <v>69</v>
      </c>
      <c r="C18" s="17"/>
      <c r="D18" s="45">
        <f t="shared" ref="D18:D24" si="248">IFERROR(D7/T7,0)</f>
        <v>1.0033953330621381</v>
      </c>
      <c r="E18" s="18">
        <f t="shared" ref="E18:E23" si="249">IFERROR(E7/T7,0)</f>
        <v>7.8998610122377036E-2</v>
      </c>
      <c r="F18" s="19">
        <f t="shared" si="41"/>
        <v>0.78714566595477808</v>
      </c>
      <c r="G18" s="18">
        <f t="shared" si="42"/>
        <v>3.9899657615512389E-2</v>
      </c>
      <c r="H18" s="18">
        <f t="shared" si="43"/>
        <v>0</v>
      </c>
      <c r="I18" s="18">
        <f t="shared" si="44"/>
        <v>2.6311569883724871E-2</v>
      </c>
      <c r="J18" s="18">
        <f t="shared" si="45"/>
        <v>0</v>
      </c>
      <c r="K18" s="18">
        <f t="shared" si="46"/>
        <v>0</v>
      </c>
      <c r="L18" s="18">
        <f t="shared" si="47"/>
        <v>0</v>
      </c>
      <c r="M18" s="18">
        <f t="shared" si="48"/>
        <v>1.1186819892199736E-3</v>
      </c>
      <c r="N18" s="18">
        <f t="shared" si="49"/>
        <v>0</v>
      </c>
      <c r="O18" s="18">
        <f t="shared" si="50"/>
        <v>0</v>
      </c>
      <c r="P18" s="18">
        <f t="shared" si="51"/>
        <v>0</v>
      </c>
      <c r="Q18" s="18">
        <f t="shared" si="52"/>
        <v>0</v>
      </c>
      <c r="R18" s="18">
        <f t="shared" si="53"/>
        <v>6.6525814434387612E-2</v>
      </c>
      <c r="S18" s="18">
        <f t="shared" si="54"/>
        <v>0</v>
      </c>
      <c r="T18" s="49">
        <f t="shared" si="55"/>
        <v>1</v>
      </c>
      <c r="V18" s="45">
        <f t="shared" ref="V18:V24" si="250">IFERROR(V7/AL7,0)</f>
        <v>1.0118871356656374</v>
      </c>
      <c r="W18" s="18">
        <f t="shared" si="56"/>
        <v>0</v>
      </c>
      <c r="X18" s="19">
        <f t="shared" si="57"/>
        <v>0.94927873429502097</v>
      </c>
      <c r="Y18" s="18">
        <f t="shared" si="58"/>
        <v>7.4453234062354587E-3</v>
      </c>
      <c r="Z18" s="18">
        <f t="shared" si="59"/>
        <v>0</v>
      </c>
      <c r="AA18" s="18">
        <f t="shared" si="60"/>
        <v>7.4453234062354587E-3</v>
      </c>
      <c r="AB18" s="18">
        <f t="shared" si="61"/>
        <v>0</v>
      </c>
      <c r="AC18" s="18">
        <f t="shared" si="62"/>
        <v>0</v>
      </c>
      <c r="AD18" s="18">
        <f t="shared" si="63"/>
        <v>0</v>
      </c>
      <c r="AE18" s="18">
        <f t="shared" si="64"/>
        <v>0</v>
      </c>
      <c r="AF18" s="18">
        <f t="shared" si="65"/>
        <v>0</v>
      </c>
      <c r="AG18" s="18">
        <f t="shared" si="66"/>
        <v>0</v>
      </c>
      <c r="AH18" s="18">
        <f t="shared" si="67"/>
        <v>0</v>
      </c>
      <c r="AI18" s="18">
        <f t="shared" si="68"/>
        <v>0</v>
      </c>
      <c r="AJ18" s="18">
        <f t="shared" si="69"/>
        <v>3.5830618892508145E-2</v>
      </c>
      <c r="AK18" s="18">
        <f t="shared" si="70"/>
        <v>0</v>
      </c>
      <c r="AL18" s="49">
        <f t="shared" si="71"/>
        <v>1</v>
      </c>
      <c r="AN18" s="45">
        <f t="shared" ref="AN18:AN24" si="251">IFERROR(AN7/BD7,0)</f>
        <v>0</v>
      </c>
      <c r="AO18" s="18">
        <f t="shared" si="72"/>
        <v>0</v>
      </c>
      <c r="AP18" s="19">
        <f t="shared" si="73"/>
        <v>0</v>
      </c>
      <c r="AQ18" s="18">
        <f t="shared" si="74"/>
        <v>0</v>
      </c>
      <c r="AR18" s="18">
        <f t="shared" si="75"/>
        <v>0</v>
      </c>
      <c r="AS18" s="18">
        <f t="shared" si="76"/>
        <v>0</v>
      </c>
      <c r="AT18" s="18">
        <f t="shared" si="77"/>
        <v>0</v>
      </c>
      <c r="AU18" s="18">
        <f t="shared" si="78"/>
        <v>0</v>
      </c>
      <c r="AV18" s="18">
        <f t="shared" si="79"/>
        <v>0</v>
      </c>
      <c r="AW18" s="18">
        <f t="shared" si="80"/>
        <v>0</v>
      </c>
      <c r="AX18" s="18">
        <f t="shared" si="81"/>
        <v>0</v>
      </c>
      <c r="AY18" s="18">
        <f t="shared" si="82"/>
        <v>0</v>
      </c>
      <c r="AZ18" s="18">
        <f t="shared" si="83"/>
        <v>0</v>
      </c>
      <c r="BA18" s="18">
        <f t="shared" si="84"/>
        <v>0</v>
      </c>
      <c r="BB18" s="18">
        <f t="shared" si="85"/>
        <v>0</v>
      </c>
      <c r="BC18" s="18">
        <f t="shared" si="86"/>
        <v>0</v>
      </c>
      <c r="BD18" s="49">
        <f t="shared" si="87"/>
        <v>0</v>
      </c>
      <c r="BF18" s="45">
        <f t="shared" ref="BF18:BF24" si="252">IFERROR(BF7/BV7,0)</f>
        <v>0</v>
      </c>
      <c r="BG18" s="18">
        <f t="shared" si="88"/>
        <v>0</v>
      </c>
      <c r="BH18" s="19">
        <f t="shared" si="89"/>
        <v>0</v>
      </c>
      <c r="BI18" s="18">
        <f t="shared" si="90"/>
        <v>0</v>
      </c>
      <c r="BJ18" s="18">
        <f t="shared" si="91"/>
        <v>0</v>
      </c>
      <c r="BK18" s="18">
        <f t="shared" si="92"/>
        <v>0</v>
      </c>
      <c r="BL18" s="18">
        <f t="shared" si="93"/>
        <v>0</v>
      </c>
      <c r="BM18" s="18">
        <f t="shared" si="94"/>
        <v>0</v>
      </c>
      <c r="BN18" s="18">
        <f t="shared" si="95"/>
        <v>0</v>
      </c>
      <c r="BO18" s="18">
        <f t="shared" si="96"/>
        <v>0</v>
      </c>
      <c r="BP18" s="18">
        <f t="shared" si="97"/>
        <v>0</v>
      </c>
      <c r="BQ18" s="18">
        <f t="shared" si="98"/>
        <v>0</v>
      </c>
      <c r="BR18" s="18">
        <f t="shared" si="99"/>
        <v>0</v>
      </c>
      <c r="BS18" s="18">
        <f t="shared" si="100"/>
        <v>0</v>
      </c>
      <c r="BT18" s="18">
        <f t="shared" si="101"/>
        <v>0</v>
      </c>
      <c r="BU18" s="18">
        <f t="shared" si="102"/>
        <v>0</v>
      </c>
      <c r="BV18" s="49">
        <f t="shared" si="103"/>
        <v>0</v>
      </c>
      <c r="BX18" s="45">
        <f t="shared" ref="BX18:BX24" si="253">IFERROR(BX7/CN7,0)</f>
        <v>0</v>
      </c>
      <c r="BY18" s="18">
        <f t="shared" si="104"/>
        <v>0</v>
      </c>
      <c r="BZ18" s="19">
        <f t="shared" si="105"/>
        <v>0</v>
      </c>
      <c r="CA18" s="18">
        <f t="shared" si="106"/>
        <v>0</v>
      </c>
      <c r="CB18" s="18">
        <f t="shared" si="107"/>
        <v>0</v>
      </c>
      <c r="CC18" s="18">
        <f t="shared" si="108"/>
        <v>0</v>
      </c>
      <c r="CD18" s="18">
        <f t="shared" si="109"/>
        <v>0</v>
      </c>
      <c r="CE18" s="18">
        <f t="shared" si="110"/>
        <v>0</v>
      </c>
      <c r="CF18" s="18">
        <f t="shared" si="111"/>
        <v>0</v>
      </c>
      <c r="CG18" s="18">
        <f t="shared" si="112"/>
        <v>0</v>
      </c>
      <c r="CH18" s="18">
        <f t="shared" si="113"/>
        <v>0</v>
      </c>
      <c r="CI18" s="18">
        <f t="shared" si="114"/>
        <v>0</v>
      </c>
      <c r="CJ18" s="18">
        <f t="shared" si="115"/>
        <v>0</v>
      </c>
      <c r="CK18" s="18">
        <f t="shared" si="116"/>
        <v>0</v>
      </c>
      <c r="CL18" s="18">
        <f t="shared" si="117"/>
        <v>0</v>
      </c>
      <c r="CM18" s="18">
        <f t="shared" si="118"/>
        <v>0</v>
      </c>
      <c r="CN18" s="49">
        <f t="shared" si="119"/>
        <v>0</v>
      </c>
      <c r="CP18" s="45">
        <f t="shared" ref="CP18:CP24" si="254">IFERROR(CP7/DF7,0)</f>
        <v>0</v>
      </c>
      <c r="CQ18" s="18">
        <f t="shared" si="120"/>
        <v>0</v>
      </c>
      <c r="CR18" s="19">
        <f t="shared" si="121"/>
        <v>0</v>
      </c>
      <c r="CS18" s="18">
        <f t="shared" si="122"/>
        <v>0</v>
      </c>
      <c r="CT18" s="18">
        <f t="shared" si="123"/>
        <v>0</v>
      </c>
      <c r="CU18" s="18">
        <f t="shared" si="124"/>
        <v>0</v>
      </c>
      <c r="CV18" s="18">
        <f t="shared" si="125"/>
        <v>0</v>
      </c>
      <c r="CW18" s="18">
        <f t="shared" si="126"/>
        <v>0</v>
      </c>
      <c r="CX18" s="18">
        <f t="shared" si="127"/>
        <v>0</v>
      </c>
      <c r="CY18" s="18">
        <f t="shared" si="128"/>
        <v>0</v>
      </c>
      <c r="CZ18" s="18">
        <f t="shared" si="129"/>
        <v>0</v>
      </c>
      <c r="DA18" s="18">
        <f t="shared" si="130"/>
        <v>0</v>
      </c>
      <c r="DB18" s="18">
        <f t="shared" si="131"/>
        <v>0</v>
      </c>
      <c r="DC18" s="18">
        <f t="shared" si="132"/>
        <v>0</v>
      </c>
      <c r="DD18" s="18">
        <f t="shared" si="133"/>
        <v>0</v>
      </c>
      <c r="DE18" s="18">
        <f t="shared" si="134"/>
        <v>0</v>
      </c>
      <c r="DF18" s="49">
        <f t="shared" si="135"/>
        <v>0</v>
      </c>
      <c r="DH18" s="45">
        <f t="shared" ref="DH18:DH24" si="255">IFERROR(DH7/DX7,0)</f>
        <v>0</v>
      </c>
      <c r="DI18" s="18">
        <f t="shared" si="136"/>
        <v>0</v>
      </c>
      <c r="DJ18" s="19">
        <f t="shared" si="137"/>
        <v>0</v>
      </c>
      <c r="DK18" s="18">
        <f t="shared" si="138"/>
        <v>0</v>
      </c>
      <c r="DL18" s="18">
        <f t="shared" si="139"/>
        <v>0</v>
      </c>
      <c r="DM18" s="18">
        <f t="shared" si="140"/>
        <v>0</v>
      </c>
      <c r="DN18" s="18">
        <f t="shared" si="141"/>
        <v>0</v>
      </c>
      <c r="DO18" s="18">
        <f t="shared" si="142"/>
        <v>0</v>
      </c>
      <c r="DP18" s="18">
        <f t="shared" si="143"/>
        <v>0</v>
      </c>
      <c r="DQ18" s="18">
        <f t="shared" si="144"/>
        <v>0</v>
      </c>
      <c r="DR18" s="18">
        <f t="shared" si="145"/>
        <v>0</v>
      </c>
      <c r="DS18" s="18">
        <f t="shared" si="146"/>
        <v>0</v>
      </c>
      <c r="DT18" s="18">
        <f t="shared" si="147"/>
        <v>0</v>
      </c>
      <c r="DU18" s="18">
        <f t="shared" si="148"/>
        <v>0</v>
      </c>
      <c r="DV18" s="18">
        <f t="shared" si="149"/>
        <v>0</v>
      </c>
      <c r="DW18" s="18">
        <f t="shared" si="150"/>
        <v>0</v>
      </c>
      <c r="DX18" s="49">
        <f t="shared" si="151"/>
        <v>0</v>
      </c>
      <c r="DZ18" s="45">
        <f t="shared" ref="DZ18:DZ24" si="256">IFERROR(DZ7/EP7,0)</f>
        <v>1.0001708773935412</v>
      </c>
      <c r="EA18" s="18">
        <f t="shared" si="152"/>
        <v>0.32066304658473849</v>
      </c>
      <c r="EB18" s="19">
        <f t="shared" si="153"/>
        <v>0.61303229494141176</v>
      </c>
      <c r="EC18" s="18">
        <f t="shared" si="154"/>
        <v>0</v>
      </c>
      <c r="ED18" s="18">
        <f t="shared" si="155"/>
        <v>0</v>
      </c>
      <c r="EE18" s="18">
        <f t="shared" si="156"/>
        <v>6.2875107173478136E-3</v>
      </c>
      <c r="EF18" s="18">
        <f t="shared" si="157"/>
        <v>0</v>
      </c>
      <c r="EG18" s="18">
        <f t="shared" si="158"/>
        <v>0</v>
      </c>
      <c r="EH18" s="18">
        <f t="shared" si="159"/>
        <v>0</v>
      </c>
      <c r="EI18" s="18">
        <f t="shared" si="160"/>
        <v>0</v>
      </c>
      <c r="EJ18" s="18">
        <f t="shared" si="161"/>
        <v>0</v>
      </c>
      <c r="EK18" s="18">
        <f t="shared" si="162"/>
        <v>0</v>
      </c>
      <c r="EL18" s="18">
        <f t="shared" si="163"/>
        <v>0</v>
      </c>
      <c r="EM18" s="18">
        <f t="shared" si="164"/>
        <v>0</v>
      </c>
      <c r="EN18" s="18">
        <f t="shared" si="165"/>
        <v>6.0017147756501861E-2</v>
      </c>
      <c r="EO18" s="18">
        <f t="shared" si="166"/>
        <v>0</v>
      </c>
      <c r="EP18" s="49">
        <f t="shared" si="167"/>
        <v>1</v>
      </c>
      <c r="ER18" s="45">
        <f t="shared" ref="ER18:ER24" si="257">IFERROR(ER7/FH7,0)</f>
        <v>1.0000027558911171</v>
      </c>
      <c r="ES18" s="18">
        <f t="shared" si="168"/>
        <v>0.41726842288075167</v>
      </c>
      <c r="ET18" s="19">
        <f t="shared" si="169"/>
        <v>0.42229575327690538</v>
      </c>
      <c r="EU18" s="18">
        <f t="shared" si="170"/>
        <v>0</v>
      </c>
      <c r="EV18" s="18">
        <f t="shared" si="171"/>
        <v>0</v>
      </c>
      <c r="EW18" s="18">
        <f t="shared" si="172"/>
        <v>3.0163982376921809E-2</v>
      </c>
      <c r="EX18" s="18">
        <f t="shared" si="173"/>
        <v>0</v>
      </c>
      <c r="EY18" s="18">
        <f t="shared" si="174"/>
        <v>0</v>
      </c>
      <c r="EZ18" s="18">
        <f t="shared" si="175"/>
        <v>0</v>
      </c>
      <c r="FA18" s="18">
        <f t="shared" si="176"/>
        <v>0</v>
      </c>
      <c r="FB18" s="18">
        <f t="shared" si="177"/>
        <v>0</v>
      </c>
      <c r="FC18" s="18">
        <f t="shared" si="178"/>
        <v>0</v>
      </c>
      <c r="FD18" s="18">
        <f t="shared" si="179"/>
        <v>0</v>
      </c>
      <c r="FE18" s="18">
        <f t="shared" si="180"/>
        <v>0</v>
      </c>
      <c r="FF18" s="18">
        <f t="shared" si="181"/>
        <v>0.13027184146542112</v>
      </c>
      <c r="FG18" s="18">
        <f t="shared" si="182"/>
        <v>0</v>
      </c>
      <c r="FH18" s="49">
        <f t="shared" si="183"/>
        <v>1</v>
      </c>
      <c r="FJ18" s="45">
        <f t="shared" ref="FJ18:FJ24" si="258">IFERROR(FJ7/FZ7,0)</f>
        <v>1.0012838394725163</v>
      </c>
      <c r="FK18" s="18">
        <f t="shared" si="184"/>
        <v>0</v>
      </c>
      <c r="FL18" s="19">
        <f t="shared" si="185"/>
        <v>0.64508971026437578</v>
      </c>
      <c r="FM18" s="18">
        <f t="shared" si="186"/>
        <v>8.7174285170861593E-2</v>
      </c>
      <c r="FN18" s="18">
        <f t="shared" si="187"/>
        <v>0</v>
      </c>
      <c r="FO18" s="18">
        <f t="shared" si="188"/>
        <v>0.19178342737589552</v>
      </c>
      <c r="FP18" s="18">
        <f t="shared" si="189"/>
        <v>0</v>
      </c>
      <c r="FQ18" s="18">
        <f t="shared" si="190"/>
        <v>0</v>
      </c>
      <c r="FR18" s="18">
        <f t="shared" si="191"/>
        <v>0</v>
      </c>
      <c r="FS18" s="18">
        <f t="shared" si="192"/>
        <v>0</v>
      </c>
      <c r="FT18" s="18">
        <f t="shared" si="193"/>
        <v>0</v>
      </c>
      <c r="FU18" s="18">
        <f t="shared" si="194"/>
        <v>0</v>
      </c>
      <c r="FV18" s="18">
        <f t="shared" si="195"/>
        <v>0</v>
      </c>
      <c r="FW18" s="18">
        <f t="shared" si="196"/>
        <v>0</v>
      </c>
      <c r="FX18" s="18">
        <f t="shared" si="197"/>
        <v>7.5952577188867054E-2</v>
      </c>
      <c r="FY18" s="18">
        <f t="shared" si="198"/>
        <v>0</v>
      </c>
      <c r="FZ18" s="49">
        <f t="shared" si="199"/>
        <v>1</v>
      </c>
      <c r="GB18" s="45">
        <f t="shared" ref="GB18:GB24" si="259">IFERROR(GB7/GR7,0)</f>
        <v>1.0027324857777753</v>
      </c>
      <c r="GC18" s="18">
        <f t="shared" si="200"/>
        <v>3.7140892377114862E-2</v>
      </c>
      <c r="GD18" s="19">
        <f t="shared" si="201"/>
        <v>0.84520649931517355</v>
      </c>
      <c r="GE18" s="18">
        <f t="shared" si="202"/>
        <v>2.5006109447194485E-2</v>
      </c>
      <c r="GF18" s="18">
        <f t="shared" si="203"/>
        <v>0</v>
      </c>
      <c r="GG18" s="18">
        <f t="shared" si="204"/>
        <v>3.1408810107014781E-2</v>
      </c>
      <c r="GH18" s="18">
        <f t="shared" si="205"/>
        <v>0</v>
      </c>
      <c r="GI18" s="18">
        <f t="shared" si="206"/>
        <v>0</v>
      </c>
      <c r="GJ18" s="18">
        <f t="shared" si="207"/>
        <v>0</v>
      </c>
      <c r="GK18" s="18">
        <f t="shared" si="208"/>
        <v>0</v>
      </c>
      <c r="GL18" s="18">
        <f t="shared" si="209"/>
        <v>0</v>
      </c>
      <c r="GM18" s="18">
        <f t="shared" si="210"/>
        <v>0</v>
      </c>
      <c r="GN18" s="18">
        <f t="shared" si="211"/>
        <v>0</v>
      </c>
      <c r="GO18" s="18">
        <f t="shared" si="212"/>
        <v>0</v>
      </c>
      <c r="GP18" s="18">
        <f t="shared" si="213"/>
        <v>6.1237688753502273E-2</v>
      </c>
      <c r="GQ18" s="18">
        <f t="shared" si="214"/>
        <v>0</v>
      </c>
      <c r="GR18" s="49">
        <f t="shared" si="215"/>
        <v>1</v>
      </c>
      <c r="GT18" s="45">
        <f t="shared" ref="GT18:GT24" si="260">IFERROR(GT7/HJ7,0)</f>
        <v>1.003018530877837</v>
      </c>
      <c r="GU18" s="18">
        <f t="shared" si="216"/>
        <v>9.3422292115937049E-3</v>
      </c>
      <c r="GV18" s="19">
        <f t="shared" si="217"/>
        <v>0.84073056232434662</v>
      </c>
      <c r="GW18" s="18">
        <f t="shared" si="218"/>
        <v>5.6831894370528373E-2</v>
      </c>
      <c r="GX18" s="18">
        <f t="shared" si="219"/>
        <v>0</v>
      </c>
      <c r="GY18" s="18">
        <f t="shared" si="220"/>
        <v>2.8805206735747258E-2</v>
      </c>
      <c r="GZ18" s="18">
        <f t="shared" si="221"/>
        <v>0</v>
      </c>
      <c r="HA18" s="18">
        <f t="shared" si="222"/>
        <v>0</v>
      </c>
      <c r="HB18" s="18">
        <f t="shared" si="223"/>
        <v>0</v>
      </c>
      <c r="HC18" s="18">
        <f t="shared" si="224"/>
        <v>0</v>
      </c>
      <c r="HD18" s="18">
        <f t="shared" si="225"/>
        <v>0</v>
      </c>
      <c r="HE18" s="18">
        <f t="shared" si="226"/>
        <v>0</v>
      </c>
      <c r="HF18" s="18">
        <f t="shared" si="227"/>
        <v>0</v>
      </c>
      <c r="HG18" s="18">
        <f t="shared" si="228"/>
        <v>0</v>
      </c>
      <c r="HH18" s="18">
        <f t="shared" si="229"/>
        <v>6.4290107357783996E-2</v>
      </c>
      <c r="HI18" s="18">
        <f t="shared" si="230"/>
        <v>0</v>
      </c>
      <c r="HJ18" s="49">
        <f t="shared" si="231"/>
        <v>1</v>
      </c>
      <c r="HL18" s="45">
        <f t="shared" ref="HL18:HL24" si="261">IFERROR(HL7/IB7,0)</f>
        <v>1.0052713726183116</v>
      </c>
      <c r="HM18" s="18">
        <f t="shared" si="232"/>
        <v>0</v>
      </c>
      <c r="HN18" s="19">
        <f t="shared" si="233"/>
        <v>0.79041140265630061</v>
      </c>
      <c r="HO18" s="18">
        <f t="shared" si="234"/>
        <v>0.1101392938127632</v>
      </c>
      <c r="HP18" s="18">
        <f t="shared" si="235"/>
        <v>0</v>
      </c>
      <c r="HQ18" s="18">
        <f t="shared" si="236"/>
        <v>0</v>
      </c>
      <c r="HR18" s="18">
        <f t="shared" si="237"/>
        <v>0</v>
      </c>
      <c r="HS18" s="18">
        <f t="shared" si="238"/>
        <v>0</v>
      </c>
      <c r="HT18" s="18">
        <f t="shared" si="239"/>
        <v>0</v>
      </c>
      <c r="HU18" s="18">
        <f t="shared" si="240"/>
        <v>1.9436345966958212E-2</v>
      </c>
      <c r="HV18" s="18">
        <f t="shared" si="241"/>
        <v>0</v>
      </c>
      <c r="HW18" s="18">
        <f t="shared" si="242"/>
        <v>0</v>
      </c>
      <c r="HX18" s="18">
        <f t="shared" si="243"/>
        <v>0</v>
      </c>
      <c r="HY18" s="18">
        <f t="shared" si="244"/>
        <v>0</v>
      </c>
      <c r="HZ18" s="18">
        <f t="shared" si="245"/>
        <v>8.0012957563977971E-2</v>
      </c>
      <c r="IA18" s="18">
        <f t="shared" si="246"/>
        <v>0</v>
      </c>
      <c r="IB18" s="49">
        <f t="shared" si="247"/>
        <v>1</v>
      </c>
    </row>
    <row r="19" spans="2:236" s="11" customFormat="1" x14ac:dyDescent="0.35">
      <c r="B19" s="17" t="s">
        <v>70</v>
      </c>
      <c r="C19" s="17"/>
      <c r="D19" s="45">
        <f t="shared" si="248"/>
        <v>1.0035611315311477</v>
      </c>
      <c r="E19" s="18">
        <f t="shared" si="249"/>
        <v>1.1260878226546359E-4</v>
      </c>
      <c r="F19" s="18">
        <f t="shared" si="41"/>
        <v>9.4598884355140453E-2</v>
      </c>
      <c r="G19" s="19">
        <f t="shared" si="42"/>
        <v>0.78953477407080686</v>
      </c>
      <c r="H19" s="18">
        <f t="shared" si="43"/>
        <v>3.0559430092467373E-2</v>
      </c>
      <c r="I19" s="18">
        <f t="shared" si="44"/>
        <v>5.2194358261346149E-2</v>
      </c>
      <c r="J19" s="18">
        <f t="shared" si="45"/>
        <v>0</v>
      </c>
      <c r="K19" s="18">
        <f t="shared" si="46"/>
        <v>0</v>
      </c>
      <c r="L19" s="18">
        <f t="shared" si="47"/>
        <v>0</v>
      </c>
      <c r="M19" s="18">
        <f t="shared" si="48"/>
        <v>0</v>
      </c>
      <c r="N19" s="18">
        <f t="shared" si="49"/>
        <v>0</v>
      </c>
      <c r="O19" s="18">
        <f t="shared" si="50"/>
        <v>4.5043512906185436E-4</v>
      </c>
      <c r="P19" s="18">
        <f t="shared" si="51"/>
        <v>1.1260878226546359E-4</v>
      </c>
      <c r="Q19" s="18">
        <f t="shared" si="52"/>
        <v>0</v>
      </c>
      <c r="R19" s="18">
        <f t="shared" si="53"/>
        <v>3.2436900526646419E-2</v>
      </c>
      <c r="S19" s="18">
        <f t="shared" si="54"/>
        <v>0</v>
      </c>
      <c r="T19" s="49">
        <f t="shared" si="55"/>
        <v>1</v>
      </c>
      <c r="V19" s="45">
        <f t="shared" si="250"/>
        <v>1.0053019720223626</v>
      </c>
      <c r="W19" s="18">
        <f t="shared" si="56"/>
        <v>2.734448847597607E-4</v>
      </c>
      <c r="X19" s="18">
        <f t="shared" si="57"/>
        <v>0.11512029648385924</v>
      </c>
      <c r="Y19" s="19">
        <f t="shared" si="58"/>
        <v>0.81188669885775855</v>
      </c>
      <c r="Z19" s="18">
        <f t="shared" si="59"/>
        <v>4.0853660128143739E-2</v>
      </c>
      <c r="AA19" s="18">
        <f t="shared" si="60"/>
        <v>5.1954528104354528E-3</v>
      </c>
      <c r="AB19" s="18">
        <f t="shared" si="61"/>
        <v>0</v>
      </c>
      <c r="AC19" s="18">
        <f t="shared" si="62"/>
        <v>0</v>
      </c>
      <c r="AD19" s="18">
        <f t="shared" si="63"/>
        <v>0</v>
      </c>
      <c r="AE19" s="18">
        <f t="shared" si="64"/>
        <v>0</v>
      </c>
      <c r="AF19" s="18">
        <f t="shared" si="65"/>
        <v>0</v>
      </c>
      <c r="AG19" s="18">
        <f t="shared" si="66"/>
        <v>0</v>
      </c>
      <c r="AH19" s="18">
        <f t="shared" si="67"/>
        <v>0</v>
      </c>
      <c r="AI19" s="18">
        <f t="shared" si="68"/>
        <v>0</v>
      </c>
      <c r="AJ19" s="18">
        <f t="shared" si="69"/>
        <v>2.6670446835043257E-2</v>
      </c>
      <c r="AK19" s="18">
        <f t="shared" si="70"/>
        <v>0</v>
      </c>
      <c r="AL19" s="49">
        <f t="shared" si="71"/>
        <v>1</v>
      </c>
      <c r="AN19" s="45">
        <f t="shared" si="251"/>
        <v>1.0051806807297361</v>
      </c>
      <c r="AO19" s="18">
        <f t="shared" si="72"/>
        <v>0</v>
      </c>
      <c r="AP19" s="18">
        <f t="shared" si="73"/>
        <v>5.760440001372881E-2</v>
      </c>
      <c r="AQ19" s="19">
        <f t="shared" si="74"/>
        <v>0.86272213342919912</v>
      </c>
      <c r="AR19" s="18">
        <f t="shared" si="75"/>
        <v>5.3322991904600318E-2</v>
      </c>
      <c r="AS19" s="18">
        <f t="shared" si="76"/>
        <v>1.9216799537749459E-3</v>
      </c>
      <c r="AT19" s="18">
        <f t="shared" si="77"/>
        <v>0</v>
      </c>
      <c r="AU19" s="18">
        <f t="shared" si="78"/>
        <v>0</v>
      </c>
      <c r="AV19" s="18">
        <f t="shared" si="79"/>
        <v>0</v>
      </c>
      <c r="AW19" s="18">
        <f t="shared" si="80"/>
        <v>0</v>
      </c>
      <c r="AX19" s="18">
        <f t="shared" si="81"/>
        <v>0</v>
      </c>
      <c r="AY19" s="18">
        <f t="shared" si="82"/>
        <v>0</v>
      </c>
      <c r="AZ19" s="18">
        <f t="shared" si="83"/>
        <v>0</v>
      </c>
      <c r="BA19" s="18">
        <f t="shared" si="84"/>
        <v>0</v>
      </c>
      <c r="BB19" s="18">
        <f t="shared" si="85"/>
        <v>2.4428794698696788E-2</v>
      </c>
      <c r="BC19" s="18">
        <f t="shared" si="86"/>
        <v>0</v>
      </c>
      <c r="BD19" s="49">
        <f t="shared" si="87"/>
        <v>1</v>
      </c>
      <c r="BF19" s="45">
        <f t="shared" si="252"/>
        <v>1.0031998616276057</v>
      </c>
      <c r="BG19" s="18">
        <f t="shared" si="88"/>
        <v>0</v>
      </c>
      <c r="BH19" s="18">
        <f t="shared" si="89"/>
        <v>0.10654674392458706</v>
      </c>
      <c r="BI19" s="19">
        <f t="shared" si="90"/>
        <v>0.82599152469082415</v>
      </c>
      <c r="BJ19" s="18">
        <f t="shared" si="91"/>
        <v>2.9354715162896432E-2</v>
      </c>
      <c r="BK19" s="18">
        <f t="shared" si="92"/>
        <v>3.8052408544495377E-3</v>
      </c>
      <c r="BL19" s="18">
        <f t="shared" si="93"/>
        <v>0</v>
      </c>
      <c r="BM19" s="18">
        <f t="shared" si="94"/>
        <v>0</v>
      </c>
      <c r="BN19" s="18">
        <f t="shared" si="95"/>
        <v>0</v>
      </c>
      <c r="BO19" s="18">
        <f t="shared" si="96"/>
        <v>0</v>
      </c>
      <c r="BP19" s="18">
        <f t="shared" si="97"/>
        <v>0</v>
      </c>
      <c r="BQ19" s="18">
        <f t="shared" si="98"/>
        <v>0</v>
      </c>
      <c r="BR19" s="18">
        <f t="shared" si="99"/>
        <v>0</v>
      </c>
      <c r="BS19" s="18">
        <f t="shared" si="100"/>
        <v>0</v>
      </c>
      <c r="BT19" s="18">
        <f t="shared" si="101"/>
        <v>3.4301775367242805E-2</v>
      </c>
      <c r="BU19" s="18">
        <f t="shared" si="102"/>
        <v>0</v>
      </c>
      <c r="BV19" s="49">
        <f t="shared" si="103"/>
        <v>1</v>
      </c>
      <c r="BX19" s="45">
        <f t="shared" si="253"/>
        <v>1.000821330845681</v>
      </c>
      <c r="BY19" s="18">
        <f t="shared" si="104"/>
        <v>7.9670540586346207E-4</v>
      </c>
      <c r="BZ19" s="18">
        <f t="shared" si="105"/>
        <v>0.16890227032069569</v>
      </c>
      <c r="CA19" s="19">
        <f t="shared" si="106"/>
        <v>0.75687013557028893</v>
      </c>
      <c r="CB19" s="18">
        <f t="shared" si="107"/>
        <v>3.4258332452128872E-2</v>
      </c>
      <c r="CC19" s="18">
        <f t="shared" si="108"/>
        <v>1.115387568208847E-2</v>
      </c>
      <c r="CD19" s="18">
        <f t="shared" si="109"/>
        <v>0</v>
      </c>
      <c r="CE19" s="18">
        <f t="shared" si="110"/>
        <v>0</v>
      </c>
      <c r="CF19" s="18">
        <f t="shared" si="111"/>
        <v>0</v>
      </c>
      <c r="CG19" s="18">
        <f t="shared" si="112"/>
        <v>0</v>
      </c>
      <c r="CH19" s="18">
        <f t="shared" si="113"/>
        <v>0</v>
      </c>
      <c r="CI19" s="18">
        <f t="shared" si="114"/>
        <v>0</v>
      </c>
      <c r="CJ19" s="18">
        <f t="shared" si="115"/>
        <v>0</v>
      </c>
      <c r="CK19" s="18">
        <f t="shared" si="116"/>
        <v>0</v>
      </c>
      <c r="CL19" s="18">
        <f t="shared" si="117"/>
        <v>2.8018680568934574E-2</v>
      </c>
      <c r="CM19" s="18">
        <f t="shared" si="118"/>
        <v>0</v>
      </c>
      <c r="CN19" s="49">
        <f t="shared" si="119"/>
        <v>1</v>
      </c>
      <c r="CP19" s="45">
        <f t="shared" si="254"/>
        <v>1.0050074270349114</v>
      </c>
      <c r="CQ19" s="18">
        <f t="shared" si="120"/>
        <v>0</v>
      </c>
      <c r="CR19" s="18">
        <f t="shared" si="121"/>
        <v>0.10096881009693706</v>
      </c>
      <c r="CS19" s="19">
        <f t="shared" si="122"/>
        <v>0.74994391010931127</v>
      </c>
      <c r="CT19" s="18">
        <f t="shared" si="123"/>
        <v>5.5751225931387642E-2</v>
      </c>
      <c r="CU19" s="18">
        <f t="shared" si="124"/>
        <v>6.4229522962428148E-2</v>
      </c>
      <c r="CV19" s="18">
        <f t="shared" si="125"/>
        <v>0</v>
      </c>
      <c r="CW19" s="18">
        <f t="shared" si="126"/>
        <v>0</v>
      </c>
      <c r="CX19" s="18">
        <f t="shared" si="127"/>
        <v>0</v>
      </c>
      <c r="CY19" s="18">
        <f t="shared" si="128"/>
        <v>0</v>
      </c>
      <c r="CZ19" s="18">
        <f t="shared" si="129"/>
        <v>0</v>
      </c>
      <c r="DA19" s="18">
        <f t="shared" si="130"/>
        <v>0</v>
      </c>
      <c r="DB19" s="18">
        <f t="shared" si="131"/>
        <v>0</v>
      </c>
      <c r="DC19" s="18">
        <f t="shared" si="132"/>
        <v>0</v>
      </c>
      <c r="DD19" s="18">
        <f t="shared" si="133"/>
        <v>2.9106530899935958E-2</v>
      </c>
      <c r="DE19" s="18">
        <f t="shared" si="134"/>
        <v>0</v>
      </c>
      <c r="DF19" s="49">
        <f t="shared" si="135"/>
        <v>1</v>
      </c>
      <c r="DH19" s="45">
        <f t="shared" si="255"/>
        <v>1.0045377971731726</v>
      </c>
      <c r="DI19" s="18">
        <f t="shared" si="136"/>
        <v>0</v>
      </c>
      <c r="DJ19" s="18">
        <f t="shared" si="137"/>
        <v>0.1175569064695124</v>
      </c>
      <c r="DK19" s="19">
        <f t="shared" si="138"/>
        <v>0.72912942459678731</v>
      </c>
      <c r="DL19" s="18">
        <f t="shared" si="139"/>
        <v>2.6554030637819272E-2</v>
      </c>
      <c r="DM19" s="18">
        <f t="shared" si="140"/>
        <v>9.520223484354523E-2</v>
      </c>
      <c r="DN19" s="18">
        <f t="shared" si="141"/>
        <v>0</v>
      </c>
      <c r="DO19" s="18">
        <f t="shared" si="142"/>
        <v>0</v>
      </c>
      <c r="DP19" s="18">
        <f t="shared" si="143"/>
        <v>0</v>
      </c>
      <c r="DQ19" s="18">
        <f t="shared" si="144"/>
        <v>0</v>
      </c>
      <c r="DR19" s="18">
        <f t="shared" si="145"/>
        <v>0</v>
      </c>
      <c r="DS19" s="18">
        <f t="shared" si="146"/>
        <v>0</v>
      </c>
      <c r="DT19" s="18">
        <f t="shared" si="147"/>
        <v>0</v>
      </c>
      <c r="DU19" s="18">
        <f t="shared" si="148"/>
        <v>0</v>
      </c>
      <c r="DV19" s="18">
        <f t="shared" si="149"/>
        <v>3.1557403452335799E-2</v>
      </c>
      <c r="DW19" s="18">
        <f t="shared" si="150"/>
        <v>0</v>
      </c>
      <c r="DX19" s="49">
        <f t="shared" si="151"/>
        <v>1</v>
      </c>
      <c r="DZ19" s="45">
        <f t="shared" si="256"/>
        <v>1.000125296327772</v>
      </c>
      <c r="EA19" s="18">
        <f t="shared" si="152"/>
        <v>0</v>
      </c>
      <c r="EB19" s="18">
        <f t="shared" si="153"/>
        <v>0</v>
      </c>
      <c r="EC19" s="19">
        <f t="shared" si="154"/>
        <v>0.70727288992261927</v>
      </c>
      <c r="ED19" s="18">
        <f t="shared" si="155"/>
        <v>1.8450597128416155E-2</v>
      </c>
      <c r="EE19" s="18">
        <f t="shared" si="156"/>
        <v>0.23818043565773583</v>
      </c>
      <c r="EF19" s="18">
        <f t="shared" si="157"/>
        <v>0</v>
      </c>
      <c r="EG19" s="18">
        <f t="shared" si="158"/>
        <v>0</v>
      </c>
      <c r="EH19" s="18">
        <f t="shared" si="159"/>
        <v>0</v>
      </c>
      <c r="EI19" s="18">
        <f t="shared" si="160"/>
        <v>0</v>
      </c>
      <c r="EJ19" s="18">
        <f t="shared" si="161"/>
        <v>0</v>
      </c>
      <c r="EK19" s="18">
        <f t="shared" si="162"/>
        <v>0</v>
      </c>
      <c r="EL19" s="18">
        <f t="shared" si="163"/>
        <v>0</v>
      </c>
      <c r="EM19" s="18">
        <f t="shared" si="164"/>
        <v>0</v>
      </c>
      <c r="EN19" s="18">
        <f t="shared" si="165"/>
        <v>3.6096077291228698E-2</v>
      </c>
      <c r="EO19" s="18">
        <f t="shared" si="166"/>
        <v>0</v>
      </c>
      <c r="EP19" s="49">
        <f t="shared" si="167"/>
        <v>1</v>
      </c>
      <c r="ER19" s="45">
        <f t="shared" si="257"/>
        <v>1.0002553175103674</v>
      </c>
      <c r="ES19" s="18">
        <f t="shared" si="168"/>
        <v>0</v>
      </c>
      <c r="ET19" s="18">
        <f t="shared" si="169"/>
        <v>1.8603453039173046E-2</v>
      </c>
      <c r="EU19" s="19">
        <f t="shared" si="170"/>
        <v>0.86537245192652845</v>
      </c>
      <c r="EV19" s="18">
        <f t="shared" si="171"/>
        <v>1.8420089421747469E-3</v>
      </c>
      <c r="EW19" s="18">
        <f t="shared" si="172"/>
        <v>6.0996451566532946E-2</v>
      </c>
      <c r="EX19" s="18">
        <f t="shared" si="173"/>
        <v>0</v>
      </c>
      <c r="EY19" s="18">
        <f t="shared" si="174"/>
        <v>0</v>
      </c>
      <c r="EZ19" s="18">
        <f t="shared" si="175"/>
        <v>0</v>
      </c>
      <c r="FA19" s="18">
        <f t="shared" si="176"/>
        <v>0</v>
      </c>
      <c r="FB19" s="18">
        <f t="shared" si="177"/>
        <v>0</v>
      </c>
      <c r="FC19" s="18">
        <f t="shared" si="178"/>
        <v>0</v>
      </c>
      <c r="FD19" s="18">
        <f t="shared" si="179"/>
        <v>0</v>
      </c>
      <c r="FE19" s="18">
        <f t="shared" si="180"/>
        <v>0</v>
      </c>
      <c r="FF19" s="18">
        <f t="shared" si="181"/>
        <v>5.3185634525590782E-2</v>
      </c>
      <c r="FG19" s="18">
        <f t="shared" si="182"/>
        <v>0</v>
      </c>
      <c r="FH19" s="49">
        <f t="shared" si="183"/>
        <v>1</v>
      </c>
      <c r="FJ19" s="45">
        <f t="shared" si="258"/>
        <v>1.001694478603582</v>
      </c>
      <c r="FK19" s="18">
        <f t="shared" si="184"/>
        <v>7.0581886698747203E-4</v>
      </c>
      <c r="FL19" s="18">
        <f t="shared" si="185"/>
        <v>8.4698264038496646E-2</v>
      </c>
      <c r="FM19" s="19">
        <f t="shared" si="186"/>
        <v>0.81804470849199551</v>
      </c>
      <c r="FN19" s="18">
        <f t="shared" si="187"/>
        <v>2.6307794133169412E-3</v>
      </c>
      <c r="FO19" s="18">
        <f t="shared" si="188"/>
        <v>5.5973040285895143E-2</v>
      </c>
      <c r="FP19" s="18">
        <f t="shared" si="189"/>
        <v>0</v>
      </c>
      <c r="FQ19" s="18">
        <f t="shared" si="190"/>
        <v>0</v>
      </c>
      <c r="FR19" s="18">
        <f t="shared" si="191"/>
        <v>0</v>
      </c>
      <c r="FS19" s="18">
        <f t="shared" si="192"/>
        <v>0</v>
      </c>
      <c r="FT19" s="18">
        <f t="shared" si="193"/>
        <v>0</v>
      </c>
      <c r="FU19" s="18">
        <f t="shared" si="194"/>
        <v>0</v>
      </c>
      <c r="FV19" s="18">
        <f t="shared" si="195"/>
        <v>0</v>
      </c>
      <c r="FW19" s="18">
        <f t="shared" si="196"/>
        <v>0</v>
      </c>
      <c r="FX19" s="18">
        <f t="shared" si="197"/>
        <v>3.7947388903308267E-2</v>
      </c>
      <c r="FY19" s="18">
        <f t="shared" si="198"/>
        <v>0</v>
      </c>
      <c r="FZ19" s="49">
        <f t="shared" si="199"/>
        <v>1</v>
      </c>
      <c r="GB19" s="45">
        <f t="shared" si="259"/>
        <v>1.0023169190091576</v>
      </c>
      <c r="GC19" s="18">
        <f t="shared" si="200"/>
        <v>0</v>
      </c>
      <c r="GD19" s="18">
        <f t="shared" si="201"/>
        <v>3.9274720396800127E-2</v>
      </c>
      <c r="GE19" s="19">
        <f t="shared" si="202"/>
        <v>0.61339489911125267</v>
      </c>
      <c r="GF19" s="18">
        <f t="shared" si="203"/>
        <v>2.5475494311437918E-2</v>
      </c>
      <c r="GG19" s="18">
        <f t="shared" si="204"/>
        <v>0.28134306034025225</v>
      </c>
      <c r="GH19" s="18">
        <f t="shared" si="205"/>
        <v>0</v>
      </c>
      <c r="GI19" s="18">
        <f t="shared" si="206"/>
        <v>0</v>
      </c>
      <c r="GJ19" s="18">
        <f t="shared" si="207"/>
        <v>0</v>
      </c>
      <c r="GK19" s="18">
        <f t="shared" si="208"/>
        <v>0</v>
      </c>
      <c r="GL19" s="18">
        <f t="shared" si="209"/>
        <v>0</v>
      </c>
      <c r="GM19" s="18">
        <f t="shared" si="210"/>
        <v>0</v>
      </c>
      <c r="GN19" s="18">
        <f t="shared" si="211"/>
        <v>0</v>
      </c>
      <c r="GO19" s="18">
        <f t="shared" si="212"/>
        <v>0</v>
      </c>
      <c r="GP19" s="18">
        <f t="shared" si="213"/>
        <v>4.0511825840257074E-2</v>
      </c>
      <c r="GQ19" s="18">
        <f t="shared" si="214"/>
        <v>0</v>
      </c>
      <c r="GR19" s="49">
        <f t="shared" si="215"/>
        <v>1</v>
      </c>
      <c r="GT19" s="45">
        <f t="shared" si="260"/>
        <v>1.0020302390430416</v>
      </c>
      <c r="GU19" s="18">
        <f t="shared" si="216"/>
        <v>0</v>
      </c>
      <c r="GV19" s="18">
        <f t="shared" si="217"/>
        <v>0.13331120578402492</v>
      </c>
      <c r="GW19" s="19">
        <f t="shared" si="218"/>
        <v>0.81548025880498132</v>
      </c>
      <c r="GX19" s="18">
        <f t="shared" si="219"/>
        <v>3.0025046347753361E-3</v>
      </c>
      <c r="GY19" s="18">
        <f t="shared" si="220"/>
        <v>1.0828123532867053E-2</v>
      </c>
      <c r="GZ19" s="18">
        <f t="shared" si="221"/>
        <v>0</v>
      </c>
      <c r="HA19" s="18">
        <f t="shared" si="222"/>
        <v>0</v>
      </c>
      <c r="HB19" s="18">
        <f t="shared" si="223"/>
        <v>0</v>
      </c>
      <c r="HC19" s="18">
        <f t="shared" si="224"/>
        <v>0</v>
      </c>
      <c r="HD19" s="18">
        <f t="shared" si="225"/>
        <v>0</v>
      </c>
      <c r="HE19" s="18">
        <f t="shared" si="226"/>
        <v>0</v>
      </c>
      <c r="HF19" s="18">
        <f t="shared" si="227"/>
        <v>0</v>
      </c>
      <c r="HG19" s="18">
        <f t="shared" si="228"/>
        <v>0</v>
      </c>
      <c r="HH19" s="18">
        <f t="shared" si="229"/>
        <v>3.7377907243351362E-2</v>
      </c>
      <c r="HI19" s="18">
        <f t="shared" si="230"/>
        <v>0</v>
      </c>
      <c r="HJ19" s="49">
        <f t="shared" si="231"/>
        <v>1</v>
      </c>
      <c r="HL19" s="45">
        <f t="shared" si="261"/>
        <v>1.0017221142112553</v>
      </c>
      <c r="HM19" s="18">
        <f t="shared" si="232"/>
        <v>0</v>
      </c>
      <c r="HN19" s="18">
        <f t="shared" si="233"/>
        <v>5.2896647293635864E-2</v>
      </c>
      <c r="HO19" s="19">
        <f t="shared" si="234"/>
        <v>0.89696787937702949</v>
      </c>
      <c r="HP19" s="18">
        <f t="shared" si="235"/>
        <v>1.1375623073900183E-3</v>
      </c>
      <c r="HQ19" s="18">
        <f t="shared" si="236"/>
        <v>6.8253738443401109E-3</v>
      </c>
      <c r="HR19" s="18">
        <f t="shared" si="237"/>
        <v>0</v>
      </c>
      <c r="HS19" s="18">
        <f t="shared" si="238"/>
        <v>0</v>
      </c>
      <c r="HT19" s="18">
        <f t="shared" si="239"/>
        <v>0</v>
      </c>
      <c r="HU19" s="18">
        <f t="shared" si="240"/>
        <v>0</v>
      </c>
      <c r="HV19" s="18">
        <f t="shared" si="241"/>
        <v>0</v>
      </c>
      <c r="HW19" s="18">
        <f t="shared" si="242"/>
        <v>6.8253738443401109E-3</v>
      </c>
      <c r="HX19" s="18">
        <f t="shared" si="243"/>
        <v>1.7063434610850277E-3</v>
      </c>
      <c r="HY19" s="18">
        <f t="shared" si="244"/>
        <v>0</v>
      </c>
      <c r="HZ19" s="18">
        <f t="shared" si="245"/>
        <v>3.3640819872179366E-2</v>
      </c>
      <c r="IA19" s="18">
        <f t="shared" si="246"/>
        <v>0</v>
      </c>
      <c r="IB19" s="49">
        <f t="shared" si="247"/>
        <v>1</v>
      </c>
    </row>
    <row r="20" spans="2:236" s="11" customFormat="1" x14ac:dyDescent="0.35">
      <c r="B20" s="17" t="s">
        <v>71</v>
      </c>
      <c r="C20" s="17"/>
      <c r="D20" s="45">
        <f t="shared" si="248"/>
        <v>1.0071587016853949</v>
      </c>
      <c r="E20" s="18">
        <f t="shared" si="249"/>
        <v>0</v>
      </c>
      <c r="F20" s="18">
        <f t="shared" si="41"/>
        <v>0</v>
      </c>
      <c r="G20" s="18">
        <f t="shared" si="42"/>
        <v>0</v>
      </c>
      <c r="H20" s="18">
        <f t="shared" si="43"/>
        <v>7.2946473866925734E-3</v>
      </c>
      <c r="I20" s="19">
        <f t="shared" si="44"/>
        <v>0.87864359347593268</v>
      </c>
      <c r="J20" s="18">
        <f t="shared" si="45"/>
        <v>0</v>
      </c>
      <c r="K20" s="18">
        <f t="shared" si="46"/>
        <v>2.3190347192058119E-2</v>
      </c>
      <c r="L20" s="18">
        <f t="shared" si="47"/>
        <v>0</v>
      </c>
      <c r="M20" s="18">
        <f t="shared" si="48"/>
        <v>0</v>
      </c>
      <c r="N20" s="18">
        <f t="shared" si="49"/>
        <v>0</v>
      </c>
      <c r="O20" s="18">
        <f t="shared" si="50"/>
        <v>0</v>
      </c>
      <c r="P20" s="18">
        <f t="shared" si="51"/>
        <v>0</v>
      </c>
      <c r="Q20" s="18">
        <f t="shared" si="52"/>
        <v>0</v>
      </c>
      <c r="R20" s="18">
        <f t="shared" si="53"/>
        <v>9.0871411945316671E-2</v>
      </c>
      <c r="S20" s="18">
        <f t="shared" si="54"/>
        <v>0</v>
      </c>
      <c r="T20" s="49">
        <f t="shared" si="55"/>
        <v>1</v>
      </c>
      <c r="V20" s="45">
        <f t="shared" si="250"/>
        <v>1.0190846766722252</v>
      </c>
      <c r="W20" s="18">
        <f t="shared" si="56"/>
        <v>0</v>
      </c>
      <c r="X20" s="18">
        <f t="shared" si="57"/>
        <v>0</v>
      </c>
      <c r="Y20" s="18">
        <f t="shared" si="58"/>
        <v>0</v>
      </c>
      <c r="Z20" s="18">
        <f t="shared" si="59"/>
        <v>0</v>
      </c>
      <c r="AA20" s="19">
        <f t="shared" si="60"/>
        <v>0.10394663702056699</v>
      </c>
      <c r="AB20" s="18">
        <f t="shared" si="61"/>
        <v>0</v>
      </c>
      <c r="AC20" s="18">
        <f t="shared" si="62"/>
        <v>0.7652399481193255</v>
      </c>
      <c r="AD20" s="18">
        <f t="shared" si="63"/>
        <v>0</v>
      </c>
      <c r="AE20" s="18">
        <f t="shared" si="64"/>
        <v>0</v>
      </c>
      <c r="AF20" s="18">
        <f t="shared" si="65"/>
        <v>0</v>
      </c>
      <c r="AG20" s="18">
        <f t="shared" si="66"/>
        <v>0</v>
      </c>
      <c r="AH20" s="18">
        <f t="shared" si="67"/>
        <v>0</v>
      </c>
      <c r="AI20" s="18">
        <f t="shared" si="68"/>
        <v>0</v>
      </c>
      <c r="AJ20" s="18">
        <f t="shared" si="69"/>
        <v>0.13081341486010747</v>
      </c>
      <c r="AK20" s="18">
        <f t="shared" si="70"/>
        <v>0</v>
      </c>
      <c r="AL20" s="49">
        <f t="shared" si="71"/>
        <v>1</v>
      </c>
      <c r="AN20" s="45">
        <f t="shared" si="251"/>
        <v>1</v>
      </c>
      <c r="AO20" s="18">
        <f t="shared" si="72"/>
        <v>0</v>
      </c>
      <c r="AP20" s="18">
        <f t="shared" si="73"/>
        <v>0</v>
      </c>
      <c r="AQ20" s="18">
        <f t="shared" si="74"/>
        <v>0</v>
      </c>
      <c r="AR20" s="18">
        <f t="shared" si="75"/>
        <v>0</v>
      </c>
      <c r="AS20" s="19">
        <f t="shared" si="76"/>
        <v>0</v>
      </c>
      <c r="AT20" s="18">
        <f t="shared" si="77"/>
        <v>0</v>
      </c>
      <c r="AU20" s="18">
        <f t="shared" si="78"/>
        <v>0.79555555555555557</v>
      </c>
      <c r="AV20" s="18">
        <f t="shared" si="79"/>
        <v>0</v>
      </c>
      <c r="AW20" s="18">
        <f t="shared" si="80"/>
        <v>0</v>
      </c>
      <c r="AX20" s="18">
        <f t="shared" si="81"/>
        <v>0</v>
      </c>
      <c r="AY20" s="18">
        <f t="shared" si="82"/>
        <v>0</v>
      </c>
      <c r="AZ20" s="18">
        <f t="shared" si="83"/>
        <v>0</v>
      </c>
      <c r="BA20" s="18">
        <f t="shared" si="84"/>
        <v>0</v>
      </c>
      <c r="BB20" s="18">
        <f t="shared" si="85"/>
        <v>0.20444444444444446</v>
      </c>
      <c r="BC20" s="18">
        <f t="shared" si="86"/>
        <v>0</v>
      </c>
      <c r="BD20" s="49">
        <f t="shared" si="87"/>
        <v>1</v>
      </c>
      <c r="BF20" s="45">
        <f t="shared" si="252"/>
        <v>1.0456273764258555</v>
      </c>
      <c r="BG20" s="18">
        <f t="shared" si="88"/>
        <v>0</v>
      </c>
      <c r="BH20" s="18">
        <f t="shared" si="89"/>
        <v>0</v>
      </c>
      <c r="BI20" s="18">
        <f t="shared" si="90"/>
        <v>0</v>
      </c>
      <c r="BJ20" s="18">
        <f t="shared" si="91"/>
        <v>0</v>
      </c>
      <c r="BK20" s="19">
        <f t="shared" si="92"/>
        <v>0.72718631178707227</v>
      </c>
      <c r="BL20" s="18">
        <f t="shared" si="93"/>
        <v>0</v>
      </c>
      <c r="BM20" s="18">
        <f t="shared" si="94"/>
        <v>0</v>
      </c>
      <c r="BN20" s="18">
        <f t="shared" si="95"/>
        <v>0</v>
      </c>
      <c r="BO20" s="18">
        <f t="shared" si="96"/>
        <v>0</v>
      </c>
      <c r="BP20" s="18">
        <f t="shared" si="97"/>
        <v>0</v>
      </c>
      <c r="BQ20" s="18">
        <f t="shared" si="98"/>
        <v>0</v>
      </c>
      <c r="BR20" s="18">
        <f t="shared" si="99"/>
        <v>0</v>
      </c>
      <c r="BS20" s="18">
        <f t="shared" si="100"/>
        <v>0</v>
      </c>
      <c r="BT20" s="18">
        <f t="shared" si="101"/>
        <v>0.27281368821292773</v>
      </c>
      <c r="BU20" s="18">
        <f t="shared" si="102"/>
        <v>0</v>
      </c>
      <c r="BV20" s="49">
        <f t="shared" si="103"/>
        <v>1</v>
      </c>
      <c r="BX20" s="45">
        <f t="shared" si="253"/>
        <v>0</v>
      </c>
      <c r="BY20" s="18">
        <f t="shared" si="104"/>
        <v>0</v>
      </c>
      <c r="BZ20" s="18">
        <f t="shared" si="105"/>
        <v>0</v>
      </c>
      <c r="CA20" s="18">
        <f t="shared" si="106"/>
        <v>0</v>
      </c>
      <c r="CB20" s="18">
        <f t="shared" si="107"/>
        <v>0</v>
      </c>
      <c r="CC20" s="19">
        <f t="shared" si="108"/>
        <v>0</v>
      </c>
      <c r="CD20" s="18">
        <f t="shared" si="109"/>
        <v>0</v>
      </c>
      <c r="CE20" s="18">
        <f t="shared" si="110"/>
        <v>0</v>
      </c>
      <c r="CF20" s="18">
        <f t="shared" si="111"/>
        <v>0</v>
      </c>
      <c r="CG20" s="18">
        <f t="shared" si="112"/>
        <v>0</v>
      </c>
      <c r="CH20" s="18">
        <f t="shared" si="113"/>
        <v>0</v>
      </c>
      <c r="CI20" s="18">
        <f t="shared" si="114"/>
        <v>0</v>
      </c>
      <c r="CJ20" s="18">
        <f t="shared" si="115"/>
        <v>0</v>
      </c>
      <c r="CK20" s="18">
        <f t="shared" si="116"/>
        <v>0</v>
      </c>
      <c r="CL20" s="18">
        <f t="shared" si="117"/>
        <v>0</v>
      </c>
      <c r="CM20" s="18">
        <f t="shared" si="118"/>
        <v>0</v>
      </c>
      <c r="CN20" s="49">
        <f t="shared" si="119"/>
        <v>0</v>
      </c>
      <c r="CP20" s="45">
        <f t="shared" si="254"/>
        <v>1</v>
      </c>
      <c r="CQ20" s="18">
        <f t="shared" si="120"/>
        <v>0</v>
      </c>
      <c r="CR20" s="18">
        <f t="shared" si="121"/>
        <v>0</v>
      </c>
      <c r="CS20" s="18">
        <f t="shared" si="122"/>
        <v>0</v>
      </c>
      <c r="CT20" s="18">
        <f t="shared" si="123"/>
        <v>0</v>
      </c>
      <c r="CU20" s="19">
        <f t="shared" si="124"/>
        <v>1</v>
      </c>
      <c r="CV20" s="18">
        <f t="shared" si="125"/>
        <v>0</v>
      </c>
      <c r="CW20" s="18">
        <f t="shared" si="126"/>
        <v>0</v>
      </c>
      <c r="CX20" s="18">
        <f t="shared" si="127"/>
        <v>0</v>
      </c>
      <c r="CY20" s="18">
        <f t="shared" si="128"/>
        <v>0</v>
      </c>
      <c r="CZ20" s="18">
        <f t="shared" si="129"/>
        <v>0</v>
      </c>
      <c r="DA20" s="18">
        <f t="shared" si="130"/>
        <v>0</v>
      </c>
      <c r="DB20" s="18">
        <f t="shared" si="131"/>
        <v>0</v>
      </c>
      <c r="DC20" s="18">
        <f t="shared" si="132"/>
        <v>0</v>
      </c>
      <c r="DD20" s="18">
        <f t="shared" si="133"/>
        <v>0</v>
      </c>
      <c r="DE20" s="18">
        <f t="shared" si="134"/>
        <v>0</v>
      </c>
      <c r="DF20" s="49">
        <f t="shared" si="135"/>
        <v>1</v>
      </c>
      <c r="DH20" s="45">
        <f t="shared" si="255"/>
        <v>1</v>
      </c>
      <c r="DI20" s="18">
        <f t="shared" si="136"/>
        <v>0</v>
      </c>
      <c r="DJ20" s="18">
        <f t="shared" si="137"/>
        <v>0</v>
      </c>
      <c r="DK20" s="18">
        <f t="shared" si="138"/>
        <v>0</v>
      </c>
      <c r="DL20" s="18">
        <f t="shared" si="139"/>
        <v>0</v>
      </c>
      <c r="DM20" s="19">
        <f t="shared" si="140"/>
        <v>1</v>
      </c>
      <c r="DN20" s="18">
        <f t="shared" si="141"/>
        <v>0</v>
      </c>
      <c r="DO20" s="18">
        <f t="shared" si="142"/>
        <v>0</v>
      </c>
      <c r="DP20" s="18">
        <f t="shared" si="143"/>
        <v>0</v>
      </c>
      <c r="DQ20" s="18">
        <f t="shared" si="144"/>
        <v>0</v>
      </c>
      <c r="DR20" s="18">
        <f t="shared" si="145"/>
        <v>0</v>
      </c>
      <c r="DS20" s="18">
        <f t="shared" si="146"/>
        <v>0</v>
      </c>
      <c r="DT20" s="18">
        <f t="shared" si="147"/>
        <v>0</v>
      </c>
      <c r="DU20" s="18">
        <f t="shared" si="148"/>
        <v>0</v>
      </c>
      <c r="DV20" s="18">
        <f t="shared" si="149"/>
        <v>0</v>
      </c>
      <c r="DW20" s="18">
        <f t="shared" si="150"/>
        <v>0</v>
      </c>
      <c r="DX20" s="49">
        <f t="shared" si="151"/>
        <v>1</v>
      </c>
      <c r="DZ20" s="45">
        <f t="shared" si="256"/>
        <v>0</v>
      </c>
      <c r="EA20" s="18">
        <f t="shared" si="152"/>
        <v>0</v>
      </c>
      <c r="EB20" s="18">
        <f t="shared" si="153"/>
        <v>0</v>
      </c>
      <c r="EC20" s="18">
        <f t="shared" si="154"/>
        <v>0</v>
      </c>
      <c r="ED20" s="18">
        <f t="shared" si="155"/>
        <v>0</v>
      </c>
      <c r="EE20" s="19">
        <f t="shared" si="156"/>
        <v>0</v>
      </c>
      <c r="EF20" s="18">
        <f t="shared" si="157"/>
        <v>0</v>
      </c>
      <c r="EG20" s="18">
        <f t="shared" si="158"/>
        <v>0</v>
      </c>
      <c r="EH20" s="18">
        <f t="shared" si="159"/>
        <v>0</v>
      </c>
      <c r="EI20" s="18">
        <f t="shared" si="160"/>
        <v>0</v>
      </c>
      <c r="EJ20" s="18">
        <f t="shared" si="161"/>
        <v>0</v>
      </c>
      <c r="EK20" s="18">
        <f t="shared" si="162"/>
        <v>0</v>
      </c>
      <c r="EL20" s="18">
        <f t="shared" si="163"/>
        <v>0</v>
      </c>
      <c r="EM20" s="18">
        <f t="shared" si="164"/>
        <v>0</v>
      </c>
      <c r="EN20" s="18">
        <f t="shared" si="165"/>
        <v>0</v>
      </c>
      <c r="EO20" s="18">
        <f t="shared" si="166"/>
        <v>0</v>
      </c>
      <c r="EP20" s="49">
        <f t="shared" si="167"/>
        <v>0</v>
      </c>
      <c r="ER20" s="45">
        <f t="shared" si="257"/>
        <v>0</v>
      </c>
      <c r="ES20" s="18">
        <f t="shared" si="168"/>
        <v>0</v>
      </c>
      <c r="ET20" s="18">
        <f t="shared" si="169"/>
        <v>0</v>
      </c>
      <c r="EU20" s="18">
        <f t="shared" si="170"/>
        <v>0</v>
      </c>
      <c r="EV20" s="18">
        <f t="shared" si="171"/>
        <v>0</v>
      </c>
      <c r="EW20" s="19">
        <f t="shared" si="172"/>
        <v>0</v>
      </c>
      <c r="EX20" s="18">
        <f t="shared" si="173"/>
        <v>0</v>
      </c>
      <c r="EY20" s="18">
        <f t="shared" si="174"/>
        <v>0</v>
      </c>
      <c r="EZ20" s="18">
        <f t="shared" si="175"/>
        <v>0</v>
      </c>
      <c r="FA20" s="18">
        <f t="shared" si="176"/>
        <v>0</v>
      </c>
      <c r="FB20" s="18">
        <f t="shared" si="177"/>
        <v>0</v>
      </c>
      <c r="FC20" s="18">
        <f t="shared" si="178"/>
        <v>0</v>
      </c>
      <c r="FD20" s="18">
        <f t="shared" si="179"/>
        <v>0</v>
      </c>
      <c r="FE20" s="18">
        <f t="shared" si="180"/>
        <v>0</v>
      </c>
      <c r="FF20" s="18">
        <f t="shared" si="181"/>
        <v>0</v>
      </c>
      <c r="FG20" s="18">
        <f t="shared" si="182"/>
        <v>0</v>
      </c>
      <c r="FH20" s="49">
        <f t="shared" si="183"/>
        <v>0</v>
      </c>
      <c r="FJ20" s="45">
        <f t="shared" si="258"/>
        <v>0</v>
      </c>
      <c r="FK20" s="18">
        <f t="shared" si="184"/>
        <v>0</v>
      </c>
      <c r="FL20" s="18">
        <f t="shared" si="185"/>
        <v>0</v>
      </c>
      <c r="FM20" s="18">
        <f t="shared" si="186"/>
        <v>0</v>
      </c>
      <c r="FN20" s="18">
        <f t="shared" si="187"/>
        <v>0</v>
      </c>
      <c r="FO20" s="19">
        <f t="shared" si="188"/>
        <v>0</v>
      </c>
      <c r="FP20" s="18">
        <f t="shared" si="189"/>
        <v>0</v>
      </c>
      <c r="FQ20" s="18">
        <f t="shared" si="190"/>
        <v>0</v>
      </c>
      <c r="FR20" s="18">
        <f t="shared" si="191"/>
        <v>0</v>
      </c>
      <c r="FS20" s="18">
        <f t="shared" si="192"/>
        <v>0</v>
      </c>
      <c r="FT20" s="18">
        <f t="shared" si="193"/>
        <v>0</v>
      </c>
      <c r="FU20" s="18">
        <f t="shared" si="194"/>
        <v>0</v>
      </c>
      <c r="FV20" s="18">
        <f t="shared" si="195"/>
        <v>0</v>
      </c>
      <c r="FW20" s="18">
        <f t="shared" si="196"/>
        <v>0</v>
      </c>
      <c r="FX20" s="18">
        <f t="shared" si="197"/>
        <v>0</v>
      </c>
      <c r="FY20" s="18">
        <f t="shared" si="198"/>
        <v>0</v>
      </c>
      <c r="FZ20" s="49">
        <f t="shared" si="199"/>
        <v>0</v>
      </c>
      <c r="GB20" s="45">
        <f t="shared" si="259"/>
        <v>1.0039386933812826</v>
      </c>
      <c r="GC20" s="18">
        <f t="shared" si="200"/>
        <v>0</v>
      </c>
      <c r="GD20" s="18">
        <f t="shared" si="201"/>
        <v>0</v>
      </c>
      <c r="GE20" s="18">
        <f t="shared" si="202"/>
        <v>0</v>
      </c>
      <c r="GF20" s="18">
        <f t="shared" si="203"/>
        <v>0</v>
      </c>
      <c r="GG20" s="19">
        <f t="shared" si="204"/>
        <v>0.93244284613408679</v>
      </c>
      <c r="GH20" s="18">
        <f t="shared" si="205"/>
        <v>0</v>
      </c>
      <c r="GI20" s="18">
        <f t="shared" si="206"/>
        <v>0</v>
      </c>
      <c r="GJ20" s="18">
        <f t="shared" si="207"/>
        <v>0</v>
      </c>
      <c r="GK20" s="18">
        <f t="shared" si="208"/>
        <v>0</v>
      </c>
      <c r="GL20" s="18">
        <f t="shared" si="209"/>
        <v>0</v>
      </c>
      <c r="GM20" s="18">
        <f t="shared" si="210"/>
        <v>0</v>
      </c>
      <c r="GN20" s="18">
        <f t="shared" si="211"/>
        <v>0</v>
      </c>
      <c r="GO20" s="18">
        <f t="shared" si="212"/>
        <v>0</v>
      </c>
      <c r="GP20" s="18">
        <f t="shared" si="213"/>
        <v>6.7557153865913183E-2</v>
      </c>
      <c r="GQ20" s="18">
        <f t="shared" si="214"/>
        <v>0</v>
      </c>
      <c r="GR20" s="49">
        <f t="shared" si="215"/>
        <v>1</v>
      </c>
      <c r="GT20" s="45">
        <f t="shared" si="260"/>
        <v>1.012536162005786</v>
      </c>
      <c r="GU20" s="18">
        <f t="shared" si="216"/>
        <v>0</v>
      </c>
      <c r="GV20" s="18">
        <f t="shared" si="217"/>
        <v>0</v>
      </c>
      <c r="GW20" s="18">
        <f t="shared" si="218"/>
        <v>0</v>
      </c>
      <c r="GX20" s="18">
        <f t="shared" si="219"/>
        <v>1.0607521697203472E-2</v>
      </c>
      <c r="GY20" s="19">
        <f t="shared" si="220"/>
        <v>0.90163934426229508</v>
      </c>
      <c r="GZ20" s="18">
        <f t="shared" si="221"/>
        <v>0</v>
      </c>
      <c r="HA20" s="18">
        <f t="shared" si="222"/>
        <v>0</v>
      </c>
      <c r="HB20" s="18">
        <f t="shared" si="223"/>
        <v>0</v>
      </c>
      <c r="HC20" s="18">
        <f t="shared" si="224"/>
        <v>0</v>
      </c>
      <c r="HD20" s="18">
        <f t="shared" si="225"/>
        <v>0</v>
      </c>
      <c r="HE20" s="18">
        <f t="shared" si="226"/>
        <v>0</v>
      </c>
      <c r="HF20" s="18">
        <f t="shared" si="227"/>
        <v>0</v>
      </c>
      <c r="HG20" s="18">
        <f t="shared" si="228"/>
        <v>0</v>
      </c>
      <c r="HH20" s="18">
        <f t="shared" si="229"/>
        <v>8.7753134040501446E-2</v>
      </c>
      <c r="HI20" s="18">
        <f t="shared" si="230"/>
        <v>0</v>
      </c>
      <c r="HJ20" s="49">
        <f t="shared" si="231"/>
        <v>1</v>
      </c>
      <c r="HL20" s="45">
        <f t="shared" si="261"/>
        <v>1.006825938566553</v>
      </c>
      <c r="HM20" s="18">
        <f t="shared" si="232"/>
        <v>0</v>
      </c>
      <c r="HN20" s="18">
        <f t="shared" si="233"/>
        <v>0</v>
      </c>
      <c r="HO20" s="18">
        <f t="shared" si="234"/>
        <v>0</v>
      </c>
      <c r="HP20" s="18">
        <f t="shared" si="235"/>
        <v>3.7542662116040959E-2</v>
      </c>
      <c r="HQ20" s="19">
        <f t="shared" si="236"/>
        <v>0.67576791808873715</v>
      </c>
      <c r="HR20" s="18">
        <f t="shared" si="237"/>
        <v>0</v>
      </c>
      <c r="HS20" s="18">
        <f t="shared" si="238"/>
        <v>0</v>
      </c>
      <c r="HT20" s="18">
        <f t="shared" si="239"/>
        <v>0</v>
      </c>
      <c r="HU20" s="18">
        <f t="shared" si="240"/>
        <v>0</v>
      </c>
      <c r="HV20" s="18">
        <f t="shared" si="241"/>
        <v>0</v>
      </c>
      <c r="HW20" s="18">
        <f t="shared" si="242"/>
        <v>0</v>
      </c>
      <c r="HX20" s="18">
        <f t="shared" si="243"/>
        <v>0</v>
      </c>
      <c r="HY20" s="18">
        <f t="shared" si="244"/>
        <v>0</v>
      </c>
      <c r="HZ20" s="18">
        <f t="shared" si="245"/>
        <v>0.28668941979522183</v>
      </c>
      <c r="IA20" s="18">
        <f t="shared" si="246"/>
        <v>0</v>
      </c>
      <c r="IB20" s="49">
        <f t="shared" si="247"/>
        <v>1</v>
      </c>
    </row>
    <row r="21" spans="2:236" s="11" customFormat="1" x14ac:dyDescent="0.35">
      <c r="B21" s="17" t="s">
        <v>148</v>
      </c>
      <c r="C21" s="17"/>
      <c r="D21" s="45">
        <f t="shared" si="248"/>
        <v>1.0472991883571228</v>
      </c>
      <c r="E21" s="18">
        <f t="shared" si="249"/>
        <v>0</v>
      </c>
      <c r="F21" s="18">
        <f t="shared" si="41"/>
        <v>0</v>
      </c>
      <c r="G21" s="18">
        <f t="shared" si="42"/>
        <v>0</v>
      </c>
      <c r="H21" s="18">
        <f t="shared" si="43"/>
        <v>0</v>
      </c>
      <c r="I21" s="18">
        <f t="shared" si="44"/>
        <v>0</v>
      </c>
      <c r="J21" s="19">
        <f t="shared" si="45"/>
        <v>0.2591659669745312</v>
      </c>
      <c r="K21" s="18">
        <f t="shared" si="46"/>
        <v>0.61740834033025471</v>
      </c>
      <c r="L21" s="18">
        <f t="shared" si="47"/>
        <v>0</v>
      </c>
      <c r="M21" s="18">
        <f t="shared" si="48"/>
        <v>0</v>
      </c>
      <c r="N21" s="18">
        <f t="shared" si="49"/>
        <v>0</v>
      </c>
      <c r="O21" s="18">
        <f t="shared" si="50"/>
        <v>0</v>
      </c>
      <c r="P21" s="18">
        <f t="shared" si="51"/>
        <v>0</v>
      </c>
      <c r="Q21" s="18">
        <f t="shared" si="52"/>
        <v>0</v>
      </c>
      <c r="R21" s="18">
        <f t="shared" si="53"/>
        <v>0.12342569269521411</v>
      </c>
      <c r="S21" s="18">
        <f t="shared" si="54"/>
        <v>0</v>
      </c>
      <c r="T21" s="49">
        <f t="shared" si="55"/>
        <v>1</v>
      </c>
      <c r="V21" s="45">
        <f t="shared" si="250"/>
        <v>1.1320754716981132</v>
      </c>
      <c r="W21" s="18">
        <f t="shared" si="56"/>
        <v>0</v>
      </c>
      <c r="X21" s="18">
        <f t="shared" si="57"/>
        <v>0</v>
      </c>
      <c r="Y21" s="18">
        <f t="shared" si="58"/>
        <v>0</v>
      </c>
      <c r="Z21" s="18">
        <f t="shared" si="59"/>
        <v>0</v>
      </c>
      <c r="AA21" s="18">
        <f t="shared" si="60"/>
        <v>0</v>
      </c>
      <c r="AB21" s="19">
        <f t="shared" si="61"/>
        <v>0</v>
      </c>
      <c r="AC21" s="18">
        <f t="shared" si="62"/>
        <v>0.93920335429769397</v>
      </c>
      <c r="AD21" s="18">
        <f t="shared" si="63"/>
        <v>0</v>
      </c>
      <c r="AE21" s="18">
        <f t="shared" si="64"/>
        <v>0</v>
      </c>
      <c r="AF21" s="18">
        <f t="shared" si="65"/>
        <v>0</v>
      </c>
      <c r="AG21" s="18">
        <f t="shared" si="66"/>
        <v>0</v>
      </c>
      <c r="AH21" s="18">
        <f t="shared" si="67"/>
        <v>0</v>
      </c>
      <c r="AI21" s="18">
        <f t="shared" si="68"/>
        <v>0</v>
      </c>
      <c r="AJ21" s="18">
        <f t="shared" si="69"/>
        <v>6.0796645702306078E-2</v>
      </c>
      <c r="AK21" s="18">
        <f t="shared" si="70"/>
        <v>0</v>
      </c>
      <c r="AL21" s="49">
        <f t="shared" si="71"/>
        <v>1</v>
      </c>
      <c r="AN21" s="45">
        <f t="shared" si="251"/>
        <v>0</v>
      </c>
      <c r="AO21" s="18">
        <f t="shared" si="72"/>
        <v>0</v>
      </c>
      <c r="AP21" s="18">
        <f t="shared" si="73"/>
        <v>0</v>
      </c>
      <c r="AQ21" s="18">
        <f t="shared" si="74"/>
        <v>0</v>
      </c>
      <c r="AR21" s="18">
        <f t="shared" si="75"/>
        <v>0</v>
      </c>
      <c r="AS21" s="18">
        <f t="shared" si="76"/>
        <v>0</v>
      </c>
      <c r="AT21" s="19">
        <f t="shared" si="77"/>
        <v>0</v>
      </c>
      <c r="AU21" s="18">
        <f t="shared" si="78"/>
        <v>0</v>
      </c>
      <c r="AV21" s="18">
        <f t="shared" si="79"/>
        <v>0</v>
      </c>
      <c r="AW21" s="18">
        <f t="shared" si="80"/>
        <v>0</v>
      </c>
      <c r="AX21" s="18">
        <f t="shared" si="81"/>
        <v>0</v>
      </c>
      <c r="AY21" s="18">
        <f t="shared" si="82"/>
        <v>0</v>
      </c>
      <c r="AZ21" s="18">
        <f t="shared" si="83"/>
        <v>0</v>
      </c>
      <c r="BA21" s="18">
        <f t="shared" si="84"/>
        <v>0</v>
      </c>
      <c r="BB21" s="18">
        <f t="shared" si="85"/>
        <v>0</v>
      </c>
      <c r="BC21" s="18">
        <f t="shared" si="86"/>
        <v>0</v>
      </c>
      <c r="BD21" s="49">
        <f t="shared" si="87"/>
        <v>0</v>
      </c>
      <c r="BF21" s="45">
        <f t="shared" si="252"/>
        <v>1.1673151750972763</v>
      </c>
      <c r="BG21" s="18">
        <f t="shared" si="88"/>
        <v>0</v>
      </c>
      <c r="BH21" s="18">
        <f t="shared" si="89"/>
        <v>0</v>
      </c>
      <c r="BI21" s="18">
        <f t="shared" si="90"/>
        <v>0</v>
      </c>
      <c r="BJ21" s="18">
        <f t="shared" si="91"/>
        <v>0</v>
      </c>
      <c r="BK21" s="18">
        <f t="shared" si="92"/>
        <v>0</v>
      </c>
      <c r="BL21" s="19">
        <f t="shared" si="93"/>
        <v>0</v>
      </c>
      <c r="BM21" s="18">
        <f t="shared" si="94"/>
        <v>0.85603112840466922</v>
      </c>
      <c r="BN21" s="18">
        <f t="shared" si="95"/>
        <v>0</v>
      </c>
      <c r="BO21" s="18">
        <f t="shared" si="96"/>
        <v>0</v>
      </c>
      <c r="BP21" s="18">
        <f t="shared" si="97"/>
        <v>0</v>
      </c>
      <c r="BQ21" s="18">
        <f t="shared" si="98"/>
        <v>0</v>
      </c>
      <c r="BR21" s="18">
        <f t="shared" si="99"/>
        <v>0</v>
      </c>
      <c r="BS21" s="18">
        <f t="shared" si="100"/>
        <v>0</v>
      </c>
      <c r="BT21" s="18">
        <f t="shared" si="101"/>
        <v>0.14396887159533073</v>
      </c>
      <c r="BU21" s="18">
        <f t="shared" si="102"/>
        <v>0</v>
      </c>
      <c r="BV21" s="49">
        <f t="shared" si="103"/>
        <v>1</v>
      </c>
      <c r="BX21" s="45">
        <f t="shared" si="253"/>
        <v>0</v>
      </c>
      <c r="BY21" s="18">
        <f t="shared" si="104"/>
        <v>0</v>
      </c>
      <c r="BZ21" s="18">
        <f t="shared" si="105"/>
        <v>0</v>
      </c>
      <c r="CA21" s="18">
        <f t="shared" si="106"/>
        <v>0</v>
      </c>
      <c r="CB21" s="18">
        <f t="shared" si="107"/>
        <v>0</v>
      </c>
      <c r="CC21" s="18">
        <f t="shared" si="108"/>
        <v>0</v>
      </c>
      <c r="CD21" s="19">
        <f t="shared" si="109"/>
        <v>0</v>
      </c>
      <c r="CE21" s="18">
        <f t="shared" si="110"/>
        <v>0</v>
      </c>
      <c r="CF21" s="18">
        <f t="shared" si="111"/>
        <v>0</v>
      </c>
      <c r="CG21" s="18">
        <f t="shared" si="112"/>
        <v>0</v>
      </c>
      <c r="CH21" s="18">
        <f t="shared" si="113"/>
        <v>0</v>
      </c>
      <c r="CI21" s="18">
        <f t="shared" si="114"/>
        <v>0</v>
      </c>
      <c r="CJ21" s="18">
        <f t="shared" si="115"/>
        <v>0</v>
      </c>
      <c r="CK21" s="18">
        <f t="shared" si="116"/>
        <v>0</v>
      </c>
      <c r="CL21" s="18">
        <f t="shared" si="117"/>
        <v>0</v>
      </c>
      <c r="CM21" s="18">
        <f t="shared" si="118"/>
        <v>0</v>
      </c>
      <c r="CN21" s="49">
        <f t="shared" si="119"/>
        <v>0</v>
      </c>
      <c r="CP21" s="45">
        <f t="shared" si="254"/>
        <v>0</v>
      </c>
      <c r="CQ21" s="18">
        <f t="shared" si="120"/>
        <v>0</v>
      </c>
      <c r="CR21" s="18">
        <f t="shared" si="121"/>
        <v>0</v>
      </c>
      <c r="CS21" s="18">
        <f t="shared" si="122"/>
        <v>0</v>
      </c>
      <c r="CT21" s="18">
        <f t="shared" si="123"/>
        <v>0</v>
      </c>
      <c r="CU21" s="18">
        <f t="shared" si="124"/>
        <v>0</v>
      </c>
      <c r="CV21" s="19">
        <f t="shared" si="125"/>
        <v>0</v>
      </c>
      <c r="CW21" s="18">
        <f t="shared" si="126"/>
        <v>0</v>
      </c>
      <c r="CX21" s="18">
        <f t="shared" si="127"/>
        <v>0</v>
      </c>
      <c r="CY21" s="18">
        <f t="shared" si="128"/>
        <v>0</v>
      </c>
      <c r="CZ21" s="18">
        <f t="shared" si="129"/>
        <v>0</v>
      </c>
      <c r="DA21" s="18">
        <f t="shared" si="130"/>
        <v>0</v>
      </c>
      <c r="DB21" s="18">
        <f t="shared" si="131"/>
        <v>0</v>
      </c>
      <c r="DC21" s="18">
        <f t="shared" si="132"/>
        <v>0</v>
      </c>
      <c r="DD21" s="18">
        <f t="shared" si="133"/>
        <v>0</v>
      </c>
      <c r="DE21" s="18">
        <f t="shared" si="134"/>
        <v>0</v>
      </c>
      <c r="DF21" s="49">
        <f t="shared" si="135"/>
        <v>0</v>
      </c>
      <c r="DH21" s="45">
        <f t="shared" si="255"/>
        <v>0</v>
      </c>
      <c r="DI21" s="18">
        <f t="shared" si="136"/>
        <v>0</v>
      </c>
      <c r="DJ21" s="18">
        <f t="shared" si="137"/>
        <v>0</v>
      </c>
      <c r="DK21" s="18">
        <f t="shared" si="138"/>
        <v>0</v>
      </c>
      <c r="DL21" s="18">
        <f t="shared" si="139"/>
        <v>0</v>
      </c>
      <c r="DM21" s="18">
        <f t="shared" si="140"/>
        <v>0</v>
      </c>
      <c r="DN21" s="19">
        <f t="shared" si="141"/>
        <v>0</v>
      </c>
      <c r="DO21" s="18">
        <f t="shared" si="142"/>
        <v>0</v>
      </c>
      <c r="DP21" s="18">
        <f t="shared" si="143"/>
        <v>0</v>
      </c>
      <c r="DQ21" s="18">
        <f t="shared" si="144"/>
        <v>0</v>
      </c>
      <c r="DR21" s="18">
        <f t="shared" si="145"/>
        <v>0</v>
      </c>
      <c r="DS21" s="18">
        <f t="shared" si="146"/>
        <v>0</v>
      </c>
      <c r="DT21" s="18">
        <f t="shared" si="147"/>
        <v>0</v>
      </c>
      <c r="DU21" s="18">
        <f t="shared" si="148"/>
        <v>0</v>
      </c>
      <c r="DV21" s="18">
        <f t="shared" si="149"/>
        <v>0</v>
      </c>
      <c r="DW21" s="18">
        <f t="shared" si="150"/>
        <v>0</v>
      </c>
      <c r="DX21" s="49">
        <f t="shared" si="151"/>
        <v>0</v>
      </c>
      <c r="DZ21" s="45">
        <f t="shared" si="256"/>
        <v>0</v>
      </c>
      <c r="EA21" s="18">
        <f t="shared" si="152"/>
        <v>0</v>
      </c>
      <c r="EB21" s="18">
        <f t="shared" si="153"/>
        <v>0</v>
      </c>
      <c r="EC21" s="18">
        <f t="shared" si="154"/>
        <v>0</v>
      </c>
      <c r="ED21" s="18">
        <f t="shared" si="155"/>
        <v>0</v>
      </c>
      <c r="EE21" s="18">
        <f t="shared" si="156"/>
        <v>0</v>
      </c>
      <c r="EF21" s="19">
        <f t="shared" si="157"/>
        <v>0</v>
      </c>
      <c r="EG21" s="18">
        <f t="shared" si="158"/>
        <v>0</v>
      </c>
      <c r="EH21" s="18">
        <f t="shared" si="159"/>
        <v>0</v>
      </c>
      <c r="EI21" s="18">
        <f t="shared" si="160"/>
        <v>0</v>
      </c>
      <c r="EJ21" s="18">
        <f t="shared" si="161"/>
        <v>0</v>
      </c>
      <c r="EK21" s="18">
        <f t="shared" si="162"/>
        <v>0</v>
      </c>
      <c r="EL21" s="18">
        <f t="shared" si="163"/>
        <v>0</v>
      </c>
      <c r="EM21" s="18">
        <f t="shared" si="164"/>
        <v>0</v>
      </c>
      <c r="EN21" s="18">
        <f t="shared" si="165"/>
        <v>0</v>
      </c>
      <c r="EO21" s="18">
        <f t="shared" si="166"/>
        <v>0</v>
      </c>
      <c r="EP21" s="49">
        <f t="shared" si="167"/>
        <v>0</v>
      </c>
      <c r="ER21" s="45">
        <f t="shared" si="257"/>
        <v>0</v>
      </c>
      <c r="ES21" s="18">
        <f t="shared" si="168"/>
        <v>0</v>
      </c>
      <c r="ET21" s="18">
        <f t="shared" si="169"/>
        <v>0</v>
      </c>
      <c r="EU21" s="18">
        <f t="shared" si="170"/>
        <v>0</v>
      </c>
      <c r="EV21" s="18">
        <f t="shared" si="171"/>
        <v>0</v>
      </c>
      <c r="EW21" s="18">
        <f t="shared" si="172"/>
        <v>0</v>
      </c>
      <c r="EX21" s="19">
        <f t="shared" si="173"/>
        <v>0</v>
      </c>
      <c r="EY21" s="18">
        <f t="shared" si="174"/>
        <v>0</v>
      </c>
      <c r="EZ21" s="18">
        <f t="shared" si="175"/>
        <v>0</v>
      </c>
      <c r="FA21" s="18">
        <f t="shared" si="176"/>
        <v>0</v>
      </c>
      <c r="FB21" s="18">
        <f t="shared" si="177"/>
        <v>0</v>
      </c>
      <c r="FC21" s="18">
        <f t="shared" si="178"/>
        <v>0</v>
      </c>
      <c r="FD21" s="18">
        <f t="shared" si="179"/>
        <v>0</v>
      </c>
      <c r="FE21" s="18">
        <f t="shared" si="180"/>
        <v>0</v>
      </c>
      <c r="FF21" s="18">
        <f t="shared" si="181"/>
        <v>0</v>
      </c>
      <c r="FG21" s="18">
        <f t="shared" si="182"/>
        <v>0</v>
      </c>
      <c r="FH21" s="49">
        <f t="shared" si="183"/>
        <v>0</v>
      </c>
      <c r="FJ21" s="45">
        <f t="shared" si="258"/>
        <v>1</v>
      </c>
      <c r="FK21" s="18">
        <f t="shared" si="184"/>
        <v>0</v>
      </c>
      <c r="FL21" s="18">
        <f t="shared" si="185"/>
        <v>0</v>
      </c>
      <c r="FM21" s="18">
        <f t="shared" si="186"/>
        <v>0</v>
      </c>
      <c r="FN21" s="18">
        <f t="shared" si="187"/>
        <v>0</v>
      </c>
      <c r="FO21" s="18">
        <f t="shared" si="188"/>
        <v>0</v>
      </c>
      <c r="FP21" s="19">
        <f t="shared" si="189"/>
        <v>0.26474127557160049</v>
      </c>
      <c r="FQ21" s="18">
        <f t="shared" si="190"/>
        <v>0.65583634175691941</v>
      </c>
      <c r="FR21" s="18">
        <f t="shared" si="191"/>
        <v>0</v>
      </c>
      <c r="FS21" s="18">
        <f t="shared" si="192"/>
        <v>0</v>
      </c>
      <c r="FT21" s="18">
        <f t="shared" si="193"/>
        <v>0</v>
      </c>
      <c r="FU21" s="18">
        <f t="shared" si="194"/>
        <v>0</v>
      </c>
      <c r="FV21" s="18">
        <f t="shared" si="195"/>
        <v>0</v>
      </c>
      <c r="FW21" s="18">
        <f t="shared" si="196"/>
        <v>0</v>
      </c>
      <c r="FX21" s="18">
        <f t="shared" si="197"/>
        <v>7.9422382671480149E-2</v>
      </c>
      <c r="FY21" s="18">
        <f t="shared" si="198"/>
        <v>0</v>
      </c>
      <c r="FZ21" s="49">
        <f t="shared" si="199"/>
        <v>1</v>
      </c>
      <c r="GB21" s="45">
        <f t="shared" si="259"/>
        <v>0</v>
      </c>
      <c r="GC21" s="18">
        <f t="shared" si="200"/>
        <v>0</v>
      </c>
      <c r="GD21" s="18">
        <f t="shared" si="201"/>
        <v>0</v>
      </c>
      <c r="GE21" s="18">
        <f t="shared" si="202"/>
        <v>0</v>
      </c>
      <c r="GF21" s="18">
        <f t="shared" si="203"/>
        <v>0</v>
      </c>
      <c r="GG21" s="18">
        <f t="shared" si="204"/>
        <v>0</v>
      </c>
      <c r="GH21" s="19">
        <f t="shared" si="205"/>
        <v>0</v>
      </c>
      <c r="GI21" s="18">
        <f t="shared" si="206"/>
        <v>0</v>
      </c>
      <c r="GJ21" s="18">
        <f t="shared" si="207"/>
        <v>0</v>
      </c>
      <c r="GK21" s="18">
        <f t="shared" si="208"/>
        <v>0</v>
      </c>
      <c r="GL21" s="18">
        <f t="shared" si="209"/>
        <v>0</v>
      </c>
      <c r="GM21" s="18">
        <f t="shared" si="210"/>
        <v>0</v>
      </c>
      <c r="GN21" s="18">
        <f t="shared" si="211"/>
        <v>0</v>
      </c>
      <c r="GO21" s="18">
        <f t="shared" si="212"/>
        <v>0</v>
      </c>
      <c r="GP21" s="18">
        <f t="shared" si="213"/>
        <v>0</v>
      </c>
      <c r="GQ21" s="18">
        <f t="shared" si="214"/>
        <v>0</v>
      </c>
      <c r="GR21" s="49">
        <f t="shared" si="215"/>
        <v>0</v>
      </c>
      <c r="GT21" s="45">
        <f t="shared" si="260"/>
        <v>0</v>
      </c>
      <c r="GU21" s="18">
        <f t="shared" si="216"/>
        <v>0</v>
      </c>
      <c r="GV21" s="18">
        <f t="shared" si="217"/>
        <v>0</v>
      </c>
      <c r="GW21" s="18">
        <f t="shared" si="218"/>
        <v>0</v>
      </c>
      <c r="GX21" s="18">
        <f t="shared" si="219"/>
        <v>0</v>
      </c>
      <c r="GY21" s="18">
        <f t="shared" si="220"/>
        <v>0</v>
      </c>
      <c r="GZ21" s="19">
        <f t="shared" si="221"/>
        <v>0</v>
      </c>
      <c r="HA21" s="18">
        <f t="shared" si="222"/>
        <v>0</v>
      </c>
      <c r="HB21" s="18">
        <f t="shared" si="223"/>
        <v>0</v>
      </c>
      <c r="HC21" s="18">
        <f t="shared" si="224"/>
        <v>0</v>
      </c>
      <c r="HD21" s="18">
        <f t="shared" si="225"/>
        <v>0</v>
      </c>
      <c r="HE21" s="18">
        <f t="shared" si="226"/>
        <v>0</v>
      </c>
      <c r="HF21" s="18">
        <f t="shared" si="227"/>
        <v>0</v>
      </c>
      <c r="HG21" s="18">
        <f t="shared" si="228"/>
        <v>0</v>
      </c>
      <c r="HH21" s="18">
        <f t="shared" si="229"/>
        <v>0</v>
      </c>
      <c r="HI21" s="18">
        <f t="shared" si="230"/>
        <v>0</v>
      </c>
      <c r="HJ21" s="49">
        <f t="shared" si="231"/>
        <v>0</v>
      </c>
      <c r="HL21" s="45">
        <f t="shared" si="261"/>
        <v>1</v>
      </c>
      <c r="HM21" s="18">
        <f t="shared" si="232"/>
        <v>0</v>
      </c>
      <c r="HN21" s="18">
        <f t="shared" si="233"/>
        <v>0</v>
      </c>
      <c r="HO21" s="18">
        <f t="shared" si="234"/>
        <v>0</v>
      </c>
      <c r="HP21" s="18">
        <f t="shared" si="235"/>
        <v>0</v>
      </c>
      <c r="HQ21" s="18">
        <f t="shared" si="236"/>
        <v>0</v>
      </c>
      <c r="HR21" s="19">
        <f t="shared" si="237"/>
        <v>0.69428571428571428</v>
      </c>
      <c r="HS21" s="18">
        <f t="shared" si="238"/>
        <v>0</v>
      </c>
      <c r="HT21" s="18">
        <f t="shared" si="239"/>
        <v>0</v>
      </c>
      <c r="HU21" s="18">
        <f t="shared" si="240"/>
        <v>0</v>
      </c>
      <c r="HV21" s="18">
        <f t="shared" si="241"/>
        <v>0</v>
      </c>
      <c r="HW21" s="18">
        <f t="shared" si="242"/>
        <v>0</v>
      </c>
      <c r="HX21" s="18">
        <f t="shared" si="243"/>
        <v>0</v>
      </c>
      <c r="HY21" s="18">
        <f t="shared" si="244"/>
        <v>0</v>
      </c>
      <c r="HZ21" s="18">
        <f t="shared" si="245"/>
        <v>0.30571428571428572</v>
      </c>
      <c r="IA21" s="18">
        <f t="shared" si="246"/>
        <v>0</v>
      </c>
      <c r="IB21" s="49">
        <f t="shared" si="247"/>
        <v>1</v>
      </c>
    </row>
    <row r="22" spans="2:236" s="11" customFormat="1" x14ac:dyDescent="0.35">
      <c r="B22" s="17" t="s">
        <v>147</v>
      </c>
      <c r="C22" s="17"/>
      <c r="D22" s="45">
        <f t="shared" si="248"/>
        <v>1.001119715827621</v>
      </c>
      <c r="E22" s="18">
        <f t="shared" si="249"/>
        <v>0</v>
      </c>
      <c r="F22" s="18">
        <f t="shared" si="41"/>
        <v>0</v>
      </c>
      <c r="G22" s="18">
        <f t="shared" si="42"/>
        <v>0</v>
      </c>
      <c r="H22" s="18">
        <f t="shared" si="43"/>
        <v>0</v>
      </c>
      <c r="I22" s="18">
        <f t="shared" si="44"/>
        <v>0</v>
      </c>
      <c r="J22" s="18">
        <f t="shared" si="45"/>
        <v>0</v>
      </c>
      <c r="K22" s="19">
        <f t="shared" si="46"/>
        <v>0.94226003278385584</v>
      </c>
      <c r="L22" s="18">
        <f t="shared" si="47"/>
        <v>3.7643258263550718E-3</v>
      </c>
      <c r="M22" s="18">
        <f t="shared" si="48"/>
        <v>0</v>
      </c>
      <c r="N22" s="18">
        <f t="shared" si="49"/>
        <v>0</v>
      </c>
      <c r="O22" s="18">
        <f t="shared" si="50"/>
        <v>0</v>
      </c>
      <c r="P22" s="20">
        <f t="shared" si="51"/>
        <v>0</v>
      </c>
      <c r="Q22" s="20">
        <f t="shared" si="52"/>
        <v>0</v>
      </c>
      <c r="R22" s="20">
        <f t="shared" si="53"/>
        <v>5.3975641389789095E-2</v>
      </c>
      <c r="S22" s="18">
        <f t="shared" si="54"/>
        <v>0</v>
      </c>
      <c r="T22" s="49">
        <f t="shared" si="55"/>
        <v>1</v>
      </c>
      <c r="V22" s="45">
        <f t="shared" si="250"/>
        <v>0</v>
      </c>
      <c r="W22" s="18">
        <f t="shared" si="56"/>
        <v>0</v>
      </c>
      <c r="X22" s="18">
        <f t="shared" si="57"/>
        <v>0</v>
      </c>
      <c r="Y22" s="18">
        <f t="shared" si="58"/>
        <v>0</v>
      </c>
      <c r="Z22" s="18">
        <f t="shared" si="59"/>
        <v>0</v>
      </c>
      <c r="AA22" s="18">
        <f t="shared" si="60"/>
        <v>0</v>
      </c>
      <c r="AB22" s="18">
        <f t="shared" si="61"/>
        <v>0</v>
      </c>
      <c r="AC22" s="19">
        <f t="shared" si="62"/>
        <v>0</v>
      </c>
      <c r="AD22" s="18">
        <f t="shared" si="63"/>
        <v>0</v>
      </c>
      <c r="AE22" s="18">
        <f t="shared" si="64"/>
        <v>0</v>
      </c>
      <c r="AF22" s="18">
        <f t="shared" si="65"/>
        <v>0</v>
      </c>
      <c r="AG22" s="18">
        <f t="shared" si="66"/>
        <v>0</v>
      </c>
      <c r="AH22" s="20">
        <f t="shared" si="67"/>
        <v>0</v>
      </c>
      <c r="AI22" s="20">
        <f t="shared" si="68"/>
        <v>0</v>
      </c>
      <c r="AJ22" s="20">
        <f t="shared" si="69"/>
        <v>0</v>
      </c>
      <c r="AK22" s="18">
        <f t="shared" si="70"/>
        <v>0</v>
      </c>
      <c r="AL22" s="49">
        <f t="shared" si="71"/>
        <v>0</v>
      </c>
      <c r="AN22" s="45">
        <f t="shared" si="251"/>
        <v>0.86155674390968506</v>
      </c>
      <c r="AO22" s="18">
        <f t="shared" si="72"/>
        <v>0</v>
      </c>
      <c r="AP22" s="18">
        <f t="shared" si="73"/>
        <v>0</v>
      </c>
      <c r="AQ22" s="18">
        <f t="shared" si="74"/>
        <v>0</v>
      </c>
      <c r="AR22" s="18">
        <f t="shared" si="75"/>
        <v>0</v>
      </c>
      <c r="AS22" s="18">
        <f t="shared" si="76"/>
        <v>0</v>
      </c>
      <c r="AT22" s="18">
        <f t="shared" si="77"/>
        <v>0</v>
      </c>
      <c r="AU22" s="19">
        <f t="shared" si="78"/>
        <v>0.5089126559714795</v>
      </c>
      <c r="AV22" s="18">
        <f t="shared" si="79"/>
        <v>0</v>
      </c>
      <c r="AW22" s="18">
        <f t="shared" si="80"/>
        <v>0</v>
      </c>
      <c r="AX22" s="18">
        <f t="shared" si="81"/>
        <v>0</v>
      </c>
      <c r="AY22" s="18">
        <f t="shared" si="82"/>
        <v>0</v>
      </c>
      <c r="AZ22" s="20">
        <f t="shared" si="83"/>
        <v>0</v>
      </c>
      <c r="BA22" s="20">
        <f t="shared" si="84"/>
        <v>0</v>
      </c>
      <c r="BB22" s="20">
        <f t="shared" si="85"/>
        <v>0.4910873440285205</v>
      </c>
      <c r="BC22" s="18">
        <f t="shared" si="86"/>
        <v>0</v>
      </c>
      <c r="BD22" s="49">
        <f t="shared" si="87"/>
        <v>1</v>
      </c>
      <c r="BF22" s="45">
        <f t="shared" si="252"/>
        <v>1.0015173021389068</v>
      </c>
      <c r="BG22" s="18">
        <f t="shared" si="88"/>
        <v>0</v>
      </c>
      <c r="BH22" s="18">
        <f t="shared" si="89"/>
        <v>0</v>
      </c>
      <c r="BI22" s="18">
        <f t="shared" si="90"/>
        <v>0</v>
      </c>
      <c r="BJ22" s="18">
        <f t="shared" si="91"/>
        <v>0</v>
      </c>
      <c r="BK22" s="18">
        <f t="shared" si="92"/>
        <v>0</v>
      </c>
      <c r="BL22" s="18">
        <f t="shared" si="93"/>
        <v>0</v>
      </c>
      <c r="BM22" s="19">
        <f t="shared" si="94"/>
        <v>0.66022221134550441</v>
      </c>
      <c r="BN22" s="18">
        <f t="shared" si="95"/>
        <v>0</v>
      </c>
      <c r="BO22" s="18">
        <f t="shared" si="96"/>
        <v>0</v>
      </c>
      <c r="BP22" s="18">
        <f t="shared" si="97"/>
        <v>0</v>
      </c>
      <c r="BQ22" s="18">
        <f t="shared" si="98"/>
        <v>0</v>
      </c>
      <c r="BR22" s="20">
        <f t="shared" si="99"/>
        <v>0</v>
      </c>
      <c r="BS22" s="20">
        <f t="shared" si="100"/>
        <v>0</v>
      </c>
      <c r="BT22" s="20">
        <f t="shared" si="101"/>
        <v>0.33977778865449559</v>
      </c>
      <c r="BU22" s="18">
        <f t="shared" si="102"/>
        <v>0</v>
      </c>
      <c r="BV22" s="49">
        <f t="shared" si="103"/>
        <v>1</v>
      </c>
      <c r="BX22" s="45">
        <f t="shared" si="253"/>
        <v>0</v>
      </c>
      <c r="BY22" s="18">
        <f t="shared" si="104"/>
        <v>0</v>
      </c>
      <c r="BZ22" s="18">
        <f t="shared" si="105"/>
        <v>0</v>
      </c>
      <c r="CA22" s="18">
        <f t="shared" si="106"/>
        <v>0</v>
      </c>
      <c r="CB22" s="18">
        <f t="shared" si="107"/>
        <v>0</v>
      </c>
      <c r="CC22" s="18">
        <f t="shared" si="108"/>
        <v>0</v>
      </c>
      <c r="CD22" s="18">
        <f t="shared" si="109"/>
        <v>0</v>
      </c>
      <c r="CE22" s="19">
        <f t="shared" si="110"/>
        <v>0</v>
      </c>
      <c r="CF22" s="18">
        <f t="shared" si="111"/>
        <v>0</v>
      </c>
      <c r="CG22" s="18">
        <f t="shared" si="112"/>
        <v>0</v>
      </c>
      <c r="CH22" s="18">
        <f t="shared" si="113"/>
        <v>0</v>
      </c>
      <c r="CI22" s="18">
        <f t="shared" si="114"/>
        <v>0</v>
      </c>
      <c r="CJ22" s="20">
        <f t="shared" si="115"/>
        <v>0</v>
      </c>
      <c r="CK22" s="20">
        <f t="shared" si="116"/>
        <v>0</v>
      </c>
      <c r="CL22" s="20">
        <f t="shared" si="117"/>
        <v>0</v>
      </c>
      <c r="CM22" s="18">
        <f t="shared" si="118"/>
        <v>0</v>
      </c>
      <c r="CN22" s="49">
        <f t="shared" si="119"/>
        <v>0</v>
      </c>
      <c r="CP22" s="45">
        <f t="shared" si="254"/>
        <v>1.004551804531451</v>
      </c>
      <c r="CQ22" s="18">
        <f t="shared" si="120"/>
        <v>0</v>
      </c>
      <c r="CR22" s="18">
        <f t="shared" si="121"/>
        <v>0</v>
      </c>
      <c r="CS22" s="18">
        <f t="shared" si="122"/>
        <v>0</v>
      </c>
      <c r="CT22" s="18">
        <f t="shared" si="123"/>
        <v>0</v>
      </c>
      <c r="CU22" s="18">
        <f t="shared" si="124"/>
        <v>0</v>
      </c>
      <c r="CV22" s="18">
        <f t="shared" si="125"/>
        <v>0</v>
      </c>
      <c r="CW22" s="19">
        <f t="shared" si="126"/>
        <v>0.98206107929576547</v>
      </c>
      <c r="CX22" s="18">
        <f t="shared" si="127"/>
        <v>0</v>
      </c>
      <c r="CY22" s="18">
        <f t="shared" si="128"/>
        <v>0</v>
      </c>
      <c r="CZ22" s="18">
        <f t="shared" si="129"/>
        <v>0</v>
      </c>
      <c r="DA22" s="18">
        <f t="shared" si="130"/>
        <v>0</v>
      </c>
      <c r="DB22" s="20">
        <f t="shared" si="131"/>
        <v>0</v>
      </c>
      <c r="DC22" s="20">
        <f t="shared" si="132"/>
        <v>0</v>
      </c>
      <c r="DD22" s="20">
        <f t="shared" si="133"/>
        <v>1.7938920704234473E-2</v>
      </c>
      <c r="DE22" s="18">
        <f t="shared" si="134"/>
        <v>0</v>
      </c>
      <c r="DF22" s="49">
        <f t="shared" si="135"/>
        <v>1</v>
      </c>
      <c r="DH22" s="45">
        <f t="shared" si="255"/>
        <v>1</v>
      </c>
      <c r="DI22" s="18">
        <f t="shared" si="136"/>
        <v>0</v>
      </c>
      <c r="DJ22" s="18">
        <f t="shared" si="137"/>
        <v>0</v>
      </c>
      <c r="DK22" s="18">
        <f t="shared" si="138"/>
        <v>0</v>
      </c>
      <c r="DL22" s="18">
        <f t="shared" si="139"/>
        <v>0</v>
      </c>
      <c r="DM22" s="18">
        <f t="shared" si="140"/>
        <v>0</v>
      </c>
      <c r="DN22" s="18">
        <f t="shared" si="141"/>
        <v>0</v>
      </c>
      <c r="DO22" s="19">
        <f t="shared" si="142"/>
        <v>0.99118387001434516</v>
      </c>
      <c r="DP22" s="18">
        <f t="shared" si="143"/>
        <v>0</v>
      </c>
      <c r="DQ22" s="18">
        <f t="shared" si="144"/>
        <v>0</v>
      </c>
      <c r="DR22" s="18">
        <f t="shared" si="145"/>
        <v>0</v>
      </c>
      <c r="DS22" s="18">
        <f t="shared" si="146"/>
        <v>0</v>
      </c>
      <c r="DT22" s="20">
        <f t="shared" si="147"/>
        <v>0</v>
      </c>
      <c r="DU22" s="20">
        <f t="shared" si="148"/>
        <v>0</v>
      </c>
      <c r="DV22" s="20">
        <f t="shared" si="149"/>
        <v>8.8161299856548657E-3</v>
      </c>
      <c r="DW22" s="18">
        <f t="shared" si="150"/>
        <v>0</v>
      </c>
      <c r="DX22" s="49">
        <f t="shared" si="151"/>
        <v>1</v>
      </c>
      <c r="DZ22" s="45">
        <f t="shared" si="256"/>
        <v>1</v>
      </c>
      <c r="EA22" s="18">
        <f t="shared" si="152"/>
        <v>0</v>
      </c>
      <c r="EB22" s="18">
        <f t="shared" si="153"/>
        <v>0</v>
      </c>
      <c r="EC22" s="18">
        <f t="shared" si="154"/>
        <v>0</v>
      </c>
      <c r="ED22" s="18">
        <f t="shared" si="155"/>
        <v>0</v>
      </c>
      <c r="EE22" s="18">
        <f t="shared" si="156"/>
        <v>0</v>
      </c>
      <c r="EF22" s="18">
        <f t="shared" si="157"/>
        <v>0</v>
      </c>
      <c r="EG22" s="19">
        <f t="shared" si="158"/>
        <v>0.94172404361137985</v>
      </c>
      <c r="EH22" s="18">
        <f t="shared" si="159"/>
        <v>0</v>
      </c>
      <c r="EI22" s="18">
        <f t="shared" si="160"/>
        <v>0</v>
      </c>
      <c r="EJ22" s="18">
        <f t="shared" si="161"/>
        <v>0</v>
      </c>
      <c r="EK22" s="18">
        <f t="shared" si="162"/>
        <v>0</v>
      </c>
      <c r="EL22" s="20">
        <f t="shared" si="163"/>
        <v>0</v>
      </c>
      <c r="EM22" s="20">
        <f t="shared" si="164"/>
        <v>0</v>
      </c>
      <c r="EN22" s="20">
        <f t="shared" si="165"/>
        <v>5.8275956388620098E-2</v>
      </c>
      <c r="EO22" s="18">
        <f t="shared" si="166"/>
        <v>0</v>
      </c>
      <c r="EP22" s="49">
        <f t="shared" si="167"/>
        <v>1</v>
      </c>
      <c r="ER22" s="45">
        <f t="shared" si="257"/>
        <v>1</v>
      </c>
      <c r="ES22" s="18">
        <f t="shared" si="168"/>
        <v>0</v>
      </c>
      <c r="ET22" s="18">
        <f t="shared" si="169"/>
        <v>0</v>
      </c>
      <c r="EU22" s="18">
        <f t="shared" si="170"/>
        <v>0</v>
      </c>
      <c r="EV22" s="18">
        <f t="shared" si="171"/>
        <v>0</v>
      </c>
      <c r="EW22" s="18">
        <f t="shared" si="172"/>
        <v>0</v>
      </c>
      <c r="EX22" s="18">
        <f t="shared" si="173"/>
        <v>0</v>
      </c>
      <c r="EY22" s="19">
        <f t="shared" si="174"/>
        <v>0.88072013661755766</v>
      </c>
      <c r="EZ22" s="18">
        <f t="shared" si="175"/>
        <v>0</v>
      </c>
      <c r="FA22" s="18">
        <f t="shared" si="176"/>
        <v>0</v>
      </c>
      <c r="FB22" s="18">
        <f t="shared" si="177"/>
        <v>0</v>
      </c>
      <c r="FC22" s="18">
        <f t="shared" si="178"/>
        <v>0</v>
      </c>
      <c r="FD22" s="20">
        <f t="shared" si="179"/>
        <v>0</v>
      </c>
      <c r="FE22" s="20">
        <f t="shared" si="180"/>
        <v>0</v>
      </c>
      <c r="FF22" s="20">
        <f t="shared" si="181"/>
        <v>0.11927986338244233</v>
      </c>
      <c r="FG22" s="18">
        <f t="shared" si="182"/>
        <v>0</v>
      </c>
      <c r="FH22" s="49">
        <f t="shared" si="183"/>
        <v>1</v>
      </c>
      <c r="FJ22" s="45">
        <f t="shared" si="258"/>
        <v>1</v>
      </c>
      <c r="FK22" s="18">
        <f t="shared" si="184"/>
        <v>0</v>
      </c>
      <c r="FL22" s="18">
        <f t="shared" si="185"/>
        <v>0</v>
      </c>
      <c r="FM22" s="18">
        <f t="shared" si="186"/>
        <v>0</v>
      </c>
      <c r="FN22" s="18">
        <f t="shared" si="187"/>
        <v>0</v>
      </c>
      <c r="FO22" s="18">
        <f t="shared" si="188"/>
        <v>0</v>
      </c>
      <c r="FP22" s="18">
        <f t="shared" si="189"/>
        <v>0</v>
      </c>
      <c r="FQ22" s="19">
        <f t="shared" si="190"/>
        <v>0.747</v>
      </c>
      <c r="FR22" s="18">
        <f t="shared" si="191"/>
        <v>0</v>
      </c>
      <c r="FS22" s="18">
        <f t="shared" si="192"/>
        <v>0</v>
      </c>
      <c r="FT22" s="18">
        <f t="shared" si="193"/>
        <v>0</v>
      </c>
      <c r="FU22" s="18">
        <f t="shared" si="194"/>
        <v>0</v>
      </c>
      <c r="FV22" s="20">
        <f t="shared" si="195"/>
        <v>0</v>
      </c>
      <c r="FW22" s="20">
        <f t="shared" si="196"/>
        <v>0</v>
      </c>
      <c r="FX22" s="20">
        <f t="shared" si="197"/>
        <v>0.253</v>
      </c>
      <c r="FY22" s="18">
        <f t="shared" si="198"/>
        <v>0</v>
      </c>
      <c r="FZ22" s="49">
        <f t="shared" si="199"/>
        <v>1</v>
      </c>
      <c r="GB22" s="45">
        <f t="shared" si="259"/>
        <v>1.0014847593816414</v>
      </c>
      <c r="GC22" s="18">
        <f t="shared" si="200"/>
        <v>0</v>
      </c>
      <c r="GD22" s="18">
        <f t="shared" si="201"/>
        <v>0</v>
      </c>
      <c r="GE22" s="18">
        <f t="shared" si="202"/>
        <v>0</v>
      </c>
      <c r="GF22" s="18">
        <f t="shared" si="203"/>
        <v>0</v>
      </c>
      <c r="GG22" s="18">
        <f t="shared" si="204"/>
        <v>0</v>
      </c>
      <c r="GH22" s="18">
        <f t="shared" si="205"/>
        <v>0</v>
      </c>
      <c r="GI22" s="19">
        <f t="shared" si="206"/>
        <v>0.80060554892427727</v>
      </c>
      <c r="GJ22" s="18">
        <f t="shared" si="207"/>
        <v>0</v>
      </c>
      <c r="GK22" s="18">
        <f t="shared" si="208"/>
        <v>0</v>
      </c>
      <c r="GL22" s="18">
        <f t="shared" si="209"/>
        <v>0</v>
      </c>
      <c r="GM22" s="18">
        <f t="shared" si="210"/>
        <v>0</v>
      </c>
      <c r="GN22" s="20">
        <f t="shared" si="211"/>
        <v>0</v>
      </c>
      <c r="GO22" s="20">
        <f t="shared" si="212"/>
        <v>0</v>
      </c>
      <c r="GP22" s="20">
        <f t="shared" si="213"/>
        <v>0.19939445107572273</v>
      </c>
      <c r="GQ22" s="18">
        <f t="shared" si="214"/>
        <v>0</v>
      </c>
      <c r="GR22" s="49">
        <f t="shared" si="215"/>
        <v>1</v>
      </c>
      <c r="GT22" s="45">
        <f t="shared" si="260"/>
        <v>1</v>
      </c>
      <c r="GU22" s="18">
        <f t="shared" si="216"/>
        <v>0</v>
      </c>
      <c r="GV22" s="18">
        <f t="shared" si="217"/>
        <v>0</v>
      </c>
      <c r="GW22" s="18">
        <f t="shared" si="218"/>
        <v>0</v>
      </c>
      <c r="GX22" s="18">
        <f t="shared" si="219"/>
        <v>0</v>
      </c>
      <c r="GY22" s="18">
        <f t="shared" si="220"/>
        <v>0</v>
      </c>
      <c r="GZ22" s="18">
        <f t="shared" si="221"/>
        <v>0</v>
      </c>
      <c r="HA22" s="19">
        <f t="shared" si="222"/>
        <v>0.94101944911755764</v>
      </c>
      <c r="HB22" s="18">
        <f t="shared" si="223"/>
        <v>0</v>
      </c>
      <c r="HC22" s="18">
        <f t="shared" si="224"/>
        <v>0</v>
      </c>
      <c r="HD22" s="18">
        <f t="shared" si="225"/>
        <v>0</v>
      </c>
      <c r="HE22" s="18">
        <f t="shared" si="226"/>
        <v>0</v>
      </c>
      <c r="HF22" s="20">
        <f t="shared" si="227"/>
        <v>0</v>
      </c>
      <c r="HG22" s="20">
        <f t="shared" si="228"/>
        <v>0</v>
      </c>
      <c r="HH22" s="20">
        <f t="shared" si="229"/>
        <v>5.8980550882442404E-2</v>
      </c>
      <c r="HI22" s="18">
        <f t="shared" si="230"/>
        <v>0</v>
      </c>
      <c r="HJ22" s="49">
        <f t="shared" si="231"/>
        <v>1</v>
      </c>
      <c r="HL22" s="45">
        <f t="shared" si="261"/>
        <v>1.0003409880785321</v>
      </c>
      <c r="HM22" s="18">
        <f t="shared" si="232"/>
        <v>0</v>
      </c>
      <c r="HN22" s="18">
        <f t="shared" si="233"/>
        <v>0</v>
      </c>
      <c r="HO22" s="18">
        <f t="shared" si="234"/>
        <v>0</v>
      </c>
      <c r="HP22" s="18">
        <f t="shared" si="235"/>
        <v>0</v>
      </c>
      <c r="HQ22" s="18">
        <f t="shared" si="236"/>
        <v>0</v>
      </c>
      <c r="HR22" s="18">
        <f t="shared" si="237"/>
        <v>0</v>
      </c>
      <c r="HS22" s="19">
        <f t="shared" si="238"/>
        <v>0.84251596742252355</v>
      </c>
      <c r="HT22" s="18">
        <f t="shared" si="239"/>
        <v>3.6066046767826467E-2</v>
      </c>
      <c r="HU22" s="18">
        <f t="shared" si="240"/>
        <v>0</v>
      </c>
      <c r="HV22" s="18">
        <f t="shared" si="241"/>
        <v>0</v>
      </c>
      <c r="HW22" s="18">
        <f t="shared" si="242"/>
        <v>0</v>
      </c>
      <c r="HX22" s="20">
        <f t="shared" si="243"/>
        <v>0</v>
      </c>
      <c r="HY22" s="20">
        <f t="shared" si="244"/>
        <v>0</v>
      </c>
      <c r="HZ22" s="20">
        <f t="shared" si="245"/>
        <v>0.12141798580964996</v>
      </c>
      <c r="IA22" s="18">
        <f t="shared" si="246"/>
        <v>0</v>
      </c>
      <c r="IB22" s="49">
        <f t="shared" si="247"/>
        <v>1</v>
      </c>
    </row>
    <row r="23" spans="2:236" s="11" customFormat="1" x14ac:dyDescent="0.35">
      <c r="B23" s="17" t="s">
        <v>76</v>
      </c>
      <c r="C23" s="17"/>
      <c r="D23" s="45">
        <f t="shared" si="248"/>
        <v>0</v>
      </c>
      <c r="E23" s="18">
        <f t="shared" si="249"/>
        <v>0</v>
      </c>
      <c r="F23" s="18">
        <f t="shared" si="41"/>
        <v>0</v>
      </c>
      <c r="G23" s="18">
        <f t="shared" si="42"/>
        <v>0</v>
      </c>
      <c r="H23" s="18">
        <f t="shared" si="43"/>
        <v>0</v>
      </c>
      <c r="I23" s="18">
        <f t="shared" si="44"/>
        <v>0</v>
      </c>
      <c r="J23" s="18">
        <f t="shared" si="45"/>
        <v>0</v>
      </c>
      <c r="K23" s="18">
        <f t="shared" si="46"/>
        <v>0</v>
      </c>
      <c r="L23" s="18">
        <f t="shared" si="47"/>
        <v>0</v>
      </c>
      <c r="M23" s="18">
        <f t="shared" si="48"/>
        <v>0</v>
      </c>
      <c r="N23" s="18">
        <f t="shared" si="49"/>
        <v>0</v>
      </c>
      <c r="O23" s="18">
        <f t="shared" si="50"/>
        <v>0</v>
      </c>
      <c r="P23" s="20">
        <f t="shared" si="51"/>
        <v>0</v>
      </c>
      <c r="Q23" s="20">
        <f t="shared" si="52"/>
        <v>0</v>
      </c>
      <c r="R23" s="20">
        <f t="shared" si="53"/>
        <v>0</v>
      </c>
      <c r="S23" s="18">
        <f t="shared" si="54"/>
        <v>0</v>
      </c>
      <c r="T23" s="49">
        <f t="shared" si="55"/>
        <v>0</v>
      </c>
      <c r="V23" s="45">
        <f t="shared" si="250"/>
        <v>0</v>
      </c>
      <c r="W23" s="18">
        <f t="shared" si="56"/>
        <v>0</v>
      </c>
      <c r="X23" s="18">
        <f t="shared" si="57"/>
        <v>0</v>
      </c>
      <c r="Y23" s="18">
        <f t="shared" si="58"/>
        <v>0</v>
      </c>
      <c r="Z23" s="18">
        <f t="shared" si="59"/>
        <v>0</v>
      </c>
      <c r="AA23" s="18">
        <f t="shared" si="60"/>
        <v>0</v>
      </c>
      <c r="AB23" s="18">
        <f t="shared" si="61"/>
        <v>0</v>
      </c>
      <c r="AC23" s="18">
        <f t="shared" si="62"/>
        <v>0</v>
      </c>
      <c r="AD23" s="18">
        <f t="shared" si="63"/>
        <v>0</v>
      </c>
      <c r="AE23" s="18">
        <f t="shared" si="64"/>
        <v>0</v>
      </c>
      <c r="AF23" s="18">
        <f t="shared" si="65"/>
        <v>0</v>
      </c>
      <c r="AG23" s="18">
        <f t="shared" si="66"/>
        <v>0</v>
      </c>
      <c r="AH23" s="20">
        <f t="shared" si="67"/>
        <v>0</v>
      </c>
      <c r="AI23" s="20">
        <f t="shared" si="68"/>
        <v>0</v>
      </c>
      <c r="AJ23" s="20">
        <f t="shared" si="69"/>
        <v>0</v>
      </c>
      <c r="AK23" s="18">
        <f t="shared" si="70"/>
        <v>0</v>
      </c>
      <c r="AL23" s="49">
        <f t="shared" si="71"/>
        <v>0</v>
      </c>
      <c r="AN23" s="45">
        <f t="shared" si="251"/>
        <v>0</v>
      </c>
      <c r="AO23" s="18">
        <f t="shared" si="72"/>
        <v>0</v>
      </c>
      <c r="AP23" s="18">
        <f t="shared" si="73"/>
        <v>0</v>
      </c>
      <c r="AQ23" s="18">
        <f t="shared" si="74"/>
        <v>0</v>
      </c>
      <c r="AR23" s="18">
        <f t="shared" si="75"/>
        <v>0</v>
      </c>
      <c r="AS23" s="18">
        <f t="shared" si="76"/>
        <v>0</v>
      </c>
      <c r="AT23" s="18">
        <f t="shared" si="77"/>
        <v>0</v>
      </c>
      <c r="AU23" s="18">
        <f t="shared" si="78"/>
        <v>0</v>
      </c>
      <c r="AV23" s="18">
        <f t="shared" si="79"/>
        <v>0</v>
      </c>
      <c r="AW23" s="18">
        <f t="shared" si="80"/>
        <v>0</v>
      </c>
      <c r="AX23" s="18">
        <f t="shared" si="81"/>
        <v>0</v>
      </c>
      <c r="AY23" s="18">
        <f t="shared" si="82"/>
        <v>0</v>
      </c>
      <c r="AZ23" s="20">
        <f t="shared" si="83"/>
        <v>0</v>
      </c>
      <c r="BA23" s="20">
        <f t="shared" si="84"/>
        <v>0</v>
      </c>
      <c r="BB23" s="20">
        <f t="shared" si="85"/>
        <v>0</v>
      </c>
      <c r="BC23" s="18">
        <f t="shared" si="86"/>
        <v>0</v>
      </c>
      <c r="BD23" s="49">
        <f t="shared" si="87"/>
        <v>0</v>
      </c>
      <c r="BF23" s="45">
        <f t="shared" si="252"/>
        <v>0</v>
      </c>
      <c r="BG23" s="18">
        <f t="shared" si="88"/>
        <v>0</v>
      </c>
      <c r="BH23" s="18">
        <f t="shared" si="89"/>
        <v>0</v>
      </c>
      <c r="BI23" s="18">
        <f t="shared" si="90"/>
        <v>0</v>
      </c>
      <c r="BJ23" s="18">
        <f t="shared" si="91"/>
        <v>0</v>
      </c>
      <c r="BK23" s="18">
        <f t="shared" si="92"/>
        <v>0</v>
      </c>
      <c r="BL23" s="18">
        <f t="shared" si="93"/>
        <v>0</v>
      </c>
      <c r="BM23" s="18">
        <f t="shared" si="94"/>
        <v>0</v>
      </c>
      <c r="BN23" s="18">
        <f t="shared" si="95"/>
        <v>0</v>
      </c>
      <c r="BO23" s="18">
        <f t="shared" si="96"/>
        <v>0</v>
      </c>
      <c r="BP23" s="18">
        <f t="shared" si="97"/>
        <v>0</v>
      </c>
      <c r="BQ23" s="18">
        <f t="shared" si="98"/>
        <v>0</v>
      </c>
      <c r="BR23" s="20">
        <f t="shared" si="99"/>
        <v>0</v>
      </c>
      <c r="BS23" s="20">
        <f t="shared" si="100"/>
        <v>0</v>
      </c>
      <c r="BT23" s="20">
        <f t="shared" si="101"/>
        <v>0</v>
      </c>
      <c r="BU23" s="18">
        <f t="shared" si="102"/>
        <v>0</v>
      </c>
      <c r="BV23" s="49">
        <f t="shared" si="103"/>
        <v>0</v>
      </c>
      <c r="BX23" s="45">
        <f t="shared" si="253"/>
        <v>0</v>
      </c>
      <c r="BY23" s="18">
        <f t="shared" si="104"/>
        <v>0</v>
      </c>
      <c r="BZ23" s="18">
        <f t="shared" si="105"/>
        <v>0</v>
      </c>
      <c r="CA23" s="18">
        <f t="shared" si="106"/>
        <v>0</v>
      </c>
      <c r="CB23" s="18">
        <f t="shared" si="107"/>
        <v>0</v>
      </c>
      <c r="CC23" s="18">
        <f t="shared" si="108"/>
        <v>0</v>
      </c>
      <c r="CD23" s="18">
        <f t="shared" si="109"/>
        <v>0</v>
      </c>
      <c r="CE23" s="18">
        <f t="shared" si="110"/>
        <v>0</v>
      </c>
      <c r="CF23" s="18">
        <f t="shared" si="111"/>
        <v>0</v>
      </c>
      <c r="CG23" s="18">
        <f t="shared" si="112"/>
        <v>0</v>
      </c>
      <c r="CH23" s="18">
        <f t="shared" si="113"/>
        <v>0</v>
      </c>
      <c r="CI23" s="18">
        <f t="shared" si="114"/>
        <v>0</v>
      </c>
      <c r="CJ23" s="20">
        <f t="shared" si="115"/>
        <v>0</v>
      </c>
      <c r="CK23" s="20">
        <f t="shared" si="116"/>
        <v>0</v>
      </c>
      <c r="CL23" s="20">
        <f t="shared" si="117"/>
        <v>0</v>
      </c>
      <c r="CM23" s="18">
        <f t="shared" si="118"/>
        <v>0</v>
      </c>
      <c r="CN23" s="49">
        <f t="shared" si="119"/>
        <v>0</v>
      </c>
      <c r="CP23" s="45">
        <f t="shared" si="254"/>
        <v>0</v>
      </c>
      <c r="CQ23" s="18">
        <f t="shared" si="120"/>
        <v>0</v>
      </c>
      <c r="CR23" s="18">
        <f t="shared" si="121"/>
        <v>0</v>
      </c>
      <c r="CS23" s="18">
        <f t="shared" si="122"/>
        <v>0</v>
      </c>
      <c r="CT23" s="18">
        <f t="shared" si="123"/>
        <v>0</v>
      </c>
      <c r="CU23" s="18">
        <f t="shared" si="124"/>
        <v>0</v>
      </c>
      <c r="CV23" s="18">
        <f t="shared" si="125"/>
        <v>0</v>
      </c>
      <c r="CW23" s="18">
        <f t="shared" si="126"/>
        <v>0</v>
      </c>
      <c r="CX23" s="18">
        <f t="shared" si="127"/>
        <v>0</v>
      </c>
      <c r="CY23" s="18">
        <f t="shared" si="128"/>
        <v>0</v>
      </c>
      <c r="CZ23" s="18">
        <f t="shared" si="129"/>
        <v>0</v>
      </c>
      <c r="DA23" s="18">
        <f t="shared" si="130"/>
        <v>0</v>
      </c>
      <c r="DB23" s="20">
        <f t="shared" si="131"/>
        <v>0</v>
      </c>
      <c r="DC23" s="20">
        <f t="shared" si="132"/>
        <v>0</v>
      </c>
      <c r="DD23" s="20">
        <f t="shared" si="133"/>
        <v>0</v>
      </c>
      <c r="DE23" s="18">
        <f t="shared" si="134"/>
        <v>0</v>
      </c>
      <c r="DF23" s="49">
        <f t="shared" si="135"/>
        <v>0</v>
      </c>
      <c r="DH23" s="45">
        <f t="shared" si="255"/>
        <v>0</v>
      </c>
      <c r="DI23" s="18">
        <f t="shared" si="136"/>
        <v>0</v>
      </c>
      <c r="DJ23" s="18">
        <f t="shared" si="137"/>
        <v>0</v>
      </c>
      <c r="DK23" s="18">
        <f t="shared" si="138"/>
        <v>0</v>
      </c>
      <c r="DL23" s="18">
        <f t="shared" si="139"/>
        <v>0</v>
      </c>
      <c r="DM23" s="18">
        <f t="shared" si="140"/>
        <v>0</v>
      </c>
      <c r="DN23" s="18">
        <f t="shared" si="141"/>
        <v>0</v>
      </c>
      <c r="DO23" s="18">
        <f t="shared" si="142"/>
        <v>0</v>
      </c>
      <c r="DP23" s="18">
        <f t="shared" si="143"/>
        <v>0</v>
      </c>
      <c r="DQ23" s="18">
        <f t="shared" si="144"/>
        <v>0</v>
      </c>
      <c r="DR23" s="18">
        <f t="shared" si="145"/>
        <v>0</v>
      </c>
      <c r="DS23" s="18">
        <f t="shared" si="146"/>
        <v>0</v>
      </c>
      <c r="DT23" s="20">
        <f t="shared" si="147"/>
        <v>0</v>
      </c>
      <c r="DU23" s="20">
        <f t="shared" si="148"/>
        <v>0</v>
      </c>
      <c r="DV23" s="20">
        <f t="shared" si="149"/>
        <v>0</v>
      </c>
      <c r="DW23" s="18">
        <f t="shared" si="150"/>
        <v>0</v>
      </c>
      <c r="DX23" s="49">
        <f t="shared" si="151"/>
        <v>0</v>
      </c>
      <c r="DZ23" s="45">
        <f t="shared" si="256"/>
        <v>0</v>
      </c>
      <c r="EA23" s="18">
        <f t="shared" si="152"/>
        <v>0</v>
      </c>
      <c r="EB23" s="18">
        <f t="shared" si="153"/>
        <v>0</v>
      </c>
      <c r="EC23" s="18">
        <f t="shared" si="154"/>
        <v>0</v>
      </c>
      <c r="ED23" s="18">
        <f t="shared" si="155"/>
        <v>0</v>
      </c>
      <c r="EE23" s="18">
        <f t="shared" si="156"/>
        <v>0</v>
      </c>
      <c r="EF23" s="18">
        <f t="shared" si="157"/>
        <v>0</v>
      </c>
      <c r="EG23" s="18">
        <f t="shared" si="158"/>
        <v>0</v>
      </c>
      <c r="EH23" s="18">
        <f t="shared" si="159"/>
        <v>0</v>
      </c>
      <c r="EI23" s="18">
        <f t="shared" si="160"/>
        <v>0</v>
      </c>
      <c r="EJ23" s="18">
        <f t="shared" si="161"/>
        <v>0</v>
      </c>
      <c r="EK23" s="18">
        <f t="shared" si="162"/>
        <v>0</v>
      </c>
      <c r="EL23" s="20">
        <f t="shared" si="163"/>
        <v>0</v>
      </c>
      <c r="EM23" s="20">
        <f t="shared" si="164"/>
        <v>0</v>
      </c>
      <c r="EN23" s="20">
        <f t="shared" si="165"/>
        <v>0</v>
      </c>
      <c r="EO23" s="18">
        <f t="shared" si="166"/>
        <v>0</v>
      </c>
      <c r="EP23" s="49">
        <f t="shared" si="167"/>
        <v>0</v>
      </c>
      <c r="ER23" s="45">
        <f t="shared" si="257"/>
        <v>0</v>
      </c>
      <c r="ES23" s="18">
        <f t="shared" si="168"/>
        <v>0</v>
      </c>
      <c r="ET23" s="18">
        <f t="shared" si="169"/>
        <v>0</v>
      </c>
      <c r="EU23" s="18">
        <f t="shared" si="170"/>
        <v>0</v>
      </c>
      <c r="EV23" s="18">
        <f t="shared" si="171"/>
        <v>0</v>
      </c>
      <c r="EW23" s="18">
        <f t="shared" si="172"/>
        <v>0</v>
      </c>
      <c r="EX23" s="18">
        <f t="shared" si="173"/>
        <v>0</v>
      </c>
      <c r="EY23" s="18">
        <f t="shared" si="174"/>
        <v>0</v>
      </c>
      <c r="EZ23" s="18">
        <f t="shared" si="175"/>
        <v>0</v>
      </c>
      <c r="FA23" s="18">
        <f t="shared" si="176"/>
        <v>0</v>
      </c>
      <c r="FB23" s="18">
        <f t="shared" si="177"/>
        <v>0</v>
      </c>
      <c r="FC23" s="18">
        <f t="shared" si="178"/>
        <v>0</v>
      </c>
      <c r="FD23" s="20">
        <f t="shared" si="179"/>
        <v>0</v>
      </c>
      <c r="FE23" s="20">
        <f t="shared" si="180"/>
        <v>0</v>
      </c>
      <c r="FF23" s="20">
        <f t="shared" si="181"/>
        <v>0</v>
      </c>
      <c r="FG23" s="18">
        <f t="shared" si="182"/>
        <v>0</v>
      </c>
      <c r="FH23" s="49">
        <f t="shared" si="183"/>
        <v>0</v>
      </c>
      <c r="FJ23" s="45">
        <f t="shared" si="258"/>
        <v>0</v>
      </c>
      <c r="FK23" s="18">
        <f t="shared" si="184"/>
        <v>0</v>
      </c>
      <c r="FL23" s="18">
        <f t="shared" si="185"/>
        <v>0</v>
      </c>
      <c r="FM23" s="18">
        <f t="shared" si="186"/>
        <v>0</v>
      </c>
      <c r="FN23" s="18">
        <f t="shared" si="187"/>
        <v>0</v>
      </c>
      <c r="FO23" s="18">
        <f t="shared" si="188"/>
        <v>0</v>
      </c>
      <c r="FP23" s="18">
        <f t="shared" si="189"/>
        <v>0</v>
      </c>
      <c r="FQ23" s="18">
        <f t="shared" si="190"/>
        <v>0</v>
      </c>
      <c r="FR23" s="18">
        <f t="shared" si="191"/>
        <v>0</v>
      </c>
      <c r="FS23" s="18">
        <f t="shared" si="192"/>
        <v>0</v>
      </c>
      <c r="FT23" s="18">
        <f t="shared" si="193"/>
        <v>0</v>
      </c>
      <c r="FU23" s="18">
        <f t="shared" si="194"/>
        <v>0</v>
      </c>
      <c r="FV23" s="20">
        <f t="shared" si="195"/>
        <v>0</v>
      </c>
      <c r="FW23" s="20">
        <f t="shared" si="196"/>
        <v>0</v>
      </c>
      <c r="FX23" s="20">
        <f t="shared" si="197"/>
        <v>0</v>
      </c>
      <c r="FY23" s="18">
        <f t="shared" si="198"/>
        <v>0</v>
      </c>
      <c r="FZ23" s="49">
        <f t="shared" si="199"/>
        <v>0</v>
      </c>
      <c r="GB23" s="45">
        <f t="shared" si="259"/>
        <v>0</v>
      </c>
      <c r="GC23" s="18">
        <f t="shared" si="200"/>
        <v>0</v>
      </c>
      <c r="GD23" s="18">
        <f t="shared" si="201"/>
        <v>0</v>
      </c>
      <c r="GE23" s="18">
        <f t="shared" si="202"/>
        <v>0</v>
      </c>
      <c r="GF23" s="18">
        <f t="shared" si="203"/>
        <v>0</v>
      </c>
      <c r="GG23" s="18">
        <f t="shared" si="204"/>
        <v>0</v>
      </c>
      <c r="GH23" s="18">
        <f t="shared" si="205"/>
        <v>0</v>
      </c>
      <c r="GI23" s="18">
        <f t="shared" si="206"/>
        <v>0</v>
      </c>
      <c r="GJ23" s="18">
        <f t="shared" si="207"/>
        <v>0</v>
      </c>
      <c r="GK23" s="18">
        <f t="shared" si="208"/>
        <v>0</v>
      </c>
      <c r="GL23" s="18">
        <f t="shared" si="209"/>
        <v>0</v>
      </c>
      <c r="GM23" s="18">
        <f t="shared" si="210"/>
        <v>0</v>
      </c>
      <c r="GN23" s="20">
        <f t="shared" si="211"/>
        <v>0</v>
      </c>
      <c r="GO23" s="20">
        <f t="shared" si="212"/>
        <v>0</v>
      </c>
      <c r="GP23" s="20">
        <f t="shared" si="213"/>
        <v>0</v>
      </c>
      <c r="GQ23" s="18">
        <f t="shared" si="214"/>
        <v>0</v>
      </c>
      <c r="GR23" s="49">
        <f t="shared" si="215"/>
        <v>0</v>
      </c>
      <c r="GT23" s="45">
        <f t="shared" si="260"/>
        <v>0</v>
      </c>
      <c r="GU23" s="18">
        <f t="shared" si="216"/>
        <v>0</v>
      </c>
      <c r="GV23" s="18">
        <f t="shared" si="217"/>
        <v>0</v>
      </c>
      <c r="GW23" s="18">
        <f t="shared" si="218"/>
        <v>0</v>
      </c>
      <c r="GX23" s="18">
        <f t="shared" si="219"/>
        <v>0</v>
      </c>
      <c r="GY23" s="18">
        <f t="shared" si="220"/>
        <v>0</v>
      </c>
      <c r="GZ23" s="18">
        <f t="shared" si="221"/>
        <v>0</v>
      </c>
      <c r="HA23" s="18">
        <f t="shared" si="222"/>
        <v>0</v>
      </c>
      <c r="HB23" s="18">
        <f t="shared" si="223"/>
        <v>0</v>
      </c>
      <c r="HC23" s="18">
        <f t="shared" si="224"/>
        <v>0</v>
      </c>
      <c r="HD23" s="18">
        <f t="shared" si="225"/>
        <v>0</v>
      </c>
      <c r="HE23" s="18">
        <f t="shared" si="226"/>
        <v>0</v>
      </c>
      <c r="HF23" s="20">
        <f t="shared" si="227"/>
        <v>0</v>
      </c>
      <c r="HG23" s="20">
        <f t="shared" si="228"/>
        <v>0</v>
      </c>
      <c r="HH23" s="20">
        <f t="shared" si="229"/>
        <v>0</v>
      </c>
      <c r="HI23" s="18">
        <f t="shared" si="230"/>
        <v>0</v>
      </c>
      <c r="HJ23" s="49">
        <f t="shared" si="231"/>
        <v>0</v>
      </c>
      <c r="HL23" s="45">
        <f t="shared" si="261"/>
        <v>0</v>
      </c>
      <c r="HM23" s="18">
        <f t="shared" si="232"/>
        <v>0</v>
      </c>
      <c r="HN23" s="18">
        <f t="shared" si="233"/>
        <v>0</v>
      </c>
      <c r="HO23" s="18">
        <f t="shared" si="234"/>
        <v>0</v>
      </c>
      <c r="HP23" s="18">
        <f t="shared" si="235"/>
        <v>0</v>
      </c>
      <c r="HQ23" s="18">
        <f t="shared" si="236"/>
        <v>0</v>
      </c>
      <c r="HR23" s="18">
        <f t="shared" si="237"/>
        <v>0</v>
      </c>
      <c r="HS23" s="18">
        <f t="shared" si="238"/>
        <v>0</v>
      </c>
      <c r="HT23" s="18">
        <f t="shared" si="239"/>
        <v>0</v>
      </c>
      <c r="HU23" s="18">
        <f t="shared" si="240"/>
        <v>0</v>
      </c>
      <c r="HV23" s="18">
        <f t="shared" si="241"/>
        <v>0</v>
      </c>
      <c r="HW23" s="18">
        <f t="shared" si="242"/>
        <v>0</v>
      </c>
      <c r="HX23" s="20">
        <f t="shared" si="243"/>
        <v>0</v>
      </c>
      <c r="HY23" s="20">
        <f t="shared" si="244"/>
        <v>0</v>
      </c>
      <c r="HZ23" s="20">
        <f t="shared" si="245"/>
        <v>0</v>
      </c>
      <c r="IA23" s="18">
        <f t="shared" si="246"/>
        <v>0</v>
      </c>
      <c r="IB23" s="49">
        <f t="shared" si="247"/>
        <v>0</v>
      </c>
    </row>
    <row r="24" spans="2:236" s="11" customFormat="1" x14ac:dyDescent="0.35">
      <c r="B24" s="35" t="s">
        <v>158</v>
      </c>
      <c r="C24" s="17"/>
      <c r="D24" s="45">
        <f t="shared" si="248"/>
        <v>1.003302234023695</v>
      </c>
      <c r="E24" s="36">
        <f t="shared" ref="E24" si="262">IFERROR(E13/T13,0)</f>
        <v>0.14399887752745938</v>
      </c>
      <c r="F24" s="36">
        <f t="shared" ref="F24" si="263">IFERROR(F13/T13,0)</f>
        <v>0.13323935625786945</v>
      </c>
      <c r="G24" s="36">
        <f t="shared" ref="G24" si="264">IFERROR(G13/T13,0)</f>
        <v>0.57125938121401254</v>
      </c>
      <c r="H24" s="36">
        <f t="shared" ref="H24" si="265">IFERROR(H13/T13,0)</f>
        <v>2.2472705617778751E-2</v>
      </c>
      <c r="I24" s="36">
        <f t="shared" ref="I24" si="266">IFERROR(I13/T13,0)</f>
        <v>5.5798926406301179E-2</v>
      </c>
      <c r="J24" s="36">
        <f t="shared" ref="J24" si="267">IFERROR(J13/T13,0)</f>
        <v>1.1367161090291258E-4</v>
      </c>
      <c r="K24" s="36">
        <f t="shared" ref="K24" si="268">IFERROR(K13/T13,0)</f>
        <v>3.4242553913691944E-2</v>
      </c>
      <c r="L24" s="36">
        <f t="shared" ref="L24" si="269">IFERROR(L13/T13,0)</f>
        <v>1.3503107126695878E-4</v>
      </c>
      <c r="M24" s="36">
        <f t="shared" ref="M24" si="270">IFERROR(M13/T13,0)</f>
        <v>4.050932138008764E-4</v>
      </c>
      <c r="N24" s="36">
        <f t="shared" ref="N24" si="271">IFERROR(N13/T13,0)</f>
        <v>0</v>
      </c>
      <c r="O24" s="36">
        <f t="shared" ref="O24" si="272">IFERROR(O13/T13,0)</f>
        <v>3.2407457104070109E-4</v>
      </c>
      <c r="P24" s="37">
        <f t="shared" ref="P24" si="273">IFERROR(P13/T13,0)</f>
        <v>1.6203728552035055E-4</v>
      </c>
      <c r="Q24" s="37">
        <f t="shared" ref="Q24" si="274">IFERROR(Q13/T13,0)</f>
        <v>0</v>
      </c>
      <c r="R24" s="37">
        <f t="shared" ref="R24" si="275">IFERROR(R13/T13,0)</f>
        <v>3.784829131035497E-2</v>
      </c>
      <c r="S24" s="36">
        <f t="shared" ref="S24" si="276">IFERROR(S13/T13,0)</f>
        <v>0</v>
      </c>
      <c r="T24" s="49">
        <f t="shared" si="55"/>
        <v>1</v>
      </c>
      <c r="V24" s="45">
        <f t="shared" si="250"/>
        <v>1.0056365471536963</v>
      </c>
      <c r="W24" s="36">
        <f t="shared" ref="W24" si="277">IFERROR(W13/AL13,0)</f>
        <v>5.0630366576169379E-2</v>
      </c>
      <c r="X24" s="36">
        <f t="shared" ref="X24" si="278">IFERROR(X13/AL13,0)</f>
        <v>0.16477905934422862</v>
      </c>
      <c r="Y24" s="36">
        <f t="shared" ref="Y24" si="279">IFERROR(Y13/AL13,0)</f>
        <v>0.713099967925103</v>
      </c>
      <c r="Z24" s="36">
        <f t="shared" ref="Z24" si="280">IFERROR(Z13/AL13,0)</f>
        <v>3.7034186258119842E-2</v>
      </c>
      <c r="AA24" s="36">
        <f t="shared" ref="AA24" si="281">IFERROR(AA13/AL13,0)</f>
        <v>5.1592395436599091E-3</v>
      </c>
      <c r="AB24" s="36">
        <f t="shared" ref="AB24" si="282">IFERROR(AB13/AL13,0)</f>
        <v>0</v>
      </c>
      <c r="AC24" s="36">
        <f t="shared" ref="AC24" si="283">IFERROR(AC13/AL13,0)</f>
        <v>1.8773953962601673E-3</v>
      </c>
      <c r="AD24" s="36">
        <f t="shared" ref="AD24" si="284">IFERROR(AD13/AL13,0)</f>
        <v>0</v>
      </c>
      <c r="AE24" s="36">
        <f t="shared" ref="AE24" si="285">IFERROR(AE13/AL13,0)</f>
        <v>0</v>
      </c>
      <c r="AF24" s="36">
        <f t="shared" ref="AF24" si="286">IFERROR(AF13/AL13,0)</f>
        <v>0</v>
      </c>
      <c r="AG24" s="36">
        <f t="shared" ref="AG24" si="287">IFERROR(AG13/AL13,0)</f>
        <v>0</v>
      </c>
      <c r="AH24" s="37">
        <f t="shared" ref="AH24" si="288">IFERROR(AH13/AL13,0)</f>
        <v>0</v>
      </c>
      <c r="AI24" s="37">
        <f t="shared" ref="AI24" si="289">IFERROR(AI13/AL13,0)</f>
        <v>0</v>
      </c>
      <c r="AJ24" s="37">
        <f t="shared" ref="AJ24" si="290">IFERROR(AJ13/AL13,0)</f>
        <v>2.7419784956459036E-2</v>
      </c>
      <c r="AK24" s="36">
        <f t="shared" ref="AK24" si="291">IFERROR(AK13/AL13,0)</f>
        <v>0</v>
      </c>
      <c r="AL24" s="49">
        <f t="shared" si="71"/>
        <v>1</v>
      </c>
      <c r="AN24" s="45">
        <f t="shared" si="251"/>
        <v>1.0054547339475317</v>
      </c>
      <c r="AO24" s="36">
        <f t="shared" ref="AO24" si="292">IFERROR(AO13/BD13,0)</f>
        <v>7.4308211106443062E-2</v>
      </c>
      <c r="AP24" s="36">
        <f t="shared" ref="AP24" si="293">IFERROR(AP13/BD13,0)</f>
        <v>6.4410496767156211E-2</v>
      </c>
      <c r="AQ24" s="36">
        <f t="shared" ref="AQ24" si="294">IFERROR(AQ13/BD13,0)</f>
        <v>0.78086192315728542</v>
      </c>
      <c r="AR24" s="36">
        <f t="shared" ref="AR24" si="295">IFERROR(AR13/BD13,0)</f>
        <v>5.0331699659581085E-2</v>
      </c>
      <c r="AS24" s="36">
        <f t="shared" ref="AS24" si="296">IFERROR(AS13/BD13,0)</f>
        <v>2.4417113801796773E-3</v>
      </c>
      <c r="AT24" s="36">
        <f t="shared" ref="AT24" si="297">IFERROR(AT13/BD13,0)</f>
        <v>0</v>
      </c>
      <c r="AU24" s="36">
        <f t="shared" ref="AU24" si="298">IFERROR(AU13/BD13,0)</f>
        <v>1.4645148718493491E-3</v>
      </c>
      <c r="AV24" s="36">
        <f t="shared" ref="AV24" si="299">IFERROR(AV13/BD13,0)</f>
        <v>0</v>
      </c>
      <c r="AW24" s="36">
        <f t="shared" ref="AW24" si="300">IFERROR(AW13/BD13,0)</f>
        <v>0</v>
      </c>
      <c r="AX24" s="36">
        <f t="shared" ref="AX24" si="301">IFERROR(AX13/BD13,0)</f>
        <v>0</v>
      </c>
      <c r="AY24" s="36">
        <f t="shared" ref="AY24" si="302">IFERROR(AY13/BD13,0)</f>
        <v>0</v>
      </c>
      <c r="AZ24" s="37">
        <f t="shared" ref="AZ24" si="303">IFERROR(AZ13/BD13,0)</f>
        <v>0</v>
      </c>
      <c r="BA24" s="37">
        <f t="shared" ref="BA24" si="304">IFERROR(BA13/BD13,0)</f>
        <v>0</v>
      </c>
      <c r="BB24" s="37">
        <f t="shared" ref="BB24" si="305">IFERROR(BB13/BD13,0)</f>
        <v>2.6181443057505166E-2</v>
      </c>
      <c r="BC24" s="36">
        <f t="shared" ref="BC24" si="306">IFERROR(BC13/BD13,0)</f>
        <v>0</v>
      </c>
      <c r="BD24" s="49">
        <f t="shared" si="87"/>
        <v>1</v>
      </c>
      <c r="BF24" s="45">
        <f t="shared" si="252"/>
        <v>1.0031796092664294</v>
      </c>
      <c r="BG24" s="36">
        <f t="shared" ref="BG24" si="307">IFERROR(BG13/BV13,0)</f>
        <v>6.9534198669416927E-3</v>
      </c>
      <c r="BH24" s="36">
        <f t="shared" ref="BH24" si="308">IFERROR(BH13/BV13,0)</f>
        <v>0.10724312948629303</v>
      </c>
      <c r="BI24" s="36">
        <f t="shared" ref="BI24" si="309">IFERROR(BI13/BV13,0)</f>
        <v>0.81299798399449175</v>
      </c>
      <c r="BJ24" s="36">
        <f t="shared" ref="BJ24" si="310">IFERROR(BJ13/BV13,0)</f>
        <v>2.8883436370373182E-2</v>
      </c>
      <c r="BK24" s="36">
        <f t="shared" ref="BK24" si="311">IFERROR(BK13/BV13,0)</f>
        <v>4.6510112606501595E-3</v>
      </c>
      <c r="BL24" s="36">
        <f t="shared" ref="BL24" si="312">IFERROR(BL13/BV13,0)</f>
        <v>0</v>
      </c>
      <c r="BM24" s="36">
        <f t="shared" ref="BM24" si="313">IFERROR(BM13/BV13,0)</f>
        <v>3.5469735118465857E-3</v>
      </c>
      <c r="BN24" s="36">
        <f t="shared" ref="BN24" si="314">IFERROR(BN13/BV13,0)</f>
        <v>0</v>
      </c>
      <c r="BO24" s="36">
        <f t="shared" ref="BO24" si="315">IFERROR(BO13/BV13,0)</f>
        <v>0</v>
      </c>
      <c r="BP24" s="36">
        <f t="shared" ref="BP24" si="316">IFERROR(BP13/BV13,0)</f>
        <v>0</v>
      </c>
      <c r="BQ24" s="36">
        <f t="shared" ref="BQ24" si="317">IFERROR(BQ13/BV13,0)</f>
        <v>0</v>
      </c>
      <c r="BR24" s="37">
        <f t="shared" ref="BR24" si="318">IFERROR(BR13/BV13,0)</f>
        <v>0</v>
      </c>
      <c r="BS24" s="37">
        <f t="shared" ref="BS24" si="319">IFERROR(BS13/BV13,0)</f>
        <v>0</v>
      </c>
      <c r="BT24" s="37">
        <f t="shared" ref="BT24" si="320">IFERROR(BT13/BV13,0)</f>
        <v>3.5724045509403647E-2</v>
      </c>
      <c r="BU24" s="36">
        <f t="shared" ref="BU24" si="321">IFERROR(BU13/BV13,0)</f>
        <v>0</v>
      </c>
      <c r="BV24" s="49">
        <f t="shared" si="103"/>
        <v>1</v>
      </c>
      <c r="BX24" s="45">
        <f t="shared" si="253"/>
        <v>1.0028251375395907</v>
      </c>
      <c r="BY24" s="36">
        <f t="shared" si="104"/>
        <v>8.395145553138772E-2</v>
      </c>
      <c r="BZ24" s="36">
        <f t="shared" si="105"/>
        <v>0.15849521621447363</v>
      </c>
      <c r="CA24" s="36">
        <f t="shared" si="106"/>
        <v>0.68753347202429593</v>
      </c>
      <c r="CB24" s="36">
        <f t="shared" si="107"/>
        <v>3.1119936102152343E-2</v>
      </c>
      <c r="CC24" s="36">
        <f t="shared" si="108"/>
        <v>1.0132072219305413E-2</v>
      </c>
      <c r="CD24" s="36">
        <f t="shared" si="109"/>
        <v>0</v>
      </c>
      <c r="CE24" s="36">
        <f t="shared" si="110"/>
        <v>0</v>
      </c>
      <c r="CF24" s="36">
        <f t="shared" si="111"/>
        <v>0</v>
      </c>
      <c r="CG24" s="36">
        <f t="shared" si="112"/>
        <v>0</v>
      </c>
      <c r="CH24" s="36">
        <f t="shared" si="113"/>
        <v>0</v>
      </c>
      <c r="CI24" s="36">
        <f t="shared" si="114"/>
        <v>0</v>
      </c>
      <c r="CJ24" s="37">
        <f t="shared" si="115"/>
        <v>0</v>
      </c>
      <c r="CK24" s="37">
        <f t="shared" si="116"/>
        <v>0</v>
      </c>
      <c r="CL24" s="37">
        <f t="shared" si="117"/>
        <v>2.8767847908385012E-2</v>
      </c>
      <c r="CM24" s="36">
        <f t="shared" si="118"/>
        <v>0</v>
      </c>
      <c r="CN24" s="49">
        <f t="shared" si="119"/>
        <v>1</v>
      </c>
      <c r="CP24" s="45">
        <f t="shared" si="254"/>
        <v>1.0048716596765055</v>
      </c>
      <c r="CQ24" s="36">
        <f t="shared" si="120"/>
        <v>3.9275834986997583E-2</v>
      </c>
      <c r="CR24" s="36">
        <f t="shared" si="121"/>
        <v>9.4788607342921535E-2</v>
      </c>
      <c r="CS24" s="36">
        <f t="shared" si="122"/>
        <v>0.64048135378237969</v>
      </c>
      <c r="CT24" s="36">
        <f t="shared" si="123"/>
        <v>4.8491394034226067E-2</v>
      </c>
      <c r="CU24" s="36">
        <f t="shared" si="124"/>
        <v>6.3850659112940189E-2</v>
      </c>
      <c r="CV24" s="36">
        <f t="shared" si="125"/>
        <v>0</v>
      </c>
      <c r="CW24" s="36">
        <f t="shared" si="126"/>
        <v>8.4695376005480827E-2</v>
      </c>
      <c r="CX24" s="36">
        <f t="shared" si="127"/>
        <v>0</v>
      </c>
      <c r="CY24" s="36">
        <f t="shared" si="128"/>
        <v>0</v>
      </c>
      <c r="CZ24" s="36">
        <f t="shared" si="129"/>
        <v>0</v>
      </c>
      <c r="DA24" s="36">
        <f t="shared" si="130"/>
        <v>0</v>
      </c>
      <c r="DB24" s="37">
        <f t="shared" si="131"/>
        <v>0</v>
      </c>
      <c r="DC24" s="37">
        <f t="shared" si="132"/>
        <v>0</v>
      </c>
      <c r="DD24" s="37">
        <f t="shared" si="133"/>
        <v>2.8416774735054169E-2</v>
      </c>
      <c r="DE24" s="36">
        <f t="shared" si="134"/>
        <v>0</v>
      </c>
      <c r="DF24" s="49">
        <f t="shared" si="119"/>
        <v>1</v>
      </c>
      <c r="DH24" s="45">
        <f t="shared" si="255"/>
        <v>1.0043470439228381</v>
      </c>
      <c r="DI24" s="36">
        <f t="shared" si="136"/>
        <v>4.6179456299207701E-2</v>
      </c>
      <c r="DJ24" s="36">
        <f t="shared" si="137"/>
        <v>0.10872940768861072</v>
      </c>
      <c r="DK24" s="36">
        <f t="shared" si="138"/>
        <v>0.64406903071275912</v>
      </c>
      <c r="DL24" s="36">
        <f t="shared" si="139"/>
        <v>2.3456231771026136E-2</v>
      </c>
      <c r="DM24" s="36">
        <f t="shared" si="140"/>
        <v>8.4584593356124532E-2</v>
      </c>
      <c r="DN24" s="36">
        <f t="shared" si="141"/>
        <v>0</v>
      </c>
      <c r="DO24" s="36">
        <f t="shared" si="142"/>
        <v>6.1083936903713887E-2</v>
      </c>
      <c r="DP24" s="36">
        <f t="shared" si="143"/>
        <v>0</v>
      </c>
      <c r="DQ24" s="36">
        <f t="shared" si="144"/>
        <v>0</v>
      </c>
      <c r="DR24" s="36">
        <f t="shared" si="145"/>
        <v>0</v>
      </c>
      <c r="DS24" s="36">
        <f t="shared" si="146"/>
        <v>0</v>
      </c>
      <c r="DT24" s="37">
        <f t="shared" si="147"/>
        <v>0</v>
      </c>
      <c r="DU24" s="37">
        <f t="shared" si="148"/>
        <v>0</v>
      </c>
      <c r="DV24" s="37">
        <f t="shared" si="149"/>
        <v>3.1897343268557934E-2</v>
      </c>
      <c r="DW24" s="36">
        <f t="shared" si="150"/>
        <v>0</v>
      </c>
      <c r="DX24" s="49">
        <f t="shared" si="151"/>
        <v>1</v>
      </c>
      <c r="DZ24" s="45">
        <f t="shared" si="256"/>
        <v>1.000061999815983</v>
      </c>
      <c r="EA24" s="36">
        <f t="shared" si="152"/>
        <v>0.33571112426092437</v>
      </c>
      <c r="EB24" s="36">
        <f t="shared" si="153"/>
        <v>0.21416054478714142</v>
      </c>
      <c r="EC24" s="36">
        <f t="shared" si="154"/>
        <v>0.10087871221633689</v>
      </c>
      <c r="ED24" s="36">
        <f t="shared" si="155"/>
        <v>2.48062407089353E-3</v>
      </c>
      <c r="EE24" s="36">
        <f t="shared" si="156"/>
        <v>3.6983849784230811E-2</v>
      </c>
      <c r="EF24" s="36">
        <f t="shared" si="157"/>
        <v>0</v>
      </c>
      <c r="EG24" s="36">
        <f t="shared" si="158"/>
        <v>0.24068743655616015</v>
      </c>
      <c r="EH24" s="36">
        <f t="shared" si="159"/>
        <v>0</v>
      </c>
      <c r="EI24" s="36">
        <f t="shared" si="160"/>
        <v>0</v>
      </c>
      <c r="EJ24" s="36">
        <f t="shared" si="161"/>
        <v>0</v>
      </c>
      <c r="EK24" s="36">
        <f t="shared" si="162"/>
        <v>0</v>
      </c>
      <c r="EL24" s="37">
        <f t="shared" si="163"/>
        <v>0</v>
      </c>
      <c r="EM24" s="37">
        <f t="shared" si="164"/>
        <v>0</v>
      </c>
      <c r="EN24" s="37">
        <f t="shared" si="165"/>
        <v>6.9097708324312876E-2</v>
      </c>
      <c r="EO24" s="36">
        <f t="shared" si="166"/>
        <v>0</v>
      </c>
      <c r="EP24" s="49">
        <f t="shared" si="151"/>
        <v>1</v>
      </c>
      <c r="ER24" s="45">
        <f t="shared" si="257"/>
        <v>1.0002547482357795</v>
      </c>
      <c r="ES24" s="36">
        <f t="shared" si="168"/>
        <v>0.29374583920078706</v>
      </c>
      <c r="ET24" s="36">
        <f t="shared" si="169"/>
        <v>6.4713265520263449E-2</v>
      </c>
      <c r="EU24" s="36">
        <f t="shared" si="170"/>
        <v>0.51782837213202915</v>
      </c>
      <c r="EV24" s="36">
        <f t="shared" si="171"/>
        <v>1.1022357943744354E-3</v>
      </c>
      <c r="EW24" s="36">
        <f t="shared" si="172"/>
        <v>4.9174746917204928E-2</v>
      </c>
      <c r="EX24" s="36">
        <f t="shared" si="173"/>
        <v>0</v>
      </c>
      <c r="EY24" s="36">
        <f t="shared" si="174"/>
        <v>1.5244923068738783E-2</v>
      </c>
      <c r="EZ24" s="36">
        <f t="shared" si="175"/>
        <v>0</v>
      </c>
      <c r="FA24" s="36">
        <f t="shared" si="176"/>
        <v>0</v>
      </c>
      <c r="FB24" s="36">
        <f t="shared" si="177"/>
        <v>0</v>
      </c>
      <c r="FC24" s="36">
        <f t="shared" si="178"/>
        <v>0</v>
      </c>
      <c r="FD24" s="37">
        <f t="shared" si="179"/>
        <v>0</v>
      </c>
      <c r="FE24" s="37">
        <f t="shared" si="180"/>
        <v>0</v>
      </c>
      <c r="FF24" s="37">
        <f t="shared" si="181"/>
        <v>5.8190617366602214E-2</v>
      </c>
      <c r="FG24" s="36">
        <f t="shared" si="182"/>
        <v>0</v>
      </c>
      <c r="FH24" s="49">
        <f t="shared" si="183"/>
        <v>1</v>
      </c>
      <c r="FJ24" s="45">
        <f t="shared" si="258"/>
        <v>1.0012333801740283</v>
      </c>
      <c r="FK24" s="36">
        <f t="shared" si="184"/>
        <v>0.38753259918800642</v>
      </c>
      <c r="FL24" s="36">
        <f t="shared" si="185"/>
        <v>8.4237382874443573E-2</v>
      </c>
      <c r="FM24" s="36">
        <f t="shared" si="186"/>
        <v>0.40970780904378051</v>
      </c>
      <c r="FN24" s="36">
        <f t="shared" si="187"/>
        <v>1.3119343214192272E-3</v>
      </c>
      <c r="FO24" s="36">
        <f t="shared" si="188"/>
        <v>7.6552007622773574E-2</v>
      </c>
      <c r="FP24" s="36">
        <f t="shared" si="189"/>
        <v>7.0396475783470727E-4</v>
      </c>
      <c r="FQ24" s="36">
        <f t="shared" si="190"/>
        <v>2.9390528639599029E-3</v>
      </c>
      <c r="FR24" s="36">
        <f t="shared" si="191"/>
        <v>0</v>
      </c>
      <c r="FS24" s="36">
        <f t="shared" si="192"/>
        <v>0</v>
      </c>
      <c r="FT24" s="36">
        <f t="shared" si="193"/>
        <v>0</v>
      </c>
      <c r="FU24" s="36">
        <f t="shared" si="194"/>
        <v>0</v>
      </c>
      <c r="FV24" s="37">
        <f t="shared" si="195"/>
        <v>0</v>
      </c>
      <c r="FW24" s="37">
        <f t="shared" si="196"/>
        <v>0</v>
      </c>
      <c r="FX24" s="37">
        <f t="shared" si="197"/>
        <v>3.7015249327782052E-2</v>
      </c>
      <c r="FY24" s="36">
        <f t="shared" si="198"/>
        <v>0</v>
      </c>
      <c r="FZ24" s="49">
        <f t="shared" si="183"/>
        <v>1</v>
      </c>
      <c r="GB24" s="45">
        <f t="shared" si="259"/>
        <v>1.0022344796334879</v>
      </c>
      <c r="GC24" s="36">
        <f t="shared" si="200"/>
        <v>0.2018152508371559</v>
      </c>
      <c r="GD24" s="36">
        <f t="shared" si="201"/>
        <v>0.13219990979333385</v>
      </c>
      <c r="GE24" s="36">
        <f t="shared" si="202"/>
        <v>0.36091391596144334</v>
      </c>
      <c r="GF24" s="36">
        <f t="shared" si="203"/>
        <v>1.5170481451694048E-2</v>
      </c>
      <c r="GG24" s="36">
        <f t="shared" si="204"/>
        <v>0.23581021699558324</v>
      </c>
      <c r="GH24" s="36">
        <f t="shared" si="205"/>
        <v>0</v>
      </c>
      <c r="GI24" s="36">
        <f t="shared" si="206"/>
        <v>7.7400415569867593E-3</v>
      </c>
      <c r="GJ24" s="36">
        <f t="shared" si="207"/>
        <v>0</v>
      </c>
      <c r="GK24" s="36">
        <f t="shared" si="208"/>
        <v>0</v>
      </c>
      <c r="GL24" s="36">
        <f t="shared" si="209"/>
        <v>0</v>
      </c>
      <c r="GM24" s="36">
        <f t="shared" si="210"/>
        <v>0</v>
      </c>
      <c r="GN24" s="37">
        <f t="shared" si="211"/>
        <v>0</v>
      </c>
      <c r="GO24" s="37">
        <f t="shared" si="212"/>
        <v>0</v>
      </c>
      <c r="GP24" s="37">
        <f t="shared" si="213"/>
        <v>4.635018340380289E-2</v>
      </c>
      <c r="GQ24" s="36">
        <f t="shared" si="214"/>
        <v>0</v>
      </c>
      <c r="GR24" s="49">
        <f t="shared" si="215"/>
        <v>1</v>
      </c>
      <c r="GT24" s="45">
        <f t="shared" si="260"/>
        <v>1.002527087871705</v>
      </c>
      <c r="GU24" s="36">
        <f t="shared" si="216"/>
        <v>0.20078087582573534</v>
      </c>
      <c r="GV24" s="36">
        <f t="shared" si="217"/>
        <v>0.31753726154925943</v>
      </c>
      <c r="GW24" s="36">
        <f t="shared" si="218"/>
        <v>0.34742132201526882</v>
      </c>
      <c r="GX24" s="36">
        <f t="shared" si="219"/>
        <v>1.456693174068213E-3</v>
      </c>
      <c r="GY24" s="36">
        <f t="shared" si="220"/>
        <v>4.9049728415007474E-2</v>
      </c>
      <c r="GZ24" s="36">
        <f t="shared" si="221"/>
        <v>0</v>
      </c>
      <c r="HA24" s="36">
        <f t="shared" si="222"/>
        <v>3.3456710830955173E-2</v>
      </c>
      <c r="HB24" s="36">
        <f t="shared" si="223"/>
        <v>0</v>
      </c>
      <c r="HC24" s="36">
        <f t="shared" si="224"/>
        <v>0</v>
      </c>
      <c r="HD24" s="36">
        <f t="shared" si="225"/>
        <v>0</v>
      </c>
      <c r="HE24" s="36">
        <f t="shared" si="226"/>
        <v>0</v>
      </c>
      <c r="HF24" s="37">
        <f t="shared" si="227"/>
        <v>0</v>
      </c>
      <c r="HG24" s="37">
        <f t="shared" si="228"/>
        <v>0</v>
      </c>
      <c r="HH24" s="37">
        <f t="shared" si="229"/>
        <v>5.0297408189705593E-2</v>
      </c>
      <c r="HI24" s="36">
        <f t="shared" si="230"/>
        <v>0</v>
      </c>
      <c r="HJ24" s="49">
        <f t="shared" si="215"/>
        <v>1</v>
      </c>
      <c r="HL24" s="45">
        <f t="shared" si="261"/>
        <v>1.0019204181131616</v>
      </c>
      <c r="HM24" s="36">
        <f t="shared" si="232"/>
        <v>0.29045293694344965</v>
      </c>
      <c r="HN24" s="36">
        <f t="shared" si="233"/>
        <v>7.1212070805658487E-2</v>
      </c>
      <c r="HO24" s="36">
        <f t="shared" si="234"/>
        <v>0.52551870770472042</v>
      </c>
      <c r="HP24" s="36">
        <f t="shared" si="235"/>
        <v>9.8905653896747903E-4</v>
      </c>
      <c r="HQ24" s="36">
        <f t="shared" si="236"/>
        <v>1.7803017701414622E-2</v>
      </c>
      <c r="HR24" s="36">
        <f t="shared" si="237"/>
        <v>7.283052696033254E-4</v>
      </c>
      <c r="HS24" s="36">
        <f t="shared" si="238"/>
        <v>3.8507867345339279E-2</v>
      </c>
      <c r="HT24" s="36">
        <f t="shared" si="239"/>
        <v>1.6484275649457983E-3</v>
      </c>
      <c r="HU24" s="36">
        <f t="shared" si="240"/>
        <v>4.9452826948373947E-3</v>
      </c>
      <c r="HV24" s="36">
        <f t="shared" si="241"/>
        <v>0</v>
      </c>
      <c r="HW24" s="36">
        <f t="shared" si="242"/>
        <v>3.9562261558699161E-3</v>
      </c>
      <c r="HX24" s="37">
        <f t="shared" si="243"/>
        <v>1.9781130779349581E-3</v>
      </c>
      <c r="HY24" s="37">
        <f t="shared" si="244"/>
        <v>0</v>
      </c>
      <c r="HZ24" s="37">
        <f t="shared" si="245"/>
        <v>4.2259988197258638E-2</v>
      </c>
      <c r="IA24" s="36">
        <f t="shared" si="246"/>
        <v>0</v>
      </c>
      <c r="IB24" s="49">
        <f t="shared" si="247"/>
        <v>1</v>
      </c>
    </row>
    <row r="25" spans="2:236" x14ac:dyDescent="0.35">
      <c r="P25" s="2"/>
      <c r="Q25" s="2"/>
      <c r="R25" s="2"/>
    </row>
    <row r="26" spans="2:236" ht="15" thickBot="1" x14ac:dyDescent="0.4">
      <c r="B26" s="12" t="s">
        <v>159</v>
      </c>
      <c r="P26" s="2"/>
      <c r="Q26" s="2"/>
      <c r="R26" s="2"/>
    </row>
    <row r="27" spans="2:236" x14ac:dyDescent="0.35">
      <c r="B27" s="14" t="s">
        <v>68</v>
      </c>
      <c r="D27" s="46">
        <f>IFERROR(D6/D$13,0)</f>
        <v>0.16423039339005302</v>
      </c>
      <c r="E27" s="51">
        <f>IFERROR(E6/E$13,0)</f>
        <v>0.95970552767297534</v>
      </c>
      <c r="F27" s="18">
        <f t="shared" ref="F27:T27" si="322">IFERROR(F6/F$13,0)</f>
        <v>6.1322777265833316E-2</v>
      </c>
      <c r="G27" s="18">
        <f t="shared" si="322"/>
        <v>5.6562235757638918E-4</v>
      </c>
      <c r="H27" s="18">
        <f t="shared" si="322"/>
        <v>1.9227743886451432E-2</v>
      </c>
      <c r="I27" s="18">
        <f t="shared" si="322"/>
        <v>0.17626249770928953</v>
      </c>
      <c r="J27" s="18">
        <f t="shared" si="322"/>
        <v>0</v>
      </c>
      <c r="K27" s="18">
        <f t="shared" si="322"/>
        <v>0</v>
      </c>
      <c r="L27" s="18">
        <f t="shared" si="322"/>
        <v>0</v>
      </c>
      <c r="M27" s="50">
        <f t="shared" si="322"/>
        <v>0.8</v>
      </c>
      <c r="N27" s="18">
        <f t="shared" si="322"/>
        <v>0</v>
      </c>
      <c r="O27" s="18">
        <f t="shared" si="322"/>
        <v>0</v>
      </c>
      <c r="P27" s="18">
        <f t="shared" si="322"/>
        <v>0.5</v>
      </c>
      <c r="Q27" s="18">
        <f t="shared" si="322"/>
        <v>0</v>
      </c>
      <c r="R27" s="18">
        <f t="shared" si="322"/>
        <v>0.18573462823452125</v>
      </c>
      <c r="S27" s="18">
        <f t="shared" si="322"/>
        <v>0</v>
      </c>
      <c r="T27" s="40">
        <f t="shared" si="322"/>
        <v>0.16439243228220807</v>
      </c>
      <c r="V27" s="46">
        <f>IFERROR(V6/V$13,0)</f>
        <v>5.5944168147769584E-2</v>
      </c>
      <c r="W27" s="51">
        <f t="shared" ref="V27:CG31" si="323">IFERROR(W6/W$13,0)</f>
        <v>0.9952626637611004</v>
      </c>
      <c r="X27" s="18">
        <f t="shared" si="323"/>
        <v>1.6011644832605535E-2</v>
      </c>
      <c r="Y27" s="18">
        <f t="shared" si="323"/>
        <v>6.6078008743334499E-4</v>
      </c>
      <c r="Z27" s="18">
        <f t="shared" si="323"/>
        <v>3.2382657026447798E-2</v>
      </c>
      <c r="AA27" s="18">
        <f t="shared" si="323"/>
        <v>0</v>
      </c>
      <c r="AB27" s="18">
        <f t="shared" si="323"/>
        <v>0</v>
      </c>
      <c r="AC27" s="18">
        <f t="shared" si="323"/>
        <v>0</v>
      </c>
      <c r="AD27" s="18">
        <f t="shared" si="323"/>
        <v>0</v>
      </c>
      <c r="AE27" s="18">
        <f t="shared" si="323"/>
        <v>0</v>
      </c>
      <c r="AF27" s="18">
        <f t="shared" si="323"/>
        <v>0</v>
      </c>
      <c r="AG27" s="18">
        <f t="shared" si="323"/>
        <v>0</v>
      </c>
      <c r="AH27" s="18">
        <f t="shared" si="323"/>
        <v>0</v>
      </c>
      <c r="AI27" s="18">
        <f t="shared" si="323"/>
        <v>0</v>
      </c>
      <c r="AJ27" s="18">
        <f t="shared" si="323"/>
        <v>5.4703342319345372E-2</v>
      </c>
      <c r="AK27" s="18">
        <f t="shared" si="323"/>
        <v>0</v>
      </c>
      <c r="AL27" s="40">
        <f t="shared" si="323"/>
        <v>5.6199318773670501E-2</v>
      </c>
      <c r="AN27" s="46">
        <f t="shared" ref="AN27:BD27" si="324">IFERROR(AN6/AN$13,0)</f>
        <v>9.3879845572427595E-2</v>
      </c>
      <c r="AO27" s="51">
        <f t="shared" si="324"/>
        <v>1</v>
      </c>
      <c r="AP27" s="18">
        <f t="shared" si="324"/>
        <v>0.19125683060109289</v>
      </c>
      <c r="AQ27" s="18">
        <f t="shared" si="324"/>
        <v>9.0149081995507293E-4</v>
      </c>
      <c r="AR27" s="18">
        <f t="shared" si="324"/>
        <v>4.195804195804196E-2</v>
      </c>
      <c r="AS27" s="18">
        <f t="shared" si="324"/>
        <v>0.28829773293146377</v>
      </c>
      <c r="AT27" s="18">
        <f t="shared" si="324"/>
        <v>0</v>
      </c>
      <c r="AU27" s="18">
        <f t="shared" si="324"/>
        <v>0</v>
      </c>
      <c r="AV27" s="18">
        <f t="shared" si="324"/>
        <v>0</v>
      </c>
      <c r="AW27" s="18">
        <f t="shared" si="324"/>
        <v>0</v>
      </c>
      <c r="AX27" s="18">
        <f t="shared" si="324"/>
        <v>0</v>
      </c>
      <c r="AY27" s="18">
        <f t="shared" si="324"/>
        <v>0</v>
      </c>
      <c r="AZ27" s="18">
        <f t="shared" si="324"/>
        <v>0</v>
      </c>
      <c r="BA27" s="18">
        <f t="shared" si="324"/>
        <v>0</v>
      </c>
      <c r="BB27" s="18">
        <f t="shared" si="324"/>
        <v>0.12704096597575285</v>
      </c>
      <c r="BC27" s="18">
        <f t="shared" si="324"/>
        <v>0</v>
      </c>
      <c r="BD27" s="40">
        <f t="shared" si="324"/>
        <v>9.3472973669129711E-2</v>
      </c>
      <c r="BF27" s="46">
        <f t="shared" ref="BF27:BV27" si="325">IFERROR(BF6/BF$13,0)</f>
        <v>1.0178950802222496E-2</v>
      </c>
      <c r="BG27" s="51">
        <f t="shared" si="325"/>
        <v>1</v>
      </c>
      <c r="BH27" s="18">
        <f t="shared" si="325"/>
        <v>2.2443890274314215E-2</v>
      </c>
      <c r="BI27" s="18">
        <f t="shared" si="325"/>
        <v>3.2895435279875864E-4</v>
      </c>
      <c r="BJ27" s="18">
        <f t="shared" si="325"/>
        <v>0</v>
      </c>
      <c r="BK27" s="18">
        <f t="shared" si="325"/>
        <v>0.11500261369576581</v>
      </c>
      <c r="BL27" s="18">
        <f t="shared" si="325"/>
        <v>0</v>
      </c>
      <c r="BM27" s="18">
        <f t="shared" si="325"/>
        <v>0</v>
      </c>
      <c r="BN27" s="18">
        <f t="shared" si="325"/>
        <v>0</v>
      </c>
      <c r="BO27" s="18">
        <f t="shared" si="325"/>
        <v>0</v>
      </c>
      <c r="BP27" s="18">
        <f t="shared" si="325"/>
        <v>0</v>
      </c>
      <c r="BQ27" s="18">
        <f t="shared" si="325"/>
        <v>0</v>
      </c>
      <c r="BR27" s="18">
        <f t="shared" si="325"/>
        <v>0</v>
      </c>
      <c r="BS27" s="18">
        <f t="shared" si="325"/>
        <v>0</v>
      </c>
      <c r="BT27" s="18">
        <f t="shared" si="325"/>
        <v>2.8175532204497201E-3</v>
      </c>
      <c r="BU27" s="18">
        <f t="shared" si="325"/>
        <v>0</v>
      </c>
      <c r="BV27" s="40">
        <f t="shared" si="325"/>
        <v>1.0263344974233448E-2</v>
      </c>
      <c r="BX27" s="46">
        <f t="shared" ref="BX27:CN27" si="326">IFERROR(BX6/BX$13,0)</f>
        <v>9.3424833685426006E-2</v>
      </c>
      <c r="BY27" s="51">
        <f t="shared" si="326"/>
        <v>0.99137931034482762</v>
      </c>
      <c r="BZ27" s="18">
        <f t="shared" si="326"/>
        <v>3.1963337636622506E-2</v>
      </c>
      <c r="CA27" s="18">
        <f t="shared" si="326"/>
        <v>0</v>
      </c>
      <c r="CB27" s="18">
        <f t="shared" si="326"/>
        <v>0</v>
      </c>
      <c r="CC27" s="18">
        <f t="shared" si="326"/>
        <v>0</v>
      </c>
      <c r="CD27" s="18">
        <f t="shared" si="326"/>
        <v>0</v>
      </c>
      <c r="CE27" s="18">
        <f t="shared" si="326"/>
        <v>0</v>
      </c>
      <c r="CF27" s="18">
        <f t="shared" si="326"/>
        <v>0</v>
      </c>
      <c r="CG27" s="18">
        <f t="shared" si="326"/>
        <v>0</v>
      </c>
      <c r="CH27" s="18">
        <f t="shared" si="326"/>
        <v>0</v>
      </c>
      <c r="CI27" s="18">
        <f t="shared" si="326"/>
        <v>0</v>
      </c>
      <c r="CJ27" s="18">
        <f t="shared" si="326"/>
        <v>0</v>
      </c>
      <c r="CK27" s="18">
        <f t="shared" si="326"/>
        <v>0</v>
      </c>
      <c r="CL27" s="18">
        <f t="shared" si="326"/>
        <v>0.11526586620926244</v>
      </c>
      <c r="CM27" s="18">
        <f t="shared" si="326"/>
        <v>0</v>
      </c>
      <c r="CN27" s="40">
        <f t="shared" si="326"/>
        <v>9.160972310494063E-2</v>
      </c>
      <c r="CP27" s="46">
        <f t="shared" ref="CP27:DU34" si="327">IFERROR(CP6/CP$13,0)</f>
        <v>5.1769825322098451E-2</v>
      </c>
      <c r="CQ27" s="51">
        <f t="shared" si="327"/>
        <v>1</v>
      </c>
      <c r="CR27" s="18">
        <f t="shared" si="327"/>
        <v>9.0277777777777776E-2</v>
      </c>
      <c r="CS27" s="18">
        <f t="shared" si="327"/>
        <v>0</v>
      </c>
      <c r="CT27" s="18">
        <f t="shared" si="327"/>
        <v>1.8099547511312219E-2</v>
      </c>
      <c r="CU27" s="18">
        <f t="shared" si="327"/>
        <v>1.7182130584192441E-2</v>
      </c>
      <c r="CV27" s="18">
        <f t="shared" si="327"/>
        <v>0</v>
      </c>
      <c r="CW27" s="18">
        <f t="shared" si="327"/>
        <v>0</v>
      </c>
      <c r="CX27" s="18">
        <f t="shared" si="327"/>
        <v>0</v>
      </c>
      <c r="CY27" s="18">
        <f t="shared" si="327"/>
        <v>0</v>
      </c>
      <c r="CZ27" s="18">
        <f t="shared" si="327"/>
        <v>0</v>
      </c>
      <c r="DA27" s="18">
        <f t="shared" si="327"/>
        <v>0</v>
      </c>
      <c r="DB27" s="18">
        <f t="shared" si="327"/>
        <v>0</v>
      </c>
      <c r="DC27" s="18">
        <f t="shared" si="327"/>
        <v>0</v>
      </c>
      <c r="DD27" s="18">
        <f t="shared" si="327"/>
        <v>7.0787943622346389E-2</v>
      </c>
      <c r="DE27" s="18">
        <f t="shared" si="327"/>
        <v>0</v>
      </c>
      <c r="DF27" s="40">
        <f t="shared" si="327"/>
        <v>5.1819467517418352E-2</v>
      </c>
      <c r="DH27" s="46">
        <f t="shared" ref="DH27:DX27" si="328">IFERROR(DH6/DH$13,0)</f>
        <v>5.4888650127301972E-2</v>
      </c>
      <c r="DI27" s="51">
        <f t="shared" si="328"/>
        <v>1</v>
      </c>
      <c r="DJ27" s="18">
        <f t="shared" si="328"/>
        <v>4.4943820224719093E-2</v>
      </c>
      <c r="DK27" s="18">
        <f t="shared" si="328"/>
        <v>0</v>
      </c>
      <c r="DL27" s="18">
        <f t="shared" si="328"/>
        <v>0</v>
      </c>
      <c r="DM27" s="18">
        <f t="shared" si="328"/>
        <v>2.8886554621848741E-3</v>
      </c>
      <c r="DN27" s="18">
        <f t="shared" si="328"/>
        <v>0</v>
      </c>
      <c r="DO27" s="18">
        <f t="shared" si="328"/>
        <v>0</v>
      </c>
      <c r="DP27" s="18">
        <f t="shared" si="328"/>
        <v>0</v>
      </c>
      <c r="DQ27" s="18">
        <f t="shared" si="328"/>
        <v>0</v>
      </c>
      <c r="DR27" s="18">
        <f t="shared" si="328"/>
        <v>0</v>
      </c>
      <c r="DS27" s="18">
        <f t="shared" si="328"/>
        <v>0</v>
      </c>
      <c r="DT27" s="18">
        <f t="shared" si="328"/>
        <v>0</v>
      </c>
      <c r="DU27" s="18">
        <f t="shared" si="328"/>
        <v>0</v>
      </c>
      <c r="DV27" s="18">
        <f t="shared" si="328"/>
        <v>0.10904103636511771</v>
      </c>
      <c r="DW27" s="18">
        <f t="shared" si="328"/>
        <v>0</v>
      </c>
      <c r="DX27" s="40">
        <f t="shared" si="328"/>
        <v>5.4788626366417133E-2</v>
      </c>
      <c r="DZ27" s="46">
        <f t="shared" ref="DZ27:FE34" si="329">IFERROR(DZ6/DZ$13,0)</f>
        <v>0.34692885559258918</v>
      </c>
      <c r="EA27" s="51">
        <f t="shared" si="329"/>
        <v>0.74876847290640391</v>
      </c>
      <c r="EB27" s="18">
        <f t="shared" si="329"/>
        <v>0.24710424710424711</v>
      </c>
      <c r="EC27" s="18">
        <f t="shared" si="329"/>
        <v>5.737704918032787E-2</v>
      </c>
      <c r="ED27" s="18">
        <f t="shared" si="329"/>
        <v>0</v>
      </c>
      <c r="EE27" s="18">
        <f t="shared" si="329"/>
        <v>8.943089430894309E-2</v>
      </c>
      <c r="EF27" s="18">
        <f t="shared" si="329"/>
        <v>0</v>
      </c>
      <c r="EG27" s="18">
        <f t="shared" si="329"/>
        <v>0</v>
      </c>
      <c r="EH27" s="18">
        <f t="shared" si="329"/>
        <v>0</v>
      </c>
      <c r="EI27" s="18">
        <f t="shared" si="329"/>
        <v>0</v>
      </c>
      <c r="EJ27" s="18">
        <f t="shared" si="329"/>
        <v>0</v>
      </c>
      <c r="EK27" s="18">
        <f t="shared" si="329"/>
        <v>0</v>
      </c>
      <c r="EL27" s="18">
        <f t="shared" si="329"/>
        <v>0</v>
      </c>
      <c r="EM27" s="18">
        <f t="shared" si="329"/>
        <v>0</v>
      </c>
      <c r="EN27" s="18">
        <f t="shared" si="329"/>
        <v>0.4857563091945945</v>
      </c>
      <c r="EO27" s="18">
        <f t="shared" si="329"/>
        <v>0</v>
      </c>
      <c r="EP27" s="40">
        <f t="shared" si="329"/>
        <v>0.34695015539230539</v>
      </c>
      <c r="ER27" s="46">
        <f t="shared" ref="ER27:FH27" si="330">IFERROR(ER6/ER$13,0)</f>
        <v>0.27470984736525755</v>
      </c>
      <c r="ES27" s="51">
        <f t="shared" si="330"/>
        <v>0.84427767354596628</v>
      </c>
      <c r="ET27" s="18">
        <f t="shared" si="330"/>
        <v>0.11260877643925551</v>
      </c>
      <c r="EU27" s="18">
        <f t="shared" si="330"/>
        <v>0</v>
      </c>
      <c r="EV27" s="18">
        <f t="shared" si="330"/>
        <v>0</v>
      </c>
      <c r="EW27" s="18">
        <f t="shared" si="330"/>
        <v>0.1905145185939888</v>
      </c>
      <c r="EX27" s="18">
        <f t="shared" si="330"/>
        <v>0</v>
      </c>
      <c r="EY27" s="18">
        <f t="shared" si="330"/>
        <v>0</v>
      </c>
      <c r="EZ27" s="18">
        <f t="shared" si="330"/>
        <v>0</v>
      </c>
      <c r="FA27" s="18">
        <f t="shared" si="330"/>
        <v>0</v>
      </c>
      <c r="FB27" s="18">
        <f t="shared" si="330"/>
        <v>0</v>
      </c>
      <c r="FC27" s="18">
        <f t="shared" si="330"/>
        <v>0</v>
      </c>
      <c r="FD27" s="18">
        <f t="shared" si="330"/>
        <v>0</v>
      </c>
      <c r="FE27" s="18">
        <f t="shared" si="330"/>
        <v>0</v>
      </c>
      <c r="FF27" s="18">
        <f t="shared" si="330"/>
        <v>0.17218108046081815</v>
      </c>
      <c r="FG27" s="18">
        <f t="shared" si="330"/>
        <v>0</v>
      </c>
      <c r="FH27" s="40">
        <f t="shared" si="330"/>
        <v>0.27467816199064965</v>
      </c>
      <c r="FJ27" s="46">
        <f t="shared" ref="FJ27:GO34" si="331">IFERROR(FJ6/FJ$13,0)</f>
        <v>0.47664059805331133</v>
      </c>
      <c r="FK27" s="18">
        <f t="shared" si="331"/>
        <v>0.99909173478655766</v>
      </c>
      <c r="FL27" s="18">
        <f t="shared" si="331"/>
        <v>0.34398207061594271</v>
      </c>
      <c r="FM27" s="18">
        <f t="shared" si="331"/>
        <v>0</v>
      </c>
      <c r="FN27" s="18">
        <f t="shared" si="331"/>
        <v>0</v>
      </c>
      <c r="FO27" s="18">
        <f t="shared" si="331"/>
        <v>0.58479457608981888</v>
      </c>
      <c r="FP27" s="18">
        <f t="shared" si="331"/>
        <v>0</v>
      </c>
      <c r="FQ27" s="18">
        <f t="shared" si="331"/>
        <v>0</v>
      </c>
      <c r="FR27" s="18">
        <f t="shared" si="331"/>
        <v>0</v>
      </c>
      <c r="FS27" s="18">
        <f t="shared" si="331"/>
        <v>0</v>
      </c>
      <c r="FT27" s="18">
        <f t="shared" si="331"/>
        <v>0</v>
      </c>
      <c r="FU27" s="18">
        <f t="shared" si="331"/>
        <v>0</v>
      </c>
      <c r="FV27" s="18">
        <f t="shared" si="331"/>
        <v>0</v>
      </c>
      <c r="FW27" s="18">
        <f t="shared" si="331"/>
        <v>0</v>
      </c>
      <c r="FX27" s="18">
        <f t="shared" si="331"/>
        <v>0.43068909683217127</v>
      </c>
      <c r="FY27" s="18">
        <f t="shared" si="331"/>
        <v>0</v>
      </c>
      <c r="FZ27" s="40">
        <f t="shared" si="331"/>
        <v>0.47686602934209271</v>
      </c>
      <c r="GB27" s="46">
        <f t="shared" ref="GB27:GR27" si="332">IFERROR(GB6/GB$13,0)</f>
        <v>0.25015224417817833</v>
      </c>
      <c r="GC27" s="51">
        <f t="shared" si="332"/>
        <v>0.97721466026999892</v>
      </c>
      <c r="GD27" s="18">
        <f t="shared" si="332"/>
        <v>3.5128805620608897E-2</v>
      </c>
      <c r="GE27" s="18">
        <f t="shared" si="332"/>
        <v>0</v>
      </c>
      <c r="GF27" s="18">
        <f t="shared" si="332"/>
        <v>2.0408163265306121E-2</v>
      </c>
      <c r="GG27" s="18">
        <f t="shared" si="332"/>
        <v>0.15755127130149882</v>
      </c>
      <c r="GH27" s="18">
        <f t="shared" si="332"/>
        <v>0</v>
      </c>
      <c r="GI27" s="18">
        <f t="shared" si="332"/>
        <v>0</v>
      </c>
      <c r="GJ27" s="18">
        <f t="shared" si="332"/>
        <v>0</v>
      </c>
      <c r="GK27" s="18">
        <f t="shared" si="332"/>
        <v>0</v>
      </c>
      <c r="GL27" s="18">
        <f t="shared" si="332"/>
        <v>0</v>
      </c>
      <c r="GM27" s="18">
        <f t="shared" si="332"/>
        <v>0</v>
      </c>
      <c r="GN27" s="18">
        <f t="shared" si="332"/>
        <v>0</v>
      </c>
      <c r="GO27" s="18">
        <f t="shared" si="332"/>
        <v>0</v>
      </c>
      <c r="GP27" s="18">
        <f t="shared" si="332"/>
        <v>0.23705975224678164</v>
      </c>
      <c r="GQ27" s="18">
        <f t="shared" si="332"/>
        <v>0</v>
      </c>
      <c r="GR27" s="40">
        <f t="shared" si="332"/>
        <v>0.2503104108484423</v>
      </c>
      <c r="GT27" s="46">
        <f t="shared" ref="GT27:IB34" si="333">IFERROR(GT6/GT$13,0)</f>
        <v>0.22531643063200379</v>
      </c>
      <c r="GU27" s="51">
        <f t="shared" si="333"/>
        <v>0.9854897218863361</v>
      </c>
      <c r="GV27" s="18">
        <f t="shared" si="333"/>
        <v>4.587471615019381E-3</v>
      </c>
      <c r="GW27" s="18">
        <f t="shared" si="333"/>
        <v>0</v>
      </c>
      <c r="GX27" s="18">
        <f t="shared" si="333"/>
        <v>0</v>
      </c>
      <c r="GY27" s="18">
        <f t="shared" si="333"/>
        <v>0.30688235426462984</v>
      </c>
      <c r="GZ27" s="18">
        <f t="shared" si="333"/>
        <v>0</v>
      </c>
      <c r="HA27" s="18">
        <f t="shared" si="333"/>
        <v>0</v>
      </c>
      <c r="HB27" s="18">
        <f t="shared" si="333"/>
        <v>0</v>
      </c>
      <c r="HC27" s="18">
        <f t="shared" si="333"/>
        <v>0</v>
      </c>
      <c r="HD27" s="18">
        <f t="shared" si="333"/>
        <v>0</v>
      </c>
      <c r="HE27" s="18">
        <f t="shared" si="333"/>
        <v>0</v>
      </c>
      <c r="HF27" s="18">
        <f t="shared" si="333"/>
        <v>0</v>
      </c>
      <c r="HG27" s="18">
        <f t="shared" si="333"/>
        <v>0</v>
      </c>
      <c r="HH27" s="18">
        <f t="shared" si="333"/>
        <v>0.21931826160219056</v>
      </c>
      <c r="HI27" s="18">
        <f t="shared" si="333"/>
        <v>0</v>
      </c>
      <c r="HJ27" s="40">
        <f t="shared" si="333"/>
        <v>0.22540781891096734</v>
      </c>
      <c r="HL27" s="46">
        <f t="shared" ref="HL27:IB27" si="334">IFERROR(HL6/HL$13,0)</f>
        <v>0.31391712725444715</v>
      </c>
      <c r="HM27" s="51">
        <f t="shared" si="334"/>
        <v>1</v>
      </c>
      <c r="HN27" s="18">
        <f t="shared" si="334"/>
        <v>4.6296296296296294E-3</v>
      </c>
      <c r="HO27" s="18">
        <f t="shared" si="334"/>
        <v>0</v>
      </c>
      <c r="HP27" s="18">
        <f t="shared" si="334"/>
        <v>0</v>
      </c>
      <c r="HQ27" s="18">
        <f t="shared" si="334"/>
        <v>0.44444444444444436</v>
      </c>
      <c r="HR27" s="18">
        <f t="shared" si="334"/>
        <v>0</v>
      </c>
      <c r="HS27" s="18">
        <f t="shared" si="334"/>
        <v>0</v>
      </c>
      <c r="HT27" s="18">
        <f t="shared" si="334"/>
        <v>0</v>
      </c>
      <c r="HU27" s="18">
        <f t="shared" si="334"/>
        <v>0.8</v>
      </c>
      <c r="HV27" s="18">
        <f t="shared" si="334"/>
        <v>0</v>
      </c>
      <c r="HW27" s="18">
        <f t="shared" si="334"/>
        <v>0</v>
      </c>
      <c r="HX27" s="18">
        <f t="shared" si="334"/>
        <v>0.5</v>
      </c>
      <c r="HY27" s="18">
        <f t="shared" si="334"/>
        <v>0</v>
      </c>
      <c r="HZ27" s="18">
        <f t="shared" si="334"/>
        <v>0.24375713647420941</v>
      </c>
      <c r="IA27" s="18">
        <f t="shared" si="334"/>
        <v>0</v>
      </c>
      <c r="IB27" s="40">
        <f t="shared" si="334"/>
        <v>0.31394153117341367</v>
      </c>
    </row>
    <row r="28" spans="2:236" x14ac:dyDescent="0.35">
      <c r="B28" s="17" t="s">
        <v>69</v>
      </c>
      <c r="D28" s="46">
        <f t="shared" ref="D28" si="335">IFERROR(D7/D$13,0)</f>
        <v>7.2430021643987916E-2</v>
      </c>
      <c r="E28" s="18">
        <f t="shared" ref="E28:E34" si="336">IFERROR(E7/E$13,0)</f>
        <v>3.9731838477710578E-2</v>
      </c>
      <c r="F28" s="51">
        <f t="shared" ref="F28:T28" si="337">IFERROR(F7/F$13,0)</f>
        <v>0.4278592251623865</v>
      </c>
      <c r="G28" s="18">
        <f t="shared" si="337"/>
        <v>5.0584113279189278E-3</v>
      </c>
      <c r="H28" s="18">
        <f t="shared" si="337"/>
        <v>0</v>
      </c>
      <c r="I28" s="18">
        <f t="shared" si="337"/>
        <v>3.4150670559426145E-2</v>
      </c>
      <c r="J28" s="18">
        <f t="shared" si="337"/>
        <v>0</v>
      </c>
      <c r="K28" s="18">
        <f t="shared" si="337"/>
        <v>0</v>
      </c>
      <c r="L28" s="18">
        <f t="shared" si="337"/>
        <v>0</v>
      </c>
      <c r="M28" s="18">
        <f t="shared" si="337"/>
        <v>0.2</v>
      </c>
      <c r="N28" s="50">
        <f t="shared" si="337"/>
        <v>0</v>
      </c>
      <c r="O28" s="18">
        <f t="shared" si="337"/>
        <v>0</v>
      </c>
      <c r="P28" s="18">
        <f t="shared" si="337"/>
        <v>0</v>
      </c>
      <c r="Q28" s="18">
        <f t="shared" si="337"/>
        <v>0</v>
      </c>
      <c r="R28" s="18">
        <f t="shared" si="337"/>
        <v>0.12729819328605518</v>
      </c>
      <c r="S28" s="18">
        <f t="shared" si="337"/>
        <v>0</v>
      </c>
      <c r="T28" s="40">
        <f t="shared" si="337"/>
        <v>7.2423301296436676E-2</v>
      </c>
      <c r="V28" s="46">
        <f t="shared" si="323"/>
        <v>6.4831002488946743E-2</v>
      </c>
      <c r="W28" s="18">
        <f t="shared" si="323"/>
        <v>0</v>
      </c>
      <c r="X28" s="51">
        <f t="shared" si="323"/>
        <v>0.37117903930131002</v>
      </c>
      <c r="Y28" s="18">
        <f t="shared" si="323"/>
        <v>6.7270531807189207E-4</v>
      </c>
      <c r="Z28" s="18">
        <f t="shared" si="323"/>
        <v>0</v>
      </c>
      <c r="AA28" s="18">
        <f t="shared" si="323"/>
        <v>9.2980009298000932E-2</v>
      </c>
      <c r="AB28" s="18">
        <f t="shared" si="323"/>
        <v>0</v>
      </c>
      <c r="AC28" s="18">
        <f t="shared" si="323"/>
        <v>0</v>
      </c>
      <c r="AD28" s="18">
        <f t="shared" si="323"/>
        <v>0</v>
      </c>
      <c r="AE28" s="18">
        <f t="shared" si="323"/>
        <v>0</v>
      </c>
      <c r="AF28" s="18">
        <f t="shared" si="323"/>
        <v>0</v>
      </c>
      <c r="AG28" s="18">
        <f t="shared" si="323"/>
        <v>0</v>
      </c>
      <c r="AH28" s="18">
        <f t="shared" si="323"/>
        <v>0</v>
      </c>
      <c r="AI28" s="18">
        <f t="shared" si="323"/>
        <v>0</v>
      </c>
      <c r="AJ28" s="18">
        <f t="shared" si="323"/>
        <v>8.4194161477841131E-2</v>
      </c>
      <c r="AK28" s="18">
        <f t="shared" si="323"/>
        <v>0</v>
      </c>
      <c r="AL28" s="40">
        <f t="shared" si="323"/>
        <v>6.4430531028156351E-2</v>
      </c>
      <c r="AN28" s="46">
        <f t="shared" si="323"/>
        <v>0</v>
      </c>
      <c r="AO28" s="18">
        <f t="shared" si="323"/>
        <v>0</v>
      </c>
      <c r="AP28" s="51">
        <f t="shared" si="323"/>
        <v>0</v>
      </c>
      <c r="AQ28" s="18">
        <f t="shared" si="323"/>
        <v>0</v>
      </c>
      <c r="AR28" s="18">
        <f t="shared" si="323"/>
        <v>0</v>
      </c>
      <c r="AS28" s="18">
        <f t="shared" si="323"/>
        <v>0</v>
      </c>
      <c r="AT28" s="18">
        <f t="shared" si="323"/>
        <v>0</v>
      </c>
      <c r="AU28" s="18">
        <f t="shared" si="323"/>
        <v>0</v>
      </c>
      <c r="AV28" s="18">
        <f t="shared" si="323"/>
        <v>0</v>
      </c>
      <c r="AW28" s="18">
        <f t="shared" si="323"/>
        <v>0</v>
      </c>
      <c r="AX28" s="18">
        <f t="shared" si="323"/>
        <v>0</v>
      </c>
      <c r="AY28" s="18">
        <f t="shared" si="323"/>
        <v>0</v>
      </c>
      <c r="AZ28" s="18">
        <f t="shared" si="323"/>
        <v>0</v>
      </c>
      <c r="BA28" s="18">
        <f t="shared" si="323"/>
        <v>0</v>
      </c>
      <c r="BB28" s="18">
        <f t="shared" si="323"/>
        <v>0</v>
      </c>
      <c r="BC28" s="18">
        <f t="shared" si="323"/>
        <v>0</v>
      </c>
      <c r="BD28" s="40">
        <f t="shared" si="323"/>
        <v>0</v>
      </c>
      <c r="BF28" s="46">
        <f t="shared" si="323"/>
        <v>0</v>
      </c>
      <c r="BG28" s="18">
        <f t="shared" si="323"/>
        <v>0</v>
      </c>
      <c r="BH28" s="51">
        <f t="shared" si="323"/>
        <v>0</v>
      </c>
      <c r="BI28" s="18">
        <f t="shared" si="323"/>
        <v>0</v>
      </c>
      <c r="BJ28" s="18">
        <f t="shared" si="323"/>
        <v>0</v>
      </c>
      <c r="BK28" s="18">
        <f t="shared" si="323"/>
        <v>0</v>
      </c>
      <c r="BL28" s="18">
        <f t="shared" si="323"/>
        <v>0</v>
      </c>
      <c r="BM28" s="18">
        <f t="shared" si="323"/>
        <v>0</v>
      </c>
      <c r="BN28" s="18">
        <f t="shared" si="323"/>
        <v>0</v>
      </c>
      <c r="BO28" s="18">
        <f t="shared" si="323"/>
        <v>0</v>
      </c>
      <c r="BP28" s="18">
        <f t="shared" si="323"/>
        <v>0</v>
      </c>
      <c r="BQ28" s="18">
        <f t="shared" si="323"/>
        <v>0</v>
      </c>
      <c r="BR28" s="18">
        <f t="shared" si="323"/>
        <v>0</v>
      </c>
      <c r="BS28" s="18">
        <f t="shared" si="323"/>
        <v>0</v>
      </c>
      <c r="BT28" s="18">
        <f t="shared" si="323"/>
        <v>0</v>
      </c>
      <c r="BU28" s="18">
        <f t="shared" si="323"/>
        <v>0</v>
      </c>
      <c r="BV28" s="40">
        <f t="shared" si="323"/>
        <v>0</v>
      </c>
      <c r="BX28" s="46">
        <f t="shared" si="323"/>
        <v>0</v>
      </c>
      <c r="BY28" s="18">
        <f t="shared" si="323"/>
        <v>0</v>
      </c>
      <c r="BZ28" s="51">
        <f t="shared" si="323"/>
        <v>0</v>
      </c>
      <c r="CA28" s="18">
        <f t="shared" si="323"/>
        <v>0</v>
      </c>
      <c r="CB28" s="18">
        <f t="shared" si="323"/>
        <v>0</v>
      </c>
      <c r="CC28" s="18">
        <f t="shared" si="323"/>
        <v>0</v>
      </c>
      <c r="CD28" s="18">
        <f t="shared" si="323"/>
        <v>0</v>
      </c>
      <c r="CE28" s="18">
        <f t="shared" si="323"/>
        <v>0</v>
      </c>
      <c r="CF28" s="18">
        <f t="shared" si="323"/>
        <v>0</v>
      </c>
      <c r="CG28" s="18">
        <f t="shared" si="323"/>
        <v>0</v>
      </c>
      <c r="CH28" s="18">
        <f t="shared" ref="CH28:CN28" si="338">IFERROR(CH7/CH$13,0)</f>
        <v>0</v>
      </c>
      <c r="CI28" s="18">
        <f t="shared" si="338"/>
        <v>0</v>
      </c>
      <c r="CJ28" s="18">
        <f t="shared" si="338"/>
        <v>0</v>
      </c>
      <c r="CK28" s="18">
        <f t="shared" si="338"/>
        <v>0</v>
      </c>
      <c r="CL28" s="18">
        <f t="shared" si="338"/>
        <v>0</v>
      </c>
      <c r="CM28" s="18">
        <f t="shared" si="338"/>
        <v>0</v>
      </c>
      <c r="CN28" s="40">
        <f t="shared" si="338"/>
        <v>0</v>
      </c>
      <c r="CP28" s="46">
        <f t="shared" si="327"/>
        <v>0</v>
      </c>
      <c r="CQ28" s="18">
        <f t="shared" si="327"/>
        <v>0</v>
      </c>
      <c r="CR28" s="51">
        <f t="shared" si="327"/>
        <v>0</v>
      </c>
      <c r="CS28" s="18">
        <f t="shared" si="327"/>
        <v>0</v>
      </c>
      <c r="CT28" s="18">
        <f t="shared" si="327"/>
        <v>0</v>
      </c>
      <c r="CU28" s="18">
        <f t="shared" si="327"/>
        <v>0</v>
      </c>
      <c r="CV28" s="18">
        <f t="shared" si="327"/>
        <v>0</v>
      </c>
      <c r="CW28" s="18">
        <f t="shared" si="327"/>
        <v>0</v>
      </c>
      <c r="CX28" s="18">
        <f t="shared" si="327"/>
        <v>0</v>
      </c>
      <c r="CY28" s="18">
        <f t="shared" si="327"/>
        <v>0</v>
      </c>
      <c r="CZ28" s="18">
        <f t="shared" si="327"/>
        <v>0</v>
      </c>
      <c r="DA28" s="18">
        <f t="shared" si="327"/>
        <v>0</v>
      </c>
      <c r="DB28" s="18">
        <f t="shared" si="327"/>
        <v>0</v>
      </c>
      <c r="DC28" s="18">
        <f t="shared" si="327"/>
        <v>0</v>
      </c>
      <c r="DD28" s="18">
        <f t="shared" si="327"/>
        <v>0</v>
      </c>
      <c r="DE28" s="18">
        <f t="shared" si="327"/>
        <v>0</v>
      </c>
      <c r="DF28" s="40">
        <f t="shared" si="327"/>
        <v>0</v>
      </c>
      <c r="DH28" s="46">
        <f t="shared" si="327"/>
        <v>0</v>
      </c>
      <c r="DI28" s="18">
        <f t="shared" si="327"/>
        <v>0</v>
      </c>
      <c r="DJ28" s="51">
        <f t="shared" si="327"/>
        <v>0</v>
      </c>
      <c r="DK28" s="18">
        <f t="shared" si="327"/>
        <v>0</v>
      </c>
      <c r="DL28" s="18">
        <f t="shared" si="327"/>
        <v>0</v>
      </c>
      <c r="DM28" s="18">
        <f t="shared" si="327"/>
        <v>0</v>
      </c>
      <c r="DN28" s="18">
        <f t="shared" si="327"/>
        <v>0</v>
      </c>
      <c r="DO28" s="18">
        <f t="shared" si="327"/>
        <v>0</v>
      </c>
      <c r="DP28" s="18">
        <f t="shared" si="327"/>
        <v>0</v>
      </c>
      <c r="DQ28" s="18">
        <f t="shared" si="327"/>
        <v>0</v>
      </c>
      <c r="DR28" s="18">
        <f t="shared" si="327"/>
        <v>0</v>
      </c>
      <c r="DS28" s="18">
        <f t="shared" si="327"/>
        <v>0</v>
      </c>
      <c r="DT28" s="18">
        <f t="shared" si="327"/>
        <v>0</v>
      </c>
      <c r="DU28" s="18">
        <f t="shared" si="327"/>
        <v>0</v>
      </c>
      <c r="DV28" s="18">
        <f t="shared" ref="DV28:DX28" si="339">IFERROR(DV7/DV$13,0)</f>
        <v>0</v>
      </c>
      <c r="DW28" s="18">
        <f t="shared" si="339"/>
        <v>0</v>
      </c>
      <c r="DX28" s="40">
        <f t="shared" si="339"/>
        <v>0</v>
      </c>
      <c r="DZ28" s="46">
        <f t="shared" si="329"/>
        <v>0.26304995729009761</v>
      </c>
      <c r="EA28" s="18">
        <f t="shared" si="329"/>
        <v>0.25123152709359609</v>
      </c>
      <c r="EB28" s="51">
        <f t="shared" si="329"/>
        <v>0.75289575289575283</v>
      </c>
      <c r="EC28" s="18">
        <f t="shared" si="329"/>
        <v>0</v>
      </c>
      <c r="ED28" s="18">
        <f t="shared" si="329"/>
        <v>0</v>
      </c>
      <c r="EE28" s="18">
        <f t="shared" si="329"/>
        <v>4.4715447154471545E-2</v>
      </c>
      <c r="EF28" s="18">
        <f t="shared" si="329"/>
        <v>0</v>
      </c>
      <c r="EG28" s="18">
        <f t="shared" si="329"/>
        <v>0</v>
      </c>
      <c r="EH28" s="18">
        <f t="shared" si="329"/>
        <v>0</v>
      </c>
      <c r="EI28" s="18">
        <f t="shared" si="329"/>
        <v>0</v>
      </c>
      <c r="EJ28" s="18">
        <f t="shared" si="329"/>
        <v>0</v>
      </c>
      <c r="EK28" s="18">
        <f t="shared" si="329"/>
        <v>0</v>
      </c>
      <c r="EL28" s="18">
        <f t="shared" si="329"/>
        <v>0</v>
      </c>
      <c r="EM28" s="18">
        <f t="shared" si="329"/>
        <v>0</v>
      </c>
      <c r="EN28" s="18">
        <f t="shared" si="329"/>
        <v>0.22845605049531448</v>
      </c>
      <c r="EO28" s="18">
        <f t="shared" si="329"/>
        <v>0</v>
      </c>
      <c r="EP28" s="40">
        <f t="shared" si="329"/>
        <v>0.26302132194110489</v>
      </c>
      <c r="ER28" s="46">
        <f t="shared" si="329"/>
        <v>0.10959674651330946</v>
      </c>
      <c r="ES28" s="18">
        <f t="shared" si="329"/>
        <v>0.15572232645403375</v>
      </c>
      <c r="ET28" s="51">
        <f t="shared" si="329"/>
        <v>0.71536960763060919</v>
      </c>
      <c r="EU28" s="18">
        <f t="shared" si="329"/>
        <v>0</v>
      </c>
      <c r="EV28" s="18">
        <f t="shared" si="329"/>
        <v>0</v>
      </c>
      <c r="EW28" s="18">
        <f t="shared" si="329"/>
        <v>6.724401426388181E-2</v>
      </c>
      <c r="EX28" s="18">
        <f t="shared" si="329"/>
        <v>0</v>
      </c>
      <c r="EY28" s="18">
        <f t="shared" si="329"/>
        <v>0</v>
      </c>
      <c r="EZ28" s="18">
        <f t="shared" si="329"/>
        <v>0</v>
      </c>
      <c r="FA28" s="18">
        <f t="shared" si="329"/>
        <v>0</v>
      </c>
      <c r="FB28" s="18">
        <f t="shared" si="329"/>
        <v>0</v>
      </c>
      <c r="FC28" s="18">
        <f t="shared" si="329"/>
        <v>0</v>
      </c>
      <c r="FD28" s="18">
        <f t="shared" si="329"/>
        <v>0</v>
      </c>
      <c r="FE28" s="18">
        <f t="shared" si="329"/>
        <v>0</v>
      </c>
      <c r="FF28" s="18">
        <f t="shared" ref="FF28:FH28" si="340">IFERROR(FF7/FF$13,0)</f>
        <v>0.24541701757451548</v>
      </c>
      <c r="FG28" s="18">
        <f t="shared" si="340"/>
        <v>0</v>
      </c>
      <c r="FH28" s="40">
        <f t="shared" si="340"/>
        <v>0.10962436397832</v>
      </c>
      <c r="FJ28" s="46">
        <f t="shared" si="331"/>
        <v>2.0189446757867869E-2</v>
      </c>
      <c r="FK28" s="18">
        <f t="shared" si="331"/>
        <v>0</v>
      </c>
      <c r="FL28" s="18">
        <f t="shared" si="331"/>
        <v>0.15460295151089248</v>
      </c>
      <c r="FM28" s="18">
        <f t="shared" si="331"/>
        <v>4.2955292912142369E-3</v>
      </c>
      <c r="FN28" s="18">
        <f t="shared" si="331"/>
        <v>0</v>
      </c>
      <c r="FO28" s="18">
        <f t="shared" si="331"/>
        <v>5.0577460844267397E-2</v>
      </c>
      <c r="FP28" s="18">
        <f t="shared" si="331"/>
        <v>0</v>
      </c>
      <c r="FQ28" s="18">
        <f t="shared" si="331"/>
        <v>0</v>
      </c>
      <c r="FR28" s="18">
        <f t="shared" si="331"/>
        <v>0</v>
      </c>
      <c r="FS28" s="18">
        <f t="shared" si="331"/>
        <v>0</v>
      </c>
      <c r="FT28" s="18">
        <f t="shared" si="331"/>
        <v>0</v>
      </c>
      <c r="FU28" s="18">
        <f t="shared" si="331"/>
        <v>0</v>
      </c>
      <c r="FV28" s="18">
        <f t="shared" si="331"/>
        <v>0</v>
      </c>
      <c r="FW28" s="18">
        <f t="shared" si="331"/>
        <v>0</v>
      </c>
      <c r="FX28" s="18">
        <f t="shared" si="331"/>
        <v>4.1425176488152131E-2</v>
      </c>
      <c r="FY28" s="18">
        <f t="shared" si="331"/>
        <v>0</v>
      </c>
      <c r="FZ28" s="40">
        <f t="shared" si="331"/>
        <v>2.0188429318776069E-2</v>
      </c>
      <c r="GB28" s="46">
        <f t="shared" si="331"/>
        <v>0.12387192926265796</v>
      </c>
      <c r="GC28" s="18">
        <f t="shared" si="331"/>
        <v>2.2785339730001113E-2</v>
      </c>
      <c r="GD28" s="51">
        <f t="shared" si="331"/>
        <v>0.79156908665105385</v>
      </c>
      <c r="GE28" s="18">
        <f t="shared" si="331"/>
        <v>8.5782689053349043E-3</v>
      </c>
      <c r="GF28" s="18">
        <f t="shared" si="331"/>
        <v>0</v>
      </c>
      <c r="GG28" s="18">
        <f t="shared" si="331"/>
        <v>1.6490963181342109E-2</v>
      </c>
      <c r="GH28" s="18">
        <f t="shared" si="331"/>
        <v>0</v>
      </c>
      <c r="GI28" s="18">
        <f t="shared" si="331"/>
        <v>0</v>
      </c>
      <c r="GJ28" s="18">
        <f t="shared" si="331"/>
        <v>0</v>
      </c>
      <c r="GK28" s="18">
        <f t="shared" si="331"/>
        <v>0</v>
      </c>
      <c r="GL28" s="18">
        <f t="shared" si="331"/>
        <v>0</v>
      </c>
      <c r="GM28" s="18">
        <f t="shared" si="331"/>
        <v>0</v>
      </c>
      <c r="GN28" s="18">
        <f t="shared" si="331"/>
        <v>0</v>
      </c>
      <c r="GO28" s="18">
        <f t="shared" si="331"/>
        <v>0</v>
      </c>
      <c r="GP28" s="18">
        <f t="shared" ref="GP28:GR28" si="341">IFERROR(GP7/GP$13,0)</f>
        <v>0.1635778479475346</v>
      </c>
      <c r="GQ28" s="18">
        <f t="shared" si="341"/>
        <v>0</v>
      </c>
      <c r="GR28" s="40">
        <f t="shared" si="341"/>
        <v>0.12381040838570175</v>
      </c>
      <c r="GT28" s="46">
        <f t="shared" si="333"/>
        <v>0.31200417335005542</v>
      </c>
      <c r="GU28" s="18">
        <f t="shared" si="333"/>
        <v>1.4510278113663847E-2</v>
      </c>
      <c r="GV28" s="51">
        <f t="shared" si="333"/>
        <v>0.82567607862926351</v>
      </c>
      <c r="GW28" s="18">
        <f t="shared" si="333"/>
        <v>5.1013277428371771E-2</v>
      </c>
      <c r="GX28" s="18">
        <f t="shared" si="333"/>
        <v>0</v>
      </c>
      <c r="GY28" s="18">
        <f t="shared" si="333"/>
        <v>0.18313946948050486</v>
      </c>
      <c r="GZ28" s="18">
        <f t="shared" si="333"/>
        <v>0</v>
      </c>
      <c r="HA28" s="18">
        <f t="shared" si="333"/>
        <v>0</v>
      </c>
      <c r="HB28" s="18">
        <f t="shared" si="333"/>
        <v>0</v>
      </c>
      <c r="HC28" s="18">
        <f t="shared" si="333"/>
        <v>0</v>
      </c>
      <c r="HD28" s="18">
        <f t="shared" si="333"/>
        <v>0</v>
      </c>
      <c r="HE28" s="18">
        <f t="shared" si="333"/>
        <v>0</v>
      </c>
      <c r="HF28" s="18">
        <f t="shared" si="333"/>
        <v>0</v>
      </c>
      <c r="HG28" s="18">
        <f t="shared" si="333"/>
        <v>0</v>
      </c>
      <c r="HH28" s="18">
        <f t="shared" si="333"/>
        <v>0.39860808818366911</v>
      </c>
      <c r="HI28" s="18">
        <f t="shared" si="333"/>
        <v>0</v>
      </c>
      <c r="HJ28" s="40">
        <f t="shared" si="333"/>
        <v>0.31185130252647986</v>
      </c>
      <c r="HL28" s="46">
        <f t="shared" si="333"/>
        <v>5.1057151972354733E-2</v>
      </c>
      <c r="HM28" s="18">
        <f t="shared" si="333"/>
        <v>0</v>
      </c>
      <c r="HN28" s="51">
        <f t="shared" si="333"/>
        <v>0.56481481481481477</v>
      </c>
      <c r="HO28" s="18">
        <f t="shared" si="333"/>
        <v>1.0664993726474279E-2</v>
      </c>
      <c r="HP28" s="18">
        <f t="shared" si="333"/>
        <v>0</v>
      </c>
      <c r="HQ28" s="18">
        <f t="shared" si="333"/>
        <v>0</v>
      </c>
      <c r="HR28" s="18">
        <f t="shared" si="333"/>
        <v>0</v>
      </c>
      <c r="HS28" s="18">
        <f t="shared" si="333"/>
        <v>0</v>
      </c>
      <c r="HT28" s="18">
        <f t="shared" si="333"/>
        <v>0</v>
      </c>
      <c r="HU28" s="18">
        <f t="shared" si="333"/>
        <v>0.2</v>
      </c>
      <c r="HV28" s="18">
        <f t="shared" si="333"/>
        <v>0</v>
      </c>
      <c r="HW28" s="18">
        <f t="shared" si="333"/>
        <v>0</v>
      </c>
      <c r="HX28" s="18">
        <f t="shared" si="333"/>
        <v>0</v>
      </c>
      <c r="HY28" s="18">
        <f t="shared" si="333"/>
        <v>0</v>
      </c>
      <c r="HZ28" s="18">
        <f t="shared" si="333"/>
        <v>9.6346834419614044E-2</v>
      </c>
      <c r="IA28" s="18">
        <f t="shared" si="333"/>
        <v>0</v>
      </c>
      <c r="IB28" s="40">
        <f t="shared" si="333"/>
        <v>5.088695892987679E-2</v>
      </c>
    </row>
    <row r="29" spans="2:236" x14ac:dyDescent="0.35">
      <c r="B29" s="17" t="s">
        <v>70</v>
      </c>
      <c r="D29" s="46">
        <f t="shared" ref="D29" si="342">IFERROR(D8/D$13,0)</f>
        <v>0.71965567530682883</v>
      </c>
      <c r="E29" s="18">
        <f t="shared" si="336"/>
        <v>5.6263384931403847E-4</v>
      </c>
      <c r="F29" s="18">
        <f t="shared" ref="F29:T29" si="343">IFERROR(F8/F$13,0)</f>
        <v>0.51081799757178015</v>
      </c>
      <c r="G29" s="51">
        <f t="shared" si="343"/>
        <v>0.99437596631450464</v>
      </c>
      <c r="H29" s="18">
        <f t="shared" si="343"/>
        <v>0.97836878812774208</v>
      </c>
      <c r="I29" s="18">
        <f t="shared" si="343"/>
        <v>0.67299280414420048</v>
      </c>
      <c r="J29" s="18">
        <f t="shared" si="343"/>
        <v>0</v>
      </c>
      <c r="K29" s="18">
        <f t="shared" si="343"/>
        <v>0</v>
      </c>
      <c r="L29" s="18">
        <f t="shared" si="343"/>
        <v>0</v>
      </c>
      <c r="M29" s="18">
        <f t="shared" si="343"/>
        <v>0</v>
      </c>
      <c r="N29" s="18">
        <f t="shared" si="343"/>
        <v>0</v>
      </c>
      <c r="O29" s="50">
        <f t="shared" si="343"/>
        <v>1</v>
      </c>
      <c r="P29" s="18">
        <f t="shared" si="343"/>
        <v>0.5</v>
      </c>
      <c r="Q29" s="18">
        <f t="shared" si="343"/>
        <v>0</v>
      </c>
      <c r="R29" s="18">
        <f t="shared" si="343"/>
        <v>0.61660319773850325</v>
      </c>
      <c r="S29" s="18">
        <f t="shared" si="343"/>
        <v>0</v>
      </c>
      <c r="T29" s="40">
        <f t="shared" si="343"/>
        <v>0.7194700193914022</v>
      </c>
      <c r="V29" s="46">
        <f t="shared" si="323"/>
        <v>0.87686142492472352</v>
      </c>
      <c r="W29" s="18">
        <f t="shared" si="323"/>
        <v>4.7373362388995598E-3</v>
      </c>
      <c r="X29" s="18">
        <f t="shared" si="323"/>
        <v>0.61280931586608445</v>
      </c>
      <c r="Y29" s="51">
        <f t="shared" si="323"/>
        <v>0.99866651459449474</v>
      </c>
      <c r="Z29" s="18">
        <f>IFERROR(Z8/Z$13,0)</f>
        <v>0.96761734297355217</v>
      </c>
      <c r="AA29" s="18">
        <f t="shared" si="323"/>
        <v>0.88331008833100888</v>
      </c>
      <c r="AB29" s="18">
        <f t="shared" si="323"/>
        <v>0</v>
      </c>
      <c r="AC29" s="18">
        <f t="shared" si="323"/>
        <v>0</v>
      </c>
      <c r="AD29" s="18">
        <f t="shared" si="323"/>
        <v>0</v>
      </c>
      <c r="AE29" s="18">
        <f t="shared" si="323"/>
        <v>0</v>
      </c>
      <c r="AF29" s="18">
        <f t="shared" si="323"/>
        <v>0</v>
      </c>
      <c r="AG29" s="18">
        <f t="shared" si="323"/>
        <v>0</v>
      </c>
      <c r="AH29" s="18">
        <f t="shared" si="323"/>
        <v>0</v>
      </c>
      <c r="AI29" s="18">
        <f t="shared" si="323"/>
        <v>0</v>
      </c>
      <c r="AJ29" s="18">
        <f t="shared" si="323"/>
        <v>0.8531820820510374</v>
      </c>
      <c r="AK29" s="18">
        <f t="shared" si="323"/>
        <v>0</v>
      </c>
      <c r="AL29" s="40">
        <f t="shared" si="323"/>
        <v>0.87715325368321639</v>
      </c>
      <c r="AN29" s="46">
        <f t="shared" si="323"/>
        <v>0.90405161545733248</v>
      </c>
      <c r="AO29" s="18">
        <f t="shared" si="323"/>
        <v>0</v>
      </c>
      <c r="AP29" s="18">
        <f t="shared" si="323"/>
        <v>0.80874316939890711</v>
      </c>
      <c r="AQ29" s="51">
        <f t="shared" si="323"/>
        <v>0.99909850918004495</v>
      </c>
      <c r="AR29" s="18">
        <f t="shared" si="323"/>
        <v>0.95804195804195802</v>
      </c>
      <c r="AS29" s="18">
        <f t="shared" si="323"/>
        <v>0.71170226706853623</v>
      </c>
      <c r="AT29" s="18">
        <f t="shared" si="323"/>
        <v>0</v>
      </c>
      <c r="AU29" s="18">
        <f t="shared" si="323"/>
        <v>0</v>
      </c>
      <c r="AV29" s="18">
        <f t="shared" si="323"/>
        <v>0</v>
      </c>
      <c r="AW29" s="18">
        <f t="shared" si="323"/>
        <v>0</v>
      </c>
      <c r="AX29" s="18">
        <f t="shared" si="323"/>
        <v>0</v>
      </c>
      <c r="AY29" s="18">
        <f t="shared" si="323"/>
        <v>0</v>
      </c>
      <c r="AZ29" s="18">
        <f t="shared" si="323"/>
        <v>0</v>
      </c>
      <c r="BA29" s="18">
        <f t="shared" si="323"/>
        <v>0</v>
      </c>
      <c r="BB29" s="18">
        <f t="shared" si="323"/>
        <v>0.84376222135314827</v>
      </c>
      <c r="BC29" s="18">
        <f t="shared" si="323"/>
        <v>0</v>
      </c>
      <c r="BD29" s="40">
        <f t="shared" si="323"/>
        <v>0.9042980967706119</v>
      </c>
      <c r="BF29" s="46">
        <f t="shared" si="323"/>
        <v>0.98396524421484177</v>
      </c>
      <c r="BG29" s="18">
        <f t="shared" si="323"/>
        <v>0</v>
      </c>
      <c r="BH29" s="18">
        <f t="shared" si="323"/>
        <v>0.97755610972568574</v>
      </c>
      <c r="BI29" s="51">
        <f t="shared" si="323"/>
        <v>0.99967104564720122</v>
      </c>
      <c r="BJ29" s="18">
        <f t="shared" si="323"/>
        <v>1</v>
      </c>
      <c r="BK29" s="18">
        <f t="shared" si="323"/>
        <v>0.80501829587036067</v>
      </c>
      <c r="BL29" s="18">
        <f t="shared" si="323"/>
        <v>0</v>
      </c>
      <c r="BM29" s="18">
        <f t="shared" si="323"/>
        <v>0</v>
      </c>
      <c r="BN29" s="18">
        <f t="shared" si="323"/>
        <v>0</v>
      </c>
      <c r="BO29" s="18">
        <f t="shared" si="323"/>
        <v>0</v>
      </c>
      <c r="BP29" s="18">
        <f t="shared" si="323"/>
        <v>0</v>
      </c>
      <c r="BQ29" s="18">
        <f t="shared" si="323"/>
        <v>0</v>
      </c>
      <c r="BR29" s="18">
        <f t="shared" si="323"/>
        <v>0</v>
      </c>
      <c r="BS29" s="18">
        <f t="shared" si="323"/>
        <v>0</v>
      </c>
      <c r="BT29" s="18">
        <f t="shared" si="323"/>
        <v>0.94477187346872105</v>
      </c>
      <c r="BU29" s="18">
        <f t="shared" si="323"/>
        <v>0</v>
      </c>
      <c r="BV29" s="40">
        <f t="shared" si="323"/>
        <v>0.9839453801575655</v>
      </c>
      <c r="BX29" s="46">
        <f t="shared" si="323"/>
        <v>0.90657516631457402</v>
      </c>
      <c r="BY29" s="18">
        <f t="shared" si="323"/>
        <v>8.6206896551724137E-3</v>
      </c>
      <c r="BZ29" s="18">
        <f t="shared" si="323"/>
        <v>0.96803666236337749</v>
      </c>
      <c r="CA29" s="51">
        <f t="shared" si="323"/>
        <v>1</v>
      </c>
      <c r="CB29" s="18">
        <f t="shared" si="323"/>
        <v>1</v>
      </c>
      <c r="CC29" s="18">
        <f t="shared" si="323"/>
        <v>1</v>
      </c>
      <c r="CD29" s="18">
        <f t="shared" si="323"/>
        <v>0</v>
      </c>
      <c r="CE29" s="18">
        <f t="shared" si="323"/>
        <v>0</v>
      </c>
      <c r="CF29" s="18">
        <f t="shared" si="323"/>
        <v>0</v>
      </c>
      <c r="CG29" s="18">
        <f t="shared" si="323"/>
        <v>0</v>
      </c>
      <c r="CH29" s="18">
        <f t="shared" ref="CH29:CN29" si="344">IFERROR(CH8/CH$13,0)</f>
        <v>0</v>
      </c>
      <c r="CI29" s="18">
        <f t="shared" si="344"/>
        <v>0</v>
      </c>
      <c r="CJ29" s="18">
        <f t="shared" si="344"/>
        <v>0</v>
      </c>
      <c r="CK29" s="18">
        <f t="shared" si="344"/>
        <v>0</v>
      </c>
      <c r="CL29" s="18">
        <f t="shared" si="344"/>
        <v>0.88473413379073751</v>
      </c>
      <c r="CM29" s="18">
        <f t="shared" si="344"/>
        <v>0</v>
      </c>
      <c r="CN29" s="40">
        <f t="shared" si="344"/>
        <v>0.90839027689505936</v>
      </c>
      <c r="CP29" s="46">
        <f t="shared" si="327"/>
        <v>0.85415439746950361</v>
      </c>
      <c r="CQ29" s="18">
        <f t="shared" si="327"/>
        <v>0</v>
      </c>
      <c r="CR29" s="18">
        <f t="shared" si="327"/>
        <v>0.90972222222222221</v>
      </c>
      <c r="CS29" s="51">
        <f t="shared" si="327"/>
        <v>1</v>
      </c>
      <c r="CT29" s="18">
        <f t="shared" si="327"/>
        <v>0.98190045248868774</v>
      </c>
      <c r="CU29" s="18">
        <f t="shared" si="327"/>
        <v>0.85910652920962194</v>
      </c>
      <c r="CV29" s="18">
        <f t="shared" si="327"/>
        <v>0</v>
      </c>
      <c r="CW29" s="18">
        <f t="shared" si="327"/>
        <v>0</v>
      </c>
      <c r="CX29" s="18">
        <f t="shared" si="327"/>
        <v>0</v>
      </c>
      <c r="CY29" s="18">
        <f t="shared" si="327"/>
        <v>0</v>
      </c>
      <c r="CZ29" s="18">
        <f t="shared" si="327"/>
        <v>0</v>
      </c>
      <c r="DA29" s="18">
        <f t="shared" si="327"/>
        <v>0</v>
      </c>
      <c r="DB29" s="18">
        <f t="shared" si="327"/>
        <v>0</v>
      </c>
      <c r="DC29" s="18">
        <f t="shared" si="327"/>
        <v>0</v>
      </c>
      <c r="DD29" s="18">
        <f t="shared" si="327"/>
        <v>0.87476897137245568</v>
      </c>
      <c r="DE29" s="18">
        <f t="shared" si="327"/>
        <v>0</v>
      </c>
      <c r="DF29" s="40">
        <f t="shared" si="327"/>
        <v>0.85403900898271656</v>
      </c>
      <c r="DH29" s="46">
        <f t="shared" si="327"/>
        <v>0.8835075577581718</v>
      </c>
      <c r="DI29" s="18">
        <f t="shared" si="327"/>
        <v>0</v>
      </c>
      <c r="DJ29" s="18">
        <f t="shared" si="327"/>
        <v>0.9550561797752809</v>
      </c>
      <c r="DK29" s="51">
        <f t="shared" si="327"/>
        <v>1</v>
      </c>
      <c r="DL29" s="18">
        <f t="shared" si="327"/>
        <v>1</v>
      </c>
      <c r="DM29" s="18">
        <f t="shared" si="327"/>
        <v>0.99422268907563027</v>
      </c>
      <c r="DN29" s="18">
        <f t="shared" si="327"/>
        <v>0</v>
      </c>
      <c r="DO29" s="18">
        <f t="shared" si="327"/>
        <v>0</v>
      </c>
      <c r="DP29" s="18">
        <f t="shared" si="327"/>
        <v>0</v>
      </c>
      <c r="DQ29" s="18">
        <f t="shared" si="327"/>
        <v>0</v>
      </c>
      <c r="DR29" s="18">
        <f t="shared" si="327"/>
        <v>0</v>
      </c>
      <c r="DS29" s="18">
        <f t="shared" si="327"/>
        <v>0</v>
      </c>
      <c r="DT29" s="18">
        <f t="shared" si="327"/>
        <v>0</v>
      </c>
      <c r="DU29" s="18">
        <f t="shared" si="327"/>
        <v>0</v>
      </c>
      <c r="DV29" s="18">
        <f t="shared" ref="DV29:DX29" si="345">IFERROR(DV8/DV$13,0)</f>
        <v>0.87392576282068679</v>
      </c>
      <c r="DW29" s="18">
        <f t="shared" si="345"/>
        <v>0</v>
      </c>
      <c r="DX29" s="40">
        <f t="shared" si="345"/>
        <v>0.88333978712892147</v>
      </c>
      <c r="DZ29" s="46">
        <f t="shared" si="329"/>
        <v>0.13445532731237655</v>
      </c>
      <c r="EA29" s="18">
        <f t="shared" si="329"/>
        <v>0</v>
      </c>
      <c r="EB29" s="18">
        <f t="shared" si="329"/>
        <v>0</v>
      </c>
      <c r="EC29" s="51">
        <f t="shared" si="329"/>
        <v>0.94262295081967218</v>
      </c>
      <c r="ED29" s="18">
        <f t="shared" si="329"/>
        <v>1</v>
      </c>
      <c r="EE29" s="18">
        <f t="shared" si="329"/>
        <v>0.86585365853658536</v>
      </c>
      <c r="EF29" s="18">
        <f t="shared" si="329"/>
        <v>0</v>
      </c>
      <c r="EG29" s="18">
        <f t="shared" si="329"/>
        <v>0</v>
      </c>
      <c r="EH29" s="18">
        <f t="shared" si="329"/>
        <v>0</v>
      </c>
      <c r="EI29" s="18">
        <f t="shared" si="329"/>
        <v>0</v>
      </c>
      <c r="EJ29" s="18">
        <f t="shared" si="329"/>
        <v>0</v>
      </c>
      <c r="EK29" s="18">
        <f t="shared" si="329"/>
        <v>0</v>
      </c>
      <c r="EL29" s="18">
        <f t="shared" si="329"/>
        <v>0</v>
      </c>
      <c r="EM29" s="18">
        <f t="shared" si="329"/>
        <v>0</v>
      </c>
      <c r="EN29" s="18">
        <f t="shared" si="329"/>
        <v>7.0233917237988108E-2</v>
      </c>
      <c r="EO29" s="18">
        <f t="shared" si="329"/>
        <v>0</v>
      </c>
      <c r="EP29" s="40">
        <f t="shared" si="329"/>
        <v>0.13444681782537371</v>
      </c>
      <c r="ER29" s="46">
        <f t="shared" si="329"/>
        <v>0.59838820347316724</v>
      </c>
      <c r="ES29" s="18">
        <f t="shared" si="329"/>
        <v>0</v>
      </c>
      <c r="ET29" s="18">
        <f t="shared" si="329"/>
        <v>0.17202161593013532</v>
      </c>
      <c r="EU29" s="51">
        <f t="shared" si="329"/>
        <v>1</v>
      </c>
      <c r="EV29" s="18">
        <f t="shared" si="329"/>
        <v>1</v>
      </c>
      <c r="EW29" s="18">
        <f t="shared" si="329"/>
        <v>0.74224146714212935</v>
      </c>
      <c r="EX29" s="18">
        <f t="shared" si="329"/>
        <v>0</v>
      </c>
      <c r="EY29" s="18">
        <f t="shared" si="329"/>
        <v>0</v>
      </c>
      <c r="EZ29" s="18">
        <f t="shared" si="329"/>
        <v>0</v>
      </c>
      <c r="FA29" s="18">
        <f t="shared" si="329"/>
        <v>0</v>
      </c>
      <c r="FB29" s="18">
        <f t="shared" si="329"/>
        <v>0</v>
      </c>
      <c r="FC29" s="18">
        <f t="shared" si="329"/>
        <v>0</v>
      </c>
      <c r="FD29" s="18">
        <f t="shared" si="329"/>
        <v>0</v>
      </c>
      <c r="FE29" s="18">
        <f t="shared" si="329"/>
        <v>0</v>
      </c>
      <c r="FF29" s="18">
        <f t="shared" ref="FF29:FH29" si="346">IFERROR(FF8/FF$13,0)</f>
        <v>0.54692044218973723</v>
      </c>
      <c r="FG29" s="18">
        <f t="shared" si="346"/>
        <v>0</v>
      </c>
      <c r="FH29" s="40">
        <f t="shared" si="346"/>
        <v>0.59838786291292012</v>
      </c>
      <c r="FJ29" s="46">
        <f t="shared" si="331"/>
        <v>0.49891621488287968</v>
      </c>
      <c r="FK29" s="18">
        <f t="shared" si="331"/>
        <v>9.0826521344232502E-4</v>
      </c>
      <c r="FL29" s="18">
        <f t="shared" si="331"/>
        <v>0.5014149778731648</v>
      </c>
      <c r="FM29" s="18">
        <f t="shared" si="331"/>
        <v>0.99570447070878576</v>
      </c>
      <c r="FN29" s="18">
        <f t="shared" si="331"/>
        <v>1</v>
      </c>
      <c r="FO29" s="18">
        <f t="shared" si="331"/>
        <v>0.36462796306591372</v>
      </c>
      <c r="FP29" s="18">
        <f t="shared" si="331"/>
        <v>0</v>
      </c>
      <c r="FQ29" s="18">
        <f t="shared" si="331"/>
        <v>0</v>
      </c>
      <c r="FR29" s="18">
        <f t="shared" si="331"/>
        <v>0</v>
      </c>
      <c r="FS29" s="18">
        <f t="shared" si="331"/>
        <v>0</v>
      </c>
      <c r="FT29" s="18">
        <f t="shared" si="331"/>
        <v>0</v>
      </c>
      <c r="FU29" s="18">
        <f t="shared" si="331"/>
        <v>0</v>
      </c>
      <c r="FV29" s="18">
        <f t="shared" si="331"/>
        <v>0</v>
      </c>
      <c r="FW29" s="18">
        <f t="shared" si="331"/>
        <v>0</v>
      </c>
      <c r="FX29" s="18">
        <f t="shared" si="331"/>
        <v>0.51124476993099277</v>
      </c>
      <c r="FY29" s="18">
        <f t="shared" si="331"/>
        <v>0</v>
      </c>
      <c r="FZ29" s="40">
        <f t="shared" si="331"/>
        <v>0.49868655455423122</v>
      </c>
      <c r="GB29" s="46">
        <f t="shared" si="331"/>
        <v>0.58338817680909405</v>
      </c>
      <c r="GC29" s="18">
        <f t="shared" si="331"/>
        <v>0</v>
      </c>
      <c r="GD29" s="18">
        <f t="shared" si="331"/>
        <v>0.17330210772833723</v>
      </c>
      <c r="GE29" s="51">
        <f t="shared" si="331"/>
        <v>0.99142173109466514</v>
      </c>
      <c r="GF29" s="18">
        <f t="shared" si="331"/>
        <v>0.97959183673469385</v>
      </c>
      <c r="GG29" s="18">
        <f t="shared" si="331"/>
        <v>0.69597796669342249</v>
      </c>
      <c r="GH29" s="18">
        <f t="shared" si="331"/>
        <v>0</v>
      </c>
      <c r="GI29" s="18">
        <f t="shared" si="331"/>
        <v>0</v>
      </c>
      <c r="GJ29" s="18">
        <f t="shared" si="331"/>
        <v>0</v>
      </c>
      <c r="GK29" s="18">
        <f t="shared" si="331"/>
        <v>0</v>
      </c>
      <c r="GL29" s="18">
        <f t="shared" si="331"/>
        <v>0</v>
      </c>
      <c r="GM29" s="18">
        <f t="shared" si="331"/>
        <v>0</v>
      </c>
      <c r="GN29" s="18">
        <f t="shared" si="331"/>
        <v>0</v>
      </c>
      <c r="GO29" s="18">
        <f t="shared" si="331"/>
        <v>0</v>
      </c>
      <c r="GP29" s="18">
        <f t="shared" ref="GP29:GR29" si="347">IFERROR(GP8/GP$13,0)</f>
        <v>0.5098615496720913</v>
      </c>
      <c r="GQ29" s="18">
        <f t="shared" si="347"/>
        <v>0</v>
      </c>
      <c r="GR29" s="40">
        <f t="shared" si="347"/>
        <v>0.58334019382471336</v>
      </c>
      <c r="GT29" s="46">
        <f t="shared" si="333"/>
        <v>0.4040990826162032</v>
      </c>
      <c r="GU29" s="18">
        <f t="shared" si="333"/>
        <v>0</v>
      </c>
      <c r="GV29" s="18">
        <f t="shared" si="333"/>
        <v>0.16973644975571711</v>
      </c>
      <c r="GW29" s="51">
        <f t="shared" si="333"/>
        <v>0.94898672257162819</v>
      </c>
      <c r="GX29" s="18">
        <f t="shared" si="333"/>
        <v>0.83333333333333337</v>
      </c>
      <c r="GY29" s="18">
        <f t="shared" si="333"/>
        <v>8.9252367988840647E-2</v>
      </c>
      <c r="GZ29" s="18">
        <f t="shared" si="333"/>
        <v>0</v>
      </c>
      <c r="HA29" s="18">
        <f t="shared" si="333"/>
        <v>0</v>
      </c>
      <c r="HB29" s="18">
        <f t="shared" si="333"/>
        <v>0</v>
      </c>
      <c r="HC29" s="18">
        <f t="shared" si="333"/>
        <v>0</v>
      </c>
      <c r="HD29" s="18">
        <f t="shared" si="333"/>
        <v>0</v>
      </c>
      <c r="HE29" s="18">
        <f t="shared" si="333"/>
        <v>0</v>
      </c>
      <c r="HF29" s="18">
        <f t="shared" si="333"/>
        <v>0</v>
      </c>
      <c r="HG29" s="18">
        <f t="shared" si="333"/>
        <v>0</v>
      </c>
      <c r="HH29" s="18">
        <f t="shared" si="333"/>
        <v>0.30045022116127218</v>
      </c>
      <c r="HI29" s="18">
        <f t="shared" si="333"/>
        <v>0</v>
      </c>
      <c r="HJ29" s="40">
        <f t="shared" si="333"/>
        <v>0.404299451974371</v>
      </c>
      <c r="HL29" s="46">
        <f t="shared" si="333"/>
        <v>0.57952036250936867</v>
      </c>
      <c r="HM29" s="18">
        <f t="shared" si="333"/>
        <v>0</v>
      </c>
      <c r="HN29" s="18">
        <f t="shared" si="333"/>
        <v>0.43055555555555564</v>
      </c>
      <c r="HO29" s="51">
        <f t="shared" si="333"/>
        <v>0.98933500627352577</v>
      </c>
      <c r="HP29" s="18">
        <f t="shared" si="333"/>
        <v>0.66666666666666663</v>
      </c>
      <c r="HQ29" s="18">
        <f t="shared" si="333"/>
        <v>0.22222222222222221</v>
      </c>
      <c r="HR29" s="18">
        <f t="shared" si="333"/>
        <v>0</v>
      </c>
      <c r="HS29" s="18">
        <f t="shared" si="333"/>
        <v>0</v>
      </c>
      <c r="HT29" s="18">
        <f t="shared" si="333"/>
        <v>0</v>
      </c>
      <c r="HU29" s="18">
        <f t="shared" si="333"/>
        <v>0</v>
      </c>
      <c r="HV29" s="18">
        <f t="shared" si="333"/>
        <v>0</v>
      </c>
      <c r="HW29" s="18">
        <f t="shared" si="333"/>
        <v>1</v>
      </c>
      <c r="HX29" s="18">
        <f t="shared" si="333"/>
        <v>0.5</v>
      </c>
      <c r="HY29" s="18">
        <f t="shared" si="333"/>
        <v>0</v>
      </c>
      <c r="HZ29" s="18">
        <f t="shared" si="333"/>
        <v>0.46141516726831727</v>
      </c>
      <c r="IA29" s="18">
        <f t="shared" si="333"/>
        <v>0</v>
      </c>
      <c r="IB29" s="40">
        <f t="shared" si="333"/>
        <v>0.57963508609137748</v>
      </c>
    </row>
    <row r="30" spans="2:236" x14ac:dyDescent="0.35">
      <c r="B30" s="17" t="s">
        <v>71</v>
      </c>
      <c r="D30" s="46">
        <f t="shared" ref="D30" si="348">IFERROR(D9/D$13,0)</f>
        <v>7.4328527801723306E-3</v>
      </c>
      <c r="E30" s="18">
        <f t="shared" si="336"/>
        <v>0</v>
      </c>
      <c r="F30" s="18">
        <f t="shared" ref="F30:T30" si="349">IFERROR(F9/F$13,0)</f>
        <v>0</v>
      </c>
      <c r="G30" s="18">
        <f t="shared" si="349"/>
        <v>0</v>
      </c>
      <c r="H30" s="18">
        <f t="shared" si="349"/>
        <v>2.403467985806429E-3</v>
      </c>
      <c r="I30" s="51">
        <f t="shared" si="349"/>
        <v>0.11659402758708384</v>
      </c>
      <c r="J30" s="18">
        <f t="shared" si="349"/>
        <v>0</v>
      </c>
      <c r="K30" s="18">
        <f t="shared" si="349"/>
        <v>5.0145331121222072E-3</v>
      </c>
      <c r="L30" s="18">
        <f t="shared" si="349"/>
        <v>0</v>
      </c>
      <c r="M30" s="18">
        <f t="shared" si="349"/>
        <v>0</v>
      </c>
      <c r="N30" s="18">
        <f t="shared" si="349"/>
        <v>0</v>
      </c>
      <c r="O30" s="18">
        <f t="shared" si="349"/>
        <v>0</v>
      </c>
      <c r="P30" s="50">
        <f t="shared" si="349"/>
        <v>0</v>
      </c>
      <c r="Q30" s="18">
        <f t="shared" si="349"/>
        <v>0</v>
      </c>
      <c r="R30" s="18">
        <f t="shared" si="349"/>
        <v>1.777748821086771E-2</v>
      </c>
      <c r="S30" s="18">
        <f t="shared" si="349"/>
        <v>0</v>
      </c>
      <c r="T30" s="40">
        <f t="shared" si="349"/>
        <v>7.4043919662678849E-3</v>
      </c>
      <c r="V30" s="46">
        <f t="shared" si="323"/>
        <v>1.192543524044171E-3</v>
      </c>
      <c r="W30" s="18">
        <f t="shared" si="323"/>
        <v>0</v>
      </c>
      <c r="X30" s="18">
        <f t="shared" si="323"/>
        <v>0</v>
      </c>
      <c r="Y30" s="18">
        <f t="shared" si="323"/>
        <v>0</v>
      </c>
      <c r="Z30" s="18">
        <f t="shared" si="323"/>
        <v>0</v>
      </c>
      <c r="AA30" s="51">
        <f t="shared" si="323"/>
        <v>2.3709902370990237E-2</v>
      </c>
      <c r="AB30" s="18">
        <f t="shared" si="323"/>
        <v>0</v>
      </c>
      <c r="AC30" s="18">
        <f t="shared" si="323"/>
        <v>0.47967479674796748</v>
      </c>
      <c r="AD30" s="18">
        <f t="shared" si="323"/>
        <v>0</v>
      </c>
      <c r="AE30" s="18">
        <f t="shared" si="323"/>
        <v>0</v>
      </c>
      <c r="AF30" s="18">
        <f t="shared" si="323"/>
        <v>0</v>
      </c>
      <c r="AG30" s="18">
        <f t="shared" si="323"/>
        <v>0</v>
      </c>
      <c r="AH30" s="18">
        <f t="shared" si="323"/>
        <v>0</v>
      </c>
      <c r="AI30" s="18">
        <f t="shared" si="323"/>
        <v>0</v>
      </c>
      <c r="AJ30" s="18">
        <f t="shared" si="323"/>
        <v>5.6142694690300672E-3</v>
      </c>
      <c r="AK30" s="18">
        <f t="shared" si="323"/>
        <v>0</v>
      </c>
      <c r="AL30" s="40">
        <f t="shared" si="323"/>
        <v>1.1768063825338122E-3</v>
      </c>
      <c r="AN30" s="46">
        <f t="shared" si="323"/>
        <v>1.1456523527482686E-3</v>
      </c>
      <c r="AO30" s="18">
        <f t="shared" si="323"/>
        <v>0</v>
      </c>
      <c r="AP30" s="18">
        <f t="shared" si="323"/>
        <v>0</v>
      </c>
      <c r="AQ30" s="18">
        <f t="shared" si="323"/>
        <v>0</v>
      </c>
      <c r="AR30" s="18">
        <f t="shared" si="323"/>
        <v>0</v>
      </c>
      <c r="AS30" s="51">
        <f t="shared" si="323"/>
        <v>0</v>
      </c>
      <c r="AT30" s="18">
        <f t="shared" si="323"/>
        <v>0</v>
      </c>
      <c r="AU30" s="18">
        <f t="shared" si="323"/>
        <v>0.62573738256499889</v>
      </c>
      <c r="AV30" s="18">
        <f t="shared" si="323"/>
        <v>0</v>
      </c>
      <c r="AW30" s="18">
        <f t="shared" si="323"/>
        <v>0</v>
      </c>
      <c r="AX30" s="18">
        <f t="shared" si="323"/>
        <v>0</v>
      </c>
      <c r="AY30" s="18">
        <f t="shared" si="323"/>
        <v>0</v>
      </c>
      <c r="AZ30" s="18">
        <f t="shared" si="323"/>
        <v>0</v>
      </c>
      <c r="BA30" s="18">
        <f t="shared" si="323"/>
        <v>0</v>
      </c>
      <c r="BB30" s="18">
        <f t="shared" si="323"/>
        <v>8.9949159170903403E-3</v>
      </c>
      <c r="BC30" s="18">
        <f t="shared" si="323"/>
        <v>0</v>
      </c>
      <c r="BD30" s="40">
        <f t="shared" si="323"/>
        <v>1.1519015815288742E-3</v>
      </c>
      <c r="BF30" s="46">
        <f t="shared" si="323"/>
        <v>5.3318313725927372E-4</v>
      </c>
      <c r="BG30" s="18">
        <f t="shared" si="323"/>
        <v>0</v>
      </c>
      <c r="BH30" s="18">
        <f t="shared" si="323"/>
        <v>0</v>
      </c>
      <c r="BI30" s="18">
        <f t="shared" si="323"/>
        <v>0</v>
      </c>
      <c r="BJ30" s="18">
        <f t="shared" si="323"/>
        <v>0</v>
      </c>
      <c r="BK30" s="51">
        <f t="shared" si="323"/>
        <v>7.9979090433873495E-2</v>
      </c>
      <c r="BL30" s="18">
        <f t="shared" si="323"/>
        <v>0</v>
      </c>
      <c r="BM30" s="18">
        <f t="shared" si="323"/>
        <v>0</v>
      </c>
      <c r="BN30" s="18">
        <f t="shared" si="323"/>
        <v>0</v>
      </c>
      <c r="BO30" s="18">
        <f t="shared" si="323"/>
        <v>0</v>
      </c>
      <c r="BP30" s="18">
        <f t="shared" si="323"/>
        <v>0</v>
      </c>
      <c r="BQ30" s="18">
        <f t="shared" si="323"/>
        <v>0</v>
      </c>
      <c r="BR30" s="18">
        <f t="shared" si="323"/>
        <v>0</v>
      </c>
      <c r="BS30" s="18">
        <f t="shared" si="323"/>
        <v>0</v>
      </c>
      <c r="BT30" s="18">
        <f t="shared" si="323"/>
        <v>3.9064626776283556E-3</v>
      </c>
      <c r="BU30" s="18">
        <f t="shared" si="323"/>
        <v>0</v>
      </c>
      <c r="BV30" s="40">
        <f t="shared" si="323"/>
        <v>5.1153830070088538E-4</v>
      </c>
      <c r="BX30" s="46">
        <f t="shared" si="323"/>
        <v>0</v>
      </c>
      <c r="BY30" s="18">
        <f t="shared" si="323"/>
        <v>0</v>
      </c>
      <c r="BZ30" s="18">
        <f t="shared" si="323"/>
        <v>0</v>
      </c>
      <c r="CA30" s="18">
        <f t="shared" si="323"/>
        <v>0</v>
      </c>
      <c r="CB30" s="18">
        <f t="shared" si="323"/>
        <v>0</v>
      </c>
      <c r="CC30" s="51">
        <f t="shared" si="323"/>
        <v>0</v>
      </c>
      <c r="CD30" s="18">
        <f t="shared" si="323"/>
        <v>0</v>
      </c>
      <c r="CE30" s="18">
        <f t="shared" si="323"/>
        <v>0</v>
      </c>
      <c r="CF30" s="18">
        <f t="shared" si="323"/>
        <v>0</v>
      </c>
      <c r="CG30" s="18">
        <f t="shared" si="323"/>
        <v>0</v>
      </c>
      <c r="CH30" s="18">
        <f t="shared" ref="CH30:CN30" si="350">IFERROR(CH9/CH$13,0)</f>
        <v>0</v>
      </c>
      <c r="CI30" s="18">
        <f t="shared" si="350"/>
        <v>0</v>
      </c>
      <c r="CJ30" s="18">
        <f t="shared" si="350"/>
        <v>0</v>
      </c>
      <c r="CK30" s="18">
        <f t="shared" si="350"/>
        <v>0</v>
      </c>
      <c r="CL30" s="18">
        <f t="shared" si="350"/>
        <v>0</v>
      </c>
      <c r="CM30" s="18">
        <f t="shared" si="350"/>
        <v>0</v>
      </c>
      <c r="CN30" s="40">
        <f t="shared" si="350"/>
        <v>0</v>
      </c>
      <c r="CP30" s="46">
        <f t="shared" si="327"/>
        <v>7.8607556854106524E-3</v>
      </c>
      <c r="CQ30" s="18">
        <f t="shared" si="327"/>
        <v>0</v>
      </c>
      <c r="CR30" s="18">
        <f t="shared" si="327"/>
        <v>0</v>
      </c>
      <c r="CS30" s="18">
        <f t="shared" si="327"/>
        <v>0</v>
      </c>
      <c r="CT30" s="18">
        <f t="shared" si="327"/>
        <v>0</v>
      </c>
      <c r="CU30" s="51">
        <f t="shared" si="327"/>
        <v>0.12371134020618559</v>
      </c>
      <c r="CV30" s="18">
        <f t="shared" si="327"/>
        <v>0</v>
      </c>
      <c r="CW30" s="18">
        <f t="shared" si="327"/>
        <v>0</v>
      </c>
      <c r="CX30" s="18">
        <f t="shared" si="327"/>
        <v>0</v>
      </c>
      <c r="CY30" s="18">
        <f t="shared" si="327"/>
        <v>0</v>
      </c>
      <c r="CZ30" s="18">
        <f t="shared" si="327"/>
        <v>0</v>
      </c>
      <c r="DA30" s="18">
        <f t="shared" si="327"/>
        <v>0</v>
      </c>
      <c r="DB30" s="18">
        <f t="shared" si="327"/>
        <v>0</v>
      </c>
      <c r="DC30" s="18">
        <f t="shared" si="327"/>
        <v>0</v>
      </c>
      <c r="DD30" s="18">
        <f t="shared" si="327"/>
        <v>0</v>
      </c>
      <c r="DE30" s="18">
        <f t="shared" si="327"/>
        <v>0</v>
      </c>
      <c r="DF30" s="40">
        <f t="shared" si="327"/>
        <v>7.8990506119101279E-3</v>
      </c>
      <c r="DH30" s="46">
        <f t="shared" si="327"/>
        <v>2.4327820656544629E-4</v>
      </c>
      <c r="DI30" s="18">
        <f t="shared" si="327"/>
        <v>0</v>
      </c>
      <c r="DJ30" s="18">
        <f t="shared" si="327"/>
        <v>0</v>
      </c>
      <c r="DK30" s="18">
        <f t="shared" si="327"/>
        <v>0</v>
      </c>
      <c r="DL30" s="18">
        <f t="shared" si="327"/>
        <v>0</v>
      </c>
      <c r="DM30" s="51">
        <f t="shared" si="327"/>
        <v>2.8886554621848741E-3</v>
      </c>
      <c r="DN30" s="18">
        <f t="shared" si="327"/>
        <v>0</v>
      </c>
      <c r="DO30" s="18">
        <f t="shared" si="327"/>
        <v>0</v>
      </c>
      <c r="DP30" s="18">
        <f t="shared" si="327"/>
        <v>0</v>
      </c>
      <c r="DQ30" s="18">
        <f t="shared" si="327"/>
        <v>0</v>
      </c>
      <c r="DR30" s="18">
        <f t="shared" si="327"/>
        <v>0</v>
      </c>
      <c r="DS30" s="18">
        <f t="shared" si="327"/>
        <v>0</v>
      </c>
      <c r="DT30" s="18">
        <f t="shared" si="327"/>
        <v>0</v>
      </c>
      <c r="DU30" s="18">
        <f t="shared" si="327"/>
        <v>0</v>
      </c>
      <c r="DV30" s="18">
        <f t="shared" ref="DV30:DX30" si="351">IFERROR(DV9/DV$13,0)</f>
        <v>0</v>
      </c>
      <c r="DW30" s="18">
        <f t="shared" si="351"/>
        <v>0</v>
      </c>
      <c r="DX30" s="40">
        <f t="shared" si="351"/>
        <v>2.4433574761485553E-4</v>
      </c>
      <c r="DZ30" s="46">
        <f t="shared" si="329"/>
        <v>0</v>
      </c>
      <c r="EA30" s="18">
        <f t="shared" si="329"/>
        <v>0</v>
      </c>
      <c r="EB30" s="18">
        <f t="shared" si="329"/>
        <v>0</v>
      </c>
      <c r="EC30" s="18">
        <f t="shared" si="329"/>
        <v>0</v>
      </c>
      <c r="ED30" s="18">
        <f t="shared" si="329"/>
        <v>0</v>
      </c>
      <c r="EE30" s="51">
        <f t="shared" si="329"/>
        <v>0</v>
      </c>
      <c r="EF30" s="18">
        <f t="shared" si="329"/>
        <v>0</v>
      </c>
      <c r="EG30" s="18">
        <f t="shared" si="329"/>
        <v>0</v>
      </c>
      <c r="EH30" s="18">
        <f t="shared" si="329"/>
        <v>0</v>
      </c>
      <c r="EI30" s="18">
        <f t="shared" si="329"/>
        <v>0</v>
      </c>
      <c r="EJ30" s="18">
        <f t="shared" si="329"/>
        <v>0</v>
      </c>
      <c r="EK30" s="18">
        <f t="shared" si="329"/>
        <v>0</v>
      </c>
      <c r="EL30" s="18">
        <f t="shared" si="329"/>
        <v>0</v>
      </c>
      <c r="EM30" s="18">
        <f t="shared" si="329"/>
        <v>0</v>
      </c>
      <c r="EN30" s="18">
        <f t="shared" si="329"/>
        <v>0</v>
      </c>
      <c r="EO30" s="18">
        <f t="shared" si="329"/>
        <v>0</v>
      </c>
      <c r="EP30" s="40">
        <f t="shared" si="329"/>
        <v>0</v>
      </c>
      <c r="ER30" s="46">
        <f t="shared" si="329"/>
        <v>0</v>
      </c>
      <c r="ES30" s="18">
        <f t="shared" si="329"/>
        <v>0</v>
      </c>
      <c r="ET30" s="18">
        <f t="shared" si="329"/>
        <v>0</v>
      </c>
      <c r="EU30" s="18">
        <f t="shared" si="329"/>
        <v>0</v>
      </c>
      <c r="EV30" s="18">
        <f t="shared" si="329"/>
        <v>0</v>
      </c>
      <c r="EW30" s="51">
        <f t="shared" si="329"/>
        <v>0</v>
      </c>
      <c r="EX30" s="18">
        <f t="shared" si="329"/>
        <v>0</v>
      </c>
      <c r="EY30" s="18">
        <f t="shared" si="329"/>
        <v>0</v>
      </c>
      <c r="EZ30" s="18">
        <f t="shared" si="329"/>
        <v>0</v>
      </c>
      <c r="FA30" s="18">
        <f t="shared" si="329"/>
        <v>0</v>
      </c>
      <c r="FB30" s="18">
        <f t="shared" si="329"/>
        <v>0</v>
      </c>
      <c r="FC30" s="18">
        <f t="shared" si="329"/>
        <v>0</v>
      </c>
      <c r="FD30" s="18">
        <f t="shared" si="329"/>
        <v>0</v>
      </c>
      <c r="FE30" s="18">
        <f t="shared" si="329"/>
        <v>0</v>
      </c>
      <c r="FF30" s="18">
        <f t="shared" ref="FF30:FH30" si="352">IFERROR(FF9/FF$13,0)</f>
        <v>0</v>
      </c>
      <c r="FG30" s="18">
        <f t="shared" si="352"/>
        <v>0</v>
      </c>
      <c r="FH30" s="40">
        <f t="shared" si="352"/>
        <v>0</v>
      </c>
      <c r="FJ30" s="46">
        <f t="shared" si="331"/>
        <v>0</v>
      </c>
      <c r="FK30" s="18">
        <f t="shared" si="331"/>
        <v>0</v>
      </c>
      <c r="FL30" s="18">
        <f t="shared" si="331"/>
        <v>0</v>
      </c>
      <c r="FM30" s="18">
        <f t="shared" si="331"/>
        <v>0</v>
      </c>
      <c r="FN30" s="18">
        <f t="shared" si="331"/>
        <v>0</v>
      </c>
      <c r="FO30" s="18">
        <f t="shared" si="331"/>
        <v>0</v>
      </c>
      <c r="FP30" s="18">
        <f t="shared" si="331"/>
        <v>0</v>
      </c>
      <c r="FQ30" s="18">
        <f t="shared" si="331"/>
        <v>0</v>
      </c>
      <c r="FR30" s="18">
        <f t="shared" si="331"/>
        <v>0</v>
      </c>
      <c r="FS30" s="18">
        <f t="shared" si="331"/>
        <v>0</v>
      </c>
      <c r="FT30" s="18">
        <f t="shared" si="331"/>
        <v>0</v>
      </c>
      <c r="FU30" s="18">
        <f t="shared" si="331"/>
        <v>0</v>
      </c>
      <c r="FV30" s="18">
        <f t="shared" si="331"/>
        <v>0</v>
      </c>
      <c r="FW30" s="18">
        <f t="shared" si="331"/>
        <v>0</v>
      </c>
      <c r="FX30" s="18">
        <f t="shared" si="331"/>
        <v>0</v>
      </c>
      <c r="FY30" s="18">
        <f t="shared" si="331"/>
        <v>0</v>
      </c>
      <c r="FZ30" s="40">
        <f t="shared" si="331"/>
        <v>0</v>
      </c>
      <c r="GB30" s="46">
        <f t="shared" si="331"/>
        <v>3.2927147597729391E-2</v>
      </c>
      <c r="GC30" s="18">
        <f t="shared" si="331"/>
        <v>0</v>
      </c>
      <c r="GD30" s="18">
        <f t="shared" si="331"/>
        <v>0</v>
      </c>
      <c r="GE30" s="18">
        <f t="shared" si="331"/>
        <v>0</v>
      </c>
      <c r="GF30" s="18">
        <f t="shared" si="331"/>
        <v>0</v>
      </c>
      <c r="GG30" s="51">
        <f t="shared" si="331"/>
        <v>0.12997979882373653</v>
      </c>
      <c r="GH30" s="18">
        <f t="shared" si="331"/>
        <v>0</v>
      </c>
      <c r="GI30" s="18">
        <f t="shared" si="331"/>
        <v>0</v>
      </c>
      <c r="GJ30" s="18">
        <f t="shared" si="331"/>
        <v>0</v>
      </c>
      <c r="GK30" s="18">
        <f t="shared" si="331"/>
        <v>0</v>
      </c>
      <c r="GL30" s="18">
        <f t="shared" si="331"/>
        <v>0</v>
      </c>
      <c r="GM30" s="18">
        <f t="shared" si="331"/>
        <v>0</v>
      </c>
      <c r="GN30" s="18">
        <f t="shared" si="331"/>
        <v>0</v>
      </c>
      <c r="GO30" s="18">
        <f t="shared" si="331"/>
        <v>0</v>
      </c>
      <c r="GP30" s="18">
        <f t="shared" ref="GP30:GR30" si="353">IFERROR(GP9/GP$13,0)</f>
        <v>4.7911100315763906E-2</v>
      </c>
      <c r="GQ30" s="18">
        <f t="shared" si="353"/>
        <v>0</v>
      </c>
      <c r="GR30" s="40">
        <f t="shared" si="353"/>
        <v>3.2871252852381225E-2</v>
      </c>
      <c r="GT30" s="46">
        <f t="shared" si="333"/>
        <v>2.3116247344599519E-2</v>
      </c>
      <c r="GU30" s="18">
        <f t="shared" si="333"/>
        <v>0</v>
      </c>
      <c r="GV30" s="18">
        <f t="shared" si="333"/>
        <v>0</v>
      </c>
      <c r="GW30" s="18">
        <f t="shared" si="333"/>
        <v>0</v>
      </c>
      <c r="GX30" s="18">
        <f t="shared" si="333"/>
        <v>0.16666666666666666</v>
      </c>
      <c r="GY30" s="51">
        <f t="shared" si="333"/>
        <v>0.42072580826602468</v>
      </c>
      <c r="GZ30" s="18">
        <f t="shared" si="333"/>
        <v>0</v>
      </c>
      <c r="HA30" s="18">
        <f t="shared" si="333"/>
        <v>0</v>
      </c>
      <c r="HB30" s="18">
        <f t="shared" si="333"/>
        <v>0</v>
      </c>
      <c r="HC30" s="18">
        <f t="shared" si="333"/>
        <v>0</v>
      </c>
      <c r="HD30" s="18">
        <f t="shared" si="333"/>
        <v>0</v>
      </c>
      <c r="HE30" s="18">
        <f t="shared" si="333"/>
        <v>0</v>
      </c>
      <c r="HF30" s="18">
        <f t="shared" si="333"/>
        <v>0</v>
      </c>
      <c r="HG30" s="18">
        <f t="shared" si="333"/>
        <v>0</v>
      </c>
      <c r="HH30" s="18">
        <f t="shared" si="333"/>
        <v>3.9931896370146741E-2</v>
      </c>
      <c r="HI30" s="18">
        <f t="shared" si="333"/>
        <v>0</v>
      </c>
      <c r="HJ30" s="40">
        <f t="shared" si="333"/>
        <v>2.2887739719829346E-2</v>
      </c>
      <c r="HL30" s="46">
        <f t="shared" si="333"/>
        <v>8.8246190718564831E-3</v>
      </c>
      <c r="HM30" s="18">
        <f t="shared" si="333"/>
        <v>0</v>
      </c>
      <c r="HN30" s="18">
        <f t="shared" si="333"/>
        <v>0</v>
      </c>
      <c r="HO30" s="18">
        <f t="shared" si="333"/>
        <v>0</v>
      </c>
      <c r="HP30" s="18">
        <f t="shared" si="333"/>
        <v>0.33333333333333331</v>
      </c>
      <c r="HQ30" s="51">
        <f t="shared" si="333"/>
        <v>0.33333333333333331</v>
      </c>
      <c r="HR30" s="18">
        <f t="shared" si="333"/>
        <v>0</v>
      </c>
      <c r="HS30" s="18">
        <f t="shared" si="333"/>
        <v>0</v>
      </c>
      <c r="HT30" s="18">
        <f t="shared" si="333"/>
        <v>0</v>
      </c>
      <c r="HU30" s="18">
        <f t="shared" si="333"/>
        <v>0</v>
      </c>
      <c r="HV30" s="18">
        <f t="shared" si="333"/>
        <v>0</v>
      </c>
      <c r="HW30" s="18">
        <f t="shared" si="333"/>
        <v>0</v>
      </c>
      <c r="HX30" s="18">
        <f t="shared" si="333"/>
        <v>0</v>
      </c>
      <c r="HY30" s="18">
        <f t="shared" si="333"/>
        <v>0</v>
      </c>
      <c r="HZ30" s="18">
        <f t="shared" si="333"/>
        <v>5.9574045574144863E-2</v>
      </c>
      <c r="IA30" s="18">
        <f t="shared" si="333"/>
        <v>0</v>
      </c>
      <c r="IB30" s="40">
        <f t="shared" si="333"/>
        <v>8.7816232096203425E-3</v>
      </c>
    </row>
    <row r="31" spans="2:236" x14ac:dyDescent="0.35">
      <c r="B31" s="17" t="s">
        <v>148</v>
      </c>
      <c r="D31" s="46">
        <f t="shared" ref="D31" si="354">IFERROR(D10/D$13,0)</f>
        <v>4.5783926096139695E-4</v>
      </c>
      <c r="E31" s="18">
        <f t="shared" si="336"/>
        <v>0</v>
      </c>
      <c r="F31" s="18">
        <f t="shared" ref="F31:T31" si="355">IFERROR(F10/F$13,0)</f>
        <v>0</v>
      </c>
      <c r="G31" s="18">
        <f t="shared" si="355"/>
        <v>0</v>
      </c>
      <c r="H31" s="18">
        <f t="shared" si="355"/>
        <v>0</v>
      </c>
      <c r="I31" s="18">
        <f t="shared" si="355"/>
        <v>0</v>
      </c>
      <c r="J31" s="51">
        <f t="shared" si="355"/>
        <v>1</v>
      </c>
      <c r="K31" s="18">
        <f t="shared" si="355"/>
        <v>7.9082499609247851E-3</v>
      </c>
      <c r="L31" s="18">
        <f t="shared" si="355"/>
        <v>0</v>
      </c>
      <c r="M31" s="18">
        <f t="shared" si="355"/>
        <v>0</v>
      </c>
      <c r="N31" s="18">
        <f t="shared" si="355"/>
        <v>0</v>
      </c>
      <c r="O31" s="18">
        <f t="shared" si="355"/>
        <v>0</v>
      </c>
      <c r="P31" s="18">
        <f t="shared" si="355"/>
        <v>0</v>
      </c>
      <c r="Q31" s="18">
        <f t="shared" si="355"/>
        <v>0</v>
      </c>
      <c r="R31" s="18">
        <f t="shared" si="355"/>
        <v>1.4303204227163141E-3</v>
      </c>
      <c r="S31" s="18">
        <f t="shared" si="355"/>
        <v>0</v>
      </c>
      <c r="T31" s="40">
        <f t="shared" si="355"/>
        <v>4.3860547057894886E-4</v>
      </c>
      <c r="V31" s="46">
        <f t="shared" si="323"/>
        <v>1.1708609145160951E-3</v>
      </c>
      <c r="W31" s="18">
        <f t="shared" si="323"/>
        <v>0</v>
      </c>
      <c r="X31" s="18">
        <f t="shared" si="323"/>
        <v>0</v>
      </c>
      <c r="Y31" s="18">
        <f t="shared" si="323"/>
        <v>0</v>
      </c>
      <c r="Z31" s="18">
        <f t="shared" si="323"/>
        <v>0</v>
      </c>
      <c r="AA31" s="18">
        <f t="shared" si="323"/>
        <v>0</v>
      </c>
      <c r="AB31" s="51">
        <f t="shared" si="323"/>
        <v>0</v>
      </c>
      <c r="AC31" s="18">
        <f t="shared" si="323"/>
        <v>0.52032520325203258</v>
      </c>
      <c r="AD31" s="18">
        <f t="shared" si="323"/>
        <v>0</v>
      </c>
      <c r="AE31" s="18">
        <f t="shared" si="323"/>
        <v>0</v>
      </c>
      <c r="AF31" s="18">
        <f t="shared" si="323"/>
        <v>0</v>
      </c>
      <c r="AG31" s="18">
        <f t="shared" si="323"/>
        <v>0</v>
      </c>
      <c r="AH31" s="18">
        <f t="shared" si="323"/>
        <v>0</v>
      </c>
      <c r="AI31" s="18">
        <f t="shared" si="323"/>
        <v>0</v>
      </c>
      <c r="AJ31" s="18">
        <f t="shared" si="323"/>
        <v>2.3061446827460615E-3</v>
      </c>
      <c r="AK31" s="18">
        <f t="shared" si="323"/>
        <v>0</v>
      </c>
      <c r="AL31" s="40">
        <f t="shared" si="323"/>
        <v>1.0400901324228802E-3</v>
      </c>
      <c r="AN31" s="46">
        <f t="shared" si="323"/>
        <v>0</v>
      </c>
      <c r="AO31" s="18">
        <f t="shared" si="323"/>
        <v>0</v>
      </c>
      <c r="AP31" s="18">
        <f t="shared" si="323"/>
        <v>0</v>
      </c>
      <c r="AQ31" s="18">
        <f t="shared" si="323"/>
        <v>0</v>
      </c>
      <c r="AR31" s="18">
        <f t="shared" si="323"/>
        <v>0</v>
      </c>
      <c r="AS31" s="18">
        <f t="shared" si="323"/>
        <v>0</v>
      </c>
      <c r="AT31" s="51">
        <f t="shared" si="323"/>
        <v>0</v>
      </c>
      <c r="AU31" s="18">
        <f t="shared" si="323"/>
        <v>0</v>
      </c>
      <c r="AV31" s="18">
        <f t="shared" si="323"/>
        <v>0</v>
      </c>
      <c r="AW31" s="18">
        <f t="shared" si="323"/>
        <v>0</v>
      </c>
      <c r="AX31" s="18">
        <f t="shared" si="323"/>
        <v>0</v>
      </c>
      <c r="AY31" s="18">
        <f t="shared" si="323"/>
        <v>0</v>
      </c>
      <c r="AZ31" s="18">
        <f t="shared" si="323"/>
        <v>0</v>
      </c>
      <c r="BA31" s="18">
        <f t="shared" si="323"/>
        <v>0</v>
      </c>
      <c r="BB31" s="18">
        <f t="shared" si="323"/>
        <v>0</v>
      </c>
      <c r="BC31" s="18">
        <f t="shared" si="323"/>
        <v>0</v>
      </c>
      <c r="BD31" s="40">
        <f t="shared" si="323"/>
        <v>0</v>
      </c>
      <c r="BF31" s="46">
        <f t="shared" si="323"/>
        <v>3.6353395722223207E-4</v>
      </c>
      <c r="BG31" s="18">
        <f t="shared" si="323"/>
        <v>0</v>
      </c>
      <c r="BH31" s="18">
        <f t="shared" si="323"/>
        <v>0</v>
      </c>
      <c r="BI31" s="18">
        <f t="shared" si="323"/>
        <v>0</v>
      </c>
      <c r="BJ31" s="18">
        <f t="shared" si="323"/>
        <v>0</v>
      </c>
      <c r="BK31" s="18">
        <f t="shared" si="323"/>
        <v>0</v>
      </c>
      <c r="BL31" s="51">
        <f t="shared" si="323"/>
        <v>0</v>
      </c>
      <c r="BM31" s="18">
        <f t="shared" si="323"/>
        <v>7.5399273425183364E-2</v>
      </c>
      <c r="BN31" s="18">
        <f t="shared" si="323"/>
        <v>0</v>
      </c>
      <c r="BO31" s="18">
        <f t="shared" si="323"/>
        <v>0</v>
      </c>
      <c r="BP31" s="18">
        <f t="shared" si="323"/>
        <v>0</v>
      </c>
      <c r="BQ31" s="18">
        <f t="shared" si="323"/>
        <v>0</v>
      </c>
      <c r="BR31" s="18">
        <f t="shared" si="323"/>
        <v>0</v>
      </c>
      <c r="BS31" s="18">
        <f t="shared" si="323"/>
        <v>0</v>
      </c>
      <c r="BT31" s="18">
        <f t="shared" si="323"/>
        <v>1.2590515598627976E-3</v>
      </c>
      <c r="BU31" s="18">
        <f t="shared" si="323"/>
        <v>0</v>
      </c>
      <c r="BV31" s="40">
        <f t="shared" si="323"/>
        <v>3.1241764087482776E-4</v>
      </c>
      <c r="BX31" s="46">
        <f t="shared" si="323"/>
        <v>0</v>
      </c>
      <c r="BY31" s="18">
        <f t="shared" si="323"/>
        <v>0</v>
      </c>
      <c r="BZ31" s="18">
        <f t="shared" si="323"/>
        <v>0</v>
      </c>
      <c r="CA31" s="18">
        <f t="shared" si="323"/>
        <v>0</v>
      </c>
      <c r="CB31" s="18">
        <f t="shared" ref="CB31:CN31" si="356">IFERROR(CB10/CB$13,0)</f>
        <v>0</v>
      </c>
      <c r="CC31" s="18">
        <f t="shared" si="356"/>
        <v>0</v>
      </c>
      <c r="CD31" s="51">
        <f t="shared" si="356"/>
        <v>0</v>
      </c>
      <c r="CE31" s="18">
        <f t="shared" si="356"/>
        <v>0</v>
      </c>
      <c r="CF31" s="18">
        <f t="shared" si="356"/>
        <v>0</v>
      </c>
      <c r="CG31" s="18">
        <f t="shared" si="356"/>
        <v>0</v>
      </c>
      <c r="CH31" s="18">
        <f t="shared" si="356"/>
        <v>0</v>
      </c>
      <c r="CI31" s="18">
        <f t="shared" si="356"/>
        <v>0</v>
      </c>
      <c r="CJ31" s="18">
        <f t="shared" si="356"/>
        <v>0</v>
      </c>
      <c r="CK31" s="18">
        <f t="shared" si="356"/>
        <v>0</v>
      </c>
      <c r="CL31" s="18">
        <f t="shared" si="356"/>
        <v>0</v>
      </c>
      <c r="CM31" s="18">
        <f t="shared" si="356"/>
        <v>0</v>
      </c>
      <c r="CN31" s="40">
        <f t="shared" si="356"/>
        <v>0</v>
      </c>
      <c r="CP31" s="46">
        <f t="shared" si="327"/>
        <v>0</v>
      </c>
      <c r="CQ31" s="18">
        <f t="shared" si="327"/>
        <v>0</v>
      </c>
      <c r="CR31" s="18">
        <f t="shared" si="327"/>
        <v>0</v>
      </c>
      <c r="CS31" s="18">
        <f t="shared" si="327"/>
        <v>0</v>
      </c>
      <c r="CT31" s="18">
        <f t="shared" si="327"/>
        <v>0</v>
      </c>
      <c r="CU31" s="18">
        <f t="shared" si="327"/>
        <v>0</v>
      </c>
      <c r="CV31" s="51">
        <f t="shared" si="327"/>
        <v>0</v>
      </c>
      <c r="CW31" s="18">
        <f t="shared" si="327"/>
        <v>0</v>
      </c>
      <c r="CX31" s="18">
        <f t="shared" si="327"/>
        <v>0</v>
      </c>
      <c r="CY31" s="18">
        <f t="shared" si="327"/>
        <v>0</v>
      </c>
      <c r="CZ31" s="18">
        <f t="shared" si="327"/>
        <v>0</v>
      </c>
      <c r="DA31" s="18">
        <f t="shared" si="327"/>
        <v>0</v>
      </c>
      <c r="DB31" s="18">
        <f t="shared" si="327"/>
        <v>0</v>
      </c>
      <c r="DC31" s="18">
        <f t="shared" si="327"/>
        <v>0</v>
      </c>
      <c r="DD31" s="18">
        <f t="shared" si="327"/>
        <v>0</v>
      </c>
      <c r="DE31" s="18">
        <f t="shared" si="327"/>
        <v>0</v>
      </c>
      <c r="DF31" s="40">
        <f t="shared" si="327"/>
        <v>0</v>
      </c>
      <c r="DH31" s="46">
        <f t="shared" si="327"/>
        <v>0</v>
      </c>
      <c r="DI31" s="18">
        <f t="shared" si="327"/>
        <v>0</v>
      </c>
      <c r="DJ31" s="18">
        <f t="shared" si="327"/>
        <v>0</v>
      </c>
      <c r="DK31" s="18">
        <f t="shared" si="327"/>
        <v>0</v>
      </c>
      <c r="DL31" s="18">
        <f t="shared" si="327"/>
        <v>0</v>
      </c>
      <c r="DM31" s="18">
        <f t="shared" si="327"/>
        <v>0</v>
      </c>
      <c r="DN31" s="51">
        <f t="shared" si="327"/>
        <v>0</v>
      </c>
      <c r="DO31" s="18">
        <f t="shared" si="327"/>
        <v>0</v>
      </c>
      <c r="DP31" s="18">
        <f t="shared" si="327"/>
        <v>0</v>
      </c>
      <c r="DQ31" s="18">
        <f t="shared" si="327"/>
        <v>0</v>
      </c>
      <c r="DR31" s="18">
        <f t="shared" si="327"/>
        <v>0</v>
      </c>
      <c r="DS31" s="18">
        <f t="shared" si="327"/>
        <v>0</v>
      </c>
      <c r="DT31" s="18">
        <f t="shared" si="327"/>
        <v>0</v>
      </c>
      <c r="DU31" s="18">
        <f t="shared" si="327"/>
        <v>0</v>
      </c>
      <c r="DV31" s="18">
        <f t="shared" ref="DV31:DX31" si="357">IFERROR(DV10/DV$13,0)</f>
        <v>0</v>
      </c>
      <c r="DW31" s="18">
        <f t="shared" si="357"/>
        <v>0</v>
      </c>
      <c r="DX31" s="40">
        <f t="shared" si="357"/>
        <v>0</v>
      </c>
      <c r="DZ31" s="46">
        <f t="shared" si="329"/>
        <v>0</v>
      </c>
      <c r="EA31" s="18">
        <f t="shared" si="329"/>
        <v>0</v>
      </c>
      <c r="EB31" s="18">
        <f t="shared" si="329"/>
        <v>0</v>
      </c>
      <c r="EC31" s="18">
        <f t="shared" si="329"/>
        <v>0</v>
      </c>
      <c r="ED31" s="18">
        <f t="shared" si="329"/>
        <v>0</v>
      </c>
      <c r="EE31" s="18">
        <f t="shared" si="329"/>
        <v>0</v>
      </c>
      <c r="EF31" s="51">
        <f t="shared" si="329"/>
        <v>0</v>
      </c>
      <c r="EG31" s="18">
        <f t="shared" si="329"/>
        <v>0</v>
      </c>
      <c r="EH31" s="18">
        <f t="shared" si="329"/>
        <v>0</v>
      </c>
      <c r="EI31" s="18">
        <f t="shared" si="329"/>
        <v>0</v>
      </c>
      <c r="EJ31" s="18">
        <f t="shared" si="329"/>
        <v>0</v>
      </c>
      <c r="EK31" s="18">
        <f t="shared" si="329"/>
        <v>0</v>
      </c>
      <c r="EL31" s="18">
        <f t="shared" si="329"/>
        <v>0</v>
      </c>
      <c r="EM31" s="18">
        <f t="shared" si="329"/>
        <v>0</v>
      </c>
      <c r="EN31" s="18">
        <f t="shared" si="329"/>
        <v>0</v>
      </c>
      <c r="EO31" s="18">
        <f t="shared" si="329"/>
        <v>0</v>
      </c>
      <c r="EP31" s="40">
        <f t="shared" si="329"/>
        <v>0</v>
      </c>
      <c r="ER31" s="46">
        <f t="shared" si="329"/>
        <v>0</v>
      </c>
      <c r="ES31" s="18">
        <f t="shared" si="329"/>
        <v>0</v>
      </c>
      <c r="ET31" s="18">
        <f t="shared" si="329"/>
        <v>0</v>
      </c>
      <c r="EU31" s="18">
        <f t="shared" si="329"/>
        <v>0</v>
      </c>
      <c r="EV31" s="18">
        <f t="shared" si="329"/>
        <v>0</v>
      </c>
      <c r="EW31" s="18">
        <f t="shared" si="329"/>
        <v>0</v>
      </c>
      <c r="EX31" s="51">
        <f t="shared" si="329"/>
        <v>0</v>
      </c>
      <c r="EY31" s="18">
        <f t="shared" si="329"/>
        <v>0</v>
      </c>
      <c r="EZ31" s="18">
        <f t="shared" si="329"/>
        <v>0</v>
      </c>
      <c r="FA31" s="18">
        <f t="shared" si="329"/>
        <v>0</v>
      </c>
      <c r="FB31" s="18">
        <f t="shared" si="329"/>
        <v>0</v>
      </c>
      <c r="FC31" s="18">
        <f t="shared" si="329"/>
        <v>0</v>
      </c>
      <c r="FD31" s="18">
        <f t="shared" si="329"/>
        <v>0</v>
      </c>
      <c r="FE31" s="18">
        <f t="shared" si="329"/>
        <v>0</v>
      </c>
      <c r="FF31" s="18">
        <f t="shared" ref="FF31:FH31" si="358">IFERROR(FF10/FF$13,0)</f>
        <v>0</v>
      </c>
      <c r="FG31" s="18">
        <f t="shared" si="358"/>
        <v>0</v>
      </c>
      <c r="FH31" s="40">
        <f t="shared" si="358"/>
        <v>0</v>
      </c>
      <c r="FJ31" s="46">
        <f t="shared" si="331"/>
        <v>2.6557912804185645E-3</v>
      </c>
      <c r="FK31" s="18">
        <f t="shared" si="331"/>
        <v>0</v>
      </c>
      <c r="FL31" s="18">
        <f t="shared" si="331"/>
        <v>0</v>
      </c>
      <c r="FM31" s="18">
        <f t="shared" si="331"/>
        <v>0</v>
      </c>
      <c r="FN31" s="18">
        <f t="shared" si="331"/>
        <v>0</v>
      </c>
      <c r="FO31" s="18">
        <f t="shared" si="331"/>
        <v>0</v>
      </c>
      <c r="FP31" s="18">
        <f t="shared" si="331"/>
        <v>1</v>
      </c>
      <c r="FQ31" s="18">
        <f t="shared" si="331"/>
        <v>0.59335873707131193</v>
      </c>
      <c r="FR31" s="18">
        <f t="shared" si="331"/>
        <v>0</v>
      </c>
      <c r="FS31" s="18">
        <f t="shared" si="331"/>
        <v>0</v>
      </c>
      <c r="FT31" s="18">
        <f t="shared" si="331"/>
        <v>0</v>
      </c>
      <c r="FU31" s="18">
        <f t="shared" si="331"/>
        <v>0</v>
      </c>
      <c r="FV31" s="18">
        <f t="shared" si="331"/>
        <v>0</v>
      </c>
      <c r="FW31" s="18">
        <f t="shared" si="331"/>
        <v>0</v>
      </c>
      <c r="FX31" s="18">
        <f t="shared" si="331"/>
        <v>5.7054708852630233E-3</v>
      </c>
      <c r="FY31" s="18">
        <f t="shared" si="331"/>
        <v>0</v>
      </c>
      <c r="FZ31" s="40">
        <f t="shared" si="331"/>
        <v>2.65906688073019E-3</v>
      </c>
      <c r="GB31" s="46">
        <f t="shared" si="331"/>
        <v>0</v>
      </c>
      <c r="GC31" s="18">
        <f t="shared" si="331"/>
        <v>0</v>
      </c>
      <c r="GD31" s="18">
        <f t="shared" si="331"/>
        <v>0</v>
      </c>
      <c r="GE31" s="18">
        <f t="shared" si="331"/>
        <v>0</v>
      </c>
      <c r="GF31" s="18">
        <f t="shared" si="331"/>
        <v>0</v>
      </c>
      <c r="GG31" s="18">
        <f t="shared" si="331"/>
        <v>0</v>
      </c>
      <c r="GH31" s="51">
        <f t="shared" si="331"/>
        <v>0</v>
      </c>
      <c r="GI31" s="18">
        <f t="shared" si="331"/>
        <v>0</v>
      </c>
      <c r="GJ31" s="18">
        <f t="shared" si="331"/>
        <v>0</v>
      </c>
      <c r="GK31" s="18">
        <f t="shared" si="331"/>
        <v>0</v>
      </c>
      <c r="GL31" s="18">
        <f t="shared" si="331"/>
        <v>0</v>
      </c>
      <c r="GM31" s="18">
        <f t="shared" si="331"/>
        <v>0</v>
      </c>
      <c r="GN31" s="18">
        <f t="shared" si="331"/>
        <v>0</v>
      </c>
      <c r="GO31" s="18">
        <f t="shared" si="331"/>
        <v>0</v>
      </c>
      <c r="GP31" s="18">
        <f t="shared" ref="GP31:GR31" si="359">IFERROR(GP10/GP$13,0)</f>
        <v>0</v>
      </c>
      <c r="GQ31" s="18">
        <f t="shared" si="359"/>
        <v>0</v>
      </c>
      <c r="GR31" s="40">
        <f t="shared" si="359"/>
        <v>0</v>
      </c>
      <c r="GT31" s="46">
        <f t="shared" si="333"/>
        <v>0</v>
      </c>
      <c r="GU31" s="18">
        <f t="shared" si="333"/>
        <v>0</v>
      </c>
      <c r="GV31" s="18">
        <f t="shared" si="333"/>
        <v>0</v>
      </c>
      <c r="GW31" s="18">
        <f t="shared" si="333"/>
        <v>0</v>
      </c>
      <c r="GX31" s="18">
        <f t="shared" si="333"/>
        <v>0</v>
      </c>
      <c r="GY31" s="18">
        <f t="shared" si="333"/>
        <v>0</v>
      </c>
      <c r="GZ31" s="51">
        <f t="shared" si="333"/>
        <v>0</v>
      </c>
      <c r="HA31" s="18">
        <f t="shared" si="333"/>
        <v>0</v>
      </c>
      <c r="HB31" s="18">
        <f t="shared" si="333"/>
        <v>0</v>
      </c>
      <c r="HC31" s="18">
        <f t="shared" si="333"/>
        <v>0</v>
      </c>
      <c r="HD31" s="18">
        <f t="shared" si="333"/>
        <v>0</v>
      </c>
      <c r="HE31" s="18">
        <f t="shared" si="333"/>
        <v>0</v>
      </c>
      <c r="HF31" s="18">
        <f t="shared" si="333"/>
        <v>0</v>
      </c>
      <c r="HG31" s="18">
        <f t="shared" si="333"/>
        <v>0</v>
      </c>
      <c r="HH31" s="18">
        <f t="shared" si="333"/>
        <v>0</v>
      </c>
      <c r="HI31" s="18">
        <f t="shared" si="333"/>
        <v>0</v>
      </c>
      <c r="HJ31" s="40">
        <f t="shared" si="333"/>
        <v>0</v>
      </c>
      <c r="HL31" s="46">
        <f t="shared" si="333"/>
        <v>1.0469887034405996E-3</v>
      </c>
      <c r="HM31" s="18">
        <f t="shared" si="333"/>
        <v>0</v>
      </c>
      <c r="HN31" s="18">
        <f t="shared" si="333"/>
        <v>0</v>
      </c>
      <c r="HO31" s="18">
        <f t="shared" si="333"/>
        <v>0</v>
      </c>
      <c r="HP31" s="18">
        <f t="shared" si="333"/>
        <v>0</v>
      </c>
      <c r="HQ31" s="18">
        <f t="shared" si="333"/>
        <v>0</v>
      </c>
      <c r="HR31" s="51">
        <f t="shared" si="333"/>
        <v>1</v>
      </c>
      <c r="HS31" s="18">
        <f t="shared" si="333"/>
        <v>0</v>
      </c>
      <c r="HT31" s="18">
        <f t="shared" si="333"/>
        <v>0</v>
      </c>
      <c r="HU31" s="18">
        <f t="shared" si="333"/>
        <v>0</v>
      </c>
      <c r="HV31" s="18">
        <f t="shared" si="333"/>
        <v>0</v>
      </c>
      <c r="HW31" s="18">
        <f t="shared" si="333"/>
        <v>0</v>
      </c>
      <c r="HX31" s="18">
        <f t="shared" si="333"/>
        <v>0</v>
      </c>
      <c r="HY31" s="18">
        <f t="shared" si="333"/>
        <v>0</v>
      </c>
      <c r="HZ31" s="18">
        <f t="shared" si="333"/>
        <v>7.5885986624208337E-3</v>
      </c>
      <c r="IA31" s="18">
        <f t="shared" si="333"/>
        <v>0</v>
      </c>
      <c r="IB31" s="40">
        <f t="shared" si="333"/>
        <v>1.0489993595109626E-3</v>
      </c>
    </row>
    <row r="32" spans="2:236" x14ac:dyDescent="0.35">
      <c r="B32" s="17" t="s">
        <v>147</v>
      </c>
      <c r="D32" s="46">
        <f t="shared" ref="D32" si="360">IFERROR(D11/D$13,0)</f>
        <v>3.5793217617996552E-2</v>
      </c>
      <c r="E32" s="18">
        <f t="shared" si="336"/>
        <v>0</v>
      </c>
      <c r="F32" s="18">
        <f t="shared" ref="F32:T32" si="361">IFERROR(F11/F$13,0)</f>
        <v>0</v>
      </c>
      <c r="G32" s="18">
        <f t="shared" si="361"/>
        <v>0</v>
      </c>
      <c r="H32" s="18">
        <f t="shared" si="361"/>
        <v>0</v>
      </c>
      <c r="I32" s="18">
        <f t="shared" si="361"/>
        <v>0</v>
      </c>
      <c r="J32" s="18">
        <f t="shared" si="361"/>
        <v>0</v>
      </c>
      <c r="K32" s="51">
        <f t="shared" si="361"/>
        <v>0.98707721692695305</v>
      </c>
      <c r="L32" s="18">
        <f t="shared" si="361"/>
        <v>1</v>
      </c>
      <c r="M32" s="18">
        <f t="shared" si="361"/>
        <v>0</v>
      </c>
      <c r="N32" s="18">
        <f t="shared" si="361"/>
        <v>0</v>
      </c>
      <c r="O32" s="18">
        <f t="shared" si="361"/>
        <v>0</v>
      </c>
      <c r="P32" s="18">
        <f t="shared" si="361"/>
        <v>0</v>
      </c>
      <c r="Q32" s="50">
        <f t="shared" si="361"/>
        <v>0</v>
      </c>
      <c r="R32" s="18">
        <f t="shared" si="361"/>
        <v>5.1156172107336362E-2</v>
      </c>
      <c r="S32" s="18">
        <f t="shared" si="361"/>
        <v>0</v>
      </c>
      <c r="T32" s="40">
        <f t="shared" si="361"/>
        <v>3.5871249593106273E-2</v>
      </c>
      <c r="V32" s="46">
        <f t="shared" ref="V32:CG34" si="362">IFERROR(V11/V$13,0)</f>
        <v>0</v>
      </c>
      <c r="W32" s="18">
        <f t="shared" si="362"/>
        <v>0</v>
      </c>
      <c r="X32" s="18">
        <f t="shared" si="362"/>
        <v>0</v>
      </c>
      <c r="Y32" s="18">
        <f t="shared" si="362"/>
        <v>0</v>
      </c>
      <c r="Z32" s="18">
        <f t="shared" si="362"/>
        <v>0</v>
      </c>
      <c r="AA32" s="18">
        <f t="shared" si="362"/>
        <v>0</v>
      </c>
      <c r="AB32" s="18">
        <f t="shared" si="362"/>
        <v>0</v>
      </c>
      <c r="AC32" s="51">
        <f t="shared" si="362"/>
        <v>0</v>
      </c>
      <c r="AD32" s="18">
        <f t="shared" si="362"/>
        <v>0</v>
      </c>
      <c r="AE32" s="18">
        <f t="shared" si="362"/>
        <v>0</v>
      </c>
      <c r="AF32" s="18">
        <f t="shared" si="362"/>
        <v>0</v>
      </c>
      <c r="AG32" s="18">
        <f t="shared" si="362"/>
        <v>0</v>
      </c>
      <c r="AH32" s="18">
        <f t="shared" si="362"/>
        <v>0</v>
      </c>
      <c r="AI32" s="18">
        <f t="shared" si="362"/>
        <v>0</v>
      </c>
      <c r="AJ32" s="18">
        <f t="shared" si="362"/>
        <v>0</v>
      </c>
      <c r="AK32" s="18">
        <f t="shared" si="362"/>
        <v>0</v>
      </c>
      <c r="AL32" s="40">
        <f t="shared" si="362"/>
        <v>0</v>
      </c>
      <c r="AN32" s="46">
        <f t="shared" si="362"/>
        <v>9.2288661749166082E-4</v>
      </c>
      <c r="AO32" s="18">
        <f t="shared" si="362"/>
        <v>0</v>
      </c>
      <c r="AP32" s="18">
        <f t="shared" si="362"/>
        <v>0</v>
      </c>
      <c r="AQ32" s="18">
        <f t="shared" si="362"/>
        <v>0</v>
      </c>
      <c r="AR32" s="18">
        <f t="shared" si="362"/>
        <v>0</v>
      </c>
      <c r="AS32" s="18">
        <f t="shared" si="362"/>
        <v>0</v>
      </c>
      <c r="AT32" s="18">
        <f t="shared" si="362"/>
        <v>0</v>
      </c>
      <c r="AU32" s="51">
        <f t="shared" si="362"/>
        <v>0.37426261743500111</v>
      </c>
      <c r="AV32" s="18">
        <f t="shared" si="362"/>
        <v>0</v>
      </c>
      <c r="AW32" s="18">
        <f t="shared" si="362"/>
        <v>0</v>
      </c>
      <c r="AX32" s="18">
        <f t="shared" si="362"/>
        <v>0</v>
      </c>
      <c r="AY32" s="18">
        <f t="shared" si="362"/>
        <v>0</v>
      </c>
      <c r="AZ32" s="18">
        <f t="shared" si="362"/>
        <v>0</v>
      </c>
      <c r="BA32" s="18">
        <f t="shared" si="362"/>
        <v>0</v>
      </c>
      <c r="BB32" s="18">
        <f t="shared" si="362"/>
        <v>2.0201896754008603E-2</v>
      </c>
      <c r="BC32" s="18">
        <f t="shared" si="362"/>
        <v>0</v>
      </c>
      <c r="BD32" s="40">
        <f t="shared" si="362"/>
        <v>1.0770279787294973E-3</v>
      </c>
      <c r="BF32" s="46">
        <f t="shared" si="362"/>
        <v>4.9590878884542096E-3</v>
      </c>
      <c r="BG32" s="18">
        <f t="shared" si="362"/>
        <v>0</v>
      </c>
      <c r="BH32" s="18">
        <f t="shared" si="362"/>
        <v>0</v>
      </c>
      <c r="BI32" s="18">
        <f t="shared" si="362"/>
        <v>0</v>
      </c>
      <c r="BJ32" s="18">
        <f t="shared" si="362"/>
        <v>0</v>
      </c>
      <c r="BK32" s="18">
        <f t="shared" si="362"/>
        <v>0</v>
      </c>
      <c r="BL32" s="18">
        <f t="shared" si="362"/>
        <v>0</v>
      </c>
      <c r="BM32" s="51">
        <f t="shared" si="362"/>
        <v>0.92460072657481662</v>
      </c>
      <c r="BN32" s="18">
        <f t="shared" si="362"/>
        <v>0</v>
      </c>
      <c r="BO32" s="18">
        <f t="shared" si="362"/>
        <v>0</v>
      </c>
      <c r="BP32" s="18">
        <f t="shared" si="362"/>
        <v>0</v>
      </c>
      <c r="BQ32" s="18">
        <f t="shared" si="362"/>
        <v>0</v>
      </c>
      <c r="BR32" s="18">
        <f t="shared" si="362"/>
        <v>0</v>
      </c>
      <c r="BS32" s="18">
        <f t="shared" si="362"/>
        <v>0</v>
      </c>
      <c r="BT32" s="18">
        <f t="shared" si="362"/>
        <v>4.7245059073338064E-2</v>
      </c>
      <c r="BU32" s="18">
        <f t="shared" si="362"/>
        <v>0</v>
      </c>
      <c r="BV32" s="40">
        <f t="shared" si="362"/>
        <v>4.9673189266253746E-3</v>
      </c>
      <c r="BX32" s="46">
        <f t="shared" si="362"/>
        <v>0</v>
      </c>
      <c r="BY32" s="18">
        <f t="shared" si="362"/>
        <v>0</v>
      </c>
      <c r="BZ32" s="18">
        <f t="shared" si="362"/>
        <v>0</v>
      </c>
      <c r="CA32" s="18">
        <f t="shared" si="362"/>
        <v>0</v>
      </c>
      <c r="CB32" s="18">
        <f t="shared" si="362"/>
        <v>0</v>
      </c>
      <c r="CC32" s="18">
        <f t="shared" si="362"/>
        <v>0</v>
      </c>
      <c r="CD32" s="18">
        <f t="shared" si="362"/>
        <v>0</v>
      </c>
      <c r="CE32" s="51">
        <f t="shared" si="362"/>
        <v>0</v>
      </c>
      <c r="CF32" s="18">
        <f t="shared" si="362"/>
        <v>0</v>
      </c>
      <c r="CG32" s="18">
        <f t="shared" si="362"/>
        <v>0</v>
      </c>
      <c r="CH32" s="18">
        <f t="shared" ref="CH32:CN32" si="363">IFERROR(CH11/CH$13,0)</f>
        <v>0</v>
      </c>
      <c r="CI32" s="18">
        <f t="shared" si="363"/>
        <v>0</v>
      </c>
      <c r="CJ32" s="18">
        <f t="shared" si="363"/>
        <v>0</v>
      </c>
      <c r="CK32" s="18">
        <f t="shared" si="363"/>
        <v>0</v>
      </c>
      <c r="CL32" s="18">
        <f t="shared" si="363"/>
        <v>0</v>
      </c>
      <c r="CM32" s="18">
        <f t="shared" si="363"/>
        <v>0</v>
      </c>
      <c r="CN32" s="40">
        <f t="shared" si="363"/>
        <v>0</v>
      </c>
      <c r="CP32" s="46">
        <f t="shared" si="327"/>
        <v>8.6215021522987281E-2</v>
      </c>
      <c r="CQ32" s="18">
        <f t="shared" si="327"/>
        <v>0</v>
      </c>
      <c r="CR32" s="18">
        <f t="shared" si="327"/>
        <v>0</v>
      </c>
      <c r="CS32" s="18">
        <f t="shared" si="327"/>
        <v>0</v>
      </c>
      <c r="CT32" s="18">
        <f t="shared" si="327"/>
        <v>0</v>
      </c>
      <c r="CU32" s="18">
        <f t="shared" si="327"/>
        <v>0</v>
      </c>
      <c r="CV32" s="18">
        <f t="shared" si="327"/>
        <v>0</v>
      </c>
      <c r="CW32" s="51">
        <f t="shared" si="327"/>
        <v>1</v>
      </c>
      <c r="CX32" s="18">
        <f t="shared" si="327"/>
        <v>0</v>
      </c>
      <c r="CY32" s="18">
        <f t="shared" si="327"/>
        <v>0</v>
      </c>
      <c r="CZ32" s="18">
        <f t="shared" si="327"/>
        <v>0</v>
      </c>
      <c r="DA32" s="18">
        <f t="shared" si="327"/>
        <v>0</v>
      </c>
      <c r="DB32" s="18">
        <f t="shared" si="327"/>
        <v>0</v>
      </c>
      <c r="DC32" s="18">
        <f t="shared" si="327"/>
        <v>0</v>
      </c>
      <c r="DD32" s="18">
        <f t="shared" si="327"/>
        <v>5.4443085005197935E-2</v>
      </c>
      <c r="DE32" s="18">
        <f t="shared" si="327"/>
        <v>0</v>
      </c>
      <c r="DF32" s="40">
        <f t="shared" si="327"/>
        <v>8.6242472887954932E-2</v>
      </c>
      <c r="DH32" s="46">
        <f t="shared" si="327"/>
        <v>6.1360513907960733E-2</v>
      </c>
      <c r="DI32" s="18">
        <f t="shared" si="327"/>
        <v>0</v>
      </c>
      <c r="DJ32" s="18">
        <f t="shared" si="327"/>
        <v>0</v>
      </c>
      <c r="DK32" s="18">
        <f t="shared" si="327"/>
        <v>0</v>
      </c>
      <c r="DL32" s="18">
        <f t="shared" si="327"/>
        <v>0</v>
      </c>
      <c r="DM32" s="18">
        <f t="shared" si="327"/>
        <v>0</v>
      </c>
      <c r="DN32" s="18">
        <f t="shared" si="327"/>
        <v>0</v>
      </c>
      <c r="DO32" s="51">
        <f t="shared" si="327"/>
        <v>1</v>
      </c>
      <c r="DP32" s="18">
        <f t="shared" si="327"/>
        <v>0</v>
      </c>
      <c r="DQ32" s="18">
        <f t="shared" si="327"/>
        <v>0</v>
      </c>
      <c r="DR32" s="18">
        <f t="shared" si="327"/>
        <v>0</v>
      </c>
      <c r="DS32" s="18">
        <f t="shared" si="327"/>
        <v>0</v>
      </c>
      <c r="DT32" s="18">
        <f t="shared" si="327"/>
        <v>0</v>
      </c>
      <c r="DU32" s="18">
        <f t="shared" si="327"/>
        <v>0</v>
      </c>
      <c r="DV32" s="18">
        <f t="shared" ref="DV32:DX32" si="364">IFERROR(DV11/DV$13,0)</f>
        <v>1.7033200814195352E-2</v>
      </c>
      <c r="DW32" s="18">
        <f t="shared" si="364"/>
        <v>0</v>
      </c>
      <c r="DX32" s="40">
        <f t="shared" si="364"/>
        <v>6.1627250757046559E-2</v>
      </c>
      <c r="DZ32" s="46">
        <f t="shared" si="329"/>
        <v>0.25556585980493657</v>
      </c>
      <c r="EA32" s="18">
        <f t="shared" si="329"/>
        <v>0</v>
      </c>
      <c r="EB32" s="18">
        <f t="shared" si="329"/>
        <v>0</v>
      </c>
      <c r="EC32" s="18">
        <f t="shared" si="329"/>
        <v>0</v>
      </c>
      <c r="ED32" s="18">
        <f t="shared" si="329"/>
        <v>0</v>
      </c>
      <c r="EE32" s="18">
        <f t="shared" si="329"/>
        <v>0</v>
      </c>
      <c r="EF32" s="18">
        <f t="shared" si="329"/>
        <v>0</v>
      </c>
      <c r="EG32" s="51">
        <f t="shared" si="329"/>
        <v>1</v>
      </c>
      <c r="EH32" s="18">
        <f t="shared" si="329"/>
        <v>0</v>
      </c>
      <c r="EI32" s="18">
        <f t="shared" si="329"/>
        <v>0</v>
      </c>
      <c r="EJ32" s="18">
        <f t="shared" si="329"/>
        <v>0</v>
      </c>
      <c r="EK32" s="18">
        <f t="shared" si="329"/>
        <v>0</v>
      </c>
      <c r="EL32" s="18">
        <f t="shared" si="329"/>
        <v>0</v>
      </c>
      <c r="EM32" s="18">
        <f t="shared" si="329"/>
        <v>0</v>
      </c>
      <c r="EN32" s="18">
        <f t="shared" si="329"/>
        <v>0.21555372307210291</v>
      </c>
      <c r="EO32" s="18">
        <f t="shared" si="329"/>
        <v>0</v>
      </c>
      <c r="EP32" s="40">
        <f t="shared" si="329"/>
        <v>0.25558170484121601</v>
      </c>
      <c r="ER32" s="46">
        <f t="shared" si="329"/>
        <v>1.7305202648265718E-2</v>
      </c>
      <c r="ES32" s="18">
        <f t="shared" si="329"/>
        <v>0</v>
      </c>
      <c r="ET32" s="18">
        <f t="shared" si="329"/>
        <v>0</v>
      </c>
      <c r="EU32" s="18">
        <f t="shared" si="329"/>
        <v>0</v>
      </c>
      <c r="EV32" s="18">
        <f t="shared" si="329"/>
        <v>0</v>
      </c>
      <c r="EW32" s="18">
        <f t="shared" si="329"/>
        <v>0</v>
      </c>
      <c r="EX32" s="18">
        <f t="shared" si="329"/>
        <v>0</v>
      </c>
      <c r="EY32" s="51">
        <f t="shared" si="329"/>
        <v>1</v>
      </c>
      <c r="EZ32" s="18">
        <f t="shared" si="329"/>
        <v>0</v>
      </c>
      <c r="FA32" s="18">
        <f t="shared" si="329"/>
        <v>0</v>
      </c>
      <c r="FB32" s="18">
        <f t="shared" si="329"/>
        <v>0</v>
      </c>
      <c r="FC32" s="18">
        <f t="shared" si="329"/>
        <v>0</v>
      </c>
      <c r="FD32" s="18">
        <f t="shared" si="329"/>
        <v>0</v>
      </c>
      <c r="FE32" s="18">
        <f t="shared" si="329"/>
        <v>0</v>
      </c>
      <c r="FF32" s="18">
        <f t="shared" ref="FF32:FH32" si="365">IFERROR(FF11/FF$13,0)</f>
        <v>3.5481459774929072E-2</v>
      </c>
      <c r="FG32" s="18">
        <f t="shared" si="365"/>
        <v>0</v>
      </c>
      <c r="FH32" s="40">
        <f t="shared" si="365"/>
        <v>1.730961111811017E-2</v>
      </c>
      <c r="FJ32" s="46">
        <f t="shared" si="331"/>
        <v>1.597949025522602E-3</v>
      </c>
      <c r="FK32" s="18">
        <f t="shared" si="331"/>
        <v>0</v>
      </c>
      <c r="FL32" s="18">
        <f t="shared" si="331"/>
        <v>0</v>
      </c>
      <c r="FM32" s="18">
        <f t="shared" si="331"/>
        <v>0</v>
      </c>
      <c r="FN32" s="18">
        <f t="shared" si="331"/>
        <v>0</v>
      </c>
      <c r="FO32" s="18">
        <f t="shared" si="331"/>
        <v>0</v>
      </c>
      <c r="FP32" s="18">
        <f t="shared" si="331"/>
        <v>0</v>
      </c>
      <c r="FQ32" s="18">
        <f t="shared" si="331"/>
        <v>0.40664126292868807</v>
      </c>
      <c r="FR32" s="18">
        <f t="shared" si="331"/>
        <v>0</v>
      </c>
      <c r="FS32" s="18">
        <f t="shared" si="331"/>
        <v>0</v>
      </c>
      <c r="FT32" s="18">
        <f t="shared" si="331"/>
        <v>0</v>
      </c>
      <c r="FU32" s="18">
        <f t="shared" si="331"/>
        <v>0</v>
      </c>
      <c r="FV32" s="18">
        <f t="shared" si="331"/>
        <v>0</v>
      </c>
      <c r="FW32" s="18">
        <f t="shared" si="331"/>
        <v>0</v>
      </c>
      <c r="FX32" s="18">
        <f t="shared" si="331"/>
        <v>1.0935485863420795E-2</v>
      </c>
      <c r="FY32" s="18">
        <f t="shared" si="331"/>
        <v>0</v>
      </c>
      <c r="FZ32" s="40">
        <f t="shared" si="331"/>
        <v>1.5999199041697894E-3</v>
      </c>
      <c r="GB32" s="46">
        <f t="shared" si="331"/>
        <v>9.6605021523402217E-3</v>
      </c>
      <c r="GC32" s="18">
        <f t="shared" si="331"/>
        <v>0</v>
      </c>
      <c r="GD32" s="18">
        <f t="shared" si="331"/>
        <v>0</v>
      </c>
      <c r="GE32" s="18">
        <f t="shared" si="331"/>
        <v>0</v>
      </c>
      <c r="GF32" s="18">
        <f t="shared" si="331"/>
        <v>0</v>
      </c>
      <c r="GG32" s="18">
        <f t="shared" si="331"/>
        <v>0</v>
      </c>
      <c r="GH32" s="18">
        <f t="shared" si="331"/>
        <v>0</v>
      </c>
      <c r="GI32" s="51">
        <f t="shared" si="331"/>
        <v>1</v>
      </c>
      <c r="GJ32" s="18">
        <f t="shared" si="331"/>
        <v>0</v>
      </c>
      <c r="GK32" s="18">
        <f t="shared" si="331"/>
        <v>0</v>
      </c>
      <c r="GL32" s="18">
        <f t="shared" si="331"/>
        <v>0</v>
      </c>
      <c r="GM32" s="18">
        <f t="shared" si="331"/>
        <v>0</v>
      </c>
      <c r="GN32" s="18">
        <f t="shared" si="331"/>
        <v>0</v>
      </c>
      <c r="GO32" s="18">
        <f t="shared" si="331"/>
        <v>0</v>
      </c>
      <c r="GP32" s="18">
        <f t="shared" ref="GP32:GR32" si="366">IFERROR(GP11/GP$13,0)</f>
        <v>4.1589749817828515E-2</v>
      </c>
      <c r="GQ32" s="18">
        <f t="shared" si="366"/>
        <v>0</v>
      </c>
      <c r="GR32" s="40">
        <f t="shared" si="366"/>
        <v>9.6677340887613896E-3</v>
      </c>
      <c r="GT32" s="46">
        <f t="shared" si="333"/>
        <v>3.5464066057138116E-2</v>
      </c>
      <c r="GU32" s="18">
        <f t="shared" si="333"/>
        <v>0</v>
      </c>
      <c r="GV32" s="18">
        <f t="shared" si="333"/>
        <v>0</v>
      </c>
      <c r="GW32" s="18">
        <f t="shared" si="333"/>
        <v>0</v>
      </c>
      <c r="GX32" s="18">
        <f t="shared" si="333"/>
        <v>0</v>
      </c>
      <c r="GY32" s="18">
        <f t="shared" si="333"/>
        <v>0</v>
      </c>
      <c r="GZ32" s="18">
        <f t="shared" si="333"/>
        <v>0</v>
      </c>
      <c r="HA32" s="51">
        <f t="shared" si="333"/>
        <v>1</v>
      </c>
      <c r="HB32" s="18">
        <f t="shared" si="333"/>
        <v>0</v>
      </c>
      <c r="HC32" s="18">
        <f t="shared" si="333"/>
        <v>0</v>
      </c>
      <c r="HD32" s="18">
        <f t="shared" si="333"/>
        <v>0</v>
      </c>
      <c r="HE32" s="18">
        <f t="shared" si="333"/>
        <v>0</v>
      </c>
      <c r="HF32" s="18">
        <f t="shared" si="333"/>
        <v>0</v>
      </c>
      <c r="HG32" s="18">
        <f t="shared" si="333"/>
        <v>0</v>
      </c>
      <c r="HH32" s="18">
        <f t="shared" si="333"/>
        <v>4.1691532682721334E-2</v>
      </c>
      <c r="HI32" s="18">
        <f t="shared" si="333"/>
        <v>0</v>
      </c>
      <c r="HJ32" s="40">
        <f t="shared" si="333"/>
        <v>3.555368686835246E-2</v>
      </c>
      <c r="HL32" s="46">
        <f t="shared" si="333"/>
        <v>4.5633750488532424E-2</v>
      </c>
      <c r="HM32" s="18">
        <f t="shared" si="333"/>
        <v>0</v>
      </c>
      <c r="HN32" s="18">
        <f t="shared" si="333"/>
        <v>0</v>
      </c>
      <c r="HO32" s="18">
        <f t="shared" si="333"/>
        <v>0</v>
      </c>
      <c r="HP32" s="18">
        <f t="shared" si="333"/>
        <v>0</v>
      </c>
      <c r="HQ32" s="18">
        <f t="shared" si="333"/>
        <v>0</v>
      </c>
      <c r="HR32" s="18">
        <f t="shared" si="333"/>
        <v>0</v>
      </c>
      <c r="HS32" s="51">
        <f t="shared" si="333"/>
        <v>1</v>
      </c>
      <c r="HT32" s="18">
        <f t="shared" si="333"/>
        <v>1</v>
      </c>
      <c r="HU32" s="18">
        <f t="shared" si="333"/>
        <v>0</v>
      </c>
      <c r="HV32" s="18">
        <f t="shared" si="333"/>
        <v>0</v>
      </c>
      <c r="HW32" s="18">
        <f t="shared" si="333"/>
        <v>0</v>
      </c>
      <c r="HX32" s="18">
        <f t="shared" si="333"/>
        <v>0</v>
      </c>
      <c r="HY32" s="18">
        <f t="shared" si="333"/>
        <v>0</v>
      </c>
      <c r="HZ32" s="18">
        <f t="shared" si="333"/>
        <v>0.13131821760129361</v>
      </c>
      <c r="IA32" s="18">
        <f t="shared" si="333"/>
        <v>0</v>
      </c>
      <c r="IB32" s="40">
        <f t="shared" si="333"/>
        <v>4.5705801236200785E-2</v>
      </c>
    </row>
    <row r="33" spans="1:236" x14ac:dyDescent="0.35">
      <c r="B33" s="17" t="s">
        <v>76</v>
      </c>
      <c r="D33" s="46">
        <f t="shared" ref="D33" si="367">IFERROR(D12/D$13,0)</f>
        <v>0</v>
      </c>
      <c r="E33" s="18">
        <f t="shared" si="336"/>
        <v>0</v>
      </c>
      <c r="F33" s="18">
        <f t="shared" ref="F33:T33" si="368">IFERROR(F12/F$13,0)</f>
        <v>0</v>
      </c>
      <c r="G33" s="18">
        <f t="shared" si="368"/>
        <v>0</v>
      </c>
      <c r="H33" s="18">
        <f t="shared" si="368"/>
        <v>0</v>
      </c>
      <c r="I33" s="18">
        <f t="shared" si="368"/>
        <v>0</v>
      </c>
      <c r="J33" s="18">
        <f t="shared" si="368"/>
        <v>0</v>
      </c>
      <c r="K33" s="18">
        <f t="shared" si="368"/>
        <v>0</v>
      </c>
      <c r="L33" s="18">
        <f t="shared" si="368"/>
        <v>0</v>
      </c>
      <c r="M33" s="18">
        <f t="shared" si="368"/>
        <v>0</v>
      </c>
      <c r="N33" s="18">
        <f t="shared" si="368"/>
        <v>0</v>
      </c>
      <c r="O33" s="18">
        <f t="shared" si="368"/>
        <v>0</v>
      </c>
      <c r="P33" s="18">
        <f t="shared" si="368"/>
        <v>0</v>
      </c>
      <c r="Q33" s="18">
        <f t="shared" si="368"/>
        <v>0</v>
      </c>
      <c r="R33" s="18">
        <f t="shared" si="368"/>
        <v>0</v>
      </c>
      <c r="S33" s="18">
        <f t="shared" si="368"/>
        <v>0</v>
      </c>
      <c r="T33" s="40">
        <f t="shared" si="368"/>
        <v>0</v>
      </c>
      <c r="V33" s="46">
        <f t="shared" si="362"/>
        <v>0</v>
      </c>
      <c r="W33" s="18">
        <f t="shared" si="362"/>
        <v>0</v>
      </c>
      <c r="X33" s="18">
        <f t="shared" si="362"/>
        <v>0</v>
      </c>
      <c r="Y33" s="18">
        <f t="shared" si="362"/>
        <v>0</v>
      </c>
      <c r="Z33" s="18">
        <f t="shared" si="362"/>
        <v>0</v>
      </c>
      <c r="AA33" s="18">
        <f t="shared" si="362"/>
        <v>0</v>
      </c>
      <c r="AB33" s="18">
        <f t="shared" si="362"/>
        <v>0</v>
      </c>
      <c r="AC33" s="18">
        <f t="shared" si="362"/>
        <v>0</v>
      </c>
      <c r="AD33" s="18">
        <f t="shared" si="362"/>
        <v>0</v>
      </c>
      <c r="AE33" s="18">
        <f t="shared" si="362"/>
        <v>0</v>
      </c>
      <c r="AF33" s="18">
        <f t="shared" si="362"/>
        <v>0</v>
      </c>
      <c r="AG33" s="18">
        <f t="shared" si="362"/>
        <v>0</v>
      </c>
      <c r="AH33" s="18">
        <f t="shared" si="362"/>
        <v>0</v>
      </c>
      <c r="AI33" s="18">
        <f t="shared" si="362"/>
        <v>0</v>
      </c>
      <c r="AJ33" s="18">
        <f t="shared" si="362"/>
        <v>0</v>
      </c>
      <c r="AK33" s="18">
        <f t="shared" si="362"/>
        <v>0</v>
      </c>
      <c r="AL33" s="40">
        <f t="shared" si="362"/>
        <v>0</v>
      </c>
      <c r="AN33" s="46">
        <f t="shared" si="362"/>
        <v>0</v>
      </c>
      <c r="AO33" s="18">
        <f t="shared" si="362"/>
        <v>0</v>
      </c>
      <c r="AP33" s="18">
        <f t="shared" si="362"/>
        <v>0</v>
      </c>
      <c r="AQ33" s="18">
        <f t="shared" si="362"/>
        <v>0</v>
      </c>
      <c r="AR33" s="18">
        <f t="shared" si="362"/>
        <v>0</v>
      </c>
      <c r="AS33" s="18">
        <f t="shared" si="362"/>
        <v>0</v>
      </c>
      <c r="AT33" s="18">
        <f t="shared" si="362"/>
        <v>0</v>
      </c>
      <c r="AU33" s="18">
        <f t="shared" si="362"/>
        <v>0</v>
      </c>
      <c r="AV33" s="18">
        <f t="shared" si="362"/>
        <v>0</v>
      </c>
      <c r="AW33" s="18">
        <f t="shared" si="362"/>
        <v>0</v>
      </c>
      <c r="AX33" s="18">
        <f t="shared" si="362"/>
        <v>0</v>
      </c>
      <c r="AY33" s="18">
        <f t="shared" si="362"/>
        <v>0</v>
      </c>
      <c r="AZ33" s="18">
        <f t="shared" si="362"/>
        <v>0</v>
      </c>
      <c r="BA33" s="18">
        <f t="shared" si="362"/>
        <v>0</v>
      </c>
      <c r="BB33" s="18">
        <f t="shared" si="362"/>
        <v>0</v>
      </c>
      <c r="BC33" s="18">
        <f t="shared" si="362"/>
        <v>0</v>
      </c>
      <c r="BD33" s="40">
        <f t="shared" si="362"/>
        <v>0</v>
      </c>
      <c r="BF33" s="46">
        <f t="shared" si="362"/>
        <v>0</v>
      </c>
      <c r="BG33" s="18">
        <f t="shared" si="362"/>
        <v>0</v>
      </c>
      <c r="BH33" s="18">
        <f t="shared" si="362"/>
        <v>0</v>
      </c>
      <c r="BI33" s="18">
        <f t="shared" si="362"/>
        <v>0</v>
      </c>
      <c r="BJ33" s="18">
        <f t="shared" si="362"/>
        <v>0</v>
      </c>
      <c r="BK33" s="18">
        <f t="shared" si="362"/>
        <v>0</v>
      </c>
      <c r="BL33" s="18">
        <f t="shared" si="362"/>
        <v>0</v>
      </c>
      <c r="BM33" s="18">
        <f t="shared" si="362"/>
        <v>0</v>
      </c>
      <c r="BN33" s="18">
        <f t="shared" si="362"/>
        <v>0</v>
      </c>
      <c r="BO33" s="18">
        <f t="shared" si="362"/>
        <v>0</v>
      </c>
      <c r="BP33" s="18">
        <f t="shared" si="362"/>
        <v>0</v>
      </c>
      <c r="BQ33" s="18">
        <f t="shared" si="362"/>
        <v>0</v>
      </c>
      <c r="BR33" s="18">
        <f t="shared" si="362"/>
        <v>0</v>
      </c>
      <c r="BS33" s="18">
        <f t="shared" si="362"/>
        <v>0</v>
      </c>
      <c r="BT33" s="18">
        <f t="shared" si="362"/>
        <v>0</v>
      </c>
      <c r="BU33" s="18">
        <f t="shared" si="362"/>
        <v>0</v>
      </c>
      <c r="BV33" s="40">
        <f t="shared" si="362"/>
        <v>0</v>
      </c>
      <c r="BX33" s="46">
        <f t="shared" si="362"/>
        <v>0</v>
      </c>
      <c r="BY33" s="18">
        <f t="shared" si="362"/>
        <v>0</v>
      </c>
      <c r="BZ33" s="18">
        <f t="shared" si="362"/>
        <v>0</v>
      </c>
      <c r="CA33" s="18">
        <f t="shared" si="362"/>
        <v>0</v>
      </c>
      <c r="CB33" s="18">
        <f t="shared" si="362"/>
        <v>0</v>
      </c>
      <c r="CC33" s="18">
        <f t="shared" si="362"/>
        <v>0</v>
      </c>
      <c r="CD33" s="18">
        <f t="shared" si="362"/>
        <v>0</v>
      </c>
      <c r="CE33" s="18">
        <f t="shared" si="362"/>
        <v>0</v>
      </c>
      <c r="CF33" s="18">
        <f t="shared" si="362"/>
        <v>0</v>
      </c>
      <c r="CG33" s="18">
        <f t="shared" si="362"/>
        <v>0</v>
      </c>
      <c r="CH33" s="18">
        <f t="shared" ref="CH33:CN33" si="369">IFERROR(CH12/CH$13,0)</f>
        <v>0</v>
      </c>
      <c r="CI33" s="18">
        <f t="shared" si="369"/>
        <v>0</v>
      </c>
      <c r="CJ33" s="18">
        <f t="shared" si="369"/>
        <v>0</v>
      </c>
      <c r="CK33" s="18">
        <f t="shared" si="369"/>
        <v>0</v>
      </c>
      <c r="CL33" s="18">
        <f t="shared" si="369"/>
        <v>0</v>
      </c>
      <c r="CM33" s="18">
        <f t="shared" si="369"/>
        <v>0</v>
      </c>
      <c r="CN33" s="40">
        <f t="shared" si="369"/>
        <v>0</v>
      </c>
      <c r="CP33" s="46">
        <f t="shared" si="327"/>
        <v>0</v>
      </c>
      <c r="CQ33" s="18">
        <f t="shared" si="327"/>
        <v>0</v>
      </c>
      <c r="CR33" s="18">
        <f t="shared" si="327"/>
        <v>0</v>
      </c>
      <c r="CS33" s="18">
        <f t="shared" si="327"/>
        <v>0</v>
      </c>
      <c r="CT33" s="18">
        <f t="shared" si="327"/>
        <v>0</v>
      </c>
      <c r="CU33" s="18">
        <f t="shared" si="327"/>
        <v>0</v>
      </c>
      <c r="CV33" s="18">
        <f t="shared" si="327"/>
        <v>0</v>
      </c>
      <c r="CW33" s="18">
        <f t="shared" si="327"/>
        <v>0</v>
      </c>
      <c r="CX33" s="18">
        <f t="shared" si="327"/>
        <v>0</v>
      </c>
      <c r="CY33" s="18">
        <f t="shared" si="327"/>
        <v>0</v>
      </c>
      <c r="CZ33" s="18">
        <f t="shared" si="327"/>
        <v>0</v>
      </c>
      <c r="DA33" s="18">
        <f t="shared" si="327"/>
        <v>0</v>
      </c>
      <c r="DB33" s="18">
        <f t="shared" si="327"/>
        <v>0</v>
      </c>
      <c r="DC33" s="18">
        <f t="shared" si="327"/>
        <v>0</v>
      </c>
      <c r="DD33" s="18">
        <f t="shared" si="327"/>
        <v>0</v>
      </c>
      <c r="DE33" s="18">
        <f t="shared" si="327"/>
        <v>0</v>
      </c>
      <c r="DF33" s="40">
        <f t="shared" si="327"/>
        <v>0</v>
      </c>
      <c r="DH33" s="46">
        <f t="shared" si="327"/>
        <v>0</v>
      </c>
      <c r="DI33" s="18">
        <f t="shared" si="327"/>
        <v>0</v>
      </c>
      <c r="DJ33" s="18">
        <f t="shared" si="327"/>
        <v>0</v>
      </c>
      <c r="DK33" s="18">
        <f t="shared" si="327"/>
        <v>0</v>
      </c>
      <c r="DL33" s="18">
        <f t="shared" si="327"/>
        <v>0</v>
      </c>
      <c r="DM33" s="18">
        <f t="shared" si="327"/>
        <v>0</v>
      </c>
      <c r="DN33" s="18">
        <f t="shared" si="327"/>
        <v>0</v>
      </c>
      <c r="DO33" s="18">
        <f t="shared" si="327"/>
        <v>0</v>
      </c>
      <c r="DP33" s="18">
        <f t="shared" si="327"/>
        <v>0</v>
      </c>
      <c r="DQ33" s="18">
        <f t="shared" si="327"/>
        <v>0</v>
      </c>
      <c r="DR33" s="18">
        <f t="shared" si="327"/>
        <v>0</v>
      </c>
      <c r="DS33" s="18">
        <f t="shared" si="327"/>
        <v>0</v>
      </c>
      <c r="DT33" s="18">
        <f t="shared" si="327"/>
        <v>0</v>
      </c>
      <c r="DU33" s="18">
        <f t="shared" si="327"/>
        <v>0</v>
      </c>
      <c r="DV33" s="18">
        <f t="shared" ref="DV33:DX33" si="370">IFERROR(DV12/DV$13,0)</f>
        <v>0</v>
      </c>
      <c r="DW33" s="18">
        <f t="shared" si="370"/>
        <v>0</v>
      </c>
      <c r="DX33" s="40">
        <f t="shared" si="370"/>
        <v>0</v>
      </c>
      <c r="DZ33" s="46">
        <f t="shared" si="329"/>
        <v>0</v>
      </c>
      <c r="EA33" s="18">
        <f t="shared" si="329"/>
        <v>0</v>
      </c>
      <c r="EB33" s="18">
        <f t="shared" si="329"/>
        <v>0</v>
      </c>
      <c r="EC33" s="18">
        <f t="shared" si="329"/>
        <v>0</v>
      </c>
      <c r="ED33" s="18">
        <f t="shared" si="329"/>
        <v>0</v>
      </c>
      <c r="EE33" s="18">
        <f t="shared" si="329"/>
        <v>0</v>
      </c>
      <c r="EF33" s="18">
        <f t="shared" si="329"/>
        <v>0</v>
      </c>
      <c r="EG33" s="18">
        <f t="shared" si="329"/>
        <v>0</v>
      </c>
      <c r="EH33" s="18">
        <f t="shared" si="329"/>
        <v>0</v>
      </c>
      <c r="EI33" s="18">
        <f t="shared" si="329"/>
        <v>0</v>
      </c>
      <c r="EJ33" s="18">
        <f t="shared" si="329"/>
        <v>0</v>
      </c>
      <c r="EK33" s="18">
        <f t="shared" si="329"/>
        <v>0</v>
      </c>
      <c r="EL33" s="18">
        <f t="shared" si="329"/>
        <v>0</v>
      </c>
      <c r="EM33" s="18">
        <f t="shared" si="329"/>
        <v>0</v>
      </c>
      <c r="EN33" s="18">
        <f t="shared" si="329"/>
        <v>0</v>
      </c>
      <c r="EO33" s="18">
        <f t="shared" si="329"/>
        <v>0</v>
      </c>
      <c r="EP33" s="40">
        <f t="shared" si="329"/>
        <v>0</v>
      </c>
      <c r="ER33" s="46">
        <f t="shared" si="329"/>
        <v>0</v>
      </c>
      <c r="ES33" s="18">
        <f t="shared" si="329"/>
        <v>0</v>
      </c>
      <c r="ET33" s="18">
        <f t="shared" si="329"/>
        <v>0</v>
      </c>
      <c r="EU33" s="18">
        <f t="shared" si="329"/>
        <v>0</v>
      </c>
      <c r="EV33" s="18">
        <f t="shared" si="329"/>
        <v>0</v>
      </c>
      <c r="EW33" s="18">
        <f t="shared" si="329"/>
        <v>0</v>
      </c>
      <c r="EX33" s="18">
        <f t="shared" si="329"/>
        <v>0</v>
      </c>
      <c r="EY33" s="18">
        <f t="shared" si="329"/>
        <v>0</v>
      </c>
      <c r="EZ33" s="18">
        <f t="shared" si="329"/>
        <v>0</v>
      </c>
      <c r="FA33" s="18">
        <f t="shared" si="329"/>
        <v>0</v>
      </c>
      <c r="FB33" s="18">
        <f t="shared" si="329"/>
        <v>0</v>
      </c>
      <c r="FC33" s="18">
        <f t="shared" si="329"/>
        <v>0</v>
      </c>
      <c r="FD33" s="18">
        <f t="shared" si="329"/>
        <v>0</v>
      </c>
      <c r="FE33" s="18">
        <f t="shared" si="329"/>
        <v>0</v>
      </c>
      <c r="FF33" s="18">
        <f t="shared" ref="FF33:FH33" si="371">IFERROR(FF12/FF$13,0)</f>
        <v>0</v>
      </c>
      <c r="FG33" s="18">
        <f t="shared" si="371"/>
        <v>0</v>
      </c>
      <c r="FH33" s="40">
        <f t="shared" si="371"/>
        <v>0</v>
      </c>
      <c r="FJ33" s="46">
        <f t="shared" si="331"/>
        <v>0</v>
      </c>
      <c r="FK33" s="18">
        <f t="shared" si="331"/>
        <v>0</v>
      </c>
      <c r="FL33" s="18">
        <f t="shared" si="331"/>
        <v>0</v>
      </c>
      <c r="FM33" s="18">
        <f t="shared" si="331"/>
        <v>0</v>
      </c>
      <c r="FN33" s="18">
        <f t="shared" si="331"/>
        <v>0</v>
      </c>
      <c r="FO33" s="18">
        <f t="shared" si="331"/>
        <v>0</v>
      </c>
      <c r="FP33" s="18">
        <f t="shared" si="331"/>
        <v>0</v>
      </c>
      <c r="FQ33" s="18">
        <f t="shared" si="331"/>
        <v>0</v>
      </c>
      <c r="FR33" s="18">
        <f t="shared" si="331"/>
        <v>0</v>
      </c>
      <c r="FS33" s="18">
        <f t="shared" si="331"/>
        <v>0</v>
      </c>
      <c r="FT33" s="18">
        <f t="shared" si="331"/>
        <v>0</v>
      </c>
      <c r="FU33" s="18">
        <f t="shared" si="331"/>
        <v>0</v>
      </c>
      <c r="FV33" s="18">
        <f t="shared" si="331"/>
        <v>0</v>
      </c>
      <c r="FW33" s="18">
        <f t="shared" si="331"/>
        <v>0</v>
      </c>
      <c r="FX33" s="18">
        <f t="shared" si="331"/>
        <v>0</v>
      </c>
      <c r="FY33" s="18">
        <f t="shared" si="331"/>
        <v>0</v>
      </c>
      <c r="FZ33" s="40">
        <f t="shared" si="331"/>
        <v>0</v>
      </c>
      <c r="GB33" s="46">
        <f t="shared" si="331"/>
        <v>0</v>
      </c>
      <c r="GC33" s="18">
        <f t="shared" si="331"/>
        <v>0</v>
      </c>
      <c r="GD33" s="18">
        <f t="shared" si="331"/>
        <v>0</v>
      </c>
      <c r="GE33" s="18">
        <f t="shared" si="331"/>
        <v>0</v>
      </c>
      <c r="GF33" s="18">
        <f t="shared" si="331"/>
        <v>0</v>
      </c>
      <c r="GG33" s="18">
        <f t="shared" si="331"/>
        <v>0</v>
      </c>
      <c r="GH33" s="18">
        <f t="shared" si="331"/>
        <v>0</v>
      </c>
      <c r="GI33" s="18">
        <f t="shared" si="331"/>
        <v>0</v>
      </c>
      <c r="GJ33" s="18">
        <f t="shared" si="331"/>
        <v>0</v>
      </c>
      <c r="GK33" s="18">
        <f t="shared" si="331"/>
        <v>0</v>
      </c>
      <c r="GL33" s="18">
        <f t="shared" si="331"/>
        <v>0</v>
      </c>
      <c r="GM33" s="18">
        <f t="shared" si="331"/>
        <v>0</v>
      </c>
      <c r="GN33" s="18">
        <f t="shared" si="331"/>
        <v>0</v>
      </c>
      <c r="GO33" s="18">
        <f t="shared" si="331"/>
        <v>0</v>
      </c>
      <c r="GP33" s="18">
        <f t="shared" ref="GP33:GR33" si="372">IFERROR(GP12/GP$13,0)</f>
        <v>0</v>
      </c>
      <c r="GQ33" s="18">
        <f t="shared" si="372"/>
        <v>0</v>
      </c>
      <c r="GR33" s="40">
        <f t="shared" si="372"/>
        <v>0</v>
      </c>
      <c r="GT33" s="46">
        <f t="shared" si="333"/>
        <v>0</v>
      </c>
      <c r="GU33" s="18">
        <f t="shared" si="333"/>
        <v>0</v>
      </c>
      <c r="GV33" s="18">
        <f t="shared" si="333"/>
        <v>0</v>
      </c>
      <c r="GW33" s="18">
        <f t="shared" si="333"/>
        <v>0</v>
      </c>
      <c r="GX33" s="18">
        <f t="shared" si="333"/>
        <v>0</v>
      </c>
      <c r="GY33" s="18">
        <f t="shared" si="333"/>
        <v>0</v>
      </c>
      <c r="GZ33" s="18">
        <f t="shared" si="333"/>
        <v>0</v>
      </c>
      <c r="HA33" s="18">
        <f t="shared" si="333"/>
        <v>0</v>
      </c>
      <c r="HB33" s="18">
        <f t="shared" si="333"/>
        <v>0</v>
      </c>
      <c r="HC33" s="18">
        <f t="shared" si="333"/>
        <v>0</v>
      </c>
      <c r="HD33" s="18">
        <f t="shared" si="333"/>
        <v>0</v>
      </c>
      <c r="HE33" s="18">
        <f t="shared" si="333"/>
        <v>0</v>
      </c>
      <c r="HF33" s="18">
        <f t="shared" si="333"/>
        <v>0</v>
      </c>
      <c r="HG33" s="18">
        <f t="shared" si="333"/>
        <v>0</v>
      </c>
      <c r="HH33" s="18">
        <f t="shared" si="333"/>
        <v>0</v>
      </c>
      <c r="HI33" s="18">
        <f t="shared" si="333"/>
        <v>0</v>
      </c>
      <c r="HJ33" s="40">
        <f t="shared" si="333"/>
        <v>0</v>
      </c>
      <c r="HL33" s="46">
        <f t="shared" si="333"/>
        <v>0</v>
      </c>
      <c r="HM33" s="18">
        <f t="shared" si="333"/>
        <v>0</v>
      </c>
      <c r="HN33" s="18">
        <f t="shared" si="333"/>
        <v>0</v>
      </c>
      <c r="HO33" s="18">
        <f t="shared" si="333"/>
        <v>0</v>
      </c>
      <c r="HP33" s="18">
        <f t="shared" si="333"/>
        <v>0</v>
      </c>
      <c r="HQ33" s="18">
        <f t="shared" si="333"/>
        <v>0</v>
      </c>
      <c r="HR33" s="18">
        <f t="shared" si="333"/>
        <v>0</v>
      </c>
      <c r="HS33" s="18">
        <f t="shared" si="333"/>
        <v>0</v>
      </c>
      <c r="HT33" s="18">
        <f t="shared" si="333"/>
        <v>0</v>
      </c>
      <c r="HU33" s="18">
        <f t="shared" si="333"/>
        <v>0</v>
      </c>
      <c r="HV33" s="18">
        <f t="shared" si="333"/>
        <v>0</v>
      </c>
      <c r="HW33" s="18">
        <f t="shared" si="333"/>
        <v>0</v>
      </c>
      <c r="HX33" s="18">
        <f t="shared" si="333"/>
        <v>0</v>
      </c>
      <c r="HY33" s="18">
        <f t="shared" si="333"/>
        <v>0</v>
      </c>
      <c r="HZ33" s="18">
        <f t="shared" si="333"/>
        <v>0</v>
      </c>
      <c r="IA33" s="18">
        <f t="shared" si="333"/>
        <v>0</v>
      </c>
      <c r="IB33" s="40">
        <f t="shared" si="333"/>
        <v>0</v>
      </c>
    </row>
    <row r="34" spans="1:236" s="1" customFormat="1" x14ac:dyDescent="0.35">
      <c r="A34" s="6"/>
      <c r="B34" s="35" t="s">
        <v>158</v>
      </c>
      <c r="D34" s="47">
        <f t="shared" ref="D34" si="373">IFERROR(D13/D$13,0)</f>
        <v>1</v>
      </c>
      <c r="E34" s="38">
        <f t="shared" si="336"/>
        <v>1</v>
      </c>
      <c r="F34" s="38">
        <f t="shared" ref="F34:T34" si="374">IFERROR(F13/F$13,0)</f>
        <v>1</v>
      </c>
      <c r="G34" s="38">
        <f t="shared" si="374"/>
        <v>1</v>
      </c>
      <c r="H34" s="38">
        <f t="shared" si="374"/>
        <v>1</v>
      </c>
      <c r="I34" s="38">
        <f t="shared" si="374"/>
        <v>1</v>
      </c>
      <c r="J34" s="38">
        <f t="shared" si="374"/>
        <v>1</v>
      </c>
      <c r="K34" s="38">
        <f t="shared" si="374"/>
        <v>1</v>
      </c>
      <c r="L34" s="38">
        <f t="shared" si="374"/>
        <v>1</v>
      </c>
      <c r="M34" s="38">
        <f t="shared" si="374"/>
        <v>1</v>
      </c>
      <c r="N34" s="38">
        <f t="shared" si="374"/>
        <v>0</v>
      </c>
      <c r="O34" s="38">
        <f t="shared" si="374"/>
        <v>1</v>
      </c>
      <c r="P34" s="38">
        <f t="shared" si="374"/>
        <v>1</v>
      </c>
      <c r="Q34" s="38">
        <f t="shared" si="374"/>
        <v>0</v>
      </c>
      <c r="R34" s="38">
        <f t="shared" si="374"/>
        <v>1</v>
      </c>
      <c r="S34" s="38">
        <f t="shared" si="374"/>
        <v>0</v>
      </c>
      <c r="T34" s="39">
        <f t="shared" si="374"/>
        <v>1</v>
      </c>
      <c r="V34" s="47">
        <f t="shared" si="362"/>
        <v>1</v>
      </c>
      <c r="W34" s="38">
        <f t="shared" si="362"/>
        <v>1</v>
      </c>
      <c r="X34" s="38">
        <f t="shared" si="362"/>
        <v>1</v>
      </c>
      <c r="Y34" s="38">
        <f t="shared" si="362"/>
        <v>1</v>
      </c>
      <c r="Z34" s="38">
        <f t="shared" si="362"/>
        <v>1</v>
      </c>
      <c r="AA34" s="38">
        <f t="shared" si="362"/>
        <v>1</v>
      </c>
      <c r="AB34" s="38">
        <f t="shared" si="362"/>
        <v>0</v>
      </c>
      <c r="AC34" s="38">
        <f t="shared" si="362"/>
        <v>1</v>
      </c>
      <c r="AD34" s="38">
        <f t="shared" si="362"/>
        <v>0</v>
      </c>
      <c r="AE34" s="38">
        <f t="shared" si="362"/>
        <v>0</v>
      </c>
      <c r="AF34" s="38">
        <f t="shared" si="362"/>
        <v>0</v>
      </c>
      <c r="AG34" s="38">
        <f t="shared" si="362"/>
        <v>0</v>
      </c>
      <c r="AH34" s="38">
        <f t="shared" si="362"/>
        <v>0</v>
      </c>
      <c r="AI34" s="38">
        <f t="shared" si="362"/>
        <v>0</v>
      </c>
      <c r="AJ34" s="38">
        <f t="shared" si="362"/>
        <v>1</v>
      </c>
      <c r="AK34" s="38">
        <f t="shared" si="362"/>
        <v>0</v>
      </c>
      <c r="AL34" s="39">
        <f t="shared" si="362"/>
        <v>1</v>
      </c>
      <c r="AN34" s="47">
        <f t="shared" si="362"/>
        <v>1</v>
      </c>
      <c r="AO34" s="38">
        <f t="shared" si="362"/>
        <v>1</v>
      </c>
      <c r="AP34" s="38">
        <f t="shared" si="362"/>
        <v>1</v>
      </c>
      <c r="AQ34" s="38">
        <f t="shared" si="362"/>
        <v>1</v>
      </c>
      <c r="AR34" s="38">
        <f t="shared" si="362"/>
        <v>1</v>
      </c>
      <c r="AS34" s="38">
        <f t="shared" si="362"/>
        <v>1</v>
      </c>
      <c r="AT34" s="38">
        <f t="shared" si="362"/>
        <v>0</v>
      </c>
      <c r="AU34" s="38">
        <f t="shared" si="362"/>
        <v>1</v>
      </c>
      <c r="AV34" s="38">
        <f t="shared" si="362"/>
        <v>0</v>
      </c>
      <c r="AW34" s="38">
        <f t="shared" si="362"/>
        <v>0</v>
      </c>
      <c r="AX34" s="38">
        <f t="shared" si="362"/>
        <v>0</v>
      </c>
      <c r="AY34" s="38">
        <f t="shared" si="362"/>
        <v>0</v>
      </c>
      <c r="AZ34" s="38">
        <f t="shared" si="362"/>
        <v>0</v>
      </c>
      <c r="BA34" s="38">
        <f t="shared" si="362"/>
        <v>0</v>
      </c>
      <c r="BB34" s="38">
        <f t="shared" si="362"/>
        <v>1</v>
      </c>
      <c r="BC34" s="38">
        <f t="shared" si="362"/>
        <v>0</v>
      </c>
      <c r="BD34" s="39">
        <f t="shared" si="362"/>
        <v>1</v>
      </c>
      <c r="BF34" s="47">
        <f t="shared" si="362"/>
        <v>1</v>
      </c>
      <c r="BG34" s="38">
        <f t="shared" si="362"/>
        <v>1</v>
      </c>
      <c r="BH34" s="38">
        <f t="shared" si="362"/>
        <v>1</v>
      </c>
      <c r="BI34" s="38">
        <f t="shared" si="362"/>
        <v>1</v>
      </c>
      <c r="BJ34" s="38">
        <f t="shared" si="362"/>
        <v>1</v>
      </c>
      <c r="BK34" s="38">
        <f t="shared" si="362"/>
        <v>1</v>
      </c>
      <c r="BL34" s="38">
        <f t="shared" si="362"/>
        <v>0</v>
      </c>
      <c r="BM34" s="38">
        <f t="shared" si="362"/>
        <v>1</v>
      </c>
      <c r="BN34" s="38">
        <f t="shared" si="362"/>
        <v>0</v>
      </c>
      <c r="BO34" s="38">
        <f t="shared" si="362"/>
        <v>0</v>
      </c>
      <c r="BP34" s="38">
        <f t="shared" si="362"/>
        <v>0</v>
      </c>
      <c r="BQ34" s="38">
        <f t="shared" si="362"/>
        <v>0</v>
      </c>
      <c r="BR34" s="38">
        <f t="shared" si="362"/>
        <v>0</v>
      </c>
      <c r="BS34" s="38">
        <f t="shared" si="362"/>
        <v>0</v>
      </c>
      <c r="BT34" s="38">
        <f t="shared" si="362"/>
        <v>1</v>
      </c>
      <c r="BU34" s="38">
        <f t="shared" si="362"/>
        <v>0</v>
      </c>
      <c r="BV34" s="39">
        <f t="shared" si="362"/>
        <v>1</v>
      </c>
      <c r="BX34" s="47">
        <f t="shared" si="362"/>
        <v>1</v>
      </c>
      <c r="BY34" s="38">
        <f t="shared" si="362"/>
        <v>1</v>
      </c>
      <c r="BZ34" s="38">
        <f t="shared" si="362"/>
        <v>1</v>
      </c>
      <c r="CA34" s="38">
        <f t="shared" si="362"/>
        <v>1</v>
      </c>
      <c r="CB34" s="38">
        <f t="shared" si="362"/>
        <v>1</v>
      </c>
      <c r="CC34" s="38">
        <f t="shared" si="362"/>
        <v>1</v>
      </c>
      <c r="CD34" s="38">
        <f t="shared" si="362"/>
        <v>0</v>
      </c>
      <c r="CE34" s="38">
        <f t="shared" si="362"/>
        <v>0</v>
      </c>
      <c r="CF34" s="38">
        <f t="shared" si="362"/>
        <v>0</v>
      </c>
      <c r="CG34" s="38">
        <f t="shared" si="362"/>
        <v>0</v>
      </c>
      <c r="CH34" s="38">
        <f t="shared" ref="CH34:CN34" si="375">IFERROR(CH13/CH$13,0)</f>
        <v>0</v>
      </c>
      <c r="CI34" s="38">
        <f t="shared" si="375"/>
        <v>0</v>
      </c>
      <c r="CJ34" s="38">
        <f t="shared" si="375"/>
        <v>0</v>
      </c>
      <c r="CK34" s="38">
        <f t="shared" si="375"/>
        <v>0</v>
      </c>
      <c r="CL34" s="38">
        <f t="shared" si="375"/>
        <v>1</v>
      </c>
      <c r="CM34" s="38">
        <f t="shared" si="375"/>
        <v>0</v>
      </c>
      <c r="CN34" s="39">
        <f t="shared" si="375"/>
        <v>1</v>
      </c>
      <c r="CP34" s="47">
        <f t="shared" si="327"/>
        <v>1</v>
      </c>
      <c r="CQ34" s="38">
        <f t="shared" si="327"/>
        <v>1</v>
      </c>
      <c r="CR34" s="38">
        <f t="shared" si="327"/>
        <v>1</v>
      </c>
      <c r="CS34" s="38">
        <f t="shared" si="327"/>
        <v>1</v>
      </c>
      <c r="CT34" s="38">
        <f t="shared" si="327"/>
        <v>1</v>
      </c>
      <c r="CU34" s="38">
        <f t="shared" si="327"/>
        <v>1</v>
      </c>
      <c r="CV34" s="38">
        <f t="shared" si="327"/>
        <v>0</v>
      </c>
      <c r="CW34" s="38">
        <f t="shared" si="327"/>
        <v>1</v>
      </c>
      <c r="CX34" s="38">
        <f t="shared" si="327"/>
        <v>0</v>
      </c>
      <c r="CY34" s="38">
        <f t="shared" si="327"/>
        <v>0</v>
      </c>
      <c r="CZ34" s="38">
        <f t="shared" si="327"/>
        <v>0</v>
      </c>
      <c r="DA34" s="38">
        <f t="shared" si="327"/>
        <v>0</v>
      </c>
      <c r="DB34" s="38">
        <f t="shared" si="327"/>
        <v>0</v>
      </c>
      <c r="DC34" s="38">
        <f t="shared" si="327"/>
        <v>0</v>
      </c>
      <c r="DD34" s="38">
        <f t="shared" si="327"/>
        <v>1</v>
      </c>
      <c r="DE34" s="38">
        <f t="shared" si="327"/>
        <v>0</v>
      </c>
      <c r="DF34" s="39">
        <f t="shared" si="327"/>
        <v>1</v>
      </c>
      <c r="DH34" s="47">
        <f t="shared" si="327"/>
        <v>1</v>
      </c>
      <c r="DI34" s="38">
        <f t="shared" si="327"/>
        <v>1</v>
      </c>
      <c r="DJ34" s="38">
        <f t="shared" si="327"/>
        <v>1</v>
      </c>
      <c r="DK34" s="38">
        <f t="shared" si="327"/>
        <v>1</v>
      </c>
      <c r="DL34" s="38">
        <f t="shared" si="327"/>
        <v>1</v>
      </c>
      <c r="DM34" s="38">
        <f t="shared" si="327"/>
        <v>1</v>
      </c>
      <c r="DN34" s="38">
        <f t="shared" si="327"/>
        <v>0</v>
      </c>
      <c r="DO34" s="38">
        <f t="shared" si="327"/>
        <v>1</v>
      </c>
      <c r="DP34" s="38">
        <f t="shared" si="327"/>
        <v>0</v>
      </c>
      <c r="DQ34" s="38">
        <f t="shared" si="327"/>
        <v>0</v>
      </c>
      <c r="DR34" s="38">
        <f t="shared" si="327"/>
        <v>0</v>
      </c>
      <c r="DS34" s="38">
        <f t="shared" si="327"/>
        <v>0</v>
      </c>
      <c r="DT34" s="38">
        <f t="shared" si="327"/>
        <v>0</v>
      </c>
      <c r="DU34" s="38">
        <f t="shared" si="327"/>
        <v>0</v>
      </c>
      <c r="DV34" s="38">
        <f t="shared" ref="DV34:DX34" si="376">IFERROR(DV13/DV$13,0)</f>
        <v>1</v>
      </c>
      <c r="DW34" s="38">
        <f t="shared" si="376"/>
        <v>0</v>
      </c>
      <c r="DX34" s="39">
        <f t="shared" si="376"/>
        <v>1</v>
      </c>
      <c r="DZ34" s="47">
        <f t="shared" si="329"/>
        <v>1</v>
      </c>
      <c r="EA34" s="38">
        <f t="shared" si="329"/>
        <v>1</v>
      </c>
      <c r="EB34" s="38">
        <f t="shared" si="329"/>
        <v>1</v>
      </c>
      <c r="EC34" s="38">
        <f t="shared" si="329"/>
        <v>1</v>
      </c>
      <c r="ED34" s="38">
        <f t="shared" si="329"/>
        <v>1</v>
      </c>
      <c r="EE34" s="38">
        <f t="shared" si="329"/>
        <v>1</v>
      </c>
      <c r="EF34" s="38">
        <f t="shared" si="329"/>
        <v>0</v>
      </c>
      <c r="EG34" s="38">
        <f t="shared" si="329"/>
        <v>1</v>
      </c>
      <c r="EH34" s="38">
        <f t="shared" si="329"/>
        <v>0</v>
      </c>
      <c r="EI34" s="38">
        <f t="shared" si="329"/>
        <v>0</v>
      </c>
      <c r="EJ34" s="38">
        <f t="shared" si="329"/>
        <v>0</v>
      </c>
      <c r="EK34" s="38">
        <f t="shared" si="329"/>
        <v>0</v>
      </c>
      <c r="EL34" s="38">
        <f t="shared" si="329"/>
        <v>0</v>
      </c>
      <c r="EM34" s="38">
        <f t="shared" si="329"/>
        <v>0</v>
      </c>
      <c r="EN34" s="38">
        <f t="shared" si="329"/>
        <v>1</v>
      </c>
      <c r="EO34" s="38">
        <f t="shared" si="329"/>
        <v>0</v>
      </c>
      <c r="EP34" s="39">
        <f t="shared" si="329"/>
        <v>1</v>
      </c>
      <c r="ER34" s="47">
        <f t="shared" si="329"/>
        <v>1</v>
      </c>
      <c r="ES34" s="38">
        <f t="shared" si="329"/>
        <v>1</v>
      </c>
      <c r="ET34" s="38">
        <f t="shared" si="329"/>
        <v>1</v>
      </c>
      <c r="EU34" s="38">
        <f t="shared" si="329"/>
        <v>1</v>
      </c>
      <c r="EV34" s="38">
        <f t="shared" si="329"/>
        <v>1</v>
      </c>
      <c r="EW34" s="38">
        <f t="shared" si="329"/>
        <v>1</v>
      </c>
      <c r="EX34" s="38">
        <f t="shared" si="329"/>
        <v>0</v>
      </c>
      <c r="EY34" s="38">
        <f t="shared" si="329"/>
        <v>1</v>
      </c>
      <c r="EZ34" s="38">
        <f t="shared" si="329"/>
        <v>0</v>
      </c>
      <c r="FA34" s="38">
        <f t="shared" si="329"/>
        <v>0</v>
      </c>
      <c r="FB34" s="38">
        <f t="shared" si="329"/>
        <v>0</v>
      </c>
      <c r="FC34" s="38">
        <f t="shared" si="329"/>
        <v>0</v>
      </c>
      <c r="FD34" s="38">
        <f t="shared" si="329"/>
        <v>0</v>
      </c>
      <c r="FE34" s="38">
        <f t="shared" si="329"/>
        <v>0</v>
      </c>
      <c r="FF34" s="38">
        <f t="shared" ref="FF34:FH34" si="377">IFERROR(FF13/FF$13,0)</f>
        <v>1</v>
      </c>
      <c r="FG34" s="38">
        <f t="shared" si="377"/>
        <v>0</v>
      </c>
      <c r="FH34" s="39">
        <f t="shared" si="377"/>
        <v>1</v>
      </c>
      <c r="FJ34" s="47">
        <f t="shared" si="331"/>
        <v>1</v>
      </c>
      <c r="FK34" s="38">
        <f t="shared" si="331"/>
        <v>1</v>
      </c>
      <c r="FL34" s="38">
        <f t="shared" si="331"/>
        <v>1</v>
      </c>
      <c r="FM34" s="38">
        <f t="shared" si="331"/>
        <v>1</v>
      </c>
      <c r="FN34" s="38">
        <f t="shared" si="331"/>
        <v>1</v>
      </c>
      <c r="FO34" s="38">
        <f t="shared" si="331"/>
        <v>1</v>
      </c>
      <c r="FP34" s="38">
        <f t="shared" si="331"/>
        <v>1</v>
      </c>
      <c r="FQ34" s="38">
        <f t="shared" si="331"/>
        <v>1</v>
      </c>
      <c r="FR34" s="38">
        <f t="shared" si="331"/>
        <v>0</v>
      </c>
      <c r="FS34" s="38">
        <f t="shared" si="331"/>
        <v>0</v>
      </c>
      <c r="FT34" s="38">
        <f t="shared" si="331"/>
        <v>0</v>
      </c>
      <c r="FU34" s="38">
        <f t="shared" si="331"/>
        <v>0</v>
      </c>
      <c r="FV34" s="38">
        <f t="shared" si="331"/>
        <v>0</v>
      </c>
      <c r="FW34" s="38">
        <f t="shared" si="331"/>
        <v>0</v>
      </c>
      <c r="FX34" s="38">
        <f t="shared" si="331"/>
        <v>1</v>
      </c>
      <c r="FY34" s="38">
        <f t="shared" si="331"/>
        <v>0</v>
      </c>
      <c r="FZ34" s="39">
        <f t="shared" si="331"/>
        <v>1</v>
      </c>
      <c r="GB34" s="47">
        <f t="shared" si="331"/>
        <v>1</v>
      </c>
      <c r="GC34" s="38">
        <f t="shared" si="331"/>
        <v>1</v>
      </c>
      <c r="GD34" s="38">
        <f t="shared" si="331"/>
        <v>1</v>
      </c>
      <c r="GE34" s="38">
        <f t="shared" si="331"/>
        <v>1</v>
      </c>
      <c r="GF34" s="38">
        <f t="shared" si="331"/>
        <v>1</v>
      </c>
      <c r="GG34" s="38">
        <f t="shared" si="331"/>
        <v>1</v>
      </c>
      <c r="GH34" s="38">
        <f t="shared" si="331"/>
        <v>0</v>
      </c>
      <c r="GI34" s="38">
        <f t="shared" si="331"/>
        <v>1</v>
      </c>
      <c r="GJ34" s="38">
        <f t="shared" si="331"/>
        <v>0</v>
      </c>
      <c r="GK34" s="38">
        <f t="shared" si="331"/>
        <v>0</v>
      </c>
      <c r="GL34" s="38">
        <f t="shared" si="331"/>
        <v>0</v>
      </c>
      <c r="GM34" s="38">
        <f t="shared" si="331"/>
        <v>0</v>
      </c>
      <c r="GN34" s="38">
        <f t="shared" si="331"/>
        <v>0</v>
      </c>
      <c r="GO34" s="38">
        <f t="shared" si="331"/>
        <v>0</v>
      </c>
      <c r="GP34" s="38">
        <f t="shared" ref="GP34:GR34" si="378">IFERROR(GP13/GP$13,0)</f>
        <v>1</v>
      </c>
      <c r="GQ34" s="38">
        <f t="shared" si="378"/>
        <v>0</v>
      </c>
      <c r="GR34" s="39">
        <f t="shared" si="378"/>
        <v>1</v>
      </c>
      <c r="GT34" s="47">
        <f t="shared" si="333"/>
        <v>1</v>
      </c>
      <c r="GU34" s="38">
        <f t="shared" si="333"/>
        <v>1</v>
      </c>
      <c r="GV34" s="38">
        <f t="shared" si="333"/>
        <v>1</v>
      </c>
      <c r="GW34" s="38">
        <f t="shared" si="333"/>
        <v>1</v>
      </c>
      <c r="GX34" s="38">
        <f t="shared" si="333"/>
        <v>1</v>
      </c>
      <c r="GY34" s="38">
        <f t="shared" si="333"/>
        <v>1</v>
      </c>
      <c r="GZ34" s="38">
        <f t="shared" si="333"/>
        <v>0</v>
      </c>
      <c r="HA34" s="38">
        <f t="shared" si="333"/>
        <v>1</v>
      </c>
      <c r="HB34" s="38">
        <f t="shared" si="333"/>
        <v>0</v>
      </c>
      <c r="HC34" s="38">
        <f t="shared" si="333"/>
        <v>0</v>
      </c>
      <c r="HD34" s="38">
        <f t="shared" si="333"/>
        <v>0</v>
      </c>
      <c r="HE34" s="38">
        <f t="shared" si="333"/>
        <v>0</v>
      </c>
      <c r="HF34" s="38">
        <f t="shared" si="333"/>
        <v>0</v>
      </c>
      <c r="HG34" s="38">
        <f t="shared" si="333"/>
        <v>0</v>
      </c>
      <c r="HH34" s="38">
        <f t="shared" si="333"/>
        <v>1</v>
      </c>
      <c r="HI34" s="38">
        <f t="shared" si="333"/>
        <v>0</v>
      </c>
      <c r="HJ34" s="39">
        <f t="shared" si="333"/>
        <v>1</v>
      </c>
      <c r="HL34" s="47">
        <f t="shared" si="333"/>
        <v>1</v>
      </c>
      <c r="HM34" s="38">
        <f t="shared" si="333"/>
        <v>1</v>
      </c>
      <c r="HN34" s="38">
        <f t="shared" si="333"/>
        <v>1</v>
      </c>
      <c r="HO34" s="38">
        <f t="shared" si="333"/>
        <v>1</v>
      </c>
      <c r="HP34" s="38">
        <f t="shared" si="333"/>
        <v>1</v>
      </c>
      <c r="HQ34" s="38">
        <f t="shared" si="333"/>
        <v>1</v>
      </c>
      <c r="HR34" s="38">
        <f t="shared" si="333"/>
        <v>1</v>
      </c>
      <c r="HS34" s="38">
        <f t="shared" si="333"/>
        <v>1</v>
      </c>
      <c r="HT34" s="38">
        <f t="shared" si="333"/>
        <v>1</v>
      </c>
      <c r="HU34" s="38">
        <f t="shared" si="333"/>
        <v>1</v>
      </c>
      <c r="HV34" s="38">
        <f t="shared" si="333"/>
        <v>0</v>
      </c>
      <c r="HW34" s="38">
        <f t="shared" si="333"/>
        <v>1</v>
      </c>
      <c r="HX34" s="38">
        <f t="shared" si="333"/>
        <v>1</v>
      </c>
      <c r="HY34" s="38">
        <f t="shared" si="333"/>
        <v>0</v>
      </c>
      <c r="HZ34" s="38">
        <f t="shared" si="333"/>
        <v>1</v>
      </c>
      <c r="IA34" s="38">
        <f t="shared" si="333"/>
        <v>0</v>
      </c>
      <c r="IB34" s="39">
        <f t="shared" si="333"/>
        <v>1</v>
      </c>
    </row>
    <row r="35" spans="1:236" x14ac:dyDescent="0.35">
      <c r="P35" s="2"/>
      <c r="Q35" s="2"/>
      <c r="R35" s="2"/>
    </row>
    <row r="36" spans="1:236" x14ac:dyDescent="0.35">
      <c r="P36" s="2"/>
      <c r="Q36" s="2"/>
      <c r="R36" s="2"/>
    </row>
    <row r="37" spans="1:236" x14ac:dyDescent="0.35">
      <c r="P37" s="2"/>
      <c r="Q37" s="2"/>
      <c r="R37" s="2"/>
    </row>
    <row r="38" spans="1:236" x14ac:dyDescent="0.35">
      <c r="P38" s="2"/>
      <c r="Q38" s="2"/>
      <c r="R38" s="2"/>
    </row>
    <row r="39" spans="1:236" x14ac:dyDescent="0.35">
      <c r="P39" s="2"/>
      <c r="Q39" s="2"/>
      <c r="R39" s="2"/>
    </row>
    <row r="40" spans="1:236" x14ac:dyDescent="0.35">
      <c r="P40" s="2"/>
      <c r="Q40" s="2"/>
      <c r="R40" s="2"/>
    </row>
    <row r="41" spans="1:236" x14ac:dyDescent="0.35">
      <c r="P41" s="2"/>
      <c r="Q41" s="2"/>
      <c r="R41" s="2"/>
    </row>
    <row r="42" spans="1:236" x14ac:dyDescent="0.35">
      <c r="P42" s="2"/>
      <c r="Q42" s="2"/>
      <c r="R42" s="2"/>
    </row>
    <row r="43" spans="1:236" x14ac:dyDescent="0.35">
      <c r="P43" s="2"/>
      <c r="Q43" s="2"/>
      <c r="R43" s="2"/>
    </row>
    <row r="44" spans="1:236" x14ac:dyDescent="0.35">
      <c r="P44" s="2"/>
      <c r="Q44" s="2"/>
      <c r="R44" s="2"/>
    </row>
  </sheetData>
  <mergeCells count="14">
    <mergeCell ref="GB4:GR4"/>
    <mergeCell ref="GT4:HJ4"/>
    <mergeCell ref="HL4:IB4"/>
    <mergeCell ref="B4:B5"/>
    <mergeCell ref="D4:T4"/>
    <mergeCell ref="V4:AL4"/>
    <mergeCell ref="AN4:BD4"/>
    <mergeCell ref="BF4:BV4"/>
    <mergeCell ref="BX4:CN4"/>
    <mergeCell ref="CP4:DF4"/>
    <mergeCell ref="DH4:DX4"/>
    <mergeCell ref="DZ4:EP4"/>
    <mergeCell ref="ER4:FH4"/>
    <mergeCell ref="FJ4:FZ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6ADD-7674-49E4-A024-60BCCA4D3A22}">
  <dimension ref="A2:M1239"/>
  <sheetViews>
    <sheetView showGridLines="0" zoomScale="85" zoomScaleNormal="85" workbookViewId="0">
      <pane ySplit="2" topLeftCell="A316" activePane="bottomLeft" state="frozen"/>
      <selection pane="bottomLeft" activeCell="L2" sqref="L2"/>
    </sheetView>
  </sheetViews>
  <sheetFormatPr defaultRowHeight="14.5" x14ac:dyDescent="0.35"/>
  <cols>
    <col min="1" max="1" width="7" bestFit="1" customWidth="1"/>
    <col min="2" max="2" width="8.75" bestFit="1" customWidth="1"/>
    <col min="3" max="3" width="11.33203125" bestFit="1" customWidth="1"/>
    <col min="4" max="4" width="22.58203125" bestFit="1" customWidth="1"/>
    <col min="5" max="5" width="15.6640625" bestFit="1" customWidth="1"/>
    <col min="6" max="6" width="29.9140625" bestFit="1" customWidth="1"/>
    <col min="7" max="7" width="15.9140625" bestFit="1" customWidth="1"/>
    <col min="8" max="8" width="15.75" bestFit="1" customWidth="1"/>
    <col min="9" max="9" width="20.6640625" bestFit="1" customWidth="1"/>
    <col min="10" max="11" width="20.6640625" customWidth="1"/>
    <col min="12" max="12" width="21.9140625" bestFit="1" customWidth="1"/>
    <col min="13" max="13" width="23.6640625" bestFit="1" customWidth="1"/>
  </cols>
  <sheetData>
    <row r="2" spans="1:13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64</v>
      </c>
      <c r="G2" s="3" t="s">
        <v>5</v>
      </c>
      <c r="H2" s="3" t="s">
        <v>6</v>
      </c>
      <c r="I2" s="3" t="s">
        <v>7</v>
      </c>
      <c r="J2" s="3" t="s">
        <v>83</v>
      </c>
      <c r="K2" s="3" t="s">
        <v>84</v>
      </c>
      <c r="L2" s="4" t="s">
        <v>65</v>
      </c>
      <c r="M2" s="4" t="s">
        <v>77</v>
      </c>
    </row>
    <row r="3" spans="1:13" x14ac:dyDescent="0.35">
      <c r="A3">
        <v>2024</v>
      </c>
      <c r="B3">
        <v>1</v>
      </c>
      <c r="C3" t="s">
        <v>8</v>
      </c>
      <c r="D3" t="s">
        <v>9</v>
      </c>
      <c r="E3" t="s">
        <v>8</v>
      </c>
      <c r="F3" t="s">
        <v>9</v>
      </c>
      <c r="G3" s="2">
        <v>689816</v>
      </c>
      <c r="H3" s="2">
        <v>0</v>
      </c>
      <c r="I3" s="2">
        <v>689816</v>
      </c>
      <c r="J3" s="2">
        <v>0</v>
      </c>
      <c r="K3" s="2">
        <v>689816</v>
      </c>
      <c r="L3" s="2" t="str">
        <f>_xlfn.XLOOKUP(Data_Nhập[[#This Row],[Main SKU]],MD_Main_SKU[Main SKU],MD_Main_SKU[SKU name_gom])</f>
        <v>WSS01</v>
      </c>
      <c r="M3" s="2" t="str">
        <f>_xlfn.XLOOKUP(Data_Nhập[[#This Row],[Material-Nhập]],MD_Main_SKU[Main SKU],MD_Main_SKU[SKU name_gom])</f>
        <v>WSS01</v>
      </c>
    </row>
    <row r="4" spans="1:13" x14ac:dyDescent="0.35">
      <c r="A4">
        <v>2024</v>
      </c>
      <c r="B4">
        <v>1</v>
      </c>
      <c r="C4" t="s">
        <v>8</v>
      </c>
      <c r="D4" t="s">
        <v>9</v>
      </c>
      <c r="E4" t="s">
        <v>10</v>
      </c>
      <c r="F4" t="s">
        <v>11</v>
      </c>
      <c r="G4" s="2">
        <v>0</v>
      </c>
      <c r="H4" s="2">
        <v>74144</v>
      </c>
      <c r="I4" s="2">
        <v>74144</v>
      </c>
      <c r="J4" s="2">
        <v>0</v>
      </c>
      <c r="K4" s="2">
        <v>74144</v>
      </c>
      <c r="L4" s="2" t="str">
        <f>_xlfn.XLOOKUP(Data_Nhập[[#This Row],[Main SKU]],MD_Main_SKU[Main SKU],MD_Main_SKU[SKU name_gom])</f>
        <v>WSS01</v>
      </c>
      <c r="M4" s="2" t="str">
        <f>_xlfn.XLOOKUP(Data_Nhập[[#This Row],[Material-Nhập]],MD_Main_SKU[Main SKU],MD_Main_SKU[SKU name_gom])</f>
        <v>WSS02</v>
      </c>
    </row>
    <row r="5" spans="1:13" x14ac:dyDescent="0.35">
      <c r="A5">
        <v>2024</v>
      </c>
      <c r="B5">
        <v>1</v>
      </c>
      <c r="C5" t="s">
        <v>8</v>
      </c>
      <c r="D5" t="s">
        <v>9</v>
      </c>
      <c r="E5" t="s">
        <v>12</v>
      </c>
      <c r="F5" t="s">
        <v>13</v>
      </c>
      <c r="G5" s="2">
        <v>0</v>
      </c>
      <c r="H5" s="2">
        <v>3300</v>
      </c>
      <c r="I5" s="2">
        <v>3300</v>
      </c>
      <c r="J5" s="2">
        <v>0</v>
      </c>
      <c r="K5" s="2">
        <v>3300</v>
      </c>
      <c r="L5" s="2" t="str">
        <f>_xlfn.XLOOKUP(Data_Nhập[[#This Row],[Main SKU]],MD_Main_SKU[Main SKU],MD_Main_SKU[SKU name_gom])</f>
        <v>WSS01</v>
      </c>
      <c r="M5" s="2" t="str">
        <f>_xlfn.XLOOKUP(Data_Nhập[[#This Row],[Material-Nhập]],MD_Main_SKU[Main SKU],MD_Main_SKU[SKU name_gom])</f>
        <v>WSS03</v>
      </c>
    </row>
    <row r="6" spans="1:13" x14ac:dyDescent="0.35">
      <c r="A6">
        <v>2024</v>
      </c>
      <c r="B6">
        <v>1</v>
      </c>
      <c r="C6" t="s">
        <v>8</v>
      </c>
      <c r="D6" t="s">
        <v>9</v>
      </c>
      <c r="E6" t="s">
        <v>85</v>
      </c>
      <c r="F6" t="s">
        <v>86</v>
      </c>
      <c r="G6" s="2">
        <v>0</v>
      </c>
      <c r="H6" s="2">
        <v>0</v>
      </c>
      <c r="I6" s="2">
        <v>0</v>
      </c>
      <c r="J6" s="2">
        <v>6874</v>
      </c>
      <c r="K6" s="2">
        <v>6874</v>
      </c>
      <c r="L6" s="2" t="str">
        <f>_xlfn.XLOOKUP(Data_Nhập[[#This Row],[Main SKU]],MD_Main_SKU[Main SKU],MD_Main_SKU[SKU name_gom])</f>
        <v>WSS01</v>
      </c>
      <c r="M6" s="2" t="str">
        <f>_xlfn.XLOOKUP(Data_Nhập[[#This Row],[Material-Nhập]],MD_Main_SKU[Main SKU],MD_Main_SKU[SKU name_gom])</f>
        <v>Phó sản</v>
      </c>
    </row>
    <row r="7" spans="1:13" x14ac:dyDescent="0.35">
      <c r="A7">
        <v>2024</v>
      </c>
      <c r="B7">
        <v>1</v>
      </c>
      <c r="C7" t="s">
        <v>8</v>
      </c>
      <c r="D7" t="s">
        <v>9</v>
      </c>
      <c r="E7" t="s">
        <v>87</v>
      </c>
      <c r="F7" t="s">
        <v>88</v>
      </c>
      <c r="G7" s="2">
        <v>0</v>
      </c>
      <c r="H7" s="2">
        <v>0</v>
      </c>
      <c r="I7" s="2">
        <v>0</v>
      </c>
      <c r="J7" s="2">
        <v>9361</v>
      </c>
      <c r="K7" s="2">
        <v>9361</v>
      </c>
      <c r="L7" s="2" t="str">
        <f>_xlfn.XLOOKUP(Data_Nhập[[#This Row],[Main SKU]],MD_Main_SKU[Main SKU],MD_Main_SKU[SKU name_gom])</f>
        <v>WSS01</v>
      </c>
      <c r="M7" s="2" t="str">
        <f>_xlfn.XLOOKUP(Data_Nhập[[#This Row],[Material-Nhập]],MD_Main_SKU[Main SKU],MD_Main_SKU[SKU name_gom])</f>
        <v>Phó sản</v>
      </c>
    </row>
    <row r="8" spans="1:13" x14ac:dyDescent="0.35">
      <c r="A8">
        <v>2024</v>
      </c>
      <c r="B8">
        <v>1</v>
      </c>
      <c r="C8" t="s">
        <v>8</v>
      </c>
      <c r="D8" t="s">
        <v>9</v>
      </c>
      <c r="E8" t="s">
        <v>89</v>
      </c>
      <c r="F8" t="s">
        <v>90</v>
      </c>
      <c r="G8" s="2">
        <v>0</v>
      </c>
      <c r="H8" s="2">
        <v>0</v>
      </c>
      <c r="I8" s="2">
        <v>0</v>
      </c>
      <c r="J8" s="2">
        <v>1663</v>
      </c>
      <c r="K8" s="2">
        <v>1663</v>
      </c>
      <c r="L8" s="2" t="str">
        <f>_xlfn.XLOOKUP(Data_Nhập[[#This Row],[Main SKU]],MD_Main_SKU[Main SKU],MD_Main_SKU[SKU name_gom])</f>
        <v>WSS01</v>
      </c>
      <c r="M8" s="2" t="str">
        <f>_xlfn.XLOOKUP(Data_Nhập[[#This Row],[Material-Nhập]],MD_Main_SKU[Main SKU],MD_Main_SKU[SKU name_gom])</f>
        <v>Phó sản</v>
      </c>
    </row>
    <row r="9" spans="1:13" x14ac:dyDescent="0.35">
      <c r="A9">
        <v>2024</v>
      </c>
      <c r="B9">
        <v>1</v>
      </c>
      <c r="C9" t="s">
        <v>8</v>
      </c>
      <c r="D9" t="s">
        <v>9</v>
      </c>
      <c r="E9" t="s">
        <v>91</v>
      </c>
      <c r="F9" t="s">
        <v>92</v>
      </c>
      <c r="G9" s="2">
        <v>0</v>
      </c>
      <c r="H9" s="2">
        <v>0</v>
      </c>
      <c r="I9" s="2">
        <v>0</v>
      </c>
      <c r="J9" s="2">
        <v>3277</v>
      </c>
      <c r="K9" s="2">
        <v>3277</v>
      </c>
      <c r="L9" s="2" t="str">
        <f>_xlfn.XLOOKUP(Data_Nhập[[#This Row],[Main SKU]],MD_Main_SKU[Main SKU],MD_Main_SKU[SKU name_gom])</f>
        <v>WSS01</v>
      </c>
      <c r="M9" s="2" t="str">
        <f>_xlfn.XLOOKUP(Data_Nhập[[#This Row],[Material-Nhập]],MD_Main_SKU[Main SKU],MD_Main_SKU[SKU name_gom])</f>
        <v>Phó sản</v>
      </c>
    </row>
    <row r="10" spans="1:13" x14ac:dyDescent="0.35">
      <c r="A10">
        <v>2024</v>
      </c>
      <c r="B10">
        <v>1</v>
      </c>
      <c r="C10" t="s">
        <v>8</v>
      </c>
      <c r="D10" t="s">
        <v>9</v>
      </c>
      <c r="E10" t="s">
        <v>93</v>
      </c>
      <c r="F10" t="s">
        <v>94</v>
      </c>
      <c r="G10" s="2">
        <v>0</v>
      </c>
      <c r="H10" s="2">
        <v>0</v>
      </c>
      <c r="I10" s="2">
        <v>0</v>
      </c>
      <c r="J10" s="2">
        <v>131</v>
      </c>
      <c r="K10" s="2">
        <v>131</v>
      </c>
      <c r="L10" s="2" t="str">
        <f>_xlfn.XLOOKUP(Data_Nhập[[#This Row],[Main SKU]],MD_Main_SKU[Main SKU],MD_Main_SKU[SKU name_gom])</f>
        <v>WSS01</v>
      </c>
      <c r="M10" s="2" t="str">
        <f>_xlfn.XLOOKUP(Data_Nhập[[#This Row],[Material-Nhập]],MD_Main_SKU[Main SKU],MD_Main_SKU[SKU name_gom])</f>
        <v>Phó sản</v>
      </c>
    </row>
    <row r="11" spans="1:13" x14ac:dyDescent="0.35">
      <c r="A11">
        <v>2024</v>
      </c>
      <c r="B11">
        <v>1</v>
      </c>
      <c r="C11" t="s">
        <v>14</v>
      </c>
      <c r="D11" t="s">
        <v>15</v>
      </c>
      <c r="E11" t="s">
        <v>14</v>
      </c>
      <c r="F11" t="s">
        <v>15</v>
      </c>
      <c r="G11" s="2">
        <v>231098</v>
      </c>
      <c r="H11" s="2">
        <v>0</v>
      </c>
      <c r="I11" s="2">
        <v>231098</v>
      </c>
      <c r="J11" s="2">
        <v>0</v>
      </c>
      <c r="K11" s="2">
        <v>231098</v>
      </c>
      <c r="L11" s="2" t="str">
        <f>_xlfn.XLOOKUP(Data_Nhập[[#This Row],[Main SKU]],MD_Main_SKU[Main SKU],MD_Main_SKU[SKU name_gom])</f>
        <v>iSS01084</v>
      </c>
      <c r="M11" s="2" t="str">
        <f>_xlfn.XLOOKUP(Data_Nhập[[#This Row],[Material-Nhập]],MD_Main_SKU[Main SKU],MD_Main_SKU[SKU name_gom])</f>
        <v>iSS01084</v>
      </c>
    </row>
    <row r="12" spans="1:13" x14ac:dyDescent="0.35">
      <c r="A12">
        <v>2024</v>
      </c>
      <c r="B12">
        <v>1</v>
      </c>
      <c r="C12" t="s">
        <v>14</v>
      </c>
      <c r="D12" t="s">
        <v>15</v>
      </c>
      <c r="E12" t="s">
        <v>16</v>
      </c>
      <c r="F12" t="s">
        <v>17</v>
      </c>
      <c r="G12" s="2">
        <v>0</v>
      </c>
      <c r="H12" s="2">
        <v>2161</v>
      </c>
      <c r="I12" s="2">
        <v>2161</v>
      </c>
      <c r="J12" s="2">
        <v>0</v>
      </c>
      <c r="K12" s="2">
        <v>2161</v>
      </c>
      <c r="L12" s="2" t="str">
        <f>_xlfn.XLOOKUP(Data_Nhập[[#This Row],[Main SKU]],MD_Main_SKU[Main SKU],MD_Main_SKU[SKU name_gom])</f>
        <v>iSS01084</v>
      </c>
      <c r="M12" s="2" t="str">
        <f>_xlfn.XLOOKUP(Data_Nhập[[#This Row],[Material-Nhập]],MD_Main_SKU[Main SKU],MD_Main_SKU[SKU name_gom])</f>
        <v>WSS01</v>
      </c>
    </row>
    <row r="13" spans="1:13" x14ac:dyDescent="0.35">
      <c r="A13">
        <v>2024</v>
      </c>
      <c r="B13">
        <v>1</v>
      </c>
      <c r="C13" t="s">
        <v>14</v>
      </c>
      <c r="D13" t="s">
        <v>15</v>
      </c>
      <c r="E13" t="s">
        <v>18</v>
      </c>
      <c r="F13" t="s">
        <v>19</v>
      </c>
      <c r="G13" s="2">
        <v>0</v>
      </c>
      <c r="H13" s="2">
        <v>12100.000000000002</v>
      </c>
      <c r="I13" s="2">
        <v>12100.000000000002</v>
      </c>
      <c r="J13" s="2">
        <v>0</v>
      </c>
      <c r="K13" s="2">
        <v>12100.000000000002</v>
      </c>
      <c r="L13" s="2" t="str">
        <f>_xlfn.XLOOKUP(Data_Nhập[[#This Row],[Main SKU]],MD_Main_SKU[Main SKU],MD_Main_SKU[SKU name_gom])</f>
        <v>iSS01084</v>
      </c>
      <c r="M13" s="2" t="str">
        <f>_xlfn.XLOOKUP(Data_Nhập[[#This Row],[Material-Nhập]],MD_Main_SKU[Main SKU],MD_Main_SKU[SKU name_gom])</f>
        <v>iSS01</v>
      </c>
    </row>
    <row r="14" spans="1:13" x14ac:dyDescent="0.35">
      <c r="A14">
        <v>2024</v>
      </c>
      <c r="B14">
        <v>1</v>
      </c>
      <c r="C14" t="s">
        <v>14</v>
      </c>
      <c r="D14" t="s">
        <v>15</v>
      </c>
      <c r="E14" t="s">
        <v>20</v>
      </c>
      <c r="F14" t="s">
        <v>21</v>
      </c>
      <c r="G14" s="2">
        <v>0</v>
      </c>
      <c r="H14" s="2">
        <v>5500</v>
      </c>
      <c r="I14" s="2">
        <v>5500</v>
      </c>
      <c r="J14" s="2">
        <v>0</v>
      </c>
      <c r="K14" s="2">
        <v>5500</v>
      </c>
      <c r="L14" s="2" t="str">
        <f>_xlfn.XLOOKUP(Data_Nhập[[#This Row],[Main SKU]],MD_Main_SKU[Main SKU],MD_Main_SKU[SKU name_gom])</f>
        <v>iSS01084</v>
      </c>
      <c r="M14" s="2" t="str">
        <f>_xlfn.XLOOKUP(Data_Nhập[[#This Row],[Material-Nhập]],MD_Main_SKU[Main SKU],MD_Main_SKU[SKU name_gom])</f>
        <v>WSS02</v>
      </c>
    </row>
    <row r="15" spans="1:13" x14ac:dyDescent="0.35">
      <c r="A15">
        <v>2024</v>
      </c>
      <c r="B15">
        <v>1</v>
      </c>
      <c r="C15" t="s">
        <v>14</v>
      </c>
      <c r="D15" t="s">
        <v>15</v>
      </c>
      <c r="E15" t="s">
        <v>85</v>
      </c>
      <c r="F15" t="s">
        <v>86</v>
      </c>
      <c r="G15" s="2">
        <v>0</v>
      </c>
      <c r="H15" s="2">
        <v>0</v>
      </c>
      <c r="I15" s="2">
        <v>0</v>
      </c>
      <c r="J15" s="2">
        <v>3950.0000000000005</v>
      </c>
      <c r="K15" s="2">
        <v>3950.0000000000005</v>
      </c>
      <c r="L15" s="2" t="str">
        <f>_xlfn.XLOOKUP(Data_Nhập[[#This Row],[Main SKU]],MD_Main_SKU[Main SKU],MD_Main_SKU[SKU name_gom])</f>
        <v>iSS01084</v>
      </c>
      <c r="M15" s="2" t="str">
        <f>_xlfn.XLOOKUP(Data_Nhập[[#This Row],[Material-Nhập]],MD_Main_SKU[Main SKU],MD_Main_SKU[SKU name_gom])</f>
        <v>Phó sản</v>
      </c>
    </row>
    <row r="16" spans="1:13" x14ac:dyDescent="0.35">
      <c r="A16">
        <v>2024</v>
      </c>
      <c r="B16">
        <v>1</v>
      </c>
      <c r="C16" t="s">
        <v>14</v>
      </c>
      <c r="D16" t="s">
        <v>15</v>
      </c>
      <c r="E16" t="s">
        <v>87</v>
      </c>
      <c r="F16" t="s">
        <v>88</v>
      </c>
      <c r="G16" s="2">
        <v>0</v>
      </c>
      <c r="H16" s="2">
        <v>0</v>
      </c>
      <c r="I16" s="2">
        <v>0</v>
      </c>
      <c r="J16" s="2">
        <v>2265.9999999999995</v>
      </c>
      <c r="K16" s="2">
        <v>2265.9999999999995</v>
      </c>
      <c r="L16" s="2" t="str">
        <f>_xlfn.XLOOKUP(Data_Nhập[[#This Row],[Main SKU]],MD_Main_SKU[Main SKU],MD_Main_SKU[SKU name_gom])</f>
        <v>iSS01084</v>
      </c>
      <c r="M16" s="2" t="str">
        <f>_xlfn.XLOOKUP(Data_Nhập[[#This Row],[Material-Nhập]],MD_Main_SKU[Main SKU],MD_Main_SKU[SKU name_gom])</f>
        <v>Phó sản</v>
      </c>
    </row>
    <row r="17" spans="1:13" x14ac:dyDescent="0.35">
      <c r="A17">
        <v>2024</v>
      </c>
      <c r="B17">
        <v>1</v>
      </c>
      <c r="C17" t="s">
        <v>14</v>
      </c>
      <c r="D17" t="s">
        <v>15</v>
      </c>
      <c r="E17" t="s">
        <v>89</v>
      </c>
      <c r="F17" t="s">
        <v>90</v>
      </c>
      <c r="G17" s="2">
        <v>0</v>
      </c>
      <c r="H17" s="2">
        <v>0</v>
      </c>
      <c r="I17" s="2">
        <v>0</v>
      </c>
      <c r="J17" s="2">
        <v>614</v>
      </c>
      <c r="K17" s="2">
        <v>614</v>
      </c>
      <c r="L17" s="2" t="str">
        <f>_xlfn.XLOOKUP(Data_Nhập[[#This Row],[Main SKU]],MD_Main_SKU[Main SKU],MD_Main_SKU[SKU name_gom])</f>
        <v>iSS01084</v>
      </c>
      <c r="M17" s="2" t="str">
        <f>_xlfn.XLOOKUP(Data_Nhập[[#This Row],[Material-Nhập]],MD_Main_SKU[Main SKU],MD_Main_SKU[SKU name_gom])</f>
        <v>Phó sản</v>
      </c>
    </row>
    <row r="18" spans="1:13" x14ac:dyDescent="0.35">
      <c r="A18">
        <v>2024</v>
      </c>
      <c r="B18">
        <v>1</v>
      </c>
      <c r="C18" t="s">
        <v>14</v>
      </c>
      <c r="D18" t="s">
        <v>15</v>
      </c>
      <c r="E18" t="s">
        <v>93</v>
      </c>
      <c r="F18" t="s">
        <v>94</v>
      </c>
      <c r="G18" s="2">
        <v>0</v>
      </c>
      <c r="H18" s="2">
        <v>0</v>
      </c>
      <c r="I18" s="2">
        <v>0</v>
      </c>
      <c r="J18" s="2">
        <v>49</v>
      </c>
      <c r="K18" s="2">
        <v>49</v>
      </c>
      <c r="L18" s="2" t="str">
        <f>_xlfn.XLOOKUP(Data_Nhập[[#This Row],[Main SKU]],MD_Main_SKU[Main SKU],MD_Main_SKU[SKU name_gom])</f>
        <v>iSS01084</v>
      </c>
      <c r="M18" s="2" t="str">
        <f>_xlfn.XLOOKUP(Data_Nhập[[#This Row],[Material-Nhập]],MD_Main_SKU[Main SKU],MD_Main_SKU[SKU name_gom])</f>
        <v>Phó sản</v>
      </c>
    </row>
    <row r="19" spans="1:13" x14ac:dyDescent="0.35">
      <c r="A19">
        <v>2024</v>
      </c>
      <c r="B19">
        <v>1</v>
      </c>
      <c r="C19" t="s">
        <v>16</v>
      </c>
      <c r="D19" t="s">
        <v>17</v>
      </c>
      <c r="E19" t="s">
        <v>14</v>
      </c>
      <c r="F19" t="s">
        <v>15</v>
      </c>
      <c r="G19" s="2">
        <v>0</v>
      </c>
      <c r="H19" s="2">
        <v>1100</v>
      </c>
      <c r="I19" s="2">
        <v>1100</v>
      </c>
      <c r="J19" s="2">
        <v>0</v>
      </c>
      <c r="K19" s="2">
        <v>1100</v>
      </c>
      <c r="L19" s="2" t="str">
        <f>_xlfn.XLOOKUP(Data_Nhập[[#This Row],[Main SKU]],MD_Main_SKU[Main SKU],MD_Main_SKU[SKU name_gom])</f>
        <v>WSS01</v>
      </c>
      <c r="M19" s="2" t="str">
        <f>_xlfn.XLOOKUP(Data_Nhập[[#This Row],[Material-Nhập]],MD_Main_SKU[Main SKU],MD_Main_SKU[SKU name_gom])</f>
        <v>iSS01084</v>
      </c>
    </row>
    <row r="20" spans="1:13" x14ac:dyDescent="0.35">
      <c r="A20">
        <v>2024</v>
      </c>
      <c r="B20">
        <v>1</v>
      </c>
      <c r="C20" t="s">
        <v>16</v>
      </c>
      <c r="D20" t="s">
        <v>17</v>
      </c>
      <c r="E20" t="s">
        <v>16</v>
      </c>
      <c r="F20" t="s">
        <v>17</v>
      </c>
      <c r="G20" s="2">
        <v>1443199.9999999995</v>
      </c>
      <c r="H20" s="2">
        <v>0</v>
      </c>
      <c r="I20" s="2">
        <v>1443199.9999999995</v>
      </c>
      <c r="J20" s="2">
        <v>0</v>
      </c>
      <c r="K20" s="2">
        <v>1443199.9999999995</v>
      </c>
      <c r="L20" s="2" t="str">
        <f>_xlfn.XLOOKUP(Data_Nhập[[#This Row],[Main SKU]],MD_Main_SKU[Main SKU],MD_Main_SKU[SKU name_gom])</f>
        <v>WSS01</v>
      </c>
      <c r="M20" s="2" t="str">
        <f>_xlfn.XLOOKUP(Data_Nhập[[#This Row],[Material-Nhập]],MD_Main_SKU[Main SKU],MD_Main_SKU[SKU name_gom])</f>
        <v>WSS01</v>
      </c>
    </row>
    <row r="21" spans="1:13" x14ac:dyDescent="0.35">
      <c r="A21">
        <v>2024</v>
      </c>
      <c r="B21">
        <v>1</v>
      </c>
      <c r="C21" t="s">
        <v>16</v>
      </c>
      <c r="D21" t="s">
        <v>17</v>
      </c>
      <c r="E21" t="s">
        <v>18</v>
      </c>
      <c r="F21" t="s">
        <v>19</v>
      </c>
      <c r="G21" s="2">
        <v>0</v>
      </c>
      <c r="H21" s="2">
        <v>433400</v>
      </c>
      <c r="I21" s="2">
        <v>433400</v>
      </c>
      <c r="J21" s="2">
        <v>0</v>
      </c>
      <c r="K21" s="2">
        <v>433400</v>
      </c>
      <c r="L21" s="2" t="str">
        <f>_xlfn.XLOOKUP(Data_Nhập[[#This Row],[Main SKU]],MD_Main_SKU[Main SKU],MD_Main_SKU[SKU name_gom])</f>
        <v>WSS01</v>
      </c>
      <c r="M21" s="2" t="str">
        <f>_xlfn.XLOOKUP(Data_Nhập[[#This Row],[Material-Nhập]],MD_Main_SKU[Main SKU],MD_Main_SKU[SKU name_gom])</f>
        <v>iSS01</v>
      </c>
    </row>
    <row r="22" spans="1:13" x14ac:dyDescent="0.35">
      <c r="A22">
        <v>2024</v>
      </c>
      <c r="B22">
        <v>1</v>
      </c>
      <c r="C22" t="s">
        <v>16</v>
      </c>
      <c r="D22" t="s">
        <v>17</v>
      </c>
      <c r="E22" t="s">
        <v>20</v>
      </c>
      <c r="F22" t="s">
        <v>21</v>
      </c>
      <c r="G22" s="2">
        <v>0</v>
      </c>
      <c r="H22" s="2">
        <v>57200</v>
      </c>
      <c r="I22" s="2">
        <v>57200</v>
      </c>
      <c r="J22" s="2">
        <v>0</v>
      </c>
      <c r="K22" s="2">
        <v>57200</v>
      </c>
      <c r="L22" s="2" t="str">
        <f>_xlfn.XLOOKUP(Data_Nhập[[#This Row],[Main SKU]],MD_Main_SKU[Main SKU],MD_Main_SKU[SKU name_gom])</f>
        <v>WSS01</v>
      </c>
      <c r="M22" s="2" t="str">
        <f>_xlfn.XLOOKUP(Data_Nhập[[#This Row],[Material-Nhập]],MD_Main_SKU[Main SKU],MD_Main_SKU[SKU name_gom])</f>
        <v>WSS02</v>
      </c>
    </row>
    <row r="23" spans="1:13" x14ac:dyDescent="0.35">
      <c r="A23">
        <v>2024</v>
      </c>
      <c r="B23">
        <v>1</v>
      </c>
      <c r="C23" t="s">
        <v>16</v>
      </c>
      <c r="D23" t="s">
        <v>17</v>
      </c>
      <c r="E23" t="s">
        <v>22</v>
      </c>
      <c r="F23" t="s">
        <v>23</v>
      </c>
      <c r="G23" s="2">
        <v>0</v>
      </c>
      <c r="H23" s="2">
        <v>15400.000000000002</v>
      </c>
      <c r="I23" s="2">
        <v>15400.000000000002</v>
      </c>
      <c r="J23" s="2">
        <v>0</v>
      </c>
      <c r="K23" s="2">
        <v>15400.000000000002</v>
      </c>
      <c r="L23" s="2" t="str">
        <f>_xlfn.XLOOKUP(Data_Nhập[[#This Row],[Main SKU]],MD_Main_SKU[Main SKU],MD_Main_SKU[SKU name_gom])</f>
        <v>WSS01</v>
      </c>
      <c r="M23" s="2" t="str">
        <f>_xlfn.XLOOKUP(Data_Nhập[[#This Row],[Material-Nhập]],MD_Main_SKU[Main SKU],MD_Main_SKU[SKU name_gom])</f>
        <v>WSS03</v>
      </c>
    </row>
    <row r="24" spans="1:13" x14ac:dyDescent="0.35">
      <c r="A24">
        <v>2024</v>
      </c>
      <c r="B24">
        <v>1</v>
      </c>
      <c r="C24" t="s">
        <v>16</v>
      </c>
      <c r="D24" t="s">
        <v>17</v>
      </c>
      <c r="E24" t="s">
        <v>85</v>
      </c>
      <c r="F24" t="s">
        <v>86</v>
      </c>
      <c r="G24" s="2">
        <v>0</v>
      </c>
      <c r="H24" s="2">
        <v>0</v>
      </c>
      <c r="I24" s="2">
        <v>0</v>
      </c>
      <c r="J24" s="2">
        <v>21656.999999999996</v>
      </c>
      <c r="K24" s="2">
        <v>21656.999999999996</v>
      </c>
      <c r="L24" s="2" t="str">
        <f>_xlfn.XLOOKUP(Data_Nhập[[#This Row],[Main SKU]],MD_Main_SKU[Main SKU],MD_Main_SKU[SKU name_gom])</f>
        <v>WSS01</v>
      </c>
      <c r="M24" s="2" t="str">
        <f>_xlfn.XLOOKUP(Data_Nhập[[#This Row],[Material-Nhập]],MD_Main_SKU[Main SKU],MD_Main_SKU[SKU name_gom])</f>
        <v>Phó sản</v>
      </c>
    </row>
    <row r="25" spans="1:13" x14ac:dyDescent="0.35">
      <c r="A25">
        <v>2024</v>
      </c>
      <c r="B25">
        <v>1</v>
      </c>
      <c r="C25" t="s">
        <v>16</v>
      </c>
      <c r="D25" t="s">
        <v>17</v>
      </c>
      <c r="E25" t="s">
        <v>87</v>
      </c>
      <c r="F25" t="s">
        <v>88</v>
      </c>
      <c r="G25" s="2">
        <v>0</v>
      </c>
      <c r="H25" s="2">
        <v>0</v>
      </c>
      <c r="I25" s="2">
        <v>0</v>
      </c>
      <c r="J25" s="2">
        <v>20366.999999999996</v>
      </c>
      <c r="K25" s="2">
        <v>20366.999999999996</v>
      </c>
      <c r="L25" s="2" t="str">
        <f>_xlfn.XLOOKUP(Data_Nhập[[#This Row],[Main SKU]],MD_Main_SKU[Main SKU],MD_Main_SKU[SKU name_gom])</f>
        <v>WSS01</v>
      </c>
      <c r="M25" s="2" t="str">
        <f>_xlfn.XLOOKUP(Data_Nhập[[#This Row],[Material-Nhập]],MD_Main_SKU[Main SKU],MD_Main_SKU[SKU name_gom])</f>
        <v>Phó sản</v>
      </c>
    </row>
    <row r="26" spans="1:13" x14ac:dyDescent="0.35">
      <c r="A26">
        <v>2024</v>
      </c>
      <c r="B26">
        <v>1</v>
      </c>
      <c r="C26" t="s">
        <v>16</v>
      </c>
      <c r="D26" t="s">
        <v>17</v>
      </c>
      <c r="E26" t="s">
        <v>89</v>
      </c>
      <c r="F26" t="s">
        <v>90</v>
      </c>
      <c r="G26" s="2">
        <v>0</v>
      </c>
      <c r="H26" s="2">
        <v>0</v>
      </c>
      <c r="I26" s="2">
        <v>0</v>
      </c>
      <c r="J26" s="2">
        <v>4583.5000000000009</v>
      </c>
      <c r="K26" s="2">
        <v>4583.5000000000009</v>
      </c>
      <c r="L26" s="2" t="str">
        <f>_xlfn.XLOOKUP(Data_Nhập[[#This Row],[Main SKU]],MD_Main_SKU[Main SKU],MD_Main_SKU[SKU name_gom])</f>
        <v>WSS01</v>
      </c>
      <c r="M26" s="2" t="str">
        <f>_xlfn.XLOOKUP(Data_Nhập[[#This Row],[Material-Nhập]],MD_Main_SKU[Main SKU],MD_Main_SKU[SKU name_gom])</f>
        <v>Phó sản</v>
      </c>
    </row>
    <row r="27" spans="1:13" x14ac:dyDescent="0.35">
      <c r="A27">
        <v>2024</v>
      </c>
      <c r="B27">
        <v>1</v>
      </c>
      <c r="C27" t="s">
        <v>16</v>
      </c>
      <c r="D27" t="s">
        <v>17</v>
      </c>
      <c r="E27" t="s">
        <v>91</v>
      </c>
      <c r="F27" t="s">
        <v>92</v>
      </c>
      <c r="G27" s="2">
        <v>0</v>
      </c>
      <c r="H27" s="2">
        <v>0</v>
      </c>
      <c r="I27" s="2">
        <v>0</v>
      </c>
      <c r="J27" s="2">
        <v>2238</v>
      </c>
      <c r="K27" s="2">
        <v>2238</v>
      </c>
      <c r="L27" s="2" t="str">
        <f>_xlfn.XLOOKUP(Data_Nhập[[#This Row],[Main SKU]],MD_Main_SKU[Main SKU],MD_Main_SKU[SKU name_gom])</f>
        <v>WSS01</v>
      </c>
      <c r="M27" s="2" t="str">
        <f>_xlfn.XLOOKUP(Data_Nhập[[#This Row],[Material-Nhập]],MD_Main_SKU[Main SKU],MD_Main_SKU[SKU name_gom])</f>
        <v>Phó sản</v>
      </c>
    </row>
    <row r="28" spans="1:13" x14ac:dyDescent="0.35">
      <c r="A28">
        <v>2024</v>
      </c>
      <c r="B28">
        <v>1</v>
      </c>
      <c r="C28" t="s">
        <v>16</v>
      </c>
      <c r="D28" t="s">
        <v>17</v>
      </c>
      <c r="E28" t="s">
        <v>93</v>
      </c>
      <c r="F28" t="s">
        <v>94</v>
      </c>
      <c r="G28" s="2">
        <v>0</v>
      </c>
      <c r="H28" s="2">
        <v>0</v>
      </c>
      <c r="I28" s="2">
        <v>0</v>
      </c>
      <c r="J28" s="2">
        <v>560.00000000000011</v>
      </c>
      <c r="K28" s="2">
        <v>560.00000000000011</v>
      </c>
      <c r="L28" s="2" t="str">
        <f>_xlfn.XLOOKUP(Data_Nhập[[#This Row],[Main SKU]],MD_Main_SKU[Main SKU],MD_Main_SKU[SKU name_gom])</f>
        <v>WSS01</v>
      </c>
      <c r="M28" s="2" t="str">
        <f>_xlfn.XLOOKUP(Data_Nhập[[#This Row],[Material-Nhập]],MD_Main_SKU[Main SKU],MD_Main_SKU[SKU name_gom])</f>
        <v>Phó sản</v>
      </c>
    </row>
    <row r="29" spans="1:13" x14ac:dyDescent="0.35">
      <c r="A29">
        <v>2024</v>
      </c>
      <c r="B29">
        <v>1</v>
      </c>
      <c r="C29" t="s">
        <v>18</v>
      </c>
      <c r="D29" t="s">
        <v>19</v>
      </c>
      <c r="E29" t="s">
        <v>16</v>
      </c>
      <c r="F29" t="s">
        <v>17</v>
      </c>
      <c r="G29" s="2">
        <v>0</v>
      </c>
      <c r="H29" s="2">
        <v>2200</v>
      </c>
      <c r="I29" s="2">
        <v>2200</v>
      </c>
      <c r="J29" s="2">
        <v>0</v>
      </c>
      <c r="K29" s="2">
        <v>2200</v>
      </c>
      <c r="L29" s="2" t="str">
        <f>_xlfn.XLOOKUP(Data_Nhập[[#This Row],[Main SKU]],MD_Main_SKU[Main SKU],MD_Main_SKU[SKU name_gom])</f>
        <v>iSS01</v>
      </c>
      <c r="M29" s="2" t="str">
        <f>_xlfn.XLOOKUP(Data_Nhập[[#This Row],[Material-Nhập]],MD_Main_SKU[Main SKU],MD_Main_SKU[SKU name_gom])</f>
        <v>WSS01</v>
      </c>
    </row>
    <row r="30" spans="1:13" x14ac:dyDescent="0.35">
      <c r="A30">
        <v>2024</v>
      </c>
      <c r="B30">
        <v>1</v>
      </c>
      <c r="C30" t="s">
        <v>18</v>
      </c>
      <c r="D30" t="s">
        <v>19</v>
      </c>
      <c r="E30" t="s">
        <v>18</v>
      </c>
      <c r="F30" t="s">
        <v>19</v>
      </c>
      <c r="G30" s="2">
        <v>183700</v>
      </c>
      <c r="H30" s="2">
        <v>0</v>
      </c>
      <c r="I30" s="2">
        <v>183700</v>
      </c>
      <c r="J30" s="2">
        <v>0</v>
      </c>
      <c r="K30" s="2">
        <v>183700</v>
      </c>
      <c r="L30" s="2" t="str">
        <f>_xlfn.XLOOKUP(Data_Nhập[[#This Row],[Main SKU]],MD_Main_SKU[Main SKU],MD_Main_SKU[SKU name_gom])</f>
        <v>iSS01</v>
      </c>
      <c r="M30" s="2" t="str">
        <f>_xlfn.XLOOKUP(Data_Nhập[[#This Row],[Material-Nhập]],MD_Main_SKU[Main SKU],MD_Main_SKU[SKU name_gom])</f>
        <v>iSS01</v>
      </c>
    </row>
    <row r="31" spans="1:13" x14ac:dyDescent="0.35">
      <c r="A31">
        <v>2024</v>
      </c>
      <c r="B31">
        <v>1</v>
      </c>
      <c r="C31" t="s">
        <v>18</v>
      </c>
      <c r="D31" t="s">
        <v>19</v>
      </c>
      <c r="E31" t="s">
        <v>22</v>
      </c>
      <c r="F31" t="s">
        <v>23</v>
      </c>
      <c r="G31" s="2">
        <v>0</v>
      </c>
      <c r="H31" s="2">
        <v>2200</v>
      </c>
      <c r="I31" s="2">
        <v>2200</v>
      </c>
      <c r="J31" s="2">
        <v>0</v>
      </c>
      <c r="K31" s="2">
        <v>2200</v>
      </c>
      <c r="L31" s="2" t="str">
        <f>_xlfn.XLOOKUP(Data_Nhập[[#This Row],[Main SKU]],MD_Main_SKU[Main SKU],MD_Main_SKU[SKU name_gom])</f>
        <v>iSS01</v>
      </c>
      <c r="M31" s="2" t="str">
        <f>_xlfn.XLOOKUP(Data_Nhập[[#This Row],[Material-Nhập]],MD_Main_SKU[Main SKU],MD_Main_SKU[SKU name_gom])</f>
        <v>WSS03</v>
      </c>
    </row>
    <row r="32" spans="1:13" x14ac:dyDescent="0.35">
      <c r="A32">
        <v>2024</v>
      </c>
      <c r="B32">
        <v>1</v>
      </c>
      <c r="C32" t="s">
        <v>18</v>
      </c>
      <c r="D32" t="s">
        <v>19</v>
      </c>
      <c r="E32" t="s">
        <v>85</v>
      </c>
      <c r="F32" t="s">
        <v>86</v>
      </c>
      <c r="G32" s="2">
        <v>0</v>
      </c>
      <c r="H32" s="2">
        <v>0</v>
      </c>
      <c r="I32" s="2">
        <v>0</v>
      </c>
      <c r="J32" s="2">
        <v>4611</v>
      </c>
      <c r="K32" s="2">
        <v>4611</v>
      </c>
      <c r="L32" s="2" t="str">
        <f>_xlfn.XLOOKUP(Data_Nhập[[#This Row],[Main SKU]],MD_Main_SKU[Main SKU],MD_Main_SKU[SKU name_gom])</f>
        <v>iSS01</v>
      </c>
      <c r="M32" s="2" t="str">
        <f>_xlfn.XLOOKUP(Data_Nhập[[#This Row],[Material-Nhập]],MD_Main_SKU[Main SKU],MD_Main_SKU[SKU name_gom])</f>
        <v>Phó sản</v>
      </c>
    </row>
    <row r="33" spans="1:13" x14ac:dyDescent="0.35">
      <c r="A33">
        <v>2024</v>
      </c>
      <c r="B33">
        <v>1</v>
      </c>
      <c r="C33" t="s">
        <v>18</v>
      </c>
      <c r="D33" t="s">
        <v>19</v>
      </c>
      <c r="E33" t="s">
        <v>87</v>
      </c>
      <c r="F33" t="s">
        <v>88</v>
      </c>
      <c r="G33" s="2">
        <v>0</v>
      </c>
      <c r="H33" s="2">
        <v>0</v>
      </c>
      <c r="I33" s="2">
        <v>0</v>
      </c>
      <c r="J33" s="2">
        <v>1738</v>
      </c>
      <c r="K33" s="2">
        <v>1738</v>
      </c>
      <c r="L33" s="2" t="str">
        <f>_xlfn.XLOOKUP(Data_Nhập[[#This Row],[Main SKU]],MD_Main_SKU[Main SKU],MD_Main_SKU[SKU name_gom])</f>
        <v>iSS01</v>
      </c>
      <c r="M33" s="2" t="str">
        <f>_xlfn.XLOOKUP(Data_Nhập[[#This Row],[Material-Nhập]],MD_Main_SKU[Main SKU],MD_Main_SKU[SKU name_gom])</f>
        <v>Phó sản</v>
      </c>
    </row>
    <row r="34" spans="1:13" x14ac:dyDescent="0.35">
      <c r="A34">
        <v>2024</v>
      </c>
      <c r="B34">
        <v>1</v>
      </c>
      <c r="C34" t="s">
        <v>18</v>
      </c>
      <c r="D34" t="s">
        <v>19</v>
      </c>
      <c r="E34" t="s">
        <v>89</v>
      </c>
      <c r="F34" t="s">
        <v>90</v>
      </c>
      <c r="G34" s="2">
        <v>0</v>
      </c>
      <c r="H34" s="2">
        <v>0</v>
      </c>
      <c r="I34" s="2">
        <v>0</v>
      </c>
      <c r="J34" s="2">
        <v>47</v>
      </c>
      <c r="K34" s="2">
        <v>47</v>
      </c>
      <c r="L34" s="2" t="str">
        <f>_xlfn.XLOOKUP(Data_Nhập[[#This Row],[Main SKU]],MD_Main_SKU[Main SKU],MD_Main_SKU[SKU name_gom])</f>
        <v>iSS01</v>
      </c>
      <c r="M34" s="2" t="str">
        <f>_xlfn.XLOOKUP(Data_Nhập[[#This Row],[Material-Nhập]],MD_Main_SKU[Main SKU],MD_Main_SKU[SKU name_gom])</f>
        <v>Phó sản</v>
      </c>
    </row>
    <row r="35" spans="1:13" x14ac:dyDescent="0.35">
      <c r="A35">
        <v>2024</v>
      </c>
      <c r="B35">
        <v>1</v>
      </c>
      <c r="C35" t="s">
        <v>18</v>
      </c>
      <c r="D35" t="s">
        <v>19</v>
      </c>
      <c r="E35" t="s">
        <v>91</v>
      </c>
      <c r="F35" t="s">
        <v>92</v>
      </c>
      <c r="G35" s="2">
        <v>0</v>
      </c>
      <c r="H35" s="2">
        <v>0</v>
      </c>
      <c r="I35" s="2">
        <v>0</v>
      </c>
      <c r="J35" s="2">
        <v>2294</v>
      </c>
      <c r="K35" s="2">
        <v>2294</v>
      </c>
      <c r="L35" s="2" t="str">
        <f>_xlfn.XLOOKUP(Data_Nhập[[#This Row],[Main SKU]],MD_Main_SKU[Main SKU],MD_Main_SKU[SKU name_gom])</f>
        <v>iSS01</v>
      </c>
      <c r="M35" s="2" t="str">
        <f>_xlfn.XLOOKUP(Data_Nhập[[#This Row],[Material-Nhập]],MD_Main_SKU[Main SKU],MD_Main_SKU[SKU name_gom])</f>
        <v>Phó sản</v>
      </c>
    </row>
    <row r="36" spans="1:13" x14ac:dyDescent="0.35">
      <c r="A36">
        <v>2024</v>
      </c>
      <c r="B36">
        <v>1</v>
      </c>
      <c r="C36" t="s">
        <v>18</v>
      </c>
      <c r="D36" t="s">
        <v>19</v>
      </c>
      <c r="E36" t="s">
        <v>93</v>
      </c>
      <c r="F36" t="s">
        <v>94</v>
      </c>
      <c r="G36" s="2">
        <v>0</v>
      </c>
      <c r="H36" s="2">
        <v>0</v>
      </c>
      <c r="I36" s="2">
        <v>0</v>
      </c>
      <c r="J36" s="2">
        <v>4</v>
      </c>
      <c r="K36" s="2">
        <v>4</v>
      </c>
      <c r="L36" s="2" t="str">
        <f>_xlfn.XLOOKUP(Data_Nhập[[#This Row],[Main SKU]],MD_Main_SKU[Main SKU],MD_Main_SKU[SKU name_gom])</f>
        <v>iSS01</v>
      </c>
      <c r="M36" s="2" t="str">
        <f>_xlfn.XLOOKUP(Data_Nhập[[#This Row],[Material-Nhập]],MD_Main_SKU[Main SKU],MD_Main_SKU[SKU name_gom])</f>
        <v>Phó sản</v>
      </c>
    </row>
    <row r="37" spans="1:13" x14ac:dyDescent="0.35">
      <c r="A37">
        <v>2024</v>
      </c>
      <c r="B37">
        <v>1</v>
      </c>
      <c r="C37" t="s">
        <v>24</v>
      </c>
      <c r="D37" t="s">
        <v>25</v>
      </c>
      <c r="E37" t="s">
        <v>20</v>
      </c>
      <c r="F37" t="s">
        <v>21</v>
      </c>
      <c r="G37" s="2">
        <v>0</v>
      </c>
      <c r="H37" s="2">
        <v>33000</v>
      </c>
      <c r="I37" s="2">
        <v>33000</v>
      </c>
      <c r="J37" s="2">
        <v>0</v>
      </c>
      <c r="K37" s="2">
        <v>33000</v>
      </c>
      <c r="L37" s="2" t="str">
        <f>_xlfn.XLOOKUP(Data_Nhập[[#This Row],[Main SKU]],MD_Main_SKU[Main SKU],MD_Main_SKU[SKU name_gom])</f>
        <v>WSS01</v>
      </c>
      <c r="M37" s="2" t="str">
        <f>_xlfn.XLOOKUP(Data_Nhập[[#This Row],[Material-Nhập]],MD_Main_SKU[Main SKU],MD_Main_SKU[SKU name_gom])</f>
        <v>WSS02</v>
      </c>
    </row>
    <row r="38" spans="1:13" x14ac:dyDescent="0.35">
      <c r="A38">
        <v>2024</v>
      </c>
      <c r="B38">
        <v>1</v>
      </c>
      <c r="C38" t="s">
        <v>24</v>
      </c>
      <c r="D38" t="s">
        <v>25</v>
      </c>
      <c r="E38" t="s">
        <v>22</v>
      </c>
      <c r="F38" t="s">
        <v>23</v>
      </c>
      <c r="G38" s="2">
        <v>0</v>
      </c>
      <c r="H38" s="2">
        <v>2200</v>
      </c>
      <c r="I38" s="2">
        <v>2200</v>
      </c>
      <c r="J38" s="2">
        <v>0</v>
      </c>
      <c r="K38" s="2">
        <v>2200</v>
      </c>
      <c r="L38" s="2" t="str">
        <f>_xlfn.XLOOKUP(Data_Nhập[[#This Row],[Main SKU]],MD_Main_SKU[Main SKU],MD_Main_SKU[SKU name_gom])</f>
        <v>WSS01</v>
      </c>
      <c r="M38" s="2" t="str">
        <f>_xlfn.XLOOKUP(Data_Nhập[[#This Row],[Material-Nhập]],MD_Main_SKU[Main SKU],MD_Main_SKU[SKU name_gom])</f>
        <v>WSS03</v>
      </c>
    </row>
    <row r="39" spans="1:13" x14ac:dyDescent="0.35">
      <c r="A39">
        <v>2024</v>
      </c>
      <c r="B39">
        <v>1</v>
      </c>
      <c r="C39" t="s">
        <v>24</v>
      </c>
      <c r="D39" t="s">
        <v>25</v>
      </c>
      <c r="E39" t="s">
        <v>24</v>
      </c>
      <c r="F39" t="s">
        <v>25</v>
      </c>
      <c r="G39" s="2">
        <v>1133000</v>
      </c>
      <c r="H39" s="2">
        <v>0</v>
      </c>
      <c r="I39" s="2">
        <v>1133000</v>
      </c>
      <c r="J39" s="2">
        <v>0</v>
      </c>
      <c r="K39" s="2">
        <v>1133000</v>
      </c>
      <c r="L39" s="2" t="str">
        <f>_xlfn.XLOOKUP(Data_Nhập[[#This Row],[Main SKU]],MD_Main_SKU[Main SKU],MD_Main_SKU[SKU name_gom])</f>
        <v>WSS01</v>
      </c>
      <c r="M39" s="2" t="str">
        <f>_xlfn.XLOOKUP(Data_Nhập[[#This Row],[Material-Nhập]],MD_Main_SKU[Main SKU],MD_Main_SKU[SKU name_gom])</f>
        <v>WSS01</v>
      </c>
    </row>
    <row r="40" spans="1:13" x14ac:dyDescent="0.35">
      <c r="A40">
        <v>2024</v>
      </c>
      <c r="B40">
        <v>1</v>
      </c>
      <c r="C40" t="s">
        <v>24</v>
      </c>
      <c r="D40" t="s">
        <v>25</v>
      </c>
      <c r="E40" t="s">
        <v>26</v>
      </c>
      <c r="F40" t="s">
        <v>27</v>
      </c>
      <c r="G40" s="2">
        <v>0</v>
      </c>
      <c r="H40" s="2">
        <v>29700</v>
      </c>
      <c r="I40" s="2">
        <v>29700</v>
      </c>
      <c r="J40" s="2">
        <v>0</v>
      </c>
      <c r="K40" s="2">
        <v>29700</v>
      </c>
      <c r="L40" s="2" t="str">
        <f>_xlfn.XLOOKUP(Data_Nhập[[#This Row],[Main SKU]],MD_Main_SKU[Main SKU],MD_Main_SKU[SKU name_gom])</f>
        <v>WSS01</v>
      </c>
      <c r="M40" s="2" t="str">
        <f>_xlfn.XLOOKUP(Data_Nhập[[#This Row],[Material-Nhập]],MD_Main_SKU[Main SKU],MD_Main_SKU[SKU name_gom])</f>
        <v>iSS01</v>
      </c>
    </row>
    <row r="41" spans="1:13" x14ac:dyDescent="0.35">
      <c r="A41">
        <v>2024</v>
      </c>
      <c r="B41">
        <v>1</v>
      </c>
      <c r="C41" t="s">
        <v>24</v>
      </c>
      <c r="D41" t="s">
        <v>25</v>
      </c>
      <c r="E41" t="s">
        <v>85</v>
      </c>
      <c r="F41" t="s">
        <v>86</v>
      </c>
      <c r="G41" s="2">
        <v>0</v>
      </c>
      <c r="H41" s="2">
        <v>0</v>
      </c>
      <c r="I41" s="2">
        <v>0</v>
      </c>
      <c r="J41" s="2">
        <v>15071</v>
      </c>
      <c r="K41" s="2">
        <v>15071</v>
      </c>
      <c r="L41" s="2" t="str">
        <f>_xlfn.XLOOKUP(Data_Nhập[[#This Row],[Main SKU]],MD_Main_SKU[Main SKU],MD_Main_SKU[SKU name_gom])</f>
        <v>WSS01</v>
      </c>
      <c r="M41" s="2" t="str">
        <f>_xlfn.XLOOKUP(Data_Nhập[[#This Row],[Material-Nhập]],MD_Main_SKU[Main SKU],MD_Main_SKU[SKU name_gom])</f>
        <v>Phó sản</v>
      </c>
    </row>
    <row r="42" spans="1:13" x14ac:dyDescent="0.35">
      <c r="A42">
        <v>2024</v>
      </c>
      <c r="B42">
        <v>1</v>
      </c>
      <c r="C42" t="s">
        <v>24</v>
      </c>
      <c r="D42" t="s">
        <v>25</v>
      </c>
      <c r="E42" t="s">
        <v>87</v>
      </c>
      <c r="F42" t="s">
        <v>88</v>
      </c>
      <c r="G42" s="2">
        <v>0</v>
      </c>
      <c r="H42" s="2">
        <v>0</v>
      </c>
      <c r="I42" s="2">
        <v>0</v>
      </c>
      <c r="J42" s="2">
        <v>14732.999999999998</v>
      </c>
      <c r="K42" s="2">
        <v>14732.999999999998</v>
      </c>
      <c r="L42" s="2" t="str">
        <f>_xlfn.XLOOKUP(Data_Nhập[[#This Row],[Main SKU]],MD_Main_SKU[Main SKU],MD_Main_SKU[SKU name_gom])</f>
        <v>WSS01</v>
      </c>
      <c r="M42" s="2" t="str">
        <f>_xlfn.XLOOKUP(Data_Nhập[[#This Row],[Material-Nhập]],MD_Main_SKU[Main SKU],MD_Main_SKU[SKU name_gom])</f>
        <v>Phó sản</v>
      </c>
    </row>
    <row r="43" spans="1:13" x14ac:dyDescent="0.35">
      <c r="A43">
        <v>2024</v>
      </c>
      <c r="B43">
        <v>1</v>
      </c>
      <c r="C43" t="s">
        <v>24</v>
      </c>
      <c r="D43" t="s">
        <v>25</v>
      </c>
      <c r="E43" t="s">
        <v>89</v>
      </c>
      <c r="F43" t="s">
        <v>90</v>
      </c>
      <c r="G43" s="2">
        <v>0</v>
      </c>
      <c r="H43" s="2">
        <v>0</v>
      </c>
      <c r="I43" s="2">
        <v>0</v>
      </c>
      <c r="J43" s="2">
        <v>2349</v>
      </c>
      <c r="K43" s="2">
        <v>2349</v>
      </c>
      <c r="L43" s="2" t="str">
        <f>_xlfn.XLOOKUP(Data_Nhập[[#This Row],[Main SKU]],MD_Main_SKU[Main SKU],MD_Main_SKU[SKU name_gom])</f>
        <v>WSS01</v>
      </c>
      <c r="M43" s="2" t="str">
        <f>_xlfn.XLOOKUP(Data_Nhập[[#This Row],[Material-Nhập]],MD_Main_SKU[Main SKU],MD_Main_SKU[SKU name_gom])</f>
        <v>Phó sản</v>
      </c>
    </row>
    <row r="44" spans="1:13" x14ac:dyDescent="0.35">
      <c r="A44">
        <v>2024</v>
      </c>
      <c r="B44">
        <v>1</v>
      </c>
      <c r="C44" t="s">
        <v>24</v>
      </c>
      <c r="D44" t="s">
        <v>25</v>
      </c>
      <c r="E44" t="s">
        <v>91</v>
      </c>
      <c r="F44" t="s">
        <v>92</v>
      </c>
      <c r="G44" s="2">
        <v>0</v>
      </c>
      <c r="H44" s="2">
        <v>0</v>
      </c>
      <c r="I44" s="2">
        <v>0</v>
      </c>
      <c r="J44" s="2">
        <v>4022</v>
      </c>
      <c r="K44" s="2">
        <v>4022</v>
      </c>
      <c r="L44" s="2" t="str">
        <f>_xlfn.XLOOKUP(Data_Nhập[[#This Row],[Main SKU]],MD_Main_SKU[Main SKU],MD_Main_SKU[SKU name_gom])</f>
        <v>WSS01</v>
      </c>
      <c r="M44" s="2" t="str">
        <f>_xlfn.XLOOKUP(Data_Nhập[[#This Row],[Material-Nhập]],MD_Main_SKU[Main SKU],MD_Main_SKU[SKU name_gom])</f>
        <v>Phó sản</v>
      </c>
    </row>
    <row r="45" spans="1:13" x14ac:dyDescent="0.35">
      <c r="A45">
        <v>2024</v>
      </c>
      <c r="B45">
        <v>1</v>
      </c>
      <c r="C45" t="s">
        <v>24</v>
      </c>
      <c r="D45" t="s">
        <v>25</v>
      </c>
      <c r="E45" t="s">
        <v>93</v>
      </c>
      <c r="F45" t="s">
        <v>94</v>
      </c>
      <c r="G45" s="2">
        <v>0</v>
      </c>
      <c r="H45" s="2">
        <v>0</v>
      </c>
      <c r="I45" s="2">
        <v>0</v>
      </c>
      <c r="J45" s="2">
        <v>402</v>
      </c>
      <c r="K45" s="2">
        <v>402</v>
      </c>
      <c r="L45" s="2" t="str">
        <f>_xlfn.XLOOKUP(Data_Nhập[[#This Row],[Main SKU]],MD_Main_SKU[Main SKU],MD_Main_SKU[SKU name_gom])</f>
        <v>WSS01</v>
      </c>
      <c r="M45" s="2" t="str">
        <f>_xlfn.XLOOKUP(Data_Nhập[[#This Row],[Material-Nhập]],MD_Main_SKU[Main SKU],MD_Main_SKU[SKU name_gom])</f>
        <v>Phó sản</v>
      </c>
    </row>
    <row r="46" spans="1:13" x14ac:dyDescent="0.35">
      <c r="A46">
        <v>2024</v>
      </c>
      <c r="B46">
        <v>1</v>
      </c>
      <c r="C46" t="s">
        <v>26</v>
      </c>
      <c r="D46" t="s">
        <v>27</v>
      </c>
      <c r="E46" t="s">
        <v>26</v>
      </c>
      <c r="F46" t="s">
        <v>27</v>
      </c>
      <c r="G46" s="2">
        <v>96800</v>
      </c>
      <c r="H46" s="2">
        <v>0</v>
      </c>
      <c r="I46" s="2">
        <v>96800</v>
      </c>
      <c r="J46" s="2">
        <v>0</v>
      </c>
      <c r="K46" s="2">
        <v>96800</v>
      </c>
      <c r="L46" s="2" t="str">
        <f>_xlfn.XLOOKUP(Data_Nhập[[#This Row],[Main SKU]],MD_Main_SKU[Main SKU],MD_Main_SKU[SKU name_gom])</f>
        <v>iSS01</v>
      </c>
      <c r="M46" s="2" t="str">
        <f>_xlfn.XLOOKUP(Data_Nhập[[#This Row],[Material-Nhập]],MD_Main_SKU[Main SKU],MD_Main_SKU[SKU name_gom])</f>
        <v>iSS01</v>
      </c>
    </row>
    <row r="47" spans="1:13" x14ac:dyDescent="0.35">
      <c r="A47">
        <v>2024</v>
      </c>
      <c r="B47">
        <v>1</v>
      </c>
      <c r="C47" t="s">
        <v>26</v>
      </c>
      <c r="D47" t="s">
        <v>27</v>
      </c>
      <c r="E47" t="s">
        <v>85</v>
      </c>
      <c r="F47" t="s">
        <v>86</v>
      </c>
      <c r="G47" s="2">
        <v>0</v>
      </c>
      <c r="H47" s="2">
        <v>0</v>
      </c>
      <c r="I47" s="2">
        <v>0</v>
      </c>
      <c r="J47" s="2">
        <v>1093</v>
      </c>
      <c r="K47" s="2">
        <v>1093</v>
      </c>
      <c r="L47" s="2" t="str">
        <f>_xlfn.XLOOKUP(Data_Nhập[[#This Row],[Main SKU]],MD_Main_SKU[Main SKU],MD_Main_SKU[SKU name_gom])</f>
        <v>iSS01</v>
      </c>
      <c r="M47" s="2" t="str">
        <f>_xlfn.XLOOKUP(Data_Nhập[[#This Row],[Material-Nhập]],MD_Main_SKU[Main SKU],MD_Main_SKU[SKU name_gom])</f>
        <v>Phó sản</v>
      </c>
    </row>
    <row r="48" spans="1:13" x14ac:dyDescent="0.35">
      <c r="A48">
        <v>2024</v>
      </c>
      <c r="B48">
        <v>1</v>
      </c>
      <c r="C48" t="s">
        <v>26</v>
      </c>
      <c r="D48" t="s">
        <v>27</v>
      </c>
      <c r="E48" t="s">
        <v>89</v>
      </c>
      <c r="F48" t="s">
        <v>90</v>
      </c>
      <c r="G48" s="2">
        <v>0</v>
      </c>
      <c r="H48" s="2">
        <v>0</v>
      </c>
      <c r="I48" s="2">
        <v>0</v>
      </c>
      <c r="J48" s="2">
        <v>67.5</v>
      </c>
      <c r="K48" s="2">
        <v>67.5</v>
      </c>
      <c r="L48" s="2" t="str">
        <f>_xlfn.XLOOKUP(Data_Nhập[[#This Row],[Main SKU]],MD_Main_SKU[Main SKU],MD_Main_SKU[SKU name_gom])</f>
        <v>iSS01</v>
      </c>
      <c r="M48" s="2" t="str">
        <f>_xlfn.XLOOKUP(Data_Nhập[[#This Row],[Material-Nhập]],MD_Main_SKU[Main SKU],MD_Main_SKU[SKU name_gom])</f>
        <v>Phó sản</v>
      </c>
    </row>
    <row r="49" spans="1:13" x14ac:dyDescent="0.35">
      <c r="A49">
        <v>2024</v>
      </c>
      <c r="B49">
        <v>1</v>
      </c>
      <c r="C49" t="s">
        <v>26</v>
      </c>
      <c r="D49" t="s">
        <v>27</v>
      </c>
      <c r="E49" t="s">
        <v>91</v>
      </c>
      <c r="F49" t="s">
        <v>92</v>
      </c>
      <c r="G49" s="2">
        <v>0</v>
      </c>
      <c r="H49" s="2">
        <v>0</v>
      </c>
      <c r="I49" s="2">
        <v>0</v>
      </c>
      <c r="J49" s="2">
        <v>717</v>
      </c>
      <c r="K49" s="2">
        <v>717</v>
      </c>
      <c r="L49" s="2" t="str">
        <f>_xlfn.XLOOKUP(Data_Nhập[[#This Row],[Main SKU]],MD_Main_SKU[Main SKU],MD_Main_SKU[SKU name_gom])</f>
        <v>iSS01</v>
      </c>
      <c r="M49" s="2" t="str">
        <f>_xlfn.XLOOKUP(Data_Nhập[[#This Row],[Material-Nhập]],MD_Main_SKU[Main SKU],MD_Main_SKU[SKU name_gom])</f>
        <v>Phó sản</v>
      </c>
    </row>
    <row r="50" spans="1:13" x14ac:dyDescent="0.35">
      <c r="A50">
        <v>2024</v>
      </c>
      <c r="B50">
        <v>1</v>
      </c>
      <c r="C50" t="s">
        <v>26</v>
      </c>
      <c r="D50" t="s">
        <v>27</v>
      </c>
      <c r="E50" t="s">
        <v>93</v>
      </c>
      <c r="F50" t="s">
        <v>94</v>
      </c>
      <c r="G50" s="2">
        <v>0</v>
      </c>
      <c r="H50" s="2">
        <v>0</v>
      </c>
      <c r="I50" s="2">
        <v>0</v>
      </c>
      <c r="J50" s="2">
        <v>16</v>
      </c>
      <c r="K50" s="2">
        <v>16</v>
      </c>
      <c r="L50" s="2" t="str">
        <f>_xlfn.XLOOKUP(Data_Nhập[[#This Row],[Main SKU]],MD_Main_SKU[Main SKU],MD_Main_SKU[SKU name_gom])</f>
        <v>iSS01</v>
      </c>
      <c r="M50" s="2" t="str">
        <f>_xlfn.XLOOKUP(Data_Nhập[[#This Row],[Material-Nhập]],MD_Main_SKU[Main SKU],MD_Main_SKU[SKU name_gom])</f>
        <v>Phó sản</v>
      </c>
    </row>
    <row r="51" spans="1:13" x14ac:dyDescent="0.35">
      <c r="A51">
        <v>2024</v>
      </c>
      <c r="B51">
        <v>1</v>
      </c>
      <c r="C51" t="s">
        <v>95</v>
      </c>
      <c r="D51" t="s">
        <v>96</v>
      </c>
      <c r="E51" t="s">
        <v>97</v>
      </c>
      <c r="F51" t="s">
        <v>98</v>
      </c>
      <c r="G51" s="2">
        <v>0</v>
      </c>
      <c r="H51" s="2">
        <v>4244</v>
      </c>
      <c r="I51" s="2">
        <v>4244</v>
      </c>
      <c r="J51" s="2">
        <v>0</v>
      </c>
      <c r="K51" s="2">
        <v>4244</v>
      </c>
      <c r="L51" s="2" t="str">
        <f>_xlfn.XLOOKUP(Data_Nhập[[#This Row],[Main SKU]],MD_Main_SKU[Main SKU],MD_Main_SKU[SKU name_gom])</f>
        <v>WSS04</v>
      </c>
      <c r="M51" s="2" t="str">
        <f>_xlfn.XLOOKUP(Data_Nhập[[#This Row],[Material-Nhập]],MD_Main_SKU[Main SKU],MD_Main_SKU[SKU name_gom])</f>
        <v>WSS05</v>
      </c>
    </row>
    <row r="52" spans="1:13" x14ac:dyDescent="0.35">
      <c r="A52">
        <v>2024</v>
      </c>
      <c r="B52">
        <v>1</v>
      </c>
      <c r="C52" t="s">
        <v>95</v>
      </c>
      <c r="D52" t="s">
        <v>96</v>
      </c>
      <c r="E52" t="s">
        <v>87</v>
      </c>
      <c r="F52" t="s">
        <v>88</v>
      </c>
      <c r="G52" s="2">
        <v>0</v>
      </c>
      <c r="H52" s="2">
        <v>0</v>
      </c>
      <c r="I52" s="2">
        <v>0</v>
      </c>
      <c r="J52" s="2">
        <v>290</v>
      </c>
      <c r="K52" s="2">
        <v>290</v>
      </c>
      <c r="L52" s="2" t="str">
        <f>_xlfn.XLOOKUP(Data_Nhập[[#This Row],[Main SKU]],MD_Main_SKU[Main SKU],MD_Main_SKU[SKU name_gom])</f>
        <v>WSS04</v>
      </c>
      <c r="M52" s="2" t="str">
        <f>_xlfn.XLOOKUP(Data_Nhập[[#This Row],[Material-Nhập]],MD_Main_SKU[Main SKU],MD_Main_SKU[SKU name_gom])</f>
        <v>Phó sản</v>
      </c>
    </row>
    <row r="53" spans="1:13" x14ac:dyDescent="0.35">
      <c r="A53">
        <v>2024</v>
      </c>
      <c r="B53">
        <v>1</v>
      </c>
      <c r="C53" t="s">
        <v>99</v>
      </c>
      <c r="D53" t="s">
        <v>100</v>
      </c>
      <c r="E53" t="s">
        <v>97</v>
      </c>
      <c r="F53" t="s">
        <v>98</v>
      </c>
      <c r="G53" s="2">
        <v>0</v>
      </c>
      <c r="H53" s="2">
        <v>236</v>
      </c>
      <c r="I53" s="2">
        <v>236</v>
      </c>
      <c r="J53" s="2">
        <v>0</v>
      </c>
      <c r="K53" s="2">
        <v>236</v>
      </c>
      <c r="L53" s="2" t="str">
        <f>_xlfn.XLOOKUP(Data_Nhập[[#This Row],[Main SKU]],MD_Main_SKU[Main SKU],MD_Main_SKU[SKU name_gom])</f>
        <v>WSS04</v>
      </c>
      <c r="M53" s="2" t="str">
        <f>_xlfn.XLOOKUP(Data_Nhập[[#This Row],[Material-Nhập]],MD_Main_SKU[Main SKU],MD_Main_SKU[SKU name_gom])</f>
        <v>WSS05</v>
      </c>
    </row>
    <row r="54" spans="1:13" x14ac:dyDescent="0.35">
      <c r="A54">
        <v>2024</v>
      </c>
      <c r="B54">
        <v>1</v>
      </c>
      <c r="C54" t="s">
        <v>101</v>
      </c>
      <c r="D54" t="s">
        <v>102</v>
      </c>
      <c r="E54" t="s">
        <v>97</v>
      </c>
      <c r="F54" t="s">
        <v>98</v>
      </c>
      <c r="G54" s="2">
        <v>0</v>
      </c>
      <c r="H54" s="2">
        <v>4130</v>
      </c>
      <c r="I54" s="2">
        <v>4130</v>
      </c>
      <c r="J54" s="2">
        <v>0</v>
      </c>
      <c r="K54" s="2">
        <v>4130</v>
      </c>
      <c r="L54" s="2" t="str">
        <f>_xlfn.XLOOKUP(Data_Nhập[[#This Row],[Main SKU]],MD_Main_SKU[Main SKU],MD_Main_SKU[SKU name_gom])</f>
        <v>WSS03</v>
      </c>
      <c r="M54" s="2" t="str">
        <f>_xlfn.XLOOKUP(Data_Nhập[[#This Row],[Material-Nhập]],MD_Main_SKU[Main SKU],MD_Main_SKU[SKU name_gom])</f>
        <v>WSS05</v>
      </c>
    </row>
    <row r="55" spans="1:13" x14ac:dyDescent="0.35">
      <c r="A55">
        <v>2024</v>
      </c>
      <c r="B55">
        <v>1</v>
      </c>
      <c r="C55" t="s">
        <v>101</v>
      </c>
      <c r="D55" t="s">
        <v>102</v>
      </c>
      <c r="E55" t="s">
        <v>101</v>
      </c>
      <c r="F55" t="s">
        <v>102</v>
      </c>
      <c r="G55" s="2">
        <v>561</v>
      </c>
      <c r="H55" s="2">
        <v>0</v>
      </c>
      <c r="I55" s="2">
        <v>561</v>
      </c>
      <c r="J55" s="2">
        <v>0</v>
      </c>
      <c r="K55" s="2">
        <v>561</v>
      </c>
      <c r="L55" s="2" t="str">
        <f>_xlfn.XLOOKUP(Data_Nhập[[#This Row],[Main SKU]],MD_Main_SKU[Main SKU],MD_Main_SKU[SKU name_gom])</f>
        <v>WSS03</v>
      </c>
      <c r="M55" s="2" t="str">
        <f>_xlfn.XLOOKUP(Data_Nhập[[#This Row],[Material-Nhập]],MD_Main_SKU[Main SKU],MD_Main_SKU[SKU name_gom])</f>
        <v>WSS03</v>
      </c>
    </row>
    <row r="56" spans="1:13" x14ac:dyDescent="0.35">
      <c r="A56">
        <v>2024</v>
      </c>
      <c r="B56">
        <v>1</v>
      </c>
      <c r="C56" t="s">
        <v>101</v>
      </c>
      <c r="D56" t="s">
        <v>102</v>
      </c>
      <c r="E56" t="s">
        <v>85</v>
      </c>
      <c r="F56" t="s">
        <v>86</v>
      </c>
      <c r="G56" s="2">
        <v>0</v>
      </c>
      <c r="H56" s="2">
        <v>0</v>
      </c>
      <c r="I56" s="2">
        <v>0</v>
      </c>
      <c r="J56" s="2">
        <v>704</v>
      </c>
      <c r="K56" s="2">
        <v>704</v>
      </c>
      <c r="L56" s="2" t="str">
        <f>_xlfn.XLOOKUP(Data_Nhập[[#This Row],[Main SKU]],MD_Main_SKU[Main SKU],MD_Main_SKU[SKU name_gom])</f>
        <v>WSS03</v>
      </c>
      <c r="M56" s="2" t="str">
        <f>_xlfn.XLOOKUP(Data_Nhập[[#This Row],[Material-Nhập]],MD_Main_SKU[Main SKU],MD_Main_SKU[SKU name_gom])</f>
        <v>Phó sản</v>
      </c>
    </row>
    <row r="57" spans="1:13" x14ac:dyDescent="0.35">
      <c r="A57">
        <v>2024</v>
      </c>
      <c r="B57">
        <v>1</v>
      </c>
      <c r="C57" t="s">
        <v>101</v>
      </c>
      <c r="D57" t="s">
        <v>102</v>
      </c>
      <c r="E57" t="s">
        <v>93</v>
      </c>
      <c r="F57" t="s">
        <v>94</v>
      </c>
      <c r="G57" s="2">
        <v>0</v>
      </c>
      <c r="H57" s="2">
        <v>0</v>
      </c>
      <c r="I57" s="2">
        <v>0</v>
      </c>
      <c r="J57" s="2">
        <v>2</v>
      </c>
      <c r="K57" s="2">
        <v>2</v>
      </c>
      <c r="L57" s="2" t="str">
        <f>_xlfn.XLOOKUP(Data_Nhập[[#This Row],[Main SKU]],MD_Main_SKU[Main SKU],MD_Main_SKU[SKU name_gom])</f>
        <v>WSS03</v>
      </c>
      <c r="M57" s="2" t="str">
        <f>_xlfn.XLOOKUP(Data_Nhập[[#This Row],[Material-Nhập]],MD_Main_SKU[Main SKU],MD_Main_SKU[SKU name_gom])</f>
        <v>Phó sản</v>
      </c>
    </row>
    <row r="58" spans="1:13" x14ac:dyDescent="0.35">
      <c r="A58">
        <v>2024</v>
      </c>
      <c r="B58">
        <v>2</v>
      </c>
      <c r="C58" t="s">
        <v>8</v>
      </c>
      <c r="D58" t="s">
        <v>9</v>
      </c>
      <c r="E58" t="s">
        <v>8</v>
      </c>
      <c r="F58" t="s">
        <v>9</v>
      </c>
      <c r="G58" s="2">
        <v>302500</v>
      </c>
      <c r="H58" s="2">
        <v>0</v>
      </c>
      <c r="I58" s="2">
        <v>302500</v>
      </c>
      <c r="J58" s="2">
        <v>0</v>
      </c>
      <c r="K58" s="2">
        <v>302500</v>
      </c>
      <c r="L58" s="2" t="str">
        <f>_xlfn.XLOOKUP(Data_Nhập[[#This Row],[Main SKU]],MD_Main_SKU[Main SKU],MD_Main_SKU[SKU name_gom])</f>
        <v>WSS01</v>
      </c>
      <c r="M58" s="2" t="str">
        <f>_xlfn.XLOOKUP(Data_Nhập[[#This Row],[Material-Nhập]],MD_Main_SKU[Main SKU],MD_Main_SKU[SKU name_gom])</f>
        <v>WSS01</v>
      </c>
    </row>
    <row r="59" spans="1:13" x14ac:dyDescent="0.35">
      <c r="A59">
        <v>2024</v>
      </c>
      <c r="B59">
        <v>2</v>
      </c>
      <c r="C59" t="s">
        <v>8</v>
      </c>
      <c r="D59" t="s">
        <v>9</v>
      </c>
      <c r="E59" t="s">
        <v>12</v>
      </c>
      <c r="F59" t="s">
        <v>13</v>
      </c>
      <c r="G59" s="2">
        <v>0</v>
      </c>
      <c r="H59" s="2">
        <v>1100</v>
      </c>
      <c r="I59" s="2">
        <v>1100</v>
      </c>
      <c r="J59" s="2">
        <v>0</v>
      </c>
      <c r="K59" s="2">
        <v>1100</v>
      </c>
      <c r="L59" s="2" t="str">
        <f>_xlfn.XLOOKUP(Data_Nhập[[#This Row],[Main SKU]],MD_Main_SKU[Main SKU],MD_Main_SKU[SKU name_gom])</f>
        <v>WSS01</v>
      </c>
      <c r="M59" s="2" t="str">
        <f>_xlfn.XLOOKUP(Data_Nhập[[#This Row],[Material-Nhập]],MD_Main_SKU[Main SKU],MD_Main_SKU[SKU name_gom])</f>
        <v>WSS03</v>
      </c>
    </row>
    <row r="60" spans="1:13" x14ac:dyDescent="0.35">
      <c r="A60">
        <v>2024</v>
      </c>
      <c r="B60">
        <v>2</v>
      </c>
      <c r="C60" t="s">
        <v>8</v>
      </c>
      <c r="D60" t="s">
        <v>9</v>
      </c>
      <c r="E60" t="s">
        <v>85</v>
      </c>
      <c r="F60" t="s">
        <v>86</v>
      </c>
      <c r="G60" s="2">
        <v>0</v>
      </c>
      <c r="H60" s="2">
        <v>0</v>
      </c>
      <c r="I60" s="2">
        <v>0</v>
      </c>
      <c r="J60" s="2">
        <v>3540</v>
      </c>
      <c r="K60" s="2">
        <v>3540</v>
      </c>
      <c r="L60" s="2" t="str">
        <f>_xlfn.XLOOKUP(Data_Nhập[[#This Row],[Main SKU]],MD_Main_SKU[Main SKU],MD_Main_SKU[SKU name_gom])</f>
        <v>WSS01</v>
      </c>
      <c r="M60" s="2" t="str">
        <f>_xlfn.XLOOKUP(Data_Nhập[[#This Row],[Material-Nhập]],MD_Main_SKU[Main SKU],MD_Main_SKU[SKU name_gom])</f>
        <v>Phó sản</v>
      </c>
    </row>
    <row r="61" spans="1:13" x14ac:dyDescent="0.35">
      <c r="A61">
        <v>2024</v>
      </c>
      <c r="B61">
        <v>2</v>
      </c>
      <c r="C61" t="s">
        <v>8</v>
      </c>
      <c r="D61" t="s">
        <v>9</v>
      </c>
      <c r="E61" t="s">
        <v>87</v>
      </c>
      <c r="F61" t="s">
        <v>88</v>
      </c>
      <c r="G61" s="2">
        <v>0</v>
      </c>
      <c r="H61" s="2">
        <v>0</v>
      </c>
      <c r="I61" s="2">
        <v>0</v>
      </c>
      <c r="J61" s="2">
        <v>1531</v>
      </c>
      <c r="K61" s="2">
        <v>1531</v>
      </c>
      <c r="L61" s="2" t="str">
        <f>_xlfn.XLOOKUP(Data_Nhập[[#This Row],[Main SKU]],MD_Main_SKU[Main SKU],MD_Main_SKU[SKU name_gom])</f>
        <v>WSS01</v>
      </c>
      <c r="M61" s="2" t="str">
        <f>_xlfn.XLOOKUP(Data_Nhập[[#This Row],[Material-Nhập]],MD_Main_SKU[Main SKU],MD_Main_SKU[SKU name_gom])</f>
        <v>Phó sản</v>
      </c>
    </row>
    <row r="62" spans="1:13" x14ac:dyDescent="0.35">
      <c r="A62">
        <v>2024</v>
      </c>
      <c r="B62">
        <v>2</v>
      </c>
      <c r="C62" t="s">
        <v>8</v>
      </c>
      <c r="D62" t="s">
        <v>9</v>
      </c>
      <c r="E62" t="s">
        <v>89</v>
      </c>
      <c r="F62" t="s">
        <v>90</v>
      </c>
      <c r="G62" s="2">
        <v>0</v>
      </c>
      <c r="H62" s="2">
        <v>0</v>
      </c>
      <c r="I62" s="2">
        <v>0</v>
      </c>
      <c r="J62" s="2">
        <v>416</v>
      </c>
      <c r="K62" s="2">
        <v>416</v>
      </c>
      <c r="L62" s="2" t="str">
        <f>_xlfn.XLOOKUP(Data_Nhập[[#This Row],[Main SKU]],MD_Main_SKU[Main SKU],MD_Main_SKU[SKU name_gom])</f>
        <v>WSS01</v>
      </c>
      <c r="M62" s="2" t="str">
        <f>_xlfn.XLOOKUP(Data_Nhập[[#This Row],[Material-Nhập]],MD_Main_SKU[Main SKU],MD_Main_SKU[SKU name_gom])</f>
        <v>Phó sản</v>
      </c>
    </row>
    <row r="63" spans="1:13" x14ac:dyDescent="0.35">
      <c r="A63">
        <v>2024</v>
      </c>
      <c r="B63">
        <v>2</v>
      </c>
      <c r="C63" t="s">
        <v>8</v>
      </c>
      <c r="D63" t="s">
        <v>9</v>
      </c>
      <c r="E63" t="s">
        <v>93</v>
      </c>
      <c r="F63" t="s">
        <v>94</v>
      </c>
      <c r="G63" s="2">
        <v>0</v>
      </c>
      <c r="H63" s="2">
        <v>0</v>
      </c>
      <c r="I63" s="2">
        <v>0</v>
      </c>
      <c r="J63" s="2">
        <v>30</v>
      </c>
      <c r="K63" s="2">
        <v>30</v>
      </c>
      <c r="L63" s="2" t="str">
        <f>_xlfn.XLOOKUP(Data_Nhập[[#This Row],[Main SKU]],MD_Main_SKU[Main SKU],MD_Main_SKU[SKU name_gom])</f>
        <v>WSS01</v>
      </c>
      <c r="M63" s="2" t="str">
        <f>_xlfn.XLOOKUP(Data_Nhập[[#This Row],[Material-Nhập]],MD_Main_SKU[Main SKU],MD_Main_SKU[SKU name_gom])</f>
        <v>Phó sản</v>
      </c>
    </row>
    <row r="64" spans="1:13" x14ac:dyDescent="0.35">
      <c r="A64">
        <v>2024</v>
      </c>
      <c r="B64">
        <v>2</v>
      </c>
      <c r="C64" t="s">
        <v>14</v>
      </c>
      <c r="D64" t="s">
        <v>15</v>
      </c>
      <c r="E64" t="s">
        <v>14</v>
      </c>
      <c r="F64" t="s">
        <v>15</v>
      </c>
      <c r="G64" s="2">
        <v>232233</v>
      </c>
      <c r="H64" s="2">
        <v>0</v>
      </c>
      <c r="I64" s="2">
        <v>232233</v>
      </c>
      <c r="J64" s="2">
        <v>0</v>
      </c>
      <c r="K64" s="2">
        <v>232233</v>
      </c>
      <c r="L64" s="2" t="str">
        <f>_xlfn.XLOOKUP(Data_Nhập[[#This Row],[Main SKU]],MD_Main_SKU[Main SKU],MD_Main_SKU[SKU name_gom])</f>
        <v>iSS01084</v>
      </c>
      <c r="M64" s="2" t="str">
        <f>_xlfn.XLOOKUP(Data_Nhập[[#This Row],[Material-Nhập]],MD_Main_SKU[Main SKU],MD_Main_SKU[SKU name_gom])</f>
        <v>iSS01084</v>
      </c>
    </row>
    <row r="65" spans="1:13" x14ac:dyDescent="0.35">
      <c r="A65">
        <v>2024</v>
      </c>
      <c r="B65">
        <v>2</v>
      </c>
      <c r="C65" t="s">
        <v>14</v>
      </c>
      <c r="D65" t="s">
        <v>15</v>
      </c>
      <c r="E65" t="s">
        <v>16</v>
      </c>
      <c r="F65" t="s">
        <v>17</v>
      </c>
      <c r="G65" s="2">
        <v>0</v>
      </c>
      <c r="H65" s="2">
        <v>2200</v>
      </c>
      <c r="I65" s="2">
        <v>2200</v>
      </c>
      <c r="J65" s="2">
        <v>0</v>
      </c>
      <c r="K65" s="2">
        <v>2200</v>
      </c>
      <c r="L65" s="2" t="str">
        <f>_xlfn.XLOOKUP(Data_Nhập[[#This Row],[Main SKU]],MD_Main_SKU[Main SKU],MD_Main_SKU[SKU name_gom])</f>
        <v>iSS01084</v>
      </c>
      <c r="M65" s="2" t="str">
        <f>_xlfn.XLOOKUP(Data_Nhập[[#This Row],[Material-Nhập]],MD_Main_SKU[Main SKU],MD_Main_SKU[SKU name_gom])</f>
        <v>WSS01</v>
      </c>
    </row>
    <row r="66" spans="1:13" x14ac:dyDescent="0.35">
      <c r="A66">
        <v>2024</v>
      </c>
      <c r="B66">
        <v>2</v>
      </c>
      <c r="C66" t="s">
        <v>14</v>
      </c>
      <c r="D66" t="s">
        <v>15</v>
      </c>
      <c r="E66" t="s">
        <v>18</v>
      </c>
      <c r="F66" t="s">
        <v>19</v>
      </c>
      <c r="G66" s="2">
        <v>0</v>
      </c>
      <c r="H66" s="2">
        <v>38500</v>
      </c>
      <c r="I66" s="2">
        <v>38500</v>
      </c>
      <c r="J66" s="2">
        <v>0</v>
      </c>
      <c r="K66" s="2">
        <v>38500</v>
      </c>
      <c r="L66" s="2" t="str">
        <f>_xlfn.XLOOKUP(Data_Nhập[[#This Row],[Main SKU]],MD_Main_SKU[Main SKU],MD_Main_SKU[SKU name_gom])</f>
        <v>iSS01084</v>
      </c>
      <c r="M66" s="2" t="str">
        <f>_xlfn.XLOOKUP(Data_Nhập[[#This Row],[Material-Nhập]],MD_Main_SKU[Main SKU],MD_Main_SKU[SKU name_gom])</f>
        <v>iSS01</v>
      </c>
    </row>
    <row r="67" spans="1:13" x14ac:dyDescent="0.35">
      <c r="A67">
        <v>2024</v>
      </c>
      <c r="B67">
        <v>2</v>
      </c>
      <c r="C67" t="s">
        <v>14</v>
      </c>
      <c r="D67" t="s">
        <v>15</v>
      </c>
      <c r="E67" t="s">
        <v>20</v>
      </c>
      <c r="F67" t="s">
        <v>21</v>
      </c>
      <c r="G67" s="2">
        <v>0</v>
      </c>
      <c r="H67" s="2">
        <v>6600</v>
      </c>
      <c r="I67" s="2">
        <v>6600</v>
      </c>
      <c r="J67" s="2">
        <v>0</v>
      </c>
      <c r="K67" s="2">
        <v>6600</v>
      </c>
      <c r="L67" s="2" t="str">
        <f>_xlfn.XLOOKUP(Data_Nhập[[#This Row],[Main SKU]],MD_Main_SKU[Main SKU],MD_Main_SKU[SKU name_gom])</f>
        <v>iSS01084</v>
      </c>
      <c r="M67" s="2" t="str">
        <f>_xlfn.XLOOKUP(Data_Nhập[[#This Row],[Material-Nhập]],MD_Main_SKU[Main SKU],MD_Main_SKU[SKU name_gom])</f>
        <v>WSS02</v>
      </c>
    </row>
    <row r="68" spans="1:13" x14ac:dyDescent="0.35">
      <c r="A68">
        <v>2024</v>
      </c>
      <c r="B68">
        <v>2</v>
      </c>
      <c r="C68" t="s">
        <v>14</v>
      </c>
      <c r="D68" t="s">
        <v>15</v>
      </c>
      <c r="E68" t="s">
        <v>22</v>
      </c>
      <c r="F68" t="s">
        <v>23</v>
      </c>
      <c r="G68" s="2">
        <v>0</v>
      </c>
      <c r="H68" s="2">
        <v>2200</v>
      </c>
      <c r="I68" s="2">
        <v>2200</v>
      </c>
      <c r="J68" s="2">
        <v>0</v>
      </c>
      <c r="K68" s="2">
        <v>2200</v>
      </c>
      <c r="L68" s="2" t="str">
        <f>_xlfn.XLOOKUP(Data_Nhập[[#This Row],[Main SKU]],MD_Main_SKU[Main SKU],MD_Main_SKU[SKU name_gom])</f>
        <v>iSS01084</v>
      </c>
      <c r="M68" s="2" t="str">
        <f>_xlfn.XLOOKUP(Data_Nhập[[#This Row],[Material-Nhập]],MD_Main_SKU[Main SKU],MD_Main_SKU[SKU name_gom])</f>
        <v>WSS03</v>
      </c>
    </row>
    <row r="69" spans="1:13" x14ac:dyDescent="0.35">
      <c r="A69">
        <v>2024</v>
      </c>
      <c r="B69">
        <v>2</v>
      </c>
      <c r="C69" t="s">
        <v>14</v>
      </c>
      <c r="D69" t="s">
        <v>15</v>
      </c>
      <c r="E69" t="s">
        <v>85</v>
      </c>
      <c r="F69" t="s">
        <v>86</v>
      </c>
      <c r="G69" s="2">
        <v>0</v>
      </c>
      <c r="H69" s="2">
        <v>0</v>
      </c>
      <c r="I69" s="2">
        <v>0</v>
      </c>
      <c r="J69" s="2">
        <v>5239</v>
      </c>
      <c r="K69" s="2">
        <v>5239</v>
      </c>
      <c r="L69" s="2" t="str">
        <f>_xlfn.XLOOKUP(Data_Nhập[[#This Row],[Main SKU]],MD_Main_SKU[Main SKU],MD_Main_SKU[SKU name_gom])</f>
        <v>iSS01084</v>
      </c>
      <c r="M69" s="2" t="str">
        <f>_xlfn.XLOOKUP(Data_Nhập[[#This Row],[Material-Nhập]],MD_Main_SKU[Main SKU],MD_Main_SKU[SKU name_gom])</f>
        <v>Phó sản</v>
      </c>
    </row>
    <row r="70" spans="1:13" x14ac:dyDescent="0.35">
      <c r="A70">
        <v>2024</v>
      </c>
      <c r="B70">
        <v>2</v>
      </c>
      <c r="C70" t="s">
        <v>14</v>
      </c>
      <c r="D70" t="s">
        <v>15</v>
      </c>
      <c r="E70" t="s">
        <v>87</v>
      </c>
      <c r="F70" t="s">
        <v>88</v>
      </c>
      <c r="G70" s="2">
        <v>0</v>
      </c>
      <c r="H70" s="2">
        <v>0</v>
      </c>
      <c r="I70" s="2">
        <v>0</v>
      </c>
      <c r="J70" s="2">
        <v>4388</v>
      </c>
      <c r="K70" s="2">
        <v>4388</v>
      </c>
      <c r="L70" s="2" t="str">
        <f>_xlfn.XLOOKUP(Data_Nhập[[#This Row],[Main SKU]],MD_Main_SKU[Main SKU],MD_Main_SKU[SKU name_gom])</f>
        <v>iSS01084</v>
      </c>
      <c r="M70" s="2" t="str">
        <f>_xlfn.XLOOKUP(Data_Nhập[[#This Row],[Material-Nhập]],MD_Main_SKU[Main SKU],MD_Main_SKU[SKU name_gom])</f>
        <v>Phó sản</v>
      </c>
    </row>
    <row r="71" spans="1:13" x14ac:dyDescent="0.35">
      <c r="A71">
        <v>2024</v>
      </c>
      <c r="B71">
        <v>2</v>
      </c>
      <c r="C71" t="s">
        <v>14</v>
      </c>
      <c r="D71" t="s">
        <v>15</v>
      </c>
      <c r="E71" t="s">
        <v>89</v>
      </c>
      <c r="F71" t="s">
        <v>90</v>
      </c>
      <c r="G71" s="2">
        <v>0</v>
      </c>
      <c r="H71" s="2">
        <v>0</v>
      </c>
      <c r="I71" s="2">
        <v>0</v>
      </c>
      <c r="J71" s="2">
        <v>693</v>
      </c>
      <c r="K71" s="2">
        <v>693</v>
      </c>
      <c r="L71" s="2" t="str">
        <f>_xlfn.XLOOKUP(Data_Nhập[[#This Row],[Main SKU]],MD_Main_SKU[Main SKU],MD_Main_SKU[SKU name_gom])</f>
        <v>iSS01084</v>
      </c>
      <c r="M71" s="2" t="str">
        <f>_xlfn.XLOOKUP(Data_Nhập[[#This Row],[Material-Nhập]],MD_Main_SKU[Main SKU],MD_Main_SKU[SKU name_gom])</f>
        <v>Phó sản</v>
      </c>
    </row>
    <row r="72" spans="1:13" x14ac:dyDescent="0.35">
      <c r="A72">
        <v>2024</v>
      </c>
      <c r="B72">
        <v>2</v>
      </c>
      <c r="C72" t="s">
        <v>14</v>
      </c>
      <c r="D72" t="s">
        <v>15</v>
      </c>
      <c r="E72" t="s">
        <v>93</v>
      </c>
      <c r="F72" t="s">
        <v>94</v>
      </c>
      <c r="G72" s="2">
        <v>0</v>
      </c>
      <c r="H72" s="2">
        <v>0</v>
      </c>
      <c r="I72" s="2">
        <v>0</v>
      </c>
      <c r="J72" s="2">
        <v>75</v>
      </c>
      <c r="K72" s="2">
        <v>75</v>
      </c>
      <c r="L72" s="2" t="str">
        <f>_xlfn.XLOOKUP(Data_Nhập[[#This Row],[Main SKU]],MD_Main_SKU[Main SKU],MD_Main_SKU[SKU name_gom])</f>
        <v>iSS01084</v>
      </c>
      <c r="M72" s="2" t="str">
        <f>_xlfn.XLOOKUP(Data_Nhập[[#This Row],[Material-Nhập]],MD_Main_SKU[Main SKU],MD_Main_SKU[SKU name_gom])</f>
        <v>Phó sản</v>
      </c>
    </row>
    <row r="73" spans="1:13" x14ac:dyDescent="0.35">
      <c r="A73">
        <v>2024</v>
      </c>
      <c r="B73">
        <v>2</v>
      </c>
      <c r="C73" t="s">
        <v>16</v>
      </c>
      <c r="D73" t="s">
        <v>17</v>
      </c>
      <c r="E73" t="s">
        <v>16</v>
      </c>
      <c r="F73" t="s">
        <v>17</v>
      </c>
      <c r="G73" s="2">
        <v>1372302</v>
      </c>
      <c r="H73" s="2">
        <v>0</v>
      </c>
      <c r="I73" s="2">
        <v>1372302</v>
      </c>
      <c r="J73" s="2">
        <v>0</v>
      </c>
      <c r="K73" s="2">
        <v>1372302</v>
      </c>
      <c r="L73" s="2" t="str">
        <f>_xlfn.XLOOKUP(Data_Nhập[[#This Row],[Main SKU]],MD_Main_SKU[Main SKU],MD_Main_SKU[SKU name_gom])</f>
        <v>WSS01</v>
      </c>
      <c r="M73" s="2" t="str">
        <f>_xlfn.XLOOKUP(Data_Nhập[[#This Row],[Material-Nhập]],MD_Main_SKU[Main SKU],MD_Main_SKU[SKU name_gom])</f>
        <v>WSS01</v>
      </c>
    </row>
    <row r="74" spans="1:13" x14ac:dyDescent="0.35">
      <c r="A74">
        <v>2024</v>
      </c>
      <c r="B74">
        <v>2</v>
      </c>
      <c r="C74" t="s">
        <v>16</v>
      </c>
      <c r="D74" t="s">
        <v>17</v>
      </c>
      <c r="E74" t="s">
        <v>18</v>
      </c>
      <c r="F74" t="s">
        <v>19</v>
      </c>
      <c r="G74" s="2">
        <v>0</v>
      </c>
      <c r="H74" s="2">
        <v>134200</v>
      </c>
      <c r="I74" s="2">
        <v>134200</v>
      </c>
      <c r="J74" s="2">
        <v>0</v>
      </c>
      <c r="K74" s="2">
        <v>134200</v>
      </c>
      <c r="L74" s="2" t="str">
        <f>_xlfn.XLOOKUP(Data_Nhập[[#This Row],[Main SKU]],MD_Main_SKU[Main SKU],MD_Main_SKU[SKU name_gom])</f>
        <v>WSS01</v>
      </c>
      <c r="M74" s="2" t="str">
        <f>_xlfn.XLOOKUP(Data_Nhập[[#This Row],[Material-Nhập]],MD_Main_SKU[Main SKU],MD_Main_SKU[SKU name_gom])</f>
        <v>iSS01</v>
      </c>
    </row>
    <row r="75" spans="1:13" x14ac:dyDescent="0.35">
      <c r="A75">
        <v>2024</v>
      </c>
      <c r="B75">
        <v>2</v>
      </c>
      <c r="C75" t="s">
        <v>16</v>
      </c>
      <c r="D75" t="s">
        <v>17</v>
      </c>
      <c r="E75" t="s">
        <v>20</v>
      </c>
      <c r="F75" t="s">
        <v>21</v>
      </c>
      <c r="G75" s="2">
        <v>0</v>
      </c>
      <c r="H75" s="2">
        <v>94600</v>
      </c>
      <c r="I75" s="2">
        <v>94600</v>
      </c>
      <c r="J75" s="2">
        <v>0</v>
      </c>
      <c r="K75" s="2">
        <v>94600</v>
      </c>
      <c r="L75" s="2" t="str">
        <f>_xlfn.XLOOKUP(Data_Nhập[[#This Row],[Main SKU]],MD_Main_SKU[Main SKU],MD_Main_SKU[SKU name_gom])</f>
        <v>WSS01</v>
      </c>
      <c r="M75" s="2" t="str">
        <f>_xlfn.XLOOKUP(Data_Nhập[[#This Row],[Material-Nhập]],MD_Main_SKU[Main SKU],MD_Main_SKU[SKU name_gom])</f>
        <v>WSS02</v>
      </c>
    </row>
    <row r="76" spans="1:13" x14ac:dyDescent="0.35">
      <c r="A76">
        <v>2024</v>
      </c>
      <c r="B76">
        <v>2</v>
      </c>
      <c r="C76" t="s">
        <v>16</v>
      </c>
      <c r="D76" t="s">
        <v>17</v>
      </c>
      <c r="E76" t="s">
        <v>22</v>
      </c>
      <c r="F76" t="s">
        <v>23</v>
      </c>
      <c r="G76" s="2">
        <v>0</v>
      </c>
      <c r="H76" s="2">
        <v>4331</v>
      </c>
      <c r="I76" s="2">
        <v>4331</v>
      </c>
      <c r="J76" s="2">
        <v>0</v>
      </c>
      <c r="K76" s="2">
        <v>4331</v>
      </c>
      <c r="L76" s="2" t="str">
        <f>_xlfn.XLOOKUP(Data_Nhập[[#This Row],[Main SKU]],MD_Main_SKU[Main SKU],MD_Main_SKU[SKU name_gom])</f>
        <v>WSS01</v>
      </c>
      <c r="M76" s="2" t="str">
        <f>_xlfn.XLOOKUP(Data_Nhập[[#This Row],[Material-Nhập]],MD_Main_SKU[Main SKU],MD_Main_SKU[SKU name_gom])</f>
        <v>WSS03</v>
      </c>
    </row>
    <row r="77" spans="1:13" x14ac:dyDescent="0.35">
      <c r="A77">
        <v>2024</v>
      </c>
      <c r="B77">
        <v>2</v>
      </c>
      <c r="C77" t="s">
        <v>16</v>
      </c>
      <c r="D77" t="s">
        <v>17</v>
      </c>
      <c r="E77" t="s">
        <v>85</v>
      </c>
      <c r="F77" t="s">
        <v>86</v>
      </c>
      <c r="G77" s="2">
        <v>0</v>
      </c>
      <c r="H77" s="2">
        <v>0</v>
      </c>
      <c r="I77" s="2">
        <v>0</v>
      </c>
      <c r="J77" s="2">
        <v>15553</v>
      </c>
      <c r="K77" s="2">
        <v>15553</v>
      </c>
      <c r="L77" s="2" t="str">
        <f>_xlfn.XLOOKUP(Data_Nhập[[#This Row],[Main SKU]],MD_Main_SKU[Main SKU],MD_Main_SKU[SKU name_gom])</f>
        <v>WSS01</v>
      </c>
      <c r="M77" s="2" t="str">
        <f>_xlfn.XLOOKUP(Data_Nhập[[#This Row],[Material-Nhập]],MD_Main_SKU[Main SKU],MD_Main_SKU[SKU name_gom])</f>
        <v>Phó sản</v>
      </c>
    </row>
    <row r="78" spans="1:13" x14ac:dyDescent="0.35">
      <c r="A78">
        <v>2024</v>
      </c>
      <c r="B78">
        <v>2</v>
      </c>
      <c r="C78" t="s">
        <v>16</v>
      </c>
      <c r="D78" t="s">
        <v>17</v>
      </c>
      <c r="E78" t="s">
        <v>87</v>
      </c>
      <c r="F78" t="s">
        <v>88</v>
      </c>
      <c r="G78" s="2">
        <v>0</v>
      </c>
      <c r="H78" s="2">
        <v>0</v>
      </c>
      <c r="I78" s="2">
        <v>0</v>
      </c>
      <c r="J78" s="2">
        <v>17820</v>
      </c>
      <c r="K78" s="2">
        <v>17820</v>
      </c>
      <c r="L78" s="2" t="str">
        <f>_xlfn.XLOOKUP(Data_Nhập[[#This Row],[Main SKU]],MD_Main_SKU[Main SKU],MD_Main_SKU[SKU name_gom])</f>
        <v>WSS01</v>
      </c>
      <c r="M78" s="2" t="str">
        <f>_xlfn.XLOOKUP(Data_Nhập[[#This Row],[Material-Nhập]],MD_Main_SKU[Main SKU],MD_Main_SKU[SKU name_gom])</f>
        <v>Phó sản</v>
      </c>
    </row>
    <row r="79" spans="1:13" x14ac:dyDescent="0.35">
      <c r="A79">
        <v>2024</v>
      </c>
      <c r="B79">
        <v>2</v>
      </c>
      <c r="C79" t="s">
        <v>16</v>
      </c>
      <c r="D79" t="s">
        <v>17</v>
      </c>
      <c r="E79" t="s">
        <v>89</v>
      </c>
      <c r="F79" t="s">
        <v>90</v>
      </c>
      <c r="G79" s="2">
        <v>0</v>
      </c>
      <c r="H79" s="2">
        <v>0</v>
      </c>
      <c r="I79" s="2">
        <v>0</v>
      </c>
      <c r="J79" s="2">
        <v>4496</v>
      </c>
      <c r="K79" s="2">
        <v>4496</v>
      </c>
      <c r="L79" s="2" t="str">
        <f>_xlfn.XLOOKUP(Data_Nhập[[#This Row],[Main SKU]],MD_Main_SKU[Main SKU],MD_Main_SKU[SKU name_gom])</f>
        <v>WSS01</v>
      </c>
      <c r="M79" s="2" t="str">
        <f>_xlfn.XLOOKUP(Data_Nhập[[#This Row],[Material-Nhập]],MD_Main_SKU[Main SKU],MD_Main_SKU[SKU name_gom])</f>
        <v>Phó sản</v>
      </c>
    </row>
    <row r="80" spans="1:13" x14ac:dyDescent="0.35">
      <c r="A80">
        <v>2024</v>
      </c>
      <c r="B80">
        <v>2</v>
      </c>
      <c r="C80" t="s">
        <v>16</v>
      </c>
      <c r="D80" t="s">
        <v>17</v>
      </c>
      <c r="E80" t="s">
        <v>93</v>
      </c>
      <c r="F80" t="s">
        <v>94</v>
      </c>
      <c r="G80" s="2">
        <v>0</v>
      </c>
      <c r="H80" s="2">
        <v>0</v>
      </c>
      <c r="I80" s="2">
        <v>0</v>
      </c>
      <c r="J80" s="2">
        <v>851.99999999999989</v>
      </c>
      <c r="K80" s="2">
        <v>851.99999999999989</v>
      </c>
      <c r="L80" s="2" t="str">
        <f>_xlfn.XLOOKUP(Data_Nhập[[#This Row],[Main SKU]],MD_Main_SKU[Main SKU],MD_Main_SKU[SKU name_gom])</f>
        <v>WSS01</v>
      </c>
      <c r="M80" s="2" t="str">
        <f>_xlfn.XLOOKUP(Data_Nhập[[#This Row],[Material-Nhập]],MD_Main_SKU[Main SKU],MD_Main_SKU[SKU name_gom])</f>
        <v>Phó sản</v>
      </c>
    </row>
    <row r="81" spans="1:13" x14ac:dyDescent="0.35">
      <c r="A81">
        <v>2024</v>
      </c>
      <c r="B81">
        <v>2</v>
      </c>
      <c r="C81" t="s">
        <v>24</v>
      </c>
      <c r="D81" t="s">
        <v>25</v>
      </c>
      <c r="E81" t="s">
        <v>20</v>
      </c>
      <c r="F81" t="s">
        <v>21</v>
      </c>
      <c r="G81" s="2">
        <v>0</v>
      </c>
      <c r="H81" s="2">
        <v>56100</v>
      </c>
      <c r="I81" s="2">
        <v>56100</v>
      </c>
      <c r="J81" s="2">
        <v>0</v>
      </c>
      <c r="K81" s="2">
        <v>56100</v>
      </c>
      <c r="L81" s="2" t="str">
        <f>_xlfn.XLOOKUP(Data_Nhập[[#This Row],[Main SKU]],MD_Main_SKU[Main SKU],MD_Main_SKU[SKU name_gom])</f>
        <v>WSS01</v>
      </c>
      <c r="M81" s="2" t="str">
        <f>_xlfn.XLOOKUP(Data_Nhập[[#This Row],[Material-Nhập]],MD_Main_SKU[Main SKU],MD_Main_SKU[SKU name_gom])</f>
        <v>WSS02</v>
      </c>
    </row>
    <row r="82" spans="1:13" x14ac:dyDescent="0.35">
      <c r="A82">
        <v>2024</v>
      </c>
      <c r="B82">
        <v>2</v>
      </c>
      <c r="C82" t="s">
        <v>24</v>
      </c>
      <c r="D82" t="s">
        <v>25</v>
      </c>
      <c r="E82" t="s">
        <v>24</v>
      </c>
      <c r="F82" t="s">
        <v>25</v>
      </c>
      <c r="G82" s="2">
        <v>763400</v>
      </c>
      <c r="H82" s="2">
        <v>0</v>
      </c>
      <c r="I82" s="2">
        <v>763400</v>
      </c>
      <c r="J82" s="2">
        <v>0</v>
      </c>
      <c r="K82" s="2">
        <v>763400</v>
      </c>
      <c r="L82" s="2" t="str">
        <f>_xlfn.XLOOKUP(Data_Nhập[[#This Row],[Main SKU]],MD_Main_SKU[Main SKU],MD_Main_SKU[SKU name_gom])</f>
        <v>WSS01</v>
      </c>
      <c r="M82" s="2" t="str">
        <f>_xlfn.XLOOKUP(Data_Nhập[[#This Row],[Material-Nhập]],MD_Main_SKU[Main SKU],MD_Main_SKU[SKU name_gom])</f>
        <v>WSS01</v>
      </c>
    </row>
    <row r="83" spans="1:13" x14ac:dyDescent="0.35">
      <c r="A83">
        <v>2024</v>
      </c>
      <c r="B83">
        <v>2</v>
      </c>
      <c r="C83" t="s">
        <v>24</v>
      </c>
      <c r="D83" t="s">
        <v>25</v>
      </c>
      <c r="E83" t="s">
        <v>26</v>
      </c>
      <c r="F83" t="s">
        <v>27</v>
      </c>
      <c r="G83" s="2">
        <v>0</v>
      </c>
      <c r="H83" s="2">
        <v>28599.999999999996</v>
      </c>
      <c r="I83" s="2">
        <v>28599.999999999996</v>
      </c>
      <c r="J83" s="2">
        <v>0</v>
      </c>
      <c r="K83" s="2">
        <v>28599.999999999996</v>
      </c>
      <c r="L83" s="2" t="str">
        <f>_xlfn.XLOOKUP(Data_Nhập[[#This Row],[Main SKU]],MD_Main_SKU[Main SKU],MD_Main_SKU[SKU name_gom])</f>
        <v>WSS01</v>
      </c>
      <c r="M83" s="2" t="str">
        <f>_xlfn.XLOOKUP(Data_Nhập[[#This Row],[Material-Nhập]],MD_Main_SKU[Main SKU],MD_Main_SKU[SKU name_gom])</f>
        <v>iSS01</v>
      </c>
    </row>
    <row r="84" spans="1:13" x14ac:dyDescent="0.35">
      <c r="A84">
        <v>2024</v>
      </c>
      <c r="B84">
        <v>2</v>
      </c>
      <c r="C84" t="s">
        <v>24</v>
      </c>
      <c r="D84" t="s">
        <v>25</v>
      </c>
      <c r="E84" t="s">
        <v>85</v>
      </c>
      <c r="F84" t="s">
        <v>86</v>
      </c>
      <c r="G84" s="2">
        <v>0</v>
      </c>
      <c r="H84" s="2">
        <v>0</v>
      </c>
      <c r="I84" s="2">
        <v>0</v>
      </c>
      <c r="J84" s="2">
        <v>10634</v>
      </c>
      <c r="K84" s="2">
        <v>10634</v>
      </c>
      <c r="L84" s="2" t="str">
        <f>_xlfn.XLOOKUP(Data_Nhập[[#This Row],[Main SKU]],MD_Main_SKU[Main SKU],MD_Main_SKU[SKU name_gom])</f>
        <v>WSS01</v>
      </c>
      <c r="M84" s="2" t="str">
        <f>_xlfn.XLOOKUP(Data_Nhập[[#This Row],[Material-Nhập]],MD_Main_SKU[Main SKU],MD_Main_SKU[SKU name_gom])</f>
        <v>Phó sản</v>
      </c>
    </row>
    <row r="85" spans="1:13" x14ac:dyDescent="0.35">
      <c r="A85">
        <v>2024</v>
      </c>
      <c r="B85">
        <v>2</v>
      </c>
      <c r="C85" t="s">
        <v>24</v>
      </c>
      <c r="D85" t="s">
        <v>25</v>
      </c>
      <c r="E85" t="s">
        <v>87</v>
      </c>
      <c r="F85" t="s">
        <v>88</v>
      </c>
      <c r="G85" s="2">
        <v>0</v>
      </c>
      <c r="H85" s="2">
        <v>0</v>
      </c>
      <c r="I85" s="2">
        <v>0</v>
      </c>
      <c r="J85" s="2">
        <v>13248</v>
      </c>
      <c r="K85" s="2">
        <v>13248</v>
      </c>
      <c r="L85" s="2" t="str">
        <f>_xlfn.XLOOKUP(Data_Nhập[[#This Row],[Main SKU]],MD_Main_SKU[Main SKU],MD_Main_SKU[SKU name_gom])</f>
        <v>WSS01</v>
      </c>
      <c r="M85" s="2" t="str">
        <f>_xlfn.XLOOKUP(Data_Nhập[[#This Row],[Material-Nhập]],MD_Main_SKU[Main SKU],MD_Main_SKU[SKU name_gom])</f>
        <v>Phó sản</v>
      </c>
    </row>
    <row r="86" spans="1:13" x14ac:dyDescent="0.35">
      <c r="A86">
        <v>2024</v>
      </c>
      <c r="B86">
        <v>2</v>
      </c>
      <c r="C86" t="s">
        <v>24</v>
      </c>
      <c r="D86" t="s">
        <v>25</v>
      </c>
      <c r="E86" t="s">
        <v>89</v>
      </c>
      <c r="F86" t="s">
        <v>90</v>
      </c>
      <c r="G86" s="2">
        <v>0</v>
      </c>
      <c r="H86" s="2">
        <v>0</v>
      </c>
      <c r="I86" s="2">
        <v>0</v>
      </c>
      <c r="J86" s="2">
        <v>744</v>
      </c>
      <c r="K86" s="2">
        <v>744</v>
      </c>
      <c r="L86" s="2" t="str">
        <f>_xlfn.XLOOKUP(Data_Nhập[[#This Row],[Main SKU]],MD_Main_SKU[Main SKU],MD_Main_SKU[SKU name_gom])</f>
        <v>WSS01</v>
      </c>
      <c r="M86" s="2" t="str">
        <f>_xlfn.XLOOKUP(Data_Nhập[[#This Row],[Material-Nhập]],MD_Main_SKU[Main SKU],MD_Main_SKU[SKU name_gom])</f>
        <v>Phó sản</v>
      </c>
    </row>
    <row r="87" spans="1:13" x14ac:dyDescent="0.35">
      <c r="A87">
        <v>2024</v>
      </c>
      <c r="B87">
        <v>2</v>
      </c>
      <c r="C87" t="s">
        <v>24</v>
      </c>
      <c r="D87" t="s">
        <v>25</v>
      </c>
      <c r="E87" t="s">
        <v>93</v>
      </c>
      <c r="F87" t="s">
        <v>94</v>
      </c>
      <c r="G87" s="2">
        <v>0</v>
      </c>
      <c r="H87" s="2">
        <v>0</v>
      </c>
      <c r="I87" s="2">
        <v>0</v>
      </c>
      <c r="J87" s="2">
        <v>175.99999999999997</v>
      </c>
      <c r="K87" s="2">
        <v>175.99999999999997</v>
      </c>
      <c r="L87" s="2" t="str">
        <f>_xlfn.XLOOKUP(Data_Nhập[[#This Row],[Main SKU]],MD_Main_SKU[Main SKU],MD_Main_SKU[SKU name_gom])</f>
        <v>WSS01</v>
      </c>
      <c r="M87" s="2" t="str">
        <f>_xlfn.XLOOKUP(Data_Nhập[[#This Row],[Material-Nhập]],MD_Main_SKU[Main SKU],MD_Main_SKU[SKU name_gom])</f>
        <v>Phó sản</v>
      </c>
    </row>
    <row r="88" spans="1:13" x14ac:dyDescent="0.35">
      <c r="A88">
        <v>2024</v>
      </c>
      <c r="B88">
        <v>2</v>
      </c>
      <c r="C88" t="s">
        <v>97</v>
      </c>
      <c r="D88" t="s">
        <v>98</v>
      </c>
      <c r="E88" t="s">
        <v>97</v>
      </c>
      <c r="F88" t="s">
        <v>98</v>
      </c>
      <c r="G88" s="2">
        <v>1713</v>
      </c>
      <c r="H88" s="2">
        <v>0</v>
      </c>
      <c r="I88" s="2">
        <v>1713</v>
      </c>
      <c r="J88" s="2">
        <v>0</v>
      </c>
      <c r="K88" s="2">
        <v>1713</v>
      </c>
      <c r="L88" s="2" t="str">
        <f>_xlfn.XLOOKUP(Data_Nhập[[#This Row],[Main SKU]],MD_Main_SKU[Main SKU],MD_Main_SKU[SKU name_gom])</f>
        <v>WSS05</v>
      </c>
      <c r="M88" s="2" t="str">
        <f>_xlfn.XLOOKUP(Data_Nhập[[#This Row],[Material-Nhập]],MD_Main_SKU[Main SKU],MD_Main_SKU[SKU name_gom])</f>
        <v>WSS05</v>
      </c>
    </row>
    <row r="89" spans="1:13" x14ac:dyDescent="0.35">
      <c r="A89">
        <v>2024</v>
      </c>
      <c r="B89">
        <v>2</v>
      </c>
      <c r="C89" t="s">
        <v>97</v>
      </c>
      <c r="D89" t="s">
        <v>98</v>
      </c>
      <c r="E89" t="s">
        <v>85</v>
      </c>
      <c r="F89" t="s">
        <v>86</v>
      </c>
      <c r="G89" s="2">
        <v>0</v>
      </c>
      <c r="H89" s="2">
        <v>0</v>
      </c>
      <c r="I89" s="2">
        <v>0</v>
      </c>
      <c r="J89" s="2">
        <v>1159</v>
      </c>
      <c r="K89" s="2">
        <v>1159</v>
      </c>
      <c r="L89" s="2" t="str">
        <f>_xlfn.XLOOKUP(Data_Nhập[[#This Row],[Main SKU]],MD_Main_SKU[Main SKU],MD_Main_SKU[SKU name_gom])</f>
        <v>WSS05</v>
      </c>
      <c r="M89" s="2" t="str">
        <f>_xlfn.XLOOKUP(Data_Nhập[[#This Row],[Material-Nhập]],MD_Main_SKU[Main SKU],MD_Main_SKU[SKU name_gom])</f>
        <v>Phó sản</v>
      </c>
    </row>
    <row r="90" spans="1:13" x14ac:dyDescent="0.35">
      <c r="A90">
        <v>2024</v>
      </c>
      <c r="B90">
        <v>2</v>
      </c>
      <c r="C90" t="s">
        <v>97</v>
      </c>
      <c r="D90" t="s">
        <v>98</v>
      </c>
      <c r="E90" t="s">
        <v>87</v>
      </c>
      <c r="F90" t="s">
        <v>88</v>
      </c>
      <c r="G90" s="2">
        <v>0</v>
      </c>
      <c r="H90" s="2">
        <v>0</v>
      </c>
      <c r="I90" s="2">
        <v>0</v>
      </c>
      <c r="J90" s="2">
        <v>494</v>
      </c>
      <c r="K90" s="2">
        <v>494</v>
      </c>
      <c r="L90" s="2" t="str">
        <f>_xlfn.XLOOKUP(Data_Nhập[[#This Row],[Main SKU]],MD_Main_SKU[Main SKU],MD_Main_SKU[SKU name_gom])</f>
        <v>WSS05</v>
      </c>
      <c r="M90" s="2" t="str">
        <f>_xlfn.XLOOKUP(Data_Nhập[[#This Row],[Material-Nhập]],MD_Main_SKU[Main SKU],MD_Main_SKU[SKU name_gom])</f>
        <v>Phó sản</v>
      </c>
    </row>
    <row r="91" spans="1:13" x14ac:dyDescent="0.35">
      <c r="A91">
        <v>2024</v>
      </c>
      <c r="B91">
        <v>2</v>
      </c>
      <c r="C91" t="s">
        <v>101</v>
      </c>
      <c r="D91" t="s">
        <v>102</v>
      </c>
      <c r="E91" t="s">
        <v>97</v>
      </c>
      <c r="F91" t="s">
        <v>98</v>
      </c>
      <c r="G91" s="2">
        <v>0</v>
      </c>
      <c r="H91" s="2">
        <v>2864</v>
      </c>
      <c r="I91" s="2">
        <v>2864</v>
      </c>
      <c r="J91" s="2">
        <v>0</v>
      </c>
      <c r="K91" s="2">
        <v>2864</v>
      </c>
      <c r="L91" s="2" t="str">
        <f>_xlfn.XLOOKUP(Data_Nhập[[#This Row],[Main SKU]],MD_Main_SKU[Main SKU],MD_Main_SKU[SKU name_gom])</f>
        <v>WSS03</v>
      </c>
      <c r="M91" s="2" t="str">
        <f>_xlfn.XLOOKUP(Data_Nhập[[#This Row],[Material-Nhập]],MD_Main_SKU[Main SKU],MD_Main_SKU[SKU name_gom])</f>
        <v>WSS05</v>
      </c>
    </row>
    <row r="92" spans="1:13" x14ac:dyDescent="0.35">
      <c r="A92">
        <v>2024</v>
      </c>
      <c r="B92">
        <v>2</v>
      </c>
      <c r="C92" t="s">
        <v>101</v>
      </c>
      <c r="D92" t="s">
        <v>102</v>
      </c>
      <c r="E92" t="s">
        <v>85</v>
      </c>
      <c r="F92" t="s">
        <v>86</v>
      </c>
      <c r="G92" s="2">
        <v>0</v>
      </c>
      <c r="H92" s="2">
        <v>0</v>
      </c>
      <c r="I92" s="2">
        <v>0</v>
      </c>
      <c r="J92" s="2">
        <v>692</v>
      </c>
      <c r="K92" s="2">
        <v>692</v>
      </c>
      <c r="L92" s="2" t="str">
        <f>_xlfn.XLOOKUP(Data_Nhập[[#This Row],[Main SKU]],MD_Main_SKU[Main SKU],MD_Main_SKU[SKU name_gom])</f>
        <v>WSS03</v>
      </c>
      <c r="M92" s="2" t="str">
        <f>_xlfn.XLOOKUP(Data_Nhập[[#This Row],[Material-Nhập]],MD_Main_SKU[Main SKU],MD_Main_SKU[SKU name_gom])</f>
        <v>Phó sản</v>
      </c>
    </row>
    <row r="93" spans="1:13" x14ac:dyDescent="0.35">
      <c r="A93">
        <v>2024</v>
      </c>
      <c r="B93">
        <v>2</v>
      </c>
      <c r="C93" t="s">
        <v>101</v>
      </c>
      <c r="D93" t="s">
        <v>102</v>
      </c>
      <c r="E93" t="s">
        <v>87</v>
      </c>
      <c r="F93" t="s">
        <v>88</v>
      </c>
      <c r="G93" s="2">
        <v>0</v>
      </c>
      <c r="H93" s="2">
        <v>0</v>
      </c>
      <c r="I93" s="2">
        <v>0</v>
      </c>
      <c r="J93" s="2">
        <v>24</v>
      </c>
      <c r="K93" s="2">
        <v>24</v>
      </c>
      <c r="L93" s="2" t="str">
        <f>_xlfn.XLOOKUP(Data_Nhập[[#This Row],[Main SKU]],MD_Main_SKU[Main SKU],MD_Main_SKU[SKU name_gom])</f>
        <v>WSS03</v>
      </c>
      <c r="M93" s="2" t="str">
        <f>_xlfn.XLOOKUP(Data_Nhập[[#This Row],[Material-Nhập]],MD_Main_SKU[Main SKU],MD_Main_SKU[SKU name_gom])</f>
        <v>Phó sản</v>
      </c>
    </row>
    <row r="94" spans="1:13" x14ac:dyDescent="0.35">
      <c r="A94">
        <v>2024</v>
      </c>
      <c r="B94">
        <v>2</v>
      </c>
      <c r="C94" t="s">
        <v>101</v>
      </c>
      <c r="D94" t="s">
        <v>102</v>
      </c>
      <c r="E94" t="s">
        <v>103</v>
      </c>
      <c r="F94" t="s">
        <v>104</v>
      </c>
      <c r="G94" s="2">
        <v>0</v>
      </c>
      <c r="H94" s="2">
        <v>0</v>
      </c>
      <c r="I94" s="2">
        <v>0</v>
      </c>
      <c r="J94" s="2">
        <v>15</v>
      </c>
      <c r="K94" s="2">
        <v>15</v>
      </c>
      <c r="L94" s="2" t="str">
        <f>_xlfn.XLOOKUP(Data_Nhập[[#This Row],[Main SKU]],MD_Main_SKU[Main SKU],MD_Main_SKU[SKU name_gom])</f>
        <v>WSS03</v>
      </c>
      <c r="M94" s="2" t="str">
        <f>_xlfn.XLOOKUP(Data_Nhập[[#This Row],[Material-Nhập]],MD_Main_SKU[Main SKU],MD_Main_SKU[SKU name_gom])</f>
        <v>Phó sản</v>
      </c>
    </row>
    <row r="95" spans="1:13" x14ac:dyDescent="0.35">
      <c r="A95">
        <v>2024</v>
      </c>
      <c r="B95">
        <v>2</v>
      </c>
      <c r="C95" t="s">
        <v>101</v>
      </c>
      <c r="D95" t="s">
        <v>102</v>
      </c>
      <c r="E95" t="s">
        <v>105</v>
      </c>
      <c r="F95" t="s">
        <v>106</v>
      </c>
      <c r="G95" s="2">
        <v>0</v>
      </c>
      <c r="H95" s="2">
        <v>0</v>
      </c>
      <c r="I95" s="2">
        <v>0</v>
      </c>
      <c r="J95" s="2">
        <v>5</v>
      </c>
      <c r="K95" s="2">
        <v>5</v>
      </c>
      <c r="L95" s="2" t="str">
        <f>_xlfn.XLOOKUP(Data_Nhập[[#This Row],[Main SKU]],MD_Main_SKU[Main SKU],MD_Main_SKU[SKU name_gom])</f>
        <v>WSS03</v>
      </c>
      <c r="M95" s="2" t="str">
        <f>_xlfn.XLOOKUP(Data_Nhập[[#This Row],[Material-Nhập]],MD_Main_SKU[Main SKU],MD_Main_SKU[SKU name_gom])</f>
        <v>Phó sản</v>
      </c>
    </row>
    <row r="96" spans="1:13" x14ac:dyDescent="0.35">
      <c r="A96">
        <v>2024</v>
      </c>
      <c r="B96">
        <v>3</v>
      </c>
      <c r="C96" t="s">
        <v>8</v>
      </c>
      <c r="D96" t="s">
        <v>9</v>
      </c>
      <c r="E96" t="s">
        <v>8</v>
      </c>
      <c r="F96" t="s">
        <v>9</v>
      </c>
      <c r="G96" s="2">
        <v>87929</v>
      </c>
      <c r="H96" s="2">
        <v>0</v>
      </c>
      <c r="I96" s="2">
        <v>87929</v>
      </c>
      <c r="J96" s="2">
        <v>0</v>
      </c>
      <c r="K96" s="2">
        <v>87929</v>
      </c>
      <c r="L96" s="2" t="str">
        <f>_xlfn.XLOOKUP(Data_Nhập[[#This Row],[Main SKU]],MD_Main_SKU[Main SKU],MD_Main_SKU[SKU name_gom])</f>
        <v>WSS01</v>
      </c>
      <c r="M96" s="2" t="str">
        <f>_xlfn.XLOOKUP(Data_Nhập[[#This Row],[Material-Nhập]],MD_Main_SKU[Main SKU],MD_Main_SKU[SKU name_gom])</f>
        <v>WSS01</v>
      </c>
    </row>
    <row r="97" spans="1:13" x14ac:dyDescent="0.35">
      <c r="A97">
        <v>2024</v>
      </c>
      <c r="B97">
        <v>3</v>
      </c>
      <c r="C97" t="s">
        <v>8</v>
      </c>
      <c r="D97" t="s">
        <v>9</v>
      </c>
      <c r="E97" t="s">
        <v>12</v>
      </c>
      <c r="F97" t="s">
        <v>13</v>
      </c>
      <c r="G97" s="2">
        <v>0</v>
      </c>
      <c r="H97" s="2">
        <v>1100</v>
      </c>
      <c r="I97" s="2">
        <v>1100</v>
      </c>
      <c r="J97" s="2">
        <v>0</v>
      </c>
      <c r="K97" s="2">
        <v>1100</v>
      </c>
      <c r="L97" s="2" t="str">
        <f>_xlfn.XLOOKUP(Data_Nhập[[#This Row],[Main SKU]],MD_Main_SKU[Main SKU],MD_Main_SKU[SKU name_gom])</f>
        <v>WSS01</v>
      </c>
      <c r="M97" s="2" t="str">
        <f>_xlfn.XLOOKUP(Data_Nhập[[#This Row],[Material-Nhập]],MD_Main_SKU[Main SKU],MD_Main_SKU[SKU name_gom])</f>
        <v>WSS03</v>
      </c>
    </row>
    <row r="98" spans="1:13" x14ac:dyDescent="0.35">
      <c r="A98">
        <v>2024</v>
      </c>
      <c r="B98">
        <v>3</v>
      </c>
      <c r="C98" t="s">
        <v>8</v>
      </c>
      <c r="D98" t="s">
        <v>9</v>
      </c>
      <c r="E98" t="s">
        <v>85</v>
      </c>
      <c r="F98" t="s">
        <v>86</v>
      </c>
      <c r="G98" s="2">
        <v>0</v>
      </c>
      <c r="H98" s="2">
        <v>0</v>
      </c>
      <c r="I98" s="2">
        <v>0</v>
      </c>
      <c r="J98" s="2">
        <v>383</v>
      </c>
      <c r="K98" s="2">
        <v>383</v>
      </c>
      <c r="L98" s="2" t="str">
        <f>_xlfn.XLOOKUP(Data_Nhập[[#This Row],[Main SKU]],MD_Main_SKU[Main SKU],MD_Main_SKU[SKU name_gom])</f>
        <v>WSS01</v>
      </c>
      <c r="M98" s="2" t="str">
        <f>_xlfn.XLOOKUP(Data_Nhập[[#This Row],[Material-Nhập]],MD_Main_SKU[Main SKU],MD_Main_SKU[SKU name_gom])</f>
        <v>Phó sản</v>
      </c>
    </row>
    <row r="99" spans="1:13" x14ac:dyDescent="0.35">
      <c r="A99">
        <v>2024</v>
      </c>
      <c r="B99">
        <v>3</v>
      </c>
      <c r="C99" t="s">
        <v>8</v>
      </c>
      <c r="D99" t="s">
        <v>9</v>
      </c>
      <c r="E99" t="s">
        <v>87</v>
      </c>
      <c r="F99" t="s">
        <v>88</v>
      </c>
      <c r="G99" s="2">
        <v>0</v>
      </c>
      <c r="H99" s="2">
        <v>0</v>
      </c>
      <c r="I99" s="2">
        <v>0</v>
      </c>
      <c r="J99" s="2">
        <v>700</v>
      </c>
      <c r="K99" s="2">
        <v>700</v>
      </c>
      <c r="L99" s="2" t="str">
        <f>_xlfn.XLOOKUP(Data_Nhập[[#This Row],[Main SKU]],MD_Main_SKU[Main SKU],MD_Main_SKU[SKU name_gom])</f>
        <v>WSS01</v>
      </c>
      <c r="M99" s="2" t="str">
        <f>_xlfn.XLOOKUP(Data_Nhập[[#This Row],[Material-Nhập]],MD_Main_SKU[Main SKU],MD_Main_SKU[SKU name_gom])</f>
        <v>Phó sản</v>
      </c>
    </row>
    <row r="100" spans="1:13" x14ac:dyDescent="0.35">
      <c r="A100">
        <v>2024</v>
      </c>
      <c r="B100">
        <v>3</v>
      </c>
      <c r="C100" t="s">
        <v>8</v>
      </c>
      <c r="D100" t="s">
        <v>9</v>
      </c>
      <c r="E100" t="s">
        <v>89</v>
      </c>
      <c r="F100" t="s">
        <v>90</v>
      </c>
      <c r="G100" s="2">
        <v>0</v>
      </c>
      <c r="H100" s="2">
        <v>0</v>
      </c>
      <c r="I100" s="2">
        <v>0</v>
      </c>
      <c r="J100" s="2">
        <v>1339</v>
      </c>
      <c r="K100" s="2">
        <v>1339</v>
      </c>
      <c r="L100" s="2" t="str">
        <f>_xlfn.XLOOKUP(Data_Nhập[[#This Row],[Main SKU]],MD_Main_SKU[Main SKU],MD_Main_SKU[SKU name_gom])</f>
        <v>WSS01</v>
      </c>
      <c r="M100" s="2" t="str">
        <f>_xlfn.XLOOKUP(Data_Nhập[[#This Row],[Material-Nhập]],MD_Main_SKU[Main SKU],MD_Main_SKU[SKU name_gom])</f>
        <v>Phó sản</v>
      </c>
    </row>
    <row r="101" spans="1:13" x14ac:dyDescent="0.35">
      <c r="A101">
        <v>2024</v>
      </c>
      <c r="B101">
        <v>3</v>
      </c>
      <c r="C101" t="s">
        <v>8</v>
      </c>
      <c r="D101" t="s">
        <v>9</v>
      </c>
      <c r="E101" t="s">
        <v>93</v>
      </c>
      <c r="F101" t="s">
        <v>94</v>
      </c>
      <c r="G101" s="2">
        <v>0</v>
      </c>
      <c r="H101" s="2">
        <v>0</v>
      </c>
      <c r="I101" s="2">
        <v>0</v>
      </c>
      <c r="J101" s="2">
        <v>12</v>
      </c>
      <c r="K101" s="2">
        <v>12</v>
      </c>
      <c r="L101" s="2" t="str">
        <f>_xlfn.XLOOKUP(Data_Nhập[[#This Row],[Main SKU]],MD_Main_SKU[Main SKU],MD_Main_SKU[SKU name_gom])</f>
        <v>WSS01</v>
      </c>
      <c r="M101" s="2" t="str">
        <f>_xlfn.XLOOKUP(Data_Nhập[[#This Row],[Material-Nhập]],MD_Main_SKU[Main SKU],MD_Main_SKU[SKU name_gom])</f>
        <v>Phó sản</v>
      </c>
    </row>
    <row r="102" spans="1:13" x14ac:dyDescent="0.35">
      <c r="A102">
        <v>2024</v>
      </c>
      <c r="B102">
        <v>3</v>
      </c>
      <c r="C102" t="s">
        <v>14</v>
      </c>
      <c r="D102" t="s">
        <v>15</v>
      </c>
      <c r="E102" t="s">
        <v>14</v>
      </c>
      <c r="F102" t="s">
        <v>15</v>
      </c>
      <c r="G102" s="2">
        <v>28600</v>
      </c>
      <c r="H102" s="2">
        <v>0</v>
      </c>
      <c r="I102" s="2">
        <v>28600</v>
      </c>
      <c r="J102" s="2">
        <v>0</v>
      </c>
      <c r="K102" s="2">
        <v>28600</v>
      </c>
      <c r="L102" s="2" t="str">
        <f>_xlfn.XLOOKUP(Data_Nhập[[#This Row],[Main SKU]],MD_Main_SKU[Main SKU],MD_Main_SKU[SKU name_gom])</f>
        <v>iSS01084</v>
      </c>
      <c r="M102" s="2" t="str">
        <f>_xlfn.XLOOKUP(Data_Nhập[[#This Row],[Material-Nhập]],MD_Main_SKU[Main SKU],MD_Main_SKU[SKU name_gom])</f>
        <v>iSS01084</v>
      </c>
    </row>
    <row r="103" spans="1:13" x14ac:dyDescent="0.35">
      <c r="A103">
        <v>2024</v>
      </c>
      <c r="B103">
        <v>3</v>
      </c>
      <c r="C103" t="s">
        <v>14</v>
      </c>
      <c r="D103" t="s">
        <v>15</v>
      </c>
      <c r="E103" t="s">
        <v>16</v>
      </c>
      <c r="F103" t="s">
        <v>17</v>
      </c>
      <c r="G103" s="2">
        <v>0</v>
      </c>
      <c r="H103" s="2">
        <v>1100</v>
      </c>
      <c r="I103" s="2">
        <v>1100</v>
      </c>
      <c r="J103" s="2">
        <v>0</v>
      </c>
      <c r="K103" s="2">
        <v>1100</v>
      </c>
      <c r="L103" s="2" t="str">
        <f>_xlfn.XLOOKUP(Data_Nhập[[#This Row],[Main SKU]],MD_Main_SKU[Main SKU],MD_Main_SKU[SKU name_gom])</f>
        <v>iSS01084</v>
      </c>
      <c r="M103" s="2" t="str">
        <f>_xlfn.XLOOKUP(Data_Nhập[[#This Row],[Material-Nhập]],MD_Main_SKU[Main SKU],MD_Main_SKU[SKU name_gom])</f>
        <v>WSS01</v>
      </c>
    </row>
    <row r="104" spans="1:13" x14ac:dyDescent="0.35">
      <c r="A104">
        <v>2024</v>
      </c>
      <c r="B104">
        <v>3</v>
      </c>
      <c r="C104" t="s">
        <v>14</v>
      </c>
      <c r="D104" t="s">
        <v>15</v>
      </c>
      <c r="E104" t="s">
        <v>18</v>
      </c>
      <c r="F104" t="s">
        <v>19</v>
      </c>
      <c r="G104" s="2">
        <v>0</v>
      </c>
      <c r="H104" s="2">
        <v>9900</v>
      </c>
      <c r="I104" s="2">
        <v>9900</v>
      </c>
      <c r="J104" s="2">
        <v>0</v>
      </c>
      <c r="K104" s="2">
        <v>9900</v>
      </c>
      <c r="L104" s="2" t="str">
        <f>_xlfn.XLOOKUP(Data_Nhập[[#This Row],[Main SKU]],MD_Main_SKU[Main SKU],MD_Main_SKU[SKU name_gom])</f>
        <v>iSS01084</v>
      </c>
      <c r="M104" s="2" t="str">
        <f>_xlfn.XLOOKUP(Data_Nhập[[#This Row],[Material-Nhập]],MD_Main_SKU[Main SKU],MD_Main_SKU[SKU name_gom])</f>
        <v>iSS01</v>
      </c>
    </row>
    <row r="105" spans="1:13" x14ac:dyDescent="0.35">
      <c r="A105">
        <v>2024</v>
      </c>
      <c r="B105">
        <v>3</v>
      </c>
      <c r="C105" t="s">
        <v>14</v>
      </c>
      <c r="D105" t="s">
        <v>15</v>
      </c>
      <c r="E105" t="s">
        <v>22</v>
      </c>
      <c r="F105" t="s">
        <v>23</v>
      </c>
      <c r="G105" s="2">
        <v>0</v>
      </c>
      <c r="H105" s="2">
        <v>2200</v>
      </c>
      <c r="I105" s="2">
        <v>2200</v>
      </c>
      <c r="J105" s="2">
        <v>0</v>
      </c>
      <c r="K105" s="2">
        <v>2200</v>
      </c>
      <c r="L105" s="2" t="str">
        <f>_xlfn.XLOOKUP(Data_Nhập[[#This Row],[Main SKU]],MD_Main_SKU[Main SKU],MD_Main_SKU[SKU name_gom])</f>
        <v>iSS01084</v>
      </c>
      <c r="M105" s="2" t="str">
        <f>_xlfn.XLOOKUP(Data_Nhập[[#This Row],[Material-Nhập]],MD_Main_SKU[Main SKU],MD_Main_SKU[SKU name_gom])</f>
        <v>WSS03</v>
      </c>
    </row>
    <row r="106" spans="1:13" x14ac:dyDescent="0.35">
      <c r="A106">
        <v>2024</v>
      </c>
      <c r="B106">
        <v>3</v>
      </c>
      <c r="C106" t="s">
        <v>14</v>
      </c>
      <c r="D106" t="s">
        <v>15</v>
      </c>
      <c r="E106" t="s">
        <v>87</v>
      </c>
      <c r="F106" t="s">
        <v>88</v>
      </c>
      <c r="G106" s="2">
        <v>0</v>
      </c>
      <c r="H106" s="2">
        <v>0</v>
      </c>
      <c r="I106" s="2">
        <v>0</v>
      </c>
      <c r="J106" s="2">
        <v>400</v>
      </c>
      <c r="K106" s="2">
        <v>400</v>
      </c>
      <c r="L106" s="2" t="str">
        <f>_xlfn.XLOOKUP(Data_Nhập[[#This Row],[Main SKU]],MD_Main_SKU[Main SKU],MD_Main_SKU[SKU name_gom])</f>
        <v>iSS01084</v>
      </c>
      <c r="M106" s="2" t="str">
        <f>_xlfn.XLOOKUP(Data_Nhập[[#This Row],[Material-Nhập]],MD_Main_SKU[Main SKU],MD_Main_SKU[SKU name_gom])</f>
        <v>Phó sản</v>
      </c>
    </row>
    <row r="107" spans="1:13" x14ac:dyDescent="0.35">
      <c r="A107">
        <v>2024</v>
      </c>
      <c r="B107">
        <v>3</v>
      </c>
      <c r="C107" t="s">
        <v>14</v>
      </c>
      <c r="D107" t="s">
        <v>15</v>
      </c>
      <c r="E107" t="s">
        <v>89</v>
      </c>
      <c r="F107" t="s">
        <v>90</v>
      </c>
      <c r="G107" s="2">
        <v>0</v>
      </c>
      <c r="H107" s="2">
        <v>0</v>
      </c>
      <c r="I107" s="2">
        <v>0</v>
      </c>
      <c r="J107" s="2">
        <v>10</v>
      </c>
      <c r="K107" s="2">
        <v>10</v>
      </c>
      <c r="L107" s="2" t="str">
        <f>_xlfn.XLOOKUP(Data_Nhập[[#This Row],[Main SKU]],MD_Main_SKU[Main SKU],MD_Main_SKU[SKU name_gom])</f>
        <v>iSS01084</v>
      </c>
      <c r="M107" s="2" t="str">
        <f>_xlfn.XLOOKUP(Data_Nhập[[#This Row],[Material-Nhập]],MD_Main_SKU[Main SKU],MD_Main_SKU[SKU name_gom])</f>
        <v>Phó sản</v>
      </c>
    </row>
    <row r="108" spans="1:13" x14ac:dyDescent="0.35">
      <c r="A108">
        <v>2024</v>
      </c>
      <c r="B108">
        <v>3</v>
      </c>
      <c r="C108" t="s">
        <v>14</v>
      </c>
      <c r="D108" t="s">
        <v>15</v>
      </c>
      <c r="E108" t="s">
        <v>93</v>
      </c>
      <c r="F108" t="s">
        <v>94</v>
      </c>
      <c r="G108" s="2">
        <v>0</v>
      </c>
      <c r="H108" s="2">
        <v>0</v>
      </c>
      <c r="I108" s="2">
        <v>0</v>
      </c>
      <c r="J108" s="2">
        <v>4</v>
      </c>
      <c r="K108" s="2">
        <v>4</v>
      </c>
      <c r="L108" s="2" t="str">
        <f>_xlfn.XLOOKUP(Data_Nhập[[#This Row],[Main SKU]],MD_Main_SKU[Main SKU],MD_Main_SKU[SKU name_gom])</f>
        <v>iSS01084</v>
      </c>
      <c r="M108" s="2" t="str">
        <f>_xlfn.XLOOKUP(Data_Nhập[[#This Row],[Material-Nhập]],MD_Main_SKU[Main SKU],MD_Main_SKU[SKU name_gom])</f>
        <v>Phó sản</v>
      </c>
    </row>
    <row r="109" spans="1:13" x14ac:dyDescent="0.35">
      <c r="A109">
        <v>2024</v>
      </c>
      <c r="B109">
        <v>3</v>
      </c>
      <c r="C109" t="s">
        <v>16</v>
      </c>
      <c r="D109" t="s">
        <v>17</v>
      </c>
      <c r="E109" t="s">
        <v>16</v>
      </c>
      <c r="F109" t="s">
        <v>17</v>
      </c>
      <c r="G109" s="2">
        <v>2314399.9999999995</v>
      </c>
      <c r="H109" s="2">
        <v>0</v>
      </c>
      <c r="I109" s="2">
        <v>2314399.9999999995</v>
      </c>
      <c r="J109" s="2">
        <v>0</v>
      </c>
      <c r="K109" s="2">
        <v>2314399.9999999995</v>
      </c>
      <c r="L109" s="2" t="str">
        <f>_xlfn.XLOOKUP(Data_Nhập[[#This Row],[Main SKU]],MD_Main_SKU[Main SKU],MD_Main_SKU[SKU name_gom])</f>
        <v>WSS01</v>
      </c>
      <c r="M109" s="2" t="str">
        <f>_xlfn.XLOOKUP(Data_Nhập[[#This Row],[Material-Nhập]],MD_Main_SKU[Main SKU],MD_Main_SKU[SKU name_gom])</f>
        <v>WSS01</v>
      </c>
    </row>
    <row r="110" spans="1:13" x14ac:dyDescent="0.35">
      <c r="A110">
        <v>2024</v>
      </c>
      <c r="B110">
        <v>3</v>
      </c>
      <c r="C110" t="s">
        <v>16</v>
      </c>
      <c r="D110" t="s">
        <v>17</v>
      </c>
      <c r="E110" t="s">
        <v>18</v>
      </c>
      <c r="F110" t="s">
        <v>19</v>
      </c>
      <c r="G110" s="2">
        <v>0</v>
      </c>
      <c r="H110" s="2">
        <v>366300</v>
      </c>
      <c r="I110" s="2">
        <v>366300</v>
      </c>
      <c r="J110" s="2">
        <v>0</v>
      </c>
      <c r="K110" s="2">
        <v>366300</v>
      </c>
      <c r="L110" s="2" t="str">
        <f>_xlfn.XLOOKUP(Data_Nhập[[#This Row],[Main SKU]],MD_Main_SKU[Main SKU],MD_Main_SKU[SKU name_gom])</f>
        <v>WSS01</v>
      </c>
      <c r="M110" s="2" t="str">
        <f>_xlfn.XLOOKUP(Data_Nhập[[#This Row],[Material-Nhập]],MD_Main_SKU[Main SKU],MD_Main_SKU[SKU name_gom])</f>
        <v>iSS01</v>
      </c>
    </row>
    <row r="111" spans="1:13" x14ac:dyDescent="0.35">
      <c r="A111">
        <v>2024</v>
      </c>
      <c r="B111">
        <v>3</v>
      </c>
      <c r="C111" t="s">
        <v>16</v>
      </c>
      <c r="D111" t="s">
        <v>17</v>
      </c>
      <c r="E111" t="s">
        <v>20</v>
      </c>
      <c r="F111" t="s">
        <v>21</v>
      </c>
      <c r="G111" s="2">
        <v>0</v>
      </c>
      <c r="H111" s="2">
        <v>83600</v>
      </c>
      <c r="I111" s="2">
        <v>83600</v>
      </c>
      <c r="J111" s="2">
        <v>0</v>
      </c>
      <c r="K111" s="2">
        <v>83600</v>
      </c>
      <c r="L111" s="2" t="str">
        <f>_xlfn.XLOOKUP(Data_Nhập[[#This Row],[Main SKU]],MD_Main_SKU[Main SKU],MD_Main_SKU[SKU name_gom])</f>
        <v>WSS01</v>
      </c>
      <c r="M111" s="2" t="str">
        <f>_xlfn.XLOOKUP(Data_Nhập[[#This Row],[Material-Nhập]],MD_Main_SKU[Main SKU],MD_Main_SKU[SKU name_gom])</f>
        <v>WSS02</v>
      </c>
    </row>
    <row r="112" spans="1:13" x14ac:dyDescent="0.35">
      <c r="A112">
        <v>2024</v>
      </c>
      <c r="B112">
        <v>3</v>
      </c>
      <c r="C112" t="s">
        <v>16</v>
      </c>
      <c r="D112" t="s">
        <v>17</v>
      </c>
      <c r="E112" t="s">
        <v>22</v>
      </c>
      <c r="F112" t="s">
        <v>23</v>
      </c>
      <c r="G112" s="2">
        <v>0</v>
      </c>
      <c r="H112" s="2">
        <v>14300</v>
      </c>
      <c r="I112" s="2">
        <v>14300</v>
      </c>
      <c r="J112" s="2">
        <v>0</v>
      </c>
      <c r="K112" s="2">
        <v>14300</v>
      </c>
      <c r="L112" s="2" t="str">
        <f>_xlfn.XLOOKUP(Data_Nhập[[#This Row],[Main SKU]],MD_Main_SKU[Main SKU],MD_Main_SKU[SKU name_gom])</f>
        <v>WSS01</v>
      </c>
      <c r="M112" s="2" t="str">
        <f>_xlfn.XLOOKUP(Data_Nhập[[#This Row],[Material-Nhập]],MD_Main_SKU[Main SKU],MD_Main_SKU[SKU name_gom])</f>
        <v>WSS03</v>
      </c>
    </row>
    <row r="113" spans="1:13" x14ac:dyDescent="0.35">
      <c r="A113">
        <v>2024</v>
      </c>
      <c r="B113">
        <v>3</v>
      </c>
      <c r="C113" t="s">
        <v>16</v>
      </c>
      <c r="D113" t="s">
        <v>17</v>
      </c>
      <c r="E113" t="s">
        <v>85</v>
      </c>
      <c r="F113" t="s">
        <v>86</v>
      </c>
      <c r="G113" s="2">
        <v>0</v>
      </c>
      <c r="H113" s="2">
        <v>0</v>
      </c>
      <c r="I113" s="2">
        <v>0</v>
      </c>
      <c r="J113" s="2">
        <v>36501.999999999993</v>
      </c>
      <c r="K113" s="2">
        <v>36501.999999999993</v>
      </c>
      <c r="L113" s="2" t="str">
        <f>_xlfn.XLOOKUP(Data_Nhập[[#This Row],[Main SKU]],MD_Main_SKU[Main SKU],MD_Main_SKU[SKU name_gom])</f>
        <v>WSS01</v>
      </c>
      <c r="M113" s="2" t="str">
        <f>_xlfn.XLOOKUP(Data_Nhập[[#This Row],[Material-Nhập]],MD_Main_SKU[Main SKU],MD_Main_SKU[SKU name_gom])</f>
        <v>Phó sản</v>
      </c>
    </row>
    <row r="114" spans="1:13" x14ac:dyDescent="0.35">
      <c r="A114">
        <v>2024</v>
      </c>
      <c r="B114">
        <v>3</v>
      </c>
      <c r="C114" t="s">
        <v>16</v>
      </c>
      <c r="D114" t="s">
        <v>17</v>
      </c>
      <c r="E114" t="s">
        <v>87</v>
      </c>
      <c r="F114" t="s">
        <v>88</v>
      </c>
      <c r="G114" s="2">
        <v>0</v>
      </c>
      <c r="H114" s="2">
        <v>0</v>
      </c>
      <c r="I114" s="2">
        <v>0</v>
      </c>
      <c r="J114" s="2">
        <v>43946.999999999985</v>
      </c>
      <c r="K114" s="2">
        <v>43946.999999999985</v>
      </c>
      <c r="L114" s="2" t="str">
        <f>_xlfn.XLOOKUP(Data_Nhập[[#This Row],[Main SKU]],MD_Main_SKU[Main SKU],MD_Main_SKU[SKU name_gom])</f>
        <v>WSS01</v>
      </c>
      <c r="M114" s="2" t="str">
        <f>_xlfn.XLOOKUP(Data_Nhập[[#This Row],[Material-Nhập]],MD_Main_SKU[Main SKU],MD_Main_SKU[SKU name_gom])</f>
        <v>Phó sản</v>
      </c>
    </row>
    <row r="115" spans="1:13" x14ac:dyDescent="0.35">
      <c r="A115">
        <v>2024</v>
      </c>
      <c r="B115">
        <v>3</v>
      </c>
      <c r="C115" t="s">
        <v>16</v>
      </c>
      <c r="D115" t="s">
        <v>17</v>
      </c>
      <c r="E115" t="s">
        <v>89</v>
      </c>
      <c r="F115" t="s">
        <v>90</v>
      </c>
      <c r="G115" s="2">
        <v>0</v>
      </c>
      <c r="H115" s="2">
        <v>0</v>
      </c>
      <c r="I115" s="2">
        <v>0</v>
      </c>
      <c r="J115" s="2">
        <v>16319.999999999998</v>
      </c>
      <c r="K115" s="2">
        <v>16319.999999999998</v>
      </c>
      <c r="L115" s="2" t="str">
        <f>_xlfn.XLOOKUP(Data_Nhập[[#This Row],[Main SKU]],MD_Main_SKU[Main SKU],MD_Main_SKU[SKU name_gom])</f>
        <v>WSS01</v>
      </c>
      <c r="M115" s="2" t="str">
        <f>_xlfn.XLOOKUP(Data_Nhập[[#This Row],[Material-Nhập]],MD_Main_SKU[Main SKU],MD_Main_SKU[SKU name_gom])</f>
        <v>Phó sản</v>
      </c>
    </row>
    <row r="116" spans="1:13" x14ac:dyDescent="0.35">
      <c r="A116">
        <v>2024</v>
      </c>
      <c r="B116">
        <v>3</v>
      </c>
      <c r="C116" t="s">
        <v>16</v>
      </c>
      <c r="D116" t="s">
        <v>17</v>
      </c>
      <c r="E116" t="s">
        <v>93</v>
      </c>
      <c r="F116" t="s">
        <v>94</v>
      </c>
      <c r="G116" s="2">
        <v>0</v>
      </c>
      <c r="H116" s="2">
        <v>0</v>
      </c>
      <c r="I116" s="2">
        <v>0</v>
      </c>
      <c r="J116" s="2">
        <v>731.99999999999989</v>
      </c>
      <c r="K116" s="2">
        <v>731.99999999999989</v>
      </c>
      <c r="L116" s="2" t="str">
        <f>_xlfn.XLOOKUP(Data_Nhập[[#This Row],[Main SKU]],MD_Main_SKU[Main SKU],MD_Main_SKU[SKU name_gom])</f>
        <v>WSS01</v>
      </c>
      <c r="M116" s="2" t="str">
        <f>_xlfn.XLOOKUP(Data_Nhập[[#This Row],[Material-Nhập]],MD_Main_SKU[Main SKU],MD_Main_SKU[SKU name_gom])</f>
        <v>Phó sản</v>
      </c>
    </row>
    <row r="117" spans="1:13" x14ac:dyDescent="0.35">
      <c r="A117">
        <v>2024</v>
      </c>
      <c r="B117">
        <v>3</v>
      </c>
      <c r="C117" t="s">
        <v>24</v>
      </c>
      <c r="D117" t="s">
        <v>25</v>
      </c>
      <c r="E117" t="s">
        <v>20</v>
      </c>
      <c r="F117" t="s">
        <v>21</v>
      </c>
      <c r="G117" s="2">
        <v>0</v>
      </c>
      <c r="H117" s="2">
        <v>35200</v>
      </c>
      <c r="I117" s="2">
        <v>35200</v>
      </c>
      <c r="J117" s="2">
        <v>0</v>
      </c>
      <c r="K117" s="2">
        <v>35200</v>
      </c>
      <c r="L117" s="2" t="str">
        <f>_xlfn.XLOOKUP(Data_Nhập[[#This Row],[Main SKU]],MD_Main_SKU[Main SKU],MD_Main_SKU[SKU name_gom])</f>
        <v>WSS01</v>
      </c>
      <c r="M117" s="2" t="str">
        <f>_xlfn.XLOOKUP(Data_Nhập[[#This Row],[Material-Nhập]],MD_Main_SKU[Main SKU],MD_Main_SKU[SKU name_gom])</f>
        <v>WSS02</v>
      </c>
    </row>
    <row r="118" spans="1:13" x14ac:dyDescent="0.35">
      <c r="A118">
        <v>2024</v>
      </c>
      <c r="B118">
        <v>3</v>
      </c>
      <c r="C118" t="s">
        <v>24</v>
      </c>
      <c r="D118" t="s">
        <v>25</v>
      </c>
      <c r="E118" t="s">
        <v>24</v>
      </c>
      <c r="F118" t="s">
        <v>25</v>
      </c>
      <c r="G118" s="2">
        <v>940500</v>
      </c>
      <c r="H118" s="2">
        <v>0</v>
      </c>
      <c r="I118" s="2">
        <v>940500</v>
      </c>
      <c r="J118" s="2">
        <v>0</v>
      </c>
      <c r="K118" s="2">
        <v>940500</v>
      </c>
      <c r="L118" s="2" t="str">
        <f>_xlfn.XLOOKUP(Data_Nhập[[#This Row],[Main SKU]],MD_Main_SKU[Main SKU],MD_Main_SKU[SKU name_gom])</f>
        <v>WSS01</v>
      </c>
      <c r="M118" s="2" t="str">
        <f>_xlfn.XLOOKUP(Data_Nhập[[#This Row],[Material-Nhập]],MD_Main_SKU[Main SKU],MD_Main_SKU[SKU name_gom])</f>
        <v>WSS01</v>
      </c>
    </row>
    <row r="119" spans="1:13" x14ac:dyDescent="0.35">
      <c r="A119">
        <v>2024</v>
      </c>
      <c r="B119">
        <v>3</v>
      </c>
      <c r="C119" t="s">
        <v>24</v>
      </c>
      <c r="D119" t="s">
        <v>25</v>
      </c>
      <c r="E119" t="s">
        <v>26</v>
      </c>
      <c r="F119" t="s">
        <v>27</v>
      </c>
      <c r="G119" s="2">
        <v>0</v>
      </c>
      <c r="H119" s="2">
        <v>64900</v>
      </c>
      <c r="I119" s="2">
        <v>64900</v>
      </c>
      <c r="J119" s="2">
        <v>0</v>
      </c>
      <c r="K119" s="2">
        <v>64900</v>
      </c>
      <c r="L119" s="2" t="str">
        <f>_xlfn.XLOOKUP(Data_Nhập[[#This Row],[Main SKU]],MD_Main_SKU[Main SKU],MD_Main_SKU[SKU name_gom])</f>
        <v>WSS01</v>
      </c>
      <c r="M119" s="2" t="str">
        <f>_xlfn.XLOOKUP(Data_Nhập[[#This Row],[Material-Nhập]],MD_Main_SKU[Main SKU],MD_Main_SKU[SKU name_gom])</f>
        <v>iSS01</v>
      </c>
    </row>
    <row r="120" spans="1:13" x14ac:dyDescent="0.35">
      <c r="A120">
        <v>2024</v>
      </c>
      <c r="B120">
        <v>3</v>
      </c>
      <c r="C120" t="s">
        <v>24</v>
      </c>
      <c r="D120" t="s">
        <v>25</v>
      </c>
      <c r="E120" t="s">
        <v>85</v>
      </c>
      <c r="F120" t="s">
        <v>86</v>
      </c>
      <c r="G120" s="2">
        <v>0</v>
      </c>
      <c r="H120" s="2">
        <v>0</v>
      </c>
      <c r="I120" s="2">
        <v>0</v>
      </c>
      <c r="J120" s="2">
        <v>12629</v>
      </c>
      <c r="K120" s="2">
        <v>12629</v>
      </c>
      <c r="L120" s="2" t="str">
        <f>_xlfn.XLOOKUP(Data_Nhập[[#This Row],[Main SKU]],MD_Main_SKU[Main SKU],MD_Main_SKU[SKU name_gom])</f>
        <v>WSS01</v>
      </c>
      <c r="M120" s="2" t="str">
        <f>_xlfn.XLOOKUP(Data_Nhập[[#This Row],[Material-Nhập]],MD_Main_SKU[Main SKU],MD_Main_SKU[SKU name_gom])</f>
        <v>Phó sản</v>
      </c>
    </row>
    <row r="121" spans="1:13" x14ac:dyDescent="0.35">
      <c r="A121">
        <v>2024</v>
      </c>
      <c r="B121">
        <v>3</v>
      </c>
      <c r="C121" t="s">
        <v>24</v>
      </c>
      <c r="D121" t="s">
        <v>25</v>
      </c>
      <c r="E121" t="s">
        <v>87</v>
      </c>
      <c r="F121" t="s">
        <v>88</v>
      </c>
      <c r="G121" s="2">
        <v>0</v>
      </c>
      <c r="H121" s="2">
        <v>0</v>
      </c>
      <c r="I121" s="2">
        <v>0</v>
      </c>
      <c r="J121" s="2">
        <v>17053</v>
      </c>
      <c r="K121" s="2">
        <v>17053</v>
      </c>
      <c r="L121" s="2" t="str">
        <f>_xlfn.XLOOKUP(Data_Nhập[[#This Row],[Main SKU]],MD_Main_SKU[Main SKU],MD_Main_SKU[SKU name_gom])</f>
        <v>WSS01</v>
      </c>
      <c r="M121" s="2" t="str">
        <f>_xlfn.XLOOKUP(Data_Nhập[[#This Row],[Material-Nhập]],MD_Main_SKU[Main SKU],MD_Main_SKU[SKU name_gom])</f>
        <v>Phó sản</v>
      </c>
    </row>
    <row r="122" spans="1:13" x14ac:dyDescent="0.35">
      <c r="A122">
        <v>2024</v>
      </c>
      <c r="B122">
        <v>3</v>
      </c>
      <c r="C122" t="s">
        <v>24</v>
      </c>
      <c r="D122" t="s">
        <v>25</v>
      </c>
      <c r="E122" t="s">
        <v>89</v>
      </c>
      <c r="F122" t="s">
        <v>90</v>
      </c>
      <c r="G122" s="2">
        <v>0</v>
      </c>
      <c r="H122" s="2">
        <v>0</v>
      </c>
      <c r="I122" s="2">
        <v>0</v>
      </c>
      <c r="J122" s="2">
        <v>9031</v>
      </c>
      <c r="K122" s="2">
        <v>9031</v>
      </c>
      <c r="L122" s="2" t="str">
        <f>_xlfn.XLOOKUP(Data_Nhập[[#This Row],[Main SKU]],MD_Main_SKU[Main SKU],MD_Main_SKU[SKU name_gom])</f>
        <v>WSS01</v>
      </c>
      <c r="M122" s="2" t="str">
        <f>_xlfn.XLOOKUP(Data_Nhập[[#This Row],[Material-Nhập]],MD_Main_SKU[Main SKU],MD_Main_SKU[SKU name_gom])</f>
        <v>Phó sản</v>
      </c>
    </row>
    <row r="123" spans="1:13" x14ac:dyDescent="0.35">
      <c r="A123">
        <v>2024</v>
      </c>
      <c r="B123">
        <v>3</v>
      </c>
      <c r="C123" t="s">
        <v>24</v>
      </c>
      <c r="D123" t="s">
        <v>25</v>
      </c>
      <c r="E123" t="s">
        <v>93</v>
      </c>
      <c r="F123" t="s">
        <v>94</v>
      </c>
      <c r="G123" s="2">
        <v>0</v>
      </c>
      <c r="H123" s="2">
        <v>0</v>
      </c>
      <c r="I123" s="2">
        <v>0</v>
      </c>
      <c r="J123" s="2">
        <v>173</v>
      </c>
      <c r="K123" s="2">
        <v>173</v>
      </c>
      <c r="L123" s="2" t="str">
        <f>_xlfn.XLOOKUP(Data_Nhập[[#This Row],[Main SKU]],MD_Main_SKU[Main SKU],MD_Main_SKU[SKU name_gom])</f>
        <v>WSS01</v>
      </c>
      <c r="M123" s="2" t="str">
        <f>_xlfn.XLOOKUP(Data_Nhập[[#This Row],[Material-Nhập]],MD_Main_SKU[Main SKU],MD_Main_SKU[SKU name_gom])</f>
        <v>Phó sản</v>
      </c>
    </row>
    <row r="124" spans="1:13" x14ac:dyDescent="0.35">
      <c r="A124">
        <v>2024</v>
      </c>
      <c r="B124">
        <v>3</v>
      </c>
      <c r="C124" t="s">
        <v>99</v>
      </c>
      <c r="D124" t="s">
        <v>100</v>
      </c>
      <c r="E124" t="s">
        <v>97</v>
      </c>
      <c r="F124" t="s">
        <v>98</v>
      </c>
      <c r="G124" s="2">
        <v>0</v>
      </c>
      <c r="H124" s="2">
        <v>1100</v>
      </c>
      <c r="I124" s="2">
        <v>1100</v>
      </c>
      <c r="J124" s="2">
        <v>0</v>
      </c>
      <c r="K124" s="2">
        <v>1100</v>
      </c>
      <c r="L124" s="2" t="str">
        <f>_xlfn.XLOOKUP(Data_Nhập[[#This Row],[Main SKU]],MD_Main_SKU[Main SKU],MD_Main_SKU[SKU name_gom])</f>
        <v>WSS04</v>
      </c>
      <c r="M124" s="2" t="str">
        <f>_xlfn.XLOOKUP(Data_Nhập[[#This Row],[Material-Nhập]],MD_Main_SKU[Main SKU],MD_Main_SKU[SKU name_gom])</f>
        <v>WSS05</v>
      </c>
    </row>
    <row r="125" spans="1:13" x14ac:dyDescent="0.35">
      <c r="A125">
        <v>2024</v>
      </c>
      <c r="B125">
        <v>3</v>
      </c>
      <c r="C125" t="s">
        <v>99</v>
      </c>
      <c r="D125" t="s">
        <v>100</v>
      </c>
      <c r="E125" t="s">
        <v>85</v>
      </c>
      <c r="F125" t="s">
        <v>86</v>
      </c>
      <c r="G125" s="2">
        <v>0</v>
      </c>
      <c r="H125" s="2">
        <v>0</v>
      </c>
      <c r="I125" s="2">
        <v>0</v>
      </c>
      <c r="J125" s="2">
        <v>178</v>
      </c>
      <c r="K125" s="2">
        <v>178</v>
      </c>
      <c r="L125" s="2" t="str">
        <f>_xlfn.XLOOKUP(Data_Nhập[[#This Row],[Main SKU]],MD_Main_SKU[Main SKU],MD_Main_SKU[SKU name_gom])</f>
        <v>WSS04</v>
      </c>
      <c r="M125" s="2" t="str">
        <f>_xlfn.XLOOKUP(Data_Nhập[[#This Row],[Material-Nhập]],MD_Main_SKU[Main SKU],MD_Main_SKU[SKU name_gom])</f>
        <v>Phó sản</v>
      </c>
    </row>
    <row r="126" spans="1:13" x14ac:dyDescent="0.35">
      <c r="A126">
        <v>2024</v>
      </c>
      <c r="B126">
        <v>3</v>
      </c>
      <c r="C126" t="s">
        <v>99</v>
      </c>
      <c r="D126" t="s">
        <v>100</v>
      </c>
      <c r="E126" t="s">
        <v>87</v>
      </c>
      <c r="F126" t="s">
        <v>88</v>
      </c>
      <c r="G126" s="2">
        <v>0</v>
      </c>
      <c r="H126" s="2">
        <v>0</v>
      </c>
      <c r="I126" s="2">
        <v>0</v>
      </c>
      <c r="J126" s="2">
        <v>7</v>
      </c>
      <c r="K126" s="2">
        <v>7</v>
      </c>
      <c r="L126" s="2" t="str">
        <f>_xlfn.XLOOKUP(Data_Nhập[[#This Row],[Main SKU]],MD_Main_SKU[Main SKU],MD_Main_SKU[SKU name_gom])</f>
        <v>WSS04</v>
      </c>
      <c r="M126" s="2" t="str">
        <f>_xlfn.XLOOKUP(Data_Nhập[[#This Row],[Material-Nhập]],MD_Main_SKU[Main SKU],MD_Main_SKU[SKU name_gom])</f>
        <v>Phó sản</v>
      </c>
    </row>
    <row r="127" spans="1:13" x14ac:dyDescent="0.35">
      <c r="A127">
        <v>2024</v>
      </c>
      <c r="B127">
        <v>3</v>
      </c>
      <c r="C127" t="s">
        <v>97</v>
      </c>
      <c r="D127" t="s">
        <v>98</v>
      </c>
      <c r="E127" t="s">
        <v>97</v>
      </c>
      <c r="F127" t="s">
        <v>98</v>
      </c>
      <c r="G127" s="2">
        <v>2489</v>
      </c>
      <c r="H127" s="2">
        <v>0</v>
      </c>
      <c r="I127" s="2">
        <v>2489</v>
      </c>
      <c r="J127" s="2">
        <v>0</v>
      </c>
      <c r="K127" s="2">
        <v>2489</v>
      </c>
      <c r="L127" s="2" t="str">
        <f>_xlfn.XLOOKUP(Data_Nhập[[#This Row],[Main SKU]],MD_Main_SKU[Main SKU],MD_Main_SKU[SKU name_gom])</f>
        <v>WSS05</v>
      </c>
      <c r="M127" s="2" t="str">
        <f>_xlfn.XLOOKUP(Data_Nhập[[#This Row],[Material-Nhập]],MD_Main_SKU[Main SKU],MD_Main_SKU[SKU name_gom])</f>
        <v>WSS05</v>
      </c>
    </row>
    <row r="128" spans="1:13" x14ac:dyDescent="0.35">
      <c r="A128">
        <v>2024</v>
      </c>
      <c r="B128">
        <v>3</v>
      </c>
      <c r="C128" t="s">
        <v>97</v>
      </c>
      <c r="D128" t="s">
        <v>98</v>
      </c>
      <c r="E128" t="s">
        <v>85</v>
      </c>
      <c r="F128" t="s">
        <v>86</v>
      </c>
      <c r="G128" s="2">
        <v>0</v>
      </c>
      <c r="H128" s="2">
        <v>0</v>
      </c>
      <c r="I128" s="2">
        <v>0</v>
      </c>
      <c r="J128" s="2">
        <v>530</v>
      </c>
      <c r="K128" s="2">
        <v>530</v>
      </c>
      <c r="L128" s="2" t="str">
        <f>_xlfn.XLOOKUP(Data_Nhập[[#This Row],[Main SKU]],MD_Main_SKU[Main SKU],MD_Main_SKU[SKU name_gom])</f>
        <v>WSS05</v>
      </c>
      <c r="M128" s="2" t="str">
        <f>_xlfn.XLOOKUP(Data_Nhập[[#This Row],[Material-Nhập]],MD_Main_SKU[Main SKU],MD_Main_SKU[SKU name_gom])</f>
        <v>Phó sản</v>
      </c>
    </row>
    <row r="129" spans="1:13" x14ac:dyDescent="0.35">
      <c r="A129">
        <v>2024</v>
      </c>
      <c r="B129">
        <v>3</v>
      </c>
      <c r="C129" t="s">
        <v>101</v>
      </c>
      <c r="D129" t="s">
        <v>102</v>
      </c>
      <c r="E129" t="s">
        <v>101</v>
      </c>
      <c r="F129" t="s">
        <v>102</v>
      </c>
      <c r="G129" s="2">
        <v>1530</v>
      </c>
      <c r="H129" s="2">
        <v>0</v>
      </c>
      <c r="I129" s="2">
        <v>1530</v>
      </c>
      <c r="J129" s="2">
        <v>0</v>
      </c>
      <c r="K129" s="2">
        <v>1530</v>
      </c>
      <c r="L129" s="2" t="str">
        <f>_xlfn.XLOOKUP(Data_Nhập[[#This Row],[Main SKU]],MD_Main_SKU[Main SKU],MD_Main_SKU[SKU name_gom])</f>
        <v>WSS03</v>
      </c>
      <c r="M129" s="2" t="str">
        <f>_xlfn.XLOOKUP(Data_Nhập[[#This Row],[Material-Nhập]],MD_Main_SKU[Main SKU],MD_Main_SKU[SKU name_gom])</f>
        <v>WSS03</v>
      </c>
    </row>
    <row r="130" spans="1:13" x14ac:dyDescent="0.35">
      <c r="A130">
        <v>2024</v>
      </c>
      <c r="B130">
        <v>3</v>
      </c>
      <c r="C130" t="s">
        <v>101</v>
      </c>
      <c r="D130" t="s">
        <v>102</v>
      </c>
      <c r="E130" t="s">
        <v>85</v>
      </c>
      <c r="F130" t="s">
        <v>86</v>
      </c>
      <c r="G130" s="2">
        <v>0</v>
      </c>
      <c r="H130" s="2">
        <v>0</v>
      </c>
      <c r="I130" s="2">
        <v>0</v>
      </c>
      <c r="J130" s="2">
        <v>451</v>
      </c>
      <c r="K130" s="2">
        <v>451</v>
      </c>
      <c r="L130" s="2" t="str">
        <f>_xlfn.XLOOKUP(Data_Nhập[[#This Row],[Main SKU]],MD_Main_SKU[Main SKU],MD_Main_SKU[SKU name_gom])</f>
        <v>WSS03</v>
      </c>
      <c r="M130" s="2" t="str">
        <f>_xlfn.XLOOKUP(Data_Nhập[[#This Row],[Material-Nhập]],MD_Main_SKU[Main SKU],MD_Main_SKU[SKU name_gom])</f>
        <v>Phó sản</v>
      </c>
    </row>
    <row r="131" spans="1:13" x14ac:dyDescent="0.35">
      <c r="A131">
        <v>2024</v>
      </c>
      <c r="B131">
        <v>3</v>
      </c>
      <c r="C131" t="s">
        <v>101</v>
      </c>
      <c r="D131" t="s">
        <v>102</v>
      </c>
      <c r="E131" t="s">
        <v>87</v>
      </c>
      <c r="F131" t="s">
        <v>88</v>
      </c>
      <c r="G131" s="2">
        <v>0</v>
      </c>
      <c r="H131" s="2">
        <v>0</v>
      </c>
      <c r="I131" s="2">
        <v>0</v>
      </c>
      <c r="J131" s="2">
        <v>123</v>
      </c>
      <c r="K131" s="2">
        <v>123</v>
      </c>
      <c r="L131" s="2" t="str">
        <f>_xlfn.XLOOKUP(Data_Nhập[[#This Row],[Main SKU]],MD_Main_SKU[Main SKU],MD_Main_SKU[SKU name_gom])</f>
        <v>WSS03</v>
      </c>
      <c r="M131" s="2" t="str">
        <f>_xlfn.XLOOKUP(Data_Nhập[[#This Row],[Material-Nhập]],MD_Main_SKU[Main SKU],MD_Main_SKU[SKU name_gom])</f>
        <v>Phó sản</v>
      </c>
    </row>
    <row r="132" spans="1:13" x14ac:dyDescent="0.35">
      <c r="A132">
        <v>2024</v>
      </c>
      <c r="B132">
        <v>3</v>
      </c>
      <c r="C132" t="s">
        <v>107</v>
      </c>
      <c r="D132" t="s">
        <v>108</v>
      </c>
      <c r="E132" t="s">
        <v>107</v>
      </c>
      <c r="F132" t="s">
        <v>108</v>
      </c>
      <c r="G132" s="2">
        <v>11000</v>
      </c>
      <c r="H132" s="2">
        <v>0</v>
      </c>
      <c r="I132" s="2">
        <v>11000</v>
      </c>
      <c r="J132" s="2">
        <v>0</v>
      </c>
      <c r="K132" s="2">
        <v>11000</v>
      </c>
      <c r="L132" s="2" t="str">
        <f>_xlfn.XLOOKUP(Data_Nhập[[#This Row],[Main SKU]],MD_Main_SKU[Main SKU],MD_Main_SKU[SKU name_gom])</f>
        <v>WSS05</v>
      </c>
      <c r="M132" s="2" t="str">
        <f>_xlfn.XLOOKUP(Data_Nhập[[#This Row],[Material-Nhập]],MD_Main_SKU[Main SKU],MD_Main_SKU[SKU name_gom])</f>
        <v>WSS05</v>
      </c>
    </row>
    <row r="133" spans="1:13" x14ac:dyDescent="0.35">
      <c r="A133">
        <v>2024</v>
      </c>
      <c r="B133">
        <v>3</v>
      </c>
      <c r="C133" t="s">
        <v>107</v>
      </c>
      <c r="D133" t="s">
        <v>108</v>
      </c>
      <c r="E133" t="s">
        <v>85</v>
      </c>
      <c r="F133" t="s">
        <v>86</v>
      </c>
      <c r="G133" s="2">
        <v>0</v>
      </c>
      <c r="H133" s="2">
        <v>0</v>
      </c>
      <c r="I133" s="2">
        <v>0</v>
      </c>
      <c r="J133" s="2">
        <v>5061</v>
      </c>
      <c r="K133" s="2">
        <v>5061</v>
      </c>
      <c r="L133" s="2" t="str">
        <f>_xlfn.XLOOKUP(Data_Nhập[[#This Row],[Main SKU]],MD_Main_SKU[Main SKU],MD_Main_SKU[SKU name_gom])</f>
        <v>WSS05</v>
      </c>
      <c r="M133" s="2" t="str">
        <f>_xlfn.XLOOKUP(Data_Nhập[[#This Row],[Material-Nhập]],MD_Main_SKU[Main SKU],MD_Main_SKU[SKU name_gom])</f>
        <v>Phó sản</v>
      </c>
    </row>
    <row r="134" spans="1:13" x14ac:dyDescent="0.35">
      <c r="A134">
        <v>2024</v>
      </c>
      <c r="B134">
        <v>3</v>
      </c>
      <c r="C134" t="s">
        <v>107</v>
      </c>
      <c r="D134" t="s">
        <v>108</v>
      </c>
      <c r="E134" t="s">
        <v>87</v>
      </c>
      <c r="F134" t="s">
        <v>88</v>
      </c>
      <c r="G134" s="2">
        <v>0</v>
      </c>
      <c r="H134" s="2">
        <v>0</v>
      </c>
      <c r="I134" s="2">
        <v>0</v>
      </c>
      <c r="J134" s="2">
        <v>1244</v>
      </c>
      <c r="K134" s="2">
        <v>1244</v>
      </c>
      <c r="L134" s="2" t="str">
        <f>_xlfn.XLOOKUP(Data_Nhập[[#This Row],[Main SKU]],MD_Main_SKU[Main SKU],MD_Main_SKU[SKU name_gom])</f>
        <v>WSS05</v>
      </c>
      <c r="M134" s="2" t="str">
        <f>_xlfn.XLOOKUP(Data_Nhập[[#This Row],[Material-Nhập]],MD_Main_SKU[Main SKU],MD_Main_SKU[SKU name_gom])</f>
        <v>Phó sản</v>
      </c>
    </row>
    <row r="135" spans="1:13" x14ac:dyDescent="0.35">
      <c r="A135">
        <v>2024</v>
      </c>
      <c r="B135">
        <v>3</v>
      </c>
      <c r="C135" t="s">
        <v>107</v>
      </c>
      <c r="D135" t="s">
        <v>108</v>
      </c>
      <c r="E135" t="s">
        <v>89</v>
      </c>
      <c r="F135" t="s">
        <v>90</v>
      </c>
      <c r="G135" s="2">
        <v>0</v>
      </c>
      <c r="H135" s="2">
        <v>0</v>
      </c>
      <c r="I135" s="2">
        <v>0</v>
      </c>
      <c r="J135" s="2">
        <v>107</v>
      </c>
      <c r="K135" s="2">
        <v>107</v>
      </c>
      <c r="L135" s="2" t="str">
        <f>_xlfn.XLOOKUP(Data_Nhập[[#This Row],[Main SKU]],MD_Main_SKU[Main SKU],MD_Main_SKU[SKU name_gom])</f>
        <v>WSS05</v>
      </c>
      <c r="M135" s="2" t="str">
        <f>_xlfn.XLOOKUP(Data_Nhập[[#This Row],[Material-Nhập]],MD_Main_SKU[Main SKU],MD_Main_SKU[SKU name_gom])</f>
        <v>Phó sản</v>
      </c>
    </row>
    <row r="136" spans="1:13" x14ac:dyDescent="0.35">
      <c r="A136">
        <v>2024</v>
      </c>
      <c r="B136">
        <v>4</v>
      </c>
      <c r="C136" t="s">
        <v>14</v>
      </c>
      <c r="D136" t="s">
        <v>15</v>
      </c>
      <c r="E136" t="s">
        <v>14</v>
      </c>
      <c r="F136" t="s">
        <v>15</v>
      </c>
      <c r="G136" s="2">
        <v>126500.00000000001</v>
      </c>
      <c r="H136" s="2">
        <v>0</v>
      </c>
      <c r="I136" s="2">
        <v>126500.00000000001</v>
      </c>
      <c r="J136" s="2">
        <v>0</v>
      </c>
      <c r="K136" s="2">
        <v>126500.00000000001</v>
      </c>
      <c r="L136" s="2" t="str">
        <f>_xlfn.XLOOKUP(Data_Nhập[[#This Row],[Main SKU]],MD_Main_SKU[Main SKU],MD_Main_SKU[SKU name_gom])</f>
        <v>iSS01084</v>
      </c>
      <c r="M136" s="2" t="str">
        <f>_xlfn.XLOOKUP(Data_Nhập[[#This Row],[Material-Nhập]],MD_Main_SKU[Main SKU],MD_Main_SKU[SKU name_gom])</f>
        <v>iSS01084</v>
      </c>
    </row>
    <row r="137" spans="1:13" x14ac:dyDescent="0.35">
      <c r="A137">
        <v>2024</v>
      </c>
      <c r="B137">
        <v>4</v>
      </c>
      <c r="C137" t="s">
        <v>14</v>
      </c>
      <c r="D137" t="s">
        <v>15</v>
      </c>
      <c r="E137" t="s">
        <v>18</v>
      </c>
      <c r="F137" t="s">
        <v>19</v>
      </c>
      <c r="G137" s="2">
        <v>0</v>
      </c>
      <c r="H137" s="2">
        <v>7700</v>
      </c>
      <c r="I137" s="2">
        <v>7700</v>
      </c>
      <c r="J137" s="2">
        <v>0</v>
      </c>
      <c r="K137" s="2">
        <v>7700</v>
      </c>
      <c r="L137" s="2" t="str">
        <f>_xlfn.XLOOKUP(Data_Nhập[[#This Row],[Main SKU]],MD_Main_SKU[Main SKU],MD_Main_SKU[SKU name_gom])</f>
        <v>iSS01084</v>
      </c>
      <c r="M137" s="2" t="str">
        <f>_xlfn.XLOOKUP(Data_Nhập[[#This Row],[Material-Nhập]],MD_Main_SKU[Main SKU],MD_Main_SKU[SKU name_gom])</f>
        <v>iSS01</v>
      </c>
    </row>
    <row r="138" spans="1:13" x14ac:dyDescent="0.35">
      <c r="A138">
        <v>2024</v>
      </c>
      <c r="B138">
        <v>4</v>
      </c>
      <c r="C138" t="s">
        <v>14</v>
      </c>
      <c r="D138" t="s">
        <v>15</v>
      </c>
      <c r="E138" t="s">
        <v>85</v>
      </c>
      <c r="F138" t="s">
        <v>86</v>
      </c>
      <c r="G138" s="2">
        <v>0</v>
      </c>
      <c r="H138" s="2">
        <v>0</v>
      </c>
      <c r="I138" s="2">
        <v>0</v>
      </c>
      <c r="J138" s="2">
        <v>2025</v>
      </c>
      <c r="K138" s="2">
        <v>2025</v>
      </c>
      <c r="L138" s="2" t="str">
        <f>_xlfn.XLOOKUP(Data_Nhập[[#This Row],[Main SKU]],MD_Main_SKU[Main SKU],MD_Main_SKU[SKU name_gom])</f>
        <v>iSS01084</v>
      </c>
      <c r="M138" s="2" t="str">
        <f>_xlfn.XLOOKUP(Data_Nhập[[#This Row],[Material-Nhập]],MD_Main_SKU[Main SKU],MD_Main_SKU[SKU name_gom])</f>
        <v>Phó sản</v>
      </c>
    </row>
    <row r="139" spans="1:13" x14ac:dyDescent="0.35">
      <c r="A139">
        <v>2024</v>
      </c>
      <c r="B139">
        <v>4</v>
      </c>
      <c r="C139" t="s">
        <v>14</v>
      </c>
      <c r="D139" t="s">
        <v>15</v>
      </c>
      <c r="E139" t="s">
        <v>87</v>
      </c>
      <c r="F139" t="s">
        <v>88</v>
      </c>
      <c r="G139" s="2">
        <v>0</v>
      </c>
      <c r="H139" s="2">
        <v>0</v>
      </c>
      <c r="I139" s="2">
        <v>0</v>
      </c>
      <c r="J139" s="2">
        <v>2640</v>
      </c>
      <c r="K139" s="2">
        <v>2640</v>
      </c>
      <c r="L139" s="2" t="str">
        <f>_xlfn.XLOOKUP(Data_Nhập[[#This Row],[Main SKU]],MD_Main_SKU[Main SKU],MD_Main_SKU[SKU name_gom])</f>
        <v>iSS01084</v>
      </c>
      <c r="M139" s="2" t="str">
        <f>_xlfn.XLOOKUP(Data_Nhập[[#This Row],[Material-Nhập]],MD_Main_SKU[Main SKU],MD_Main_SKU[SKU name_gom])</f>
        <v>Phó sản</v>
      </c>
    </row>
    <row r="140" spans="1:13" x14ac:dyDescent="0.35">
      <c r="A140">
        <v>2024</v>
      </c>
      <c r="B140">
        <v>4</v>
      </c>
      <c r="C140" t="s">
        <v>14</v>
      </c>
      <c r="D140" t="s">
        <v>15</v>
      </c>
      <c r="E140" t="s">
        <v>89</v>
      </c>
      <c r="F140" t="s">
        <v>90</v>
      </c>
      <c r="G140" s="2">
        <v>0</v>
      </c>
      <c r="H140" s="2">
        <v>0</v>
      </c>
      <c r="I140" s="2">
        <v>0</v>
      </c>
      <c r="J140" s="2">
        <v>349</v>
      </c>
      <c r="K140" s="2">
        <v>349</v>
      </c>
      <c r="L140" s="2" t="str">
        <f>_xlfn.XLOOKUP(Data_Nhập[[#This Row],[Main SKU]],MD_Main_SKU[Main SKU],MD_Main_SKU[SKU name_gom])</f>
        <v>iSS01084</v>
      </c>
      <c r="M140" s="2" t="str">
        <f>_xlfn.XLOOKUP(Data_Nhập[[#This Row],[Material-Nhập]],MD_Main_SKU[Main SKU],MD_Main_SKU[SKU name_gom])</f>
        <v>Phó sản</v>
      </c>
    </row>
    <row r="141" spans="1:13" x14ac:dyDescent="0.35">
      <c r="A141">
        <v>2024</v>
      </c>
      <c r="B141">
        <v>4</v>
      </c>
      <c r="C141" t="s">
        <v>14</v>
      </c>
      <c r="D141" t="s">
        <v>15</v>
      </c>
      <c r="E141" t="s">
        <v>93</v>
      </c>
      <c r="F141" t="s">
        <v>94</v>
      </c>
      <c r="G141" s="2">
        <v>0</v>
      </c>
      <c r="H141" s="2">
        <v>0</v>
      </c>
      <c r="I141" s="2">
        <v>0</v>
      </c>
      <c r="J141" s="2">
        <v>26</v>
      </c>
      <c r="K141" s="2">
        <v>26</v>
      </c>
      <c r="L141" s="2" t="str">
        <f>_xlfn.XLOOKUP(Data_Nhập[[#This Row],[Main SKU]],MD_Main_SKU[Main SKU],MD_Main_SKU[SKU name_gom])</f>
        <v>iSS01084</v>
      </c>
      <c r="M141" s="2" t="str">
        <f>_xlfn.XLOOKUP(Data_Nhập[[#This Row],[Material-Nhập]],MD_Main_SKU[Main SKU],MD_Main_SKU[SKU name_gom])</f>
        <v>Phó sản</v>
      </c>
    </row>
    <row r="142" spans="1:13" x14ac:dyDescent="0.35">
      <c r="A142">
        <v>2024</v>
      </c>
      <c r="B142">
        <v>4</v>
      </c>
      <c r="C142" t="s">
        <v>16</v>
      </c>
      <c r="D142" t="s">
        <v>17</v>
      </c>
      <c r="E142" t="s">
        <v>14</v>
      </c>
      <c r="F142" t="s">
        <v>15</v>
      </c>
      <c r="G142" s="2">
        <v>0</v>
      </c>
      <c r="H142" s="2">
        <v>1100</v>
      </c>
      <c r="I142" s="2">
        <v>1100</v>
      </c>
      <c r="J142" s="2">
        <v>0</v>
      </c>
      <c r="K142" s="2">
        <v>1100</v>
      </c>
      <c r="L142" s="2" t="str">
        <f>_xlfn.XLOOKUP(Data_Nhập[[#This Row],[Main SKU]],MD_Main_SKU[Main SKU],MD_Main_SKU[SKU name_gom])</f>
        <v>WSS01</v>
      </c>
      <c r="M142" s="2" t="str">
        <f>_xlfn.XLOOKUP(Data_Nhập[[#This Row],[Material-Nhập]],MD_Main_SKU[Main SKU],MD_Main_SKU[SKU name_gom])</f>
        <v>iSS01084</v>
      </c>
    </row>
    <row r="143" spans="1:13" x14ac:dyDescent="0.35">
      <c r="A143">
        <v>2024</v>
      </c>
      <c r="B143">
        <v>4</v>
      </c>
      <c r="C143" t="s">
        <v>16</v>
      </c>
      <c r="D143" t="s">
        <v>17</v>
      </c>
      <c r="E143" t="s">
        <v>16</v>
      </c>
      <c r="F143" t="s">
        <v>17</v>
      </c>
      <c r="G143" s="2">
        <v>698500</v>
      </c>
      <c r="H143" s="2">
        <v>0</v>
      </c>
      <c r="I143" s="2">
        <v>698500</v>
      </c>
      <c r="J143" s="2">
        <v>0</v>
      </c>
      <c r="K143" s="2">
        <v>698500</v>
      </c>
      <c r="L143" s="2" t="str">
        <f>_xlfn.XLOOKUP(Data_Nhập[[#This Row],[Main SKU]],MD_Main_SKU[Main SKU],MD_Main_SKU[SKU name_gom])</f>
        <v>WSS01</v>
      </c>
      <c r="M143" s="2" t="str">
        <f>_xlfn.XLOOKUP(Data_Nhập[[#This Row],[Material-Nhập]],MD_Main_SKU[Main SKU],MD_Main_SKU[SKU name_gom])</f>
        <v>WSS01</v>
      </c>
    </row>
    <row r="144" spans="1:13" x14ac:dyDescent="0.35">
      <c r="A144">
        <v>2024</v>
      </c>
      <c r="B144">
        <v>4</v>
      </c>
      <c r="C144" t="s">
        <v>16</v>
      </c>
      <c r="D144" t="s">
        <v>17</v>
      </c>
      <c r="E144" t="s">
        <v>18</v>
      </c>
      <c r="F144" t="s">
        <v>19</v>
      </c>
      <c r="G144" s="2">
        <v>0</v>
      </c>
      <c r="H144" s="2">
        <v>214501.00000000003</v>
      </c>
      <c r="I144" s="2">
        <v>214501.00000000003</v>
      </c>
      <c r="J144" s="2">
        <v>0</v>
      </c>
      <c r="K144" s="2">
        <v>214501.00000000003</v>
      </c>
      <c r="L144" s="2" t="str">
        <f>_xlfn.XLOOKUP(Data_Nhập[[#This Row],[Main SKU]],MD_Main_SKU[Main SKU],MD_Main_SKU[SKU name_gom])</f>
        <v>WSS01</v>
      </c>
      <c r="M144" s="2" t="str">
        <f>_xlfn.XLOOKUP(Data_Nhập[[#This Row],[Material-Nhập]],MD_Main_SKU[Main SKU],MD_Main_SKU[SKU name_gom])</f>
        <v>iSS01</v>
      </c>
    </row>
    <row r="145" spans="1:13" x14ac:dyDescent="0.35">
      <c r="A145">
        <v>2024</v>
      </c>
      <c r="B145">
        <v>4</v>
      </c>
      <c r="C145" t="s">
        <v>16</v>
      </c>
      <c r="D145" t="s">
        <v>17</v>
      </c>
      <c r="E145" t="s">
        <v>20</v>
      </c>
      <c r="F145" t="s">
        <v>21</v>
      </c>
      <c r="G145" s="2">
        <v>0</v>
      </c>
      <c r="H145" s="2">
        <v>39600</v>
      </c>
      <c r="I145" s="2">
        <v>39600</v>
      </c>
      <c r="J145" s="2">
        <v>0</v>
      </c>
      <c r="K145" s="2">
        <v>39600</v>
      </c>
      <c r="L145" s="2" t="str">
        <f>_xlfn.XLOOKUP(Data_Nhập[[#This Row],[Main SKU]],MD_Main_SKU[Main SKU],MD_Main_SKU[SKU name_gom])</f>
        <v>WSS01</v>
      </c>
      <c r="M145" s="2" t="str">
        <f>_xlfn.XLOOKUP(Data_Nhập[[#This Row],[Material-Nhập]],MD_Main_SKU[Main SKU],MD_Main_SKU[SKU name_gom])</f>
        <v>WSS02</v>
      </c>
    </row>
    <row r="146" spans="1:13" x14ac:dyDescent="0.35">
      <c r="A146">
        <v>2024</v>
      </c>
      <c r="B146">
        <v>4</v>
      </c>
      <c r="C146" t="s">
        <v>16</v>
      </c>
      <c r="D146" t="s">
        <v>17</v>
      </c>
      <c r="E146" t="s">
        <v>22</v>
      </c>
      <c r="F146" t="s">
        <v>23</v>
      </c>
      <c r="G146" s="2">
        <v>0</v>
      </c>
      <c r="H146" s="2">
        <v>8800</v>
      </c>
      <c r="I146" s="2">
        <v>8800</v>
      </c>
      <c r="J146" s="2">
        <v>0</v>
      </c>
      <c r="K146" s="2">
        <v>8800</v>
      </c>
      <c r="L146" s="2" t="str">
        <f>_xlfn.XLOOKUP(Data_Nhập[[#This Row],[Main SKU]],MD_Main_SKU[Main SKU],MD_Main_SKU[SKU name_gom])</f>
        <v>WSS01</v>
      </c>
      <c r="M146" s="2" t="str">
        <f>_xlfn.XLOOKUP(Data_Nhập[[#This Row],[Material-Nhập]],MD_Main_SKU[Main SKU],MD_Main_SKU[SKU name_gom])</f>
        <v>WSS03</v>
      </c>
    </row>
    <row r="147" spans="1:13" x14ac:dyDescent="0.35">
      <c r="A147">
        <v>2024</v>
      </c>
      <c r="B147">
        <v>4</v>
      </c>
      <c r="C147" t="s">
        <v>16</v>
      </c>
      <c r="D147" t="s">
        <v>17</v>
      </c>
      <c r="E147" t="s">
        <v>109</v>
      </c>
      <c r="F147" t="s">
        <v>110</v>
      </c>
      <c r="G147" s="2">
        <v>0</v>
      </c>
      <c r="H147" s="2">
        <v>0</v>
      </c>
      <c r="I147" s="2">
        <v>0</v>
      </c>
      <c r="J147" s="2">
        <v>402</v>
      </c>
      <c r="K147" s="2">
        <v>402</v>
      </c>
      <c r="L147" s="2" t="str">
        <f>_xlfn.XLOOKUP(Data_Nhập[[#This Row],[Main SKU]],MD_Main_SKU[Main SKU],MD_Main_SKU[SKU name_gom])</f>
        <v>WSS01</v>
      </c>
      <c r="M147" s="2" t="str">
        <f>_xlfn.XLOOKUP(Data_Nhập[[#This Row],[Material-Nhập]],MD_Main_SKU[Main SKU],MD_Main_SKU[SKU name_gom])</f>
        <v>Phó sản</v>
      </c>
    </row>
    <row r="148" spans="1:13" x14ac:dyDescent="0.35">
      <c r="A148">
        <v>2024</v>
      </c>
      <c r="B148">
        <v>4</v>
      </c>
      <c r="C148" t="s">
        <v>16</v>
      </c>
      <c r="D148" t="s">
        <v>17</v>
      </c>
      <c r="E148" t="s">
        <v>85</v>
      </c>
      <c r="F148" t="s">
        <v>86</v>
      </c>
      <c r="G148" s="2">
        <v>0</v>
      </c>
      <c r="H148" s="2">
        <v>0</v>
      </c>
      <c r="I148" s="2">
        <v>0</v>
      </c>
      <c r="J148" s="2">
        <v>7715.0000000000009</v>
      </c>
      <c r="K148" s="2">
        <v>7715.0000000000009</v>
      </c>
      <c r="L148" s="2" t="str">
        <f>_xlfn.XLOOKUP(Data_Nhập[[#This Row],[Main SKU]],MD_Main_SKU[Main SKU],MD_Main_SKU[SKU name_gom])</f>
        <v>WSS01</v>
      </c>
      <c r="M148" s="2" t="str">
        <f>_xlfn.XLOOKUP(Data_Nhập[[#This Row],[Material-Nhập]],MD_Main_SKU[Main SKU],MD_Main_SKU[SKU name_gom])</f>
        <v>Phó sản</v>
      </c>
    </row>
    <row r="149" spans="1:13" x14ac:dyDescent="0.35">
      <c r="A149">
        <v>2024</v>
      </c>
      <c r="B149">
        <v>4</v>
      </c>
      <c r="C149" t="s">
        <v>16</v>
      </c>
      <c r="D149" t="s">
        <v>17</v>
      </c>
      <c r="E149" t="s">
        <v>87</v>
      </c>
      <c r="F149" t="s">
        <v>88</v>
      </c>
      <c r="G149" s="2">
        <v>0</v>
      </c>
      <c r="H149" s="2">
        <v>0</v>
      </c>
      <c r="I149" s="2">
        <v>0</v>
      </c>
      <c r="J149" s="2">
        <v>14434</v>
      </c>
      <c r="K149" s="2">
        <v>14434</v>
      </c>
      <c r="L149" s="2" t="str">
        <f>_xlfn.XLOOKUP(Data_Nhập[[#This Row],[Main SKU]],MD_Main_SKU[Main SKU],MD_Main_SKU[SKU name_gom])</f>
        <v>WSS01</v>
      </c>
      <c r="M149" s="2" t="str">
        <f>_xlfn.XLOOKUP(Data_Nhập[[#This Row],[Material-Nhập]],MD_Main_SKU[Main SKU],MD_Main_SKU[SKU name_gom])</f>
        <v>Phó sản</v>
      </c>
    </row>
    <row r="150" spans="1:13" x14ac:dyDescent="0.35">
      <c r="A150">
        <v>2024</v>
      </c>
      <c r="B150">
        <v>4</v>
      </c>
      <c r="C150" t="s">
        <v>16</v>
      </c>
      <c r="D150" t="s">
        <v>17</v>
      </c>
      <c r="E150" t="s">
        <v>89</v>
      </c>
      <c r="F150" t="s">
        <v>90</v>
      </c>
      <c r="G150" s="2">
        <v>0</v>
      </c>
      <c r="H150" s="2">
        <v>0</v>
      </c>
      <c r="I150" s="2">
        <v>0</v>
      </c>
      <c r="J150" s="2">
        <v>2397.0000000000005</v>
      </c>
      <c r="K150" s="2">
        <v>2397.0000000000005</v>
      </c>
      <c r="L150" s="2" t="str">
        <f>_xlfn.XLOOKUP(Data_Nhập[[#This Row],[Main SKU]],MD_Main_SKU[Main SKU],MD_Main_SKU[SKU name_gom])</f>
        <v>WSS01</v>
      </c>
      <c r="M150" s="2" t="str">
        <f>_xlfn.XLOOKUP(Data_Nhập[[#This Row],[Material-Nhập]],MD_Main_SKU[Main SKU],MD_Main_SKU[SKU name_gom])</f>
        <v>Phó sản</v>
      </c>
    </row>
    <row r="151" spans="1:13" x14ac:dyDescent="0.35">
      <c r="A151">
        <v>2024</v>
      </c>
      <c r="B151">
        <v>4</v>
      </c>
      <c r="C151" t="s">
        <v>16</v>
      </c>
      <c r="D151" t="s">
        <v>17</v>
      </c>
      <c r="E151" t="s">
        <v>91</v>
      </c>
      <c r="F151" t="s">
        <v>92</v>
      </c>
      <c r="G151" s="2">
        <v>0</v>
      </c>
      <c r="H151" s="2">
        <v>0</v>
      </c>
      <c r="I151" s="2">
        <v>0</v>
      </c>
      <c r="J151" s="2">
        <v>1100</v>
      </c>
      <c r="K151" s="2">
        <v>1100</v>
      </c>
      <c r="L151" s="2" t="str">
        <f>_xlfn.XLOOKUP(Data_Nhập[[#This Row],[Main SKU]],MD_Main_SKU[Main SKU],MD_Main_SKU[SKU name_gom])</f>
        <v>WSS01</v>
      </c>
      <c r="M151" s="2" t="str">
        <f>_xlfn.XLOOKUP(Data_Nhập[[#This Row],[Material-Nhập]],MD_Main_SKU[Main SKU],MD_Main_SKU[SKU name_gom])</f>
        <v>Phó sản</v>
      </c>
    </row>
    <row r="152" spans="1:13" x14ac:dyDescent="0.35">
      <c r="A152">
        <v>2024</v>
      </c>
      <c r="B152">
        <v>4</v>
      </c>
      <c r="C152" t="s">
        <v>16</v>
      </c>
      <c r="D152" t="s">
        <v>17</v>
      </c>
      <c r="E152" t="s">
        <v>93</v>
      </c>
      <c r="F152" t="s">
        <v>94</v>
      </c>
      <c r="G152" s="2">
        <v>0</v>
      </c>
      <c r="H152" s="2">
        <v>0</v>
      </c>
      <c r="I152" s="2">
        <v>0</v>
      </c>
      <c r="J152" s="2">
        <v>105.00000000000001</v>
      </c>
      <c r="K152" s="2">
        <v>105.00000000000001</v>
      </c>
      <c r="L152" s="2" t="str">
        <f>_xlfn.XLOOKUP(Data_Nhập[[#This Row],[Main SKU]],MD_Main_SKU[Main SKU],MD_Main_SKU[SKU name_gom])</f>
        <v>WSS01</v>
      </c>
      <c r="M152" s="2" t="str">
        <f>_xlfn.XLOOKUP(Data_Nhập[[#This Row],[Material-Nhập]],MD_Main_SKU[Main SKU],MD_Main_SKU[SKU name_gom])</f>
        <v>Phó sản</v>
      </c>
    </row>
    <row r="153" spans="1:13" x14ac:dyDescent="0.35">
      <c r="A153">
        <v>2024</v>
      </c>
      <c r="B153">
        <v>4</v>
      </c>
      <c r="C153" t="s">
        <v>24</v>
      </c>
      <c r="D153" t="s">
        <v>25</v>
      </c>
      <c r="E153" t="s">
        <v>20</v>
      </c>
      <c r="F153" t="s">
        <v>21</v>
      </c>
      <c r="G153" s="2">
        <v>0</v>
      </c>
      <c r="H153" s="2">
        <v>7700</v>
      </c>
      <c r="I153" s="2">
        <v>7700</v>
      </c>
      <c r="J153" s="2">
        <v>0</v>
      </c>
      <c r="K153" s="2">
        <v>7700</v>
      </c>
      <c r="L153" s="2" t="str">
        <f>_xlfn.XLOOKUP(Data_Nhập[[#This Row],[Main SKU]],MD_Main_SKU[Main SKU],MD_Main_SKU[SKU name_gom])</f>
        <v>WSS01</v>
      </c>
      <c r="M153" s="2" t="str">
        <f>_xlfn.XLOOKUP(Data_Nhập[[#This Row],[Material-Nhập]],MD_Main_SKU[Main SKU],MD_Main_SKU[SKU name_gom])</f>
        <v>WSS02</v>
      </c>
    </row>
    <row r="154" spans="1:13" x14ac:dyDescent="0.35">
      <c r="A154">
        <v>2024</v>
      </c>
      <c r="B154">
        <v>4</v>
      </c>
      <c r="C154" t="s">
        <v>24</v>
      </c>
      <c r="D154" t="s">
        <v>25</v>
      </c>
      <c r="E154" t="s">
        <v>22</v>
      </c>
      <c r="F154" t="s">
        <v>23</v>
      </c>
      <c r="G154" s="2">
        <v>0</v>
      </c>
      <c r="H154" s="2">
        <v>6600</v>
      </c>
      <c r="I154" s="2">
        <v>6600</v>
      </c>
      <c r="J154" s="2">
        <v>0</v>
      </c>
      <c r="K154" s="2">
        <v>6600</v>
      </c>
      <c r="L154" s="2" t="str">
        <f>_xlfn.XLOOKUP(Data_Nhập[[#This Row],[Main SKU]],MD_Main_SKU[Main SKU],MD_Main_SKU[SKU name_gom])</f>
        <v>WSS01</v>
      </c>
      <c r="M154" s="2" t="str">
        <f>_xlfn.XLOOKUP(Data_Nhập[[#This Row],[Material-Nhập]],MD_Main_SKU[Main SKU],MD_Main_SKU[SKU name_gom])</f>
        <v>WSS03</v>
      </c>
    </row>
    <row r="155" spans="1:13" x14ac:dyDescent="0.35">
      <c r="A155">
        <v>2024</v>
      </c>
      <c r="B155">
        <v>4</v>
      </c>
      <c r="C155" t="s">
        <v>24</v>
      </c>
      <c r="D155" t="s">
        <v>25</v>
      </c>
      <c r="E155" t="s">
        <v>24</v>
      </c>
      <c r="F155" t="s">
        <v>25</v>
      </c>
      <c r="G155" s="2">
        <v>346500</v>
      </c>
      <c r="H155" s="2">
        <v>0</v>
      </c>
      <c r="I155" s="2">
        <v>346500</v>
      </c>
      <c r="J155" s="2">
        <v>0</v>
      </c>
      <c r="K155" s="2">
        <v>346500</v>
      </c>
      <c r="L155" s="2" t="str">
        <f>_xlfn.XLOOKUP(Data_Nhập[[#This Row],[Main SKU]],MD_Main_SKU[Main SKU],MD_Main_SKU[SKU name_gom])</f>
        <v>WSS01</v>
      </c>
      <c r="M155" s="2" t="str">
        <f>_xlfn.XLOOKUP(Data_Nhập[[#This Row],[Material-Nhập]],MD_Main_SKU[Main SKU],MD_Main_SKU[SKU name_gom])</f>
        <v>WSS01</v>
      </c>
    </row>
    <row r="156" spans="1:13" x14ac:dyDescent="0.35">
      <c r="A156">
        <v>2024</v>
      </c>
      <c r="B156">
        <v>4</v>
      </c>
      <c r="C156" t="s">
        <v>24</v>
      </c>
      <c r="D156" t="s">
        <v>25</v>
      </c>
      <c r="E156" t="s">
        <v>26</v>
      </c>
      <c r="F156" t="s">
        <v>27</v>
      </c>
      <c r="G156" s="2">
        <v>0</v>
      </c>
      <c r="H156" s="2">
        <v>18700</v>
      </c>
      <c r="I156" s="2">
        <v>18700</v>
      </c>
      <c r="J156" s="2">
        <v>0</v>
      </c>
      <c r="K156" s="2">
        <v>18700</v>
      </c>
      <c r="L156" s="2" t="str">
        <f>_xlfn.XLOOKUP(Data_Nhập[[#This Row],[Main SKU]],MD_Main_SKU[Main SKU],MD_Main_SKU[SKU name_gom])</f>
        <v>WSS01</v>
      </c>
      <c r="M156" s="2" t="str">
        <f>_xlfn.XLOOKUP(Data_Nhập[[#This Row],[Material-Nhập]],MD_Main_SKU[Main SKU],MD_Main_SKU[SKU name_gom])</f>
        <v>iSS01</v>
      </c>
    </row>
    <row r="157" spans="1:13" x14ac:dyDescent="0.35">
      <c r="A157">
        <v>2024</v>
      </c>
      <c r="B157">
        <v>4</v>
      </c>
      <c r="C157" t="s">
        <v>24</v>
      </c>
      <c r="D157" t="s">
        <v>25</v>
      </c>
      <c r="E157" t="s">
        <v>85</v>
      </c>
      <c r="F157" t="s">
        <v>86</v>
      </c>
      <c r="G157" s="2">
        <v>0</v>
      </c>
      <c r="H157" s="2">
        <v>0</v>
      </c>
      <c r="I157" s="2">
        <v>0</v>
      </c>
      <c r="J157" s="2">
        <v>2355</v>
      </c>
      <c r="K157" s="2">
        <v>2355</v>
      </c>
      <c r="L157" s="2" t="str">
        <f>_xlfn.XLOOKUP(Data_Nhập[[#This Row],[Main SKU]],MD_Main_SKU[Main SKU],MD_Main_SKU[SKU name_gom])</f>
        <v>WSS01</v>
      </c>
      <c r="M157" s="2" t="str">
        <f>_xlfn.XLOOKUP(Data_Nhập[[#This Row],[Material-Nhập]],MD_Main_SKU[Main SKU],MD_Main_SKU[SKU name_gom])</f>
        <v>Phó sản</v>
      </c>
    </row>
    <row r="158" spans="1:13" x14ac:dyDescent="0.35">
      <c r="A158">
        <v>2024</v>
      </c>
      <c r="B158">
        <v>4</v>
      </c>
      <c r="C158" t="s">
        <v>24</v>
      </c>
      <c r="D158" t="s">
        <v>25</v>
      </c>
      <c r="E158" t="s">
        <v>87</v>
      </c>
      <c r="F158" t="s">
        <v>88</v>
      </c>
      <c r="G158" s="2">
        <v>0</v>
      </c>
      <c r="H158" s="2">
        <v>0</v>
      </c>
      <c r="I158" s="2">
        <v>0</v>
      </c>
      <c r="J158" s="2">
        <v>6720.9999999999991</v>
      </c>
      <c r="K158" s="2">
        <v>6720.9999999999991</v>
      </c>
      <c r="L158" s="2" t="str">
        <f>_xlfn.XLOOKUP(Data_Nhập[[#This Row],[Main SKU]],MD_Main_SKU[Main SKU],MD_Main_SKU[SKU name_gom])</f>
        <v>WSS01</v>
      </c>
      <c r="M158" s="2" t="str">
        <f>_xlfn.XLOOKUP(Data_Nhập[[#This Row],[Material-Nhập]],MD_Main_SKU[Main SKU],MD_Main_SKU[SKU name_gom])</f>
        <v>Phó sản</v>
      </c>
    </row>
    <row r="159" spans="1:13" x14ac:dyDescent="0.35">
      <c r="A159">
        <v>2024</v>
      </c>
      <c r="B159">
        <v>4</v>
      </c>
      <c r="C159" t="s">
        <v>24</v>
      </c>
      <c r="D159" t="s">
        <v>25</v>
      </c>
      <c r="E159" t="s">
        <v>89</v>
      </c>
      <c r="F159" t="s">
        <v>90</v>
      </c>
      <c r="G159" s="2">
        <v>0</v>
      </c>
      <c r="H159" s="2">
        <v>0</v>
      </c>
      <c r="I159" s="2">
        <v>0</v>
      </c>
      <c r="J159" s="2">
        <v>2298.9999999999995</v>
      </c>
      <c r="K159" s="2">
        <v>2298.9999999999995</v>
      </c>
      <c r="L159" s="2" t="str">
        <f>_xlfn.XLOOKUP(Data_Nhập[[#This Row],[Main SKU]],MD_Main_SKU[Main SKU],MD_Main_SKU[SKU name_gom])</f>
        <v>WSS01</v>
      </c>
      <c r="M159" s="2" t="str">
        <f>_xlfn.XLOOKUP(Data_Nhập[[#This Row],[Material-Nhập]],MD_Main_SKU[Main SKU],MD_Main_SKU[SKU name_gom])</f>
        <v>Phó sản</v>
      </c>
    </row>
    <row r="160" spans="1:13" x14ac:dyDescent="0.35">
      <c r="A160">
        <v>2024</v>
      </c>
      <c r="B160">
        <v>4</v>
      </c>
      <c r="C160" t="s">
        <v>24</v>
      </c>
      <c r="D160" t="s">
        <v>25</v>
      </c>
      <c r="E160" t="s">
        <v>91</v>
      </c>
      <c r="F160" t="s">
        <v>92</v>
      </c>
      <c r="G160" s="2">
        <v>0</v>
      </c>
      <c r="H160" s="2">
        <v>0</v>
      </c>
      <c r="I160" s="2">
        <v>0</v>
      </c>
      <c r="J160" s="2">
        <v>1100</v>
      </c>
      <c r="K160" s="2">
        <v>1100</v>
      </c>
      <c r="L160" s="2" t="str">
        <f>_xlfn.XLOOKUP(Data_Nhập[[#This Row],[Main SKU]],MD_Main_SKU[Main SKU],MD_Main_SKU[SKU name_gom])</f>
        <v>WSS01</v>
      </c>
      <c r="M160" s="2" t="str">
        <f>_xlfn.XLOOKUP(Data_Nhập[[#This Row],[Material-Nhập]],MD_Main_SKU[Main SKU],MD_Main_SKU[SKU name_gom])</f>
        <v>Phó sản</v>
      </c>
    </row>
    <row r="161" spans="1:13" x14ac:dyDescent="0.35">
      <c r="A161">
        <v>2024</v>
      </c>
      <c r="B161">
        <v>4</v>
      </c>
      <c r="C161" t="s">
        <v>24</v>
      </c>
      <c r="D161" t="s">
        <v>25</v>
      </c>
      <c r="E161" t="s">
        <v>93</v>
      </c>
      <c r="F161" t="s">
        <v>94</v>
      </c>
      <c r="G161" s="2">
        <v>0</v>
      </c>
      <c r="H161" s="2">
        <v>0</v>
      </c>
      <c r="I161" s="2">
        <v>0</v>
      </c>
      <c r="J161" s="2">
        <v>57.000000000000007</v>
      </c>
      <c r="K161" s="2">
        <v>57.000000000000007</v>
      </c>
      <c r="L161" s="2" t="str">
        <f>_xlfn.XLOOKUP(Data_Nhập[[#This Row],[Main SKU]],MD_Main_SKU[Main SKU],MD_Main_SKU[SKU name_gom])</f>
        <v>WSS01</v>
      </c>
      <c r="M161" s="2" t="str">
        <f>_xlfn.XLOOKUP(Data_Nhập[[#This Row],[Material-Nhập]],MD_Main_SKU[Main SKU],MD_Main_SKU[SKU name_gom])</f>
        <v>Phó sản</v>
      </c>
    </row>
    <row r="162" spans="1:13" x14ac:dyDescent="0.35">
      <c r="A162">
        <v>2024</v>
      </c>
      <c r="B162">
        <v>5</v>
      </c>
      <c r="C162" t="s">
        <v>8</v>
      </c>
      <c r="D162" t="s">
        <v>9</v>
      </c>
      <c r="E162" t="s">
        <v>8</v>
      </c>
      <c r="F162" t="s">
        <v>9</v>
      </c>
      <c r="G162" s="2">
        <v>27500</v>
      </c>
      <c r="H162" s="2">
        <v>0</v>
      </c>
      <c r="I162" s="2">
        <v>27500</v>
      </c>
      <c r="J162" s="2">
        <v>0</v>
      </c>
      <c r="K162" s="2">
        <v>27500</v>
      </c>
      <c r="L162" s="2" t="str">
        <f>_xlfn.XLOOKUP(Data_Nhập[[#This Row],[Main SKU]],MD_Main_SKU[Main SKU],MD_Main_SKU[SKU name_gom])</f>
        <v>WSS01</v>
      </c>
      <c r="M162" s="2" t="str">
        <f>_xlfn.XLOOKUP(Data_Nhập[[#This Row],[Material-Nhập]],MD_Main_SKU[Main SKU],MD_Main_SKU[SKU name_gom])</f>
        <v>WSS01</v>
      </c>
    </row>
    <row r="163" spans="1:13" x14ac:dyDescent="0.35">
      <c r="A163">
        <v>2024</v>
      </c>
      <c r="B163">
        <v>5</v>
      </c>
      <c r="C163" t="s">
        <v>8</v>
      </c>
      <c r="D163" t="s">
        <v>9</v>
      </c>
      <c r="E163" t="s">
        <v>10</v>
      </c>
      <c r="F163" t="s">
        <v>11</v>
      </c>
      <c r="G163" s="2">
        <v>0</v>
      </c>
      <c r="H163" s="2">
        <v>7700</v>
      </c>
      <c r="I163" s="2">
        <v>7700</v>
      </c>
      <c r="J163" s="2">
        <v>0</v>
      </c>
      <c r="K163" s="2">
        <v>7700</v>
      </c>
      <c r="L163" s="2" t="str">
        <f>_xlfn.XLOOKUP(Data_Nhập[[#This Row],[Main SKU]],MD_Main_SKU[Main SKU],MD_Main_SKU[SKU name_gom])</f>
        <v>WSS01</v>
      </c>
      <c r="M163" s="2" t="str">
        <f>_xlfn.XLOOKUP(Data_Nhập[[#This Row],[Material-Nhập]],MD_Main_SKU[Main SKU],MD_Main_SKU[SKU name_gom])</f>
        <v>WSS02</v>
      </c>
    </row>
    <row r="164" spans="1:13" x14ac:dyDescent="0.35">
      <c r="A164">
        <v>2024</v>
      </c>
      <c r="B164">
        <v>5</v>
      </c>
      <c r="C164" t="s">
        <v>8</v>
      </c>
      <c r="D164" t="s">
        <v>9</v>
      </c>
      <c r="E164" t="s">
        <v>85</v>
      </c>
      <c r="F164" t="s">
        <v>86</v>
      </c>
      <c r="G164" s="2">
        <v>0</v>
      </c>
      <c r="H164" s="2">
        <v>0</v>
      </c>
      <c r="I164" s="2">
        <v>0</v>
      </c>
      <c r="J164" s="2">
        <v>1900</v>
      </c>
      <c r="K164" s="2">
        <v>1900</v>
      </c>
      <c r="L164" s="2" t="str">
        <f>_xlfn.XLOOKUP(Data_Nhập[[#This Row],[Main SKU]],MD_Main_SKU[Main SKU],MD_Main_SKU[SKU name_gom])</f>
        <v>WSS01</v>
      </c>
      <c r="M164" s="2" t="str">
        <f>_xlfn.XLOOKUP(Data_Nhập[[#This Row],[Material-Nhập]],MD_Main_SKU[Main SKU],MD_Main_SKU[SKU name_gom])</f>
        <v>Phó sản</v>
      </c>
    </row>
    <row r="165" spans="1:13" x14ac:dyDescent="0.35">
      <c r="A165">
        <v>2024</v>
      </c>
      <c r="B165">
        <v>5</v>
      </c>
      <c r="C165" t="s">
        <v>8</v>
      </c>
      <c r="D165" t="s">
        <v>9</v>
      </c>
      <c r="E165" t="s">
        <v>87</v>
      </c>
      <c r="F165" t="s">
        <v>88</v>
      </c>
      <c r="G165" s="2">
        <v>0</v>
      </c>
      <c r="H165" s="2">
        <v>0</v>
      </c>
      <c r="I165" s="2">
        <v>0</v>
      </c>
      <c r="J165" s="2">
        <v>700</v>
      </c>
      <c r="K165" s="2">
        <v>700</v>
      </c>
      <c r="L165" s="2" t="str">
        <f>_xlfn.XLOOKUP(Data_Nhập[[#This Row],[Main SKU]],MD_Main_SKU[Main SKU],MD_Main_SKU[SKU name_gom])</f>
        <v>WSS01</v>
      </c>
      <c r="M165" s="2" t="str">
        <f>_xlfn.XLOOKUP(Data_Nhập[[#This Row],[Material-Nhập]],MD_Main_SKU[Main SKU],MD_Main_SKU[SKU name_gom])</f>
        <v>Phó sản</v>
      </c>
    </row>
    <row r="166" spans="1:13" x14ac:dyDescent="0.35">
      <c r="A166">
        <v>2024</v>
      </c>
      <c r="B166">
        <v>5</v>
      </c>
      <c r="C166" t="s">
        <v>8</v>
      </c>
      <c r="D166" t="s">
        <v>9</v>
      </c>
      <c r="E166" t="s">
        <v>89</v>
      </c>
      <c r="F166" t="s">
        <v>90</v>
      </c>
      <c r="G166" s="2">
        <v>0</v>
      </c>
      <c r="H166" s="2">
        <v>0</v>
      </c>
      <c r="I166" s="2">
        <v>0</v>
      </c>
      <c r="J166" s="2">
        <v>1660</v>
      </c>
      <c r="K166" s="2">
        <v>1660</v>
      </c>
      <c r="L166" s="2" t="str">
        <f>_xlfn.XLOOKUP(Data_Nhập[[#This Row],[Main SKU]],MD_Main_SKU[Main SKU],MD_Main_SKU[SKU name_gom])</f>
        <v>WSS01</v>
      </c>
      <c r="M166" s="2" t="str">
        <f>_xlfn.XLOOKUP(Data_Nhập[[#This Row],[Material-Nhập]],MD_Main_SKU[Main SKU],MD_Main_SKU[SKU name_gom])</f>
        <v>Phó sản</v>
      </c>
    </row>
    <row r="167" spans="1:13" x14ac:dyDescent="0.35">
      <c r="A167">
        <v>2024</v>
      </c>
      <c r="B167">
        <v>5</v>
      </c>
      <c r="C167" t="s">
        <v>8</v>
      </c>
      <c r="D167" t="s">
        <v>9</v>
      </c>
      <c r="E167" t="s">
        <v>93</v>
      </c>
      <c r="F167" t="s">
        <v>94</v>
      </c>
      <c r="G167" s="2">
        <v>0</v>
      </c>
      <c r="H167" s="2">
        <v>0</v>
      </c>
      <c r="I167" s="2">
        <v>0</v>
      </c>
      <c r="J167" s="2">
        <v>8.1</v>
      </c>
      <c r="K167" s="2">
        <v>8.1</v>
      </c>
      <c r="L167" s="2" t="str">
        <f>_xlfn.XLOOKUP(Data_Nhập[[#This Row],[Main SKU]],MD_Main_SKU[Main SKU],MD_Main_SKU[SKU name_gom])</f>
        <v>WSS01</v>
      </c>
      <c r="M167" s="2" t="str">
        <f>_xlfn.XLOOKUP(Data_Nhập[[#This Row],[Material-Nhập]],MD_Main_SKU[Main SKU],MD_Main_SKU[SKU name_gom])</f>
        <v>Phó sản</v>
      </c>
    </row>
    <row r="168" spans="1:13" x14ac:dyDescent="0.35">
      <c r="A168">
        <v>2024</v>
      </c>
      <c r="B168">
        <v>5</v>
      </c>
      <c r="C168" t="s">
        <v>14</v>
      </c>
      <c r="D168" t="s">
        <v>15</v>
      </c>
      <c r="E168" t="s">
        <v>14</v>
      </c>
      <c r="F168" t="s">
        <v>15</v>
      </c>
      <c r="G168" s="2">
        <v>196900</v>
      </c>
      <c r="H168" s="2">
        <v>0</v>
      </c>
      <c r="I168" s="2">
        <v>196900</v>
      </c>
      <c r="J168" s="2">
        <v>0</v>
      </c>
      <c r="K168" s="2">
        <v>196900</v>
      </c>
      <c r="L168" s="2" t="str">
        <f>_xlfn.XLOOKUP(Data_Nhập[[#This Row],[Main SKU]],MD_Main_SKU[Main SKU],MD_Main_SKU[SKU name_gom])</f>
        <v>iSS01084</v>
      </c>
      <c r="M168" s="2" t="str">
        <f>_xlfn.XLOOKUP(Data_Nhập[[#This Row],[Material-Nhập]],MD_Main_SKU[Main SKU],MD_Main_SKU[SKU name_gom])</f>
        <v>iSS01084</v>
      </c>
    </row>
    <row r="169" spans="1:13" x14ac:dyDescent="0.35">
      <c r="A169">
        <v>2024</v>
      </c>
      <c r="B169">
        <v>5</v>
      </c>
      <c r="C169" t="s">
        <v>14</v>
      </c>
      <c r="D169" t="s">
        <v>15</v>
      </c>
      <c r="E169" t="s">
        <v>12</v>
      </c>
      <c r="F169" t="s">
        <v>13</v>
      </c>
      <c r="G169" s="2">
        <v>0</v>
      </c>
      <c r="H169" s="2">
        <v>1100</v>
      </c>
      <c r="I169" s="2">
        <v>1100</v>
      </c>
      <c r="J169" s="2">
        <v>0</v>
      </c>
      <c r="K169" s="2">
        <v>1100</v>
      </c>
      <c r="L169" s="2" t="str">
        <f>_xlfn.XLOOKUP(Data_Nhập[[#This Row],[Main SKU]],MD_Main_SKU[Main SKU],MD_Main_SKU[SKU name_gom])</f>
        <v>iSS01084</v>
      </c>
      <c r="M169" s="2" t="str">
        <f>_xlfn.XLOOKUP(Data_Nhập[[#This Row],[Material-Nhập]],MD_Main_SKU[Main SKU],MD_Main_SKU[SKU name_gom])</f>
        <v>WSS03</v>
      </c>
    </row>
    <row r="170" spans="1:13" x14ac:dyDescent="0.35">
      <c r="A170">
        <v>2024</v>
      </c>
      <c r="B170">
        <v>5</v>
      </c>
      <c r="C170" t="s">
        <v>14</v>
      </c>
      <c r="D170" t="s">
        <v>15</v>
      </c>
      <c r="E170" t="s">
        <v>18</v>
      </c>
      <c r="F170" t="s">
        <v>19</v>
      </c>
      <c r="G170" s="2">
        <v>0</v>
      </c>
      <c r="H170" s="2">
        <v>42900</v>
      </c>
      <c r="I170" s="2">
        <v>42900</v>
      </c>
      <c r="J170" s="2">
        <v>0</v>
      </c>
      <c r="K170" s="2">
        <v>42900</v>
      </c>
      <c r="L170" s="2" t="str">
        <f>_xlfn.XLOOKUP(Data_Nhập[[#This Row],[Main SKU]],MD_Main_SKU[Main SKU],MD_Main_SKU[SKU name_gom])</f>
        <v>iSS01084</v>
      </c>
      <c r="M170" s="2" t="str">
        <f>_xlfn.XLOOKUP(Data_Nhập[[#This Row],[Material-Nhập]],MD_Main_SKU[Main SKU],MD_Main_SKU[SKU name_gom])</f>
        <v>iSS01</v>
      </c>
    </row>
    <row r="171" spans="1:13" x14ac:dyDescent="0.35">
      <c r="A171">
        <v>2024</v>
      </c>
      <c r="B171">
        <v>5</v>
      </c>
      <c r="C171" t="s">
        <v>14</v>
      </c>
      <c r="D171" t="s">
        <v>15</v>
      </c>
      <c r="E171" t="s">
        <v>20</v>
      </c>
      <c r="F171" t="s">
        <v>21</v>
      </c>
      <c r="G171" s="2">
        <v>0</v>
      </c>
      <c r="H171" s="2">
        <v>4400</v>
      </c>
      <c r="I171" s="2">
        <v>4400</v>
      </c>
      <c r="J171" s="2">
        <v>0</v>
      </c>
      <c r="K171" s="2">
        <v>4400</v>
      </c>
      <c r="L171" s="2" t="str">
        <f>_xlfn.XLOOKUP(Data_Nhập[[#This Row],[Main SKU]],MD_Main_SKU[Main SKU],MD_Main_SKU[SKU name_gom])</f>
        <v>iSS01084</v>
      </c>
      <c r="M171" s="2" t="str">
        <f>_xlfn.XLOOKUP(Data_Nhập[[#This Row],[Material-Nhập]],MD_Main_SKU[Main SKU],MD_Main_SKU[SKU name_gom])</f>
        <v>WSS02</v>
      </c>
    </row>
    <row r="172" spans="1:13" x14ac:dyDescent="0.35">
      <c r="A172">
        <v>2024</v>
      </c>
      <c r="B172">
        <v>5</v>
      </c>
      <c r="C172" t="s">
        <v>14</v>
      </c>
      <c r="D172" t="s">
        <v>15</v>
      </c>
      <c r="E172" t="s">
        <v>22</v>
      </c>
      <c r="F172" t="s">
        <v>23</v>
      </c>
      <c r="G172" s="2">
        <v>0</v>
      </c>
      <c r="H172" s="2">
        <v>4400</v>
      </c>
      <c r="I172" s="2">
        <v>4400</v>
      </c>
      <c r="J172" s="2">
        <v>0</v>
      </c>
      <c r="K172" s="2">
        <v>4400</v>
      </c>
      <c r="L172" s="2" t="str">
        <f>_xlfn.XLOOKUP(Data_Nhập[[#This Row],[Main SKU]],MD_Main_SKU[Main SKU],MD_Main_SKU[SKU name_gom])</f>
        <v>iSS01084</v>
      </c>
      <c r="M172" s="2" t="str">
        <f>_xlfn.XLOOKUP(Data_Nhập[[#This Row],[Material-Nhập]],MD_Main_SKU[Main SKU],MD_Main_SKU[SKU name_gom])</f>
        <v>WSS03</v>
      </c>
    </row>
    <row r="173" spans="1:13" x14ac:dyDescent="0.35">
      <c r="A173">
        <v>2024</v>
      </c>
      <c r="B173">
        <v>5</v>
      </c>
      <c r="C173" t="s">
        <v>14</v>
      </c>
      <c r="D173" t="s">
        <v>15</v>
      </c>
      <c r="E173" t="s">
        <v>85</v>
      </c>
      <c r="F173" t="s">
        <v>86</v>
      </c>
      <c r="G173" s="2">
        <v>0</v>
      </c>
      <c r="H173" s="2">
        <v>0</v>
      </c>
      <c r="I173" s="2">
        <v>0</v>
      </c>
      <c r="J173" s="2">
        <v>3699</v>
      </c>
      <c r="K173" s="2">
        <v>3699</v>
      </c>
      <c r="L173" s="2" t="str">
        <f>_xlfn.XLOOKUP(Data_Nhập[[#This Row],[Main SKU]],MD_Main_SKU[Main SKU],MD_Main_SKU[SKU name_gom])</f>
        <v>iSS01084</v>
      </c>
      <c r="M173" s="2" t="str">
        <f>_xlfn.XLOOKUP(Data_Nhập[[#This Row],[Material-Nhập]],MD_Main_SKU[Main SKU],MD_Main_SKU[SKU name_gom])</f>
        <v>Phó sản</v>
      </c>
    </row>
    <row r="174" spans="1:13" x14ac:dyDescent="0.35">
      <c r="A174">
        <v>2024</v>
      </c>
      <c r="B174">
        <v>5</v>
      </c>
      <c r="C174" t="s">
        <v>14</v>
      </c>
      <c r="D174" t="s">
        <v>15</v>
      </c>
      <c r="E174" t="s">
        <v>87</v>
      </c>
      <c r="F174" t="s">
        <v>88</v>
      </c>
      <c r="G174" s="2">
        <v>0</v>
      </c>
      <c r="H174" s="2">
        <v>0</v>
      </c>
      <c r="I174" s="2">
        <v>0</v>
      </c>
      <c r="J174" s="2">
        <v>3595</v>
      </c>
      <c r="K174" s="2">
        <v>3595</v>
      </c>
      <c r="L174" s="2" t="str">
        <f>_xlfn.XLOOKUP(Data_Nhập[[#This Row],[Main SKU]],MD_Main_SKU[Main SKU],MD_Main_SKU[SKU name_gom])</f>
        <v>iSS01084</v>
      </c>
      <c r="M174" s="2" t="str">
        <f>_xlfn.XLOOKUP(Data_Nhập[[#This Row],[Material-Nhập]],MD_Main_SKU[Main SKU],MD_Main_SKU[SKU name_gom])</f>
        <v>Phó sản</v>
      </c>
    </row>
    <row r="175" spans="1:13" x14ac:dyDescent="0.35">
      <c r="A175">
        <v>2024</v>
      </c>
      <c r="B175">
        <v>5</v>
      </c>
      <c r="C175" t="s">
        <v>14</v>
      </c>
      <c r="D175" t="s">
        <v>15</v>
      </c>
      <c r="E175" t="s">
        <v>89</v>
      </c>
      <c r="F175" t="s">
        <v>90</v>
      </c>
      <c r="G175" s="2">
        <v>0</v>
      </c>
      <c r="H175" s="2">
        <v>0</v>
      </c>
      <c r="I175" s="2">
        <v>0</v>
      </c>
      <c r="J175" s="2">
        <v>1646.9999999999998</v>
      </c>
      <c r="K175" s="2">
        <v>1646.9999999999998</v>
      </c>
      <c r="L175" s="2" t="str">
        <f>_xlfn.XLOOKUP(Data_Nhập[[#This Row],[Main SKU]],MD_Main_SKU[Main SKU],MD_Main_SKU[SKU name_gom])</f>
        <v>iSS01084</v>
      </c>
      <c r="M175" s="2" t="str">
        <f>_xlfn.XLOOKUP(Data_Nhập[[#This Row],[Material-Nhập]],MD_Main_SKU[Main SKU],MD_Main_SKU[SKU name_gom])</f>
        <v>Phó sản</v>
      </c>
    </row>
    <row r="176" spans="1:13" x14ac:dyDescent="0.35">
      <c r="A176">
        <v>2024</v>
      </c>
      <c r="B176">
        <v>5</v>
      </c>
      <c r="C176" t="s">
        <v>14</v>
      </c>
      <c r="D176" t="s">
        <v>15</v>
      </c>
      <c r="E176" t="s">
        <v>91</v>
      </c>
      <c r="F176" t="s">
        <v>92</v>
      </c>
      <c r="G176" s="2">
        <v>0</v>
      </c>
      <c r="H176" s="2">
        <v>0</v>
      </c>
      <c r="I176" s="2">
        <v>0</v>
      </c>
      <c r="J176" s="2">
        <v>1100</v>
      </c>
      <c r="K176" s="2">
        <v>1100</v>
      </c>
      <c r="L176" s="2" t="str">
        <f>_xlfn.XLOOKUP(Data_Nhập[[#This Row],[Main SKU]],MD_Main_SKU[Main SKU],MD_Main_SKU[SKU name_gom])</f>
        <v>iSS01084</v>
      </c>
      <c r="M176" s="2" t="str">
        <f>_xlfn.XLOOKUP(Data_Nhập[[#This Row],[Material-Nhập]],MD_Main_SKU[Main SKU],MD_Main_SKU[SKU name_gom])</f>
        <v>Phó sản</v>
      </c>
    </row>
    <row r="177" spans="1:13" x14ac:dyDescent="0.35">
      <c r="A177">
        <v>2024</v>
      </c>
      <c r="B177">
        <v>5</v>
      </c>
      <c r="C177" t="s">
        <v>14</v>
      </c>
      <c r="D177" t="s">
        <v>15</v>
      </c>
      <c r="E177" t="s">
        <v>93</v>
      </c>
      <c r="F177" t="s">
        <v>94</v>
      </c>
      <c r="G177" s="2">
        <v>0</v>
      </c>
      <c r="H177" s="2">
        <v>0</v>
      </c>
      <c r="I177" s="2">
        <v>0</v>
      </c>
      <c r="J177" s="2">
        <v>43.5</v>
      </c>
      <c r="K177" s="2">
        <v>43.5</v>
      </c>
      <c r="L177" s="2" t="str">
        <f>_xlfn.XLOOKUP(Data_Nhập[[#This Row],[Main SKU]],MD_Main_SKU[Main SKU],MD_Main_SKU[SKU name_gom])</f>
        <v>iSS01084</v>
      </c>
      <c r="M177" s="2" t="str">
        <f>_xlfn.XLOOKUP(Data_Nhập[[#This Row],[Material-Nhập]],MD_Main_SKU[Main SKU],MD_Main_SKU[SKU name_gom])</f>
        <v>Phó sản</v>
      </c>
    </row>
    <row r="178" spans="1:13" x14ac:dyDescent="0.35">
      <c r="A178">
        <v>2024</v>
      </c>
      <c r="B178">
        <v>5</v>
      </c>
      <c r="C178" t="s">
        <v>16</v>
      </c>
      <c r="D178" t="s">
        <v>17</v>
      </c>
      <c r="E178" t="s">
        <v>16</v>
      </c>
      <c r="F178" t="s">
        <v>17</v>
      </c>
      <c r="G178" s="2">
        <v>2633400.0000000005</v>
      </c>
      <c r="H178" s="2">
        <v>0</v>
      </c>
      <c r="I178" s="2">
        <v>2633400.0000000005</v>
      </c>
      <c r="J178" s="2">
        <v>0</v>
      </c>
      <c r="K178" s="2">
        <v>2633400.0000000005</v>
      </c>
      <c r="L178" s="2" t="str">
        <f>_xlfn.XLOOKUP(Data_Nhập[[#This Row],[Main SKU]],MD_Main_SKU[Main SKU],MD_Main_SKU[SKU name_gom])</f>
        <v>WSS01</v>
      </c>
      <c r="M178" s="2" t="str">
        <f>_xlfn.XLOOKUP(Data_Nhập[[#This Row],[Material-Nhập]],MD_Main_SKU[Main SKU],MD_Main_SKU[SKU name_gom])</f>
        <v>WSS01</v>
      </c>
    </row>
    <row r="179" spans="1:13" x14ac:dyDescent="0.35">
      <c r="A179">
        <v>2024</v>
      </c>
      <c r="B179">
        <v>5</v>
      </c>
      <c r="C179" t="s">
        <v>16</v>
      </c>
      <c r="D179" t="s">
        <v>17</v>
      </c>
      <c r="E179" t="s">
        <v>18</v>
      </c>
      <c r="F179" t="s">
        <v>19</v>
      </c>
      <c r="G179" s="2">
        <v>0</v>
      </c>
      <c r="H179" s="2">
        <v>378400</v>
      </c>
      <c r="I179" s="2">
        <v>378400</v>
      </c>
      <c r="J179" s="2">
        <v>0</v>
      </c>
      <c r="K179" s="2">
        <v>378400</v>
      </c>
      <c r="L179" s="2" t="str">
        <f>_xlfn.XLOOKUP(Data_Nhập[[#This Row],[Main SKU]],MD_Main_SKU[Main SKU],MD_Main_SKU[SKU name_gom])</f>
        <v>WSS01</v>
      </c>
      <c r="M179" s="2" t="str">
        <f>_xlfn.XLOOKUP(Data_Nhập[[#This Row],[Material-Nhập]],MD_Main_SKU[Main SKU],MD_Main_SKU[SKU name_gom])</f>
        <v>iSS01</v>
      </c>
    </row>
    <row r="180" spans="1:13" x14ac:dyDescent="0.35">
      <c r="A180">
        <v>2024</v>
      </c>
      <c r="B180">
        <v>5</v>
      </c>
      <c r="C180" t="s">
        <v>16</v>
      </c>
      <c r="D180" t="s">
        <v>17</v>
      </c>
      <c r="E180" t="s">
        <v>20</v>
      </c>
      <c r="F180" t="s">
        <v>21</v>
      </c>
      <c r="G180" s="2">
        <v>0</v>
      </c>
      <c r="H180" s="2">
        <v>154000</v>
      </c>
      <c r="I180" s="2">
        <v>154000</v>
      </c>
      <c r="J180" s="2">
        <v>0</v>
      </c>
      <c r="K180" s="2">
        <v>154000</v>
      </c>
      <c r="L180" s="2" t="str">
        <f>_xlfn.XLOOKUP(Data_Nhập[[#This Row],[Main SKU]],MD_Main_SKU[Main SKU],MD_Main_SKU[SKU name_gom])</f>
        <v>WSS01</v>
      </c>
      <c r="M180" s="2" t="str">
        <f>_xlfn.XLOOKUP(Data_Nhập[[#This Row],[Material-Nhập]],MD_Main_SKU[Main SKU],MD_Main_SKU[SKU name_gom])</f>
        <v>WSS02</v>
      </c>
    </row>
    <row r="181" spans="1:13" x14ac:dyDescent="0.35">
      <c r="A181">
        <v>2024</v>
      </c>
      <c r="B181">
        <v>5</v>
      </c>
      <c r="C181" t="s">
        <v>16</v>
      </c>
      <c r="D181" t="s">
        <v>17</v>
      </c>
      <c r="E181" t="s">
        <v>22</v>
      </c>
      <c r="F181" t="s">
        <v>23</v>
      </c>
      <c r="G181" s="2">
        <v>0</v>
      </c>
      <c r="H181" s="2">
        <v>173799.99999999994</v>
      </c>
      <c r="I181" s="2">
        <v>173799.99999999994</v>
      </c>
      <c r="J181" s="2">
        <v>0</v>
      </c>
      <c r="K181" s="2">
        <v>173799.99999999994</v>
      </c>
      <c r="L181" s="2" t="str">
        <f>_xlfn.XLOOKUP(Data_Nhập[[#This Row],[Main SKU]],MD_Main_SKU[Main SKU],MD_Main_SKU[SKU name_gom])</f>
        <v>WSS01</v>
      </c>
      <c r="M181" s="2" t="str">
        <f>_xlfn.XLOOKUP(Data_Nhập[[#This Row],[Material-Nhập]],MD_Main_SKU[Main SKU],MD_Main_SKU[SKU name_gom])</f>
        <v>WSS03</v>
      </c>
    </row>
    <row r="182" spans="1:13" x14ac:dyDescent="0.35">
      <c r="A182">
        <v>2024</v>
      </c>
      <c r="B182">
        <v>5</v>
      </c>
      <c r="C182" t="s">
        <v>16</v>
      </c>
      <c r="D182" t="s">
        <v>17</v>
      </c>
      <c r="E182" t="s">
        <v>26</v>
      </c>
      <c r="F182" t="s">
        <v>27</v>
      </c>
      <c r="G182" s="2">
        <v>0</v>
      </c>
      <c r="H182" s="2">
        <v>39600</v>
      </c>
      <c r="I182" s="2">
        <v>39600</v>
      </c>
      <c r="J182" s="2">
        <v>0</v>
      </c>
      <c r="K182" s="2">
        <v>39600</v>
      </c>
      <c r="L182" s="2" t="str">
        <f>_xlfn.XLOOKUP(Data_Nhập[[#This Row],[Main SKU]],MD_Main_SKU[Main SKU],MD_Main_SKU[SKU name_gom])</f>
        <v>WSS01</v>
      </c>
      <c r="M182" s="2" t="str">
        <f>_xlfn.XLOOKUP(Data_Nhập[[#This Row],[Material-Nhập]],MD_Main_SKU[Main SKU],MD_Main_SKU[SKU name_gom])</f>
        <v>iSS01</v>
      </c>
    </row>
    <row r="183" spans="1:13" x14ac:dyDescent="0.35">
      <c r="A183">
        <v>2024</v>
      </c>
      <c r="B183">
        <v>5</v>
      </c>
      <c r="C183" t="s">
        <v>16</v>
      </c>
      <c r="D183" t="s">
        <v>17</v>
      </c>
      <c r="E183" t="s">
        <v>109</v>
      </c>
      <c r="F183" t="s">
        <v>110</v>
      </c>
      <c r="G183" s="2">
        <v>0</v>
      </c>
      <c r="H183" s="2">
        <v>0</v>
      </c>
      <c r="I183" s="2">
        <v>0</v>
      </c>
      <c r="J183" s="2">
        <v>3530.7</v>
      </c>
      <c r="K183" s="2">
        <v>3530.7</v>
      </c>
      <c r="L183" s="2" t="str">
        <f>_xlfn.XLOOKUP(Data_Nhập[[#This Row],[Main SKU]],MD_Main_SKU[Main SKU],MD_Main_SKU[SKU name_gom])</f>
        <v>WSS01</v>
      </c>
      <c r="M183" s="2" t="str">
        <f>_xlfn.XLOOKUP(Data_Nhập[[#This Row],[Material-Nhập]],MD_Main_SKU[Main SKU],MD_Main_SKU[SKU name_gom])</f>
        <v>Phó sản</v>
      </c>
    </row>
    <row r="184" spans="1:13" x14ac:dyDescent="0.35">
      <c r="A184">
        <v>2024</v>
      </c>
      <c r="B184">
        <v>5</v>
      </c>
      <c r="C184" t="s">
        <v>16</v>
      </c>
      <c r="D184" t="s">
        <v>17</v>
      </c>
      <c r="E184" t="s">
        <v>111</v>
      </c>
      <c r="F184" t="s">
        <v>112</v>
      </c>
      <c r="G184" s="2">
        <v>0</v>
      </c>
      <c r="H184" s="2">
        <v>0</v>
      </c>
      <c r="I184" s="2">
        <v>0</v>
      </c>
      <c r="J184" s="2">
        <v>8.1</v>
      </c>
      <c r="K184" s="2">
        <v>8.1</v>
      </c>
      <c r="L184" s="2" t="str">
        <f>_xlfn.XLOOKUP(Data_Nhập[[#This Row],[Main SKU]],MD_Main_SKU[Main SKU],MD_Main_SKU[SKU name_gom])</f>
        <v>WSS01</v>
      </c>
      <c r="M184" s="2" t="str">
        <f>_xlfn.XLOOKUP(Data_Nhập[[#This Row],[Material-Nhập]],MD_Main_SKU[Main SKU],MD_Main_SKU[SKU name_gom])</f>
        <v>Phó sản</v>
      </c>
    </row>
    <row r="185" spans="1:13" x14ac:dyDescent="0.35">
      <c r="A185">
        <v>2024</v>
      </c>
      <c r="B185">
        <v>5</v>
      </c>
      <c r="C185" t="s">
        <v>16</v>
      </c>
      <c r="D185" t="s">
        <v>17</v>
      </c>
      <c r="E185" t="s">
        <v>113</v>
      </c>
      <c r="F185" t="s">
        <v>114</v>
      </c>
      <c r="G185" s="2">
        <v>0</v>
      </c>
      <c r="H185" s="2">
        <v>0</v>
      </c>
      <c r="I185" s="2">
        <v>0</v>
      </c>
      <c r="J185" s="2">
        <v>9.4</v>
      </c>
      <c r="K185" s="2">
        <v>9.4</v>
      </c>
      <c r="L185" s="2" t="str">
        <f>_xlfn.XLOOKUP(Data_Nhập[[#This Row],[Main SKU]],MD_Main_SKU[Main SKU],MD_Main_SKU[SKU name_gom])</f>
        <v>WSS01</v>
      </c>
      <c r="M185" s="2" t="str">
        <f>_xlfn.XLOOKUP(Data_Nhập[[#This Row],[Material-Nhập]],MD_Main_SKU[Main SKU],MD_Main_SKU[SKU name_gom])</f>
        <v>Phó sản</v>
      </c>
    </row>
    <row r="186" spans="1:13" x14ac:dyDescent="0.35">
      <c r="A186">
        <v>2024</v>
      </c>
      <c r="B186">
        <v>5</v>
      </c>
      <c r="C186" t="s">
        <v>16</v>
      </c>
      <c r="D186" t="s">
        <v>17</v>
      </c>
      <c r="E186" t="s">
        <v>85</v>
      </c>
      <c r="F186" t="s">
        <v>86</v>
      </c>
      <c r="G186" s="2">
        <v>0</v>
      </c>
      <c r="H186" s="2">
        <v>0</v>
      </c>
      <c r="I186" s="2">
        <v>0</v>
      </c>
      <c r="J186" s="2">
        <v>36917.999999999978</v>
      </c>
      <c r="K186" s="2">
        <v>36917.999999999978</v>
      </c>
      <c r="L186" s="2" t="str">
        <f>_xlfn.XLOOKUP(Data_Nhập[[#This Row],[Main SKU]],MD_Main_SKU[Main SKU],MD_Main_SKU[SKU name_gom])</f>
        <v>WSS01</v>
      </c>
      <c r="M186" s="2" t="str">
        <f>_xlfn.XLOOKUP(Data_Nhập[[#This Row],[Material-Nhập]],MD_Main_SKU[Main SKU],MD_Main_SKU[SKU name_gom])</f>
        <v>Phó sản</v>
      </c>
    </row>
    <row r="187" spans="1:13" x14ac:dyDescent="0.35">
      <c r="A187">
        <v>2024</v>
      </c>
      <c r="B187">
        <v>5</v>
      </c>
      <c r="C187" t="s">
        <v>16</v>
      </c>
      <c r="D187" t="s">
        <v>17</v>
      </c>
      <c r="E187" t="s">
        <v>87</v>
      </c>
      <c r="F187" t="s">
        <v>88</v>
      </c>
      <c r="G187" s="2">
        <v>0</v>
      </c>
      <c r="H187" s="2">
        <v>0</v>
      </c>
      <c r="I187" s="2">
        <v>0</v>
      </c>
      <c r="J187" s="2">
        <v>38962.000000000007</v>
      </c>
      <c r="K187" s="2">
        <v>38962.000000000007</v>
      </c>
      <c r="L187" s="2" t="str">
        <f>_xlfn.XLOOKUP(Data_Nhập[[#This Row],[Main SKU]],MD_Main_SKU[Main SKU],MD_Main_SKU[SKU name_gom])</f>
        <v>WSS01</v>
      </c>
      <c r="M187" s="2" t="str">
        <f>_xlfn.XLOOKUP(Data_Nhập[[#This Row],[Material-Nhập]],MD_Main_SKU[Main SKU],MD_Main_SKU[SKU name_gom])</f>
        <v>Phó sản</v>
      </c>
    </row>
    <row r="188" spans="1:13" x14ac:dyDescent="0.35">
      <c r="A188">
        <v>2024</v>
      </c>
      <c r="B188">
        <v>5</v>
      </c>
      <c r="C188" t="s">
        <v>16</v>
      </c>
      <c r="D188" t="s">
        <v>17</v>
      </c>
      <c r="E188" t="s">
        <v>89</v>
      </c>
      <c r="F188" t="s">
        <v>90</v>
      </c>
      <c r="G188" s="2">
        <v>0</v>
      </c>
      <c r="H188" s="2">
        <v>0</v>
      </c>
      <c r="I188" s="2">
        <v>0</v>
      </c>
      <c r="J188" s="2">
        <v>10981.999999999998</v>
      </c>
      <c r="K188" s="2">
        <v>10981.999999999998</v>
      </c>
      <c r="L188" s="2" t="str">
        <f>_xlfn.XLOOKUP(Data_Nhập[[#This Row],[Main SKU]],MD_Main_SKU[Main SKU],MD_Main_SKU[SKU name_gom])</f>
        <v>WSS01</v>
      </c>
      <c r="M188" s="2" t="str">
        <f>_xlfn.XLOOKUP(Data_Nhập[[#This Row],[Material-Nhập]],MD_Main_SKU[Main SKU],MD_Main_SKU[SKU name_gom])</f>
        <v>Phó sản</v>
      </c>
    </row>
    <row r="189" spans="1:13" x14ac:dyDescent="0.35">
      <c r="A189">
        <v>2024</v>
      </c>
      <c r="B189">
        <v>5</v>
      </c>
      <c r="C189" t="s">
        <v>16</v>
      </c>
      <c r="D189" t="s">
        <v>17</v>
      </c>
      <c r="E189" t="s">
        <v>91</v>
      </c>
      <c r="F189" t="s">
        <v>92</v>
      </c>
      <c r="G189" s="2">
        <v>0</v>
      </c>
      <c r="H189" s="2">
        <v>0</v>
      </c>
      <c r="I189" s="2">
        <v>0</v>
      </c>
      <c r="J189" s="2">
        <v>3300</v>
      </c>
      <c r="K189" s="2">
        <v>3300</v>
      </c>
      <c r="L189" s="2" t="str">
        <f>_xlfn.XLOOKUP(Data_Nhập[[#This Row],[Main SKU]],MD_Main_SKU[Main SKU],MD_Main_SKU[SKU name_gom])</f>
        <v>WSS01</v>
      </c>
      <c r="M189" s="2" t="str">
        <f>_xlfn.XLOOKUP(Data_Nhập[[#This Row],[Material-Nhập]],MD_Main_SKU[Main SKU],MD_Main_SKU[SKU name_gom])</f>
        <v>Phó sản</v>
      </c>
    </row>
    <row r="190" spans="1:13" x14ac:dyDescent="0.35">
      <c r="A190">
        <v>2024</v>
      </c>
      <c r="B190">
        <v>5</v>
      </c>
      <c r="C190" t="s">
        <v>16</v>
      </c>
      <c r="D190" t="s">
        <v>17</v>
      </c>
      <c r="E190" t="s">
        <v>93</v>
      </c>
      <c r="F190" t="s">
        <v>94</v>
      </c>
      <c r="G190" s="2">
        <v>0</v>
      </c>
      <c r="H190" s="2">
        <v>0</v>
      </c>
      <c r="I190" s="2">
        <v>0</v>
      </c>
      <c r="J190" s="2">
        <v>500.39999999999992</v>
      </c>
      <c r="K190" s="2">
        <v>500.39999999999992</v>
      </c>
      <c r="L190" s="2" t="str">
        <f>_xlfn.XLOOKUP(Data_Nhập[[#This Row],[Main SKU]],MD_Main_SKU[Main SKU],MD_Main_SKU[SKU name_gom])</f>
        <v>WSS01</v>
      </c>
      <c r="M190" s="2" t="str">
        <f>_xlfn.XLOOKUP(Data_Nhập[[#This Row],[Material-Nhập]],MD_Main_SKU[Main SKU],MD_Main_SKU[SKU name_gom])</f>
        <v>Phó sản</v>
      </c>
    </row>
    <row r="191" spans="1:13" x14ac:dyDescent="0.35">
      <c r="A191">
        <v>2024</v>
      </c>
      <c r="B191">
        <v>5</v>
      </c>
      <c r="C191" t="s">
        <v>22</v>
      </c>
      <c r="D191" t="s">
        <v>23</v>
      </c>
      <c r="E191" t="s">
        <v>22</v>
      </c>
      <c r="F191" t="s">
        <v>23</v>
      </c>
      <c r="G191" s="2">
        <v>37400</v>
      </c>
      <c r="H191" s="2">
        <v>0</v>
      </c>
      <c r="I191" s="2">
        <v>37400</v>
      </c>
      <c r="J191" s="2">
        <v>0</v>
      </c>
      <c r="K191" s="2">
        <v>37400</v>
      </c>
      <c r="L191" s="2" t="str">
        <f>_xlfn.XLOOKUP(Data_Nhập[[#This Row],[Main SKU]],MD_Main_SKU[Main SKU],MD_Main_SKU[SKU name_gom])</f>
        <v>WSS03</v>
      </c>
      <c r="M191" s="2" t="str">
        <f>_xlfn.XLOOKUP(Data_Nhập[[#This Row],[Material-Nhập]],MD_Main_SKU[Main SKU],MD_Main_SKU[SKU name_gom])</f>
        <v>WSS03</v>
      </c>
    </row>
    <row r="192" spans="1:13" x14ac:dyDescent="0.35">
      <c r="A192">
        <v>2024</v>
      </c>
      <c r="B192">
        <v>5</v>
      </c>
      <c r="C192" t="s">
        <v>24</v>
      </c>
      <c r="D192" t="s">
        <v>25</v>
      </c>
      <c r="E192" t="s">
        <v>20</v>
      </c>
      <c r="F192" t="s">
        <v>21</v>
      </c>
      <c r="G192" s="2">
        <v>0</v>
      </c>
      <c r="H192" s="2">
        <v>77000</v>
      </c>
      <c r="I192" s="2">
        <v>77000</v>
      </c>
      <c r="J192" s="2">
        <v>0</v>
      </c>
      <c r="K192" s="2">
        <v>77000</v>
      </c>
      <c r="L192" s="2" t="str">
        <f>_xlfn.XLOOKUP(Data_Nhập[[#This Row],[Main SKU]],MD_Main_SKU[Main SKU],MD_Main_SKU[SKU name_gom])</f>
        <v>WSS01</v>
      </c>
      <c r="M192" s="2" t="str">
        <f>_xlfn.XLOOKUP(Data_Nhập[[#This Row],[Material-Nhập]],MD_Main_SKU[Main SKU],MD_Main_SKU[SKU name_gom])</f>
        <v>WSS02</v>
      </c>
    </row>
    <row r="193" spans="1:13" x14ac:dyDescent="0.35">
      <c r="A193">
        <v>2024</v>
      </c>
      <c r="B193">
        <v>5</v>
      </c>
      <c r="C193" t="s">
        <v>24</v>
      </c>
      <c r="D193" t="s">
        <v>25</v>
      </c>
      <c r="E193" t="s">
        <v>22</v>
      </c>
      <c r="F193" t="s">
        <v>23</v>
      </c>
      <c r="G193" s="2">
        <v>0</v>
      </c>
      <c r="H193" s="2">
        <v>101200</v>
      </c>
      <c r="I193" s="2">
        <v>101200</v>
      </c>
      <c r="J193" s="2">
        <v>0</v>
      </c>
      <c r="K193" s="2">
        <v>101200</v>
      </c>
      <c r="L193" s="2" t="str">
        <f>_xlfn.XLOOKUP(Data_Nhập[[#This Row],[Main SKU]],MD_Main_SKU[Main SKU],MD_Main_SKU[SKU name_gom])</f>
        <v>WSS01</v>
      </c>
      <c r="M193" s="2" t="str">
        <f>_xlfn.XLOOKUP(Data_Nhập[[#This Row],[Material-Nhập]],MD_Main_SKU[Main SKU],MD_Main_SKU[SKU name_gom])</f>
        <v>WSS03</v>
      </c>
    </row>
    <row r="194" spans="1:13" x14ac:dyDescent="0.35">
      <c r="A194">
        <v>2024</v>
      </c>
      <c r="B194">
        <v>5</v>
      </c>
      <c r="C194" t="s">
        <v>24</v>
      </c>
      <c r="D194" t="s">
        <v>25</v>
      </c>
      <c r="E194" t="s">
        <v>24</v>
      </c>
      <c r="F194" t="s">
        <v>25</v>
      </c>
      <c r="G194" s="2">
        <v>550000</v>
      </c>
      <c r="H194" s="2">
        <v>0</v>
      </c>
      <c r="I194" s="2">
        <v>550000</v>
      </c>
      <c r="J194" s="2">
        <v>0</v>
      </c>
      <c r="K194" s="2">
        <v>550000</v>
      </c>
      <c r="L194" s="2" t="str">
        <f>_xlfn.XLOOKUP(Data_Nhập[[#This Row],[Main SKU]],MD_Main_SKU[Main SKU],MD_Main_SKU[SKU name_gom])</f>
        <v>WSS01</v>
      </c>
      <c r="M194" s="2" t="str">
        <f>_xlfn.XLOOKUP(Data_Nhập[[#This Row],[Material-Nhập]],MD_Main_SKU[Main SKU],MD_Main_SKU[SKU name_gom])</f>
        <v>WSS01</v>
      </c>
    </row>
    <row r="195" spans="1:13" x14ac:dyDescent="0.35">
      <c r="A195">
        <v>2024</v>
      </c>
      <c r="B195">
        <v>5</v>
      </c>
      <c r="C195" t="s">
        <v>24</v>
      </c>
      <c r="D195" t="s">
        <v>25</v>
      </c>
      <c r="E195" t="s">
        <v>26</v>
      </c>
      <c r="F195" t="s">
        <v>27</v>
      </c>
      <c r="G195" s="2">
        <v>0</v>
      </c>
      <c r="H195" s="2">
        <v>14300</v>
      </c>
      <c r="I195" s="2">
        <v>14300</v>
      </c>
      <c r="J195" s="2">
        <v>0</v>
      </c>
      <c r="K195" s="2">
        <v>14300</v>
      </c>
      <c r="L195" s="2" t="str">
        <f>_xlfn.XLOOKUP(Data_Nhập[[#This Row],[Main SKU]],MD_Main_SKU[Main SKU],MD_Main_SKU[SKU name_gom])</f>
        <v>WSS01</v>
      </c>
      <c r="M195" s="2" t="str">
        <f>_xlfn.XLOOKUP(Data_Nhập[[#This Row],[Material-Nhập]],MD_Main_SKU[Main SKU],MD_Main_SKU[SKU name_gom])</f>
        <v>iSS01</v>
      </c>
    </row>
    <row r="196" spans="1:13" x14ac:dyDescent="0.35">
      <c r="A196">
        <v>2024</v>
      </c>
      <c r="B196">
        <v>5</v>
      </c>
      <c r="C196" t="s">
        <v>24</v>
      </c>
      <c r="D196" t="s">
        <v>25</v>
      </c>
      <c r="E196" t="s">
        <v>85</v>
      </c>
      <c r="F196" t="s">
        <v>86</v>
      </c>
      <c r="G196" s="2">
        <v>0</v>
      </c>
      <c r="H196" s="2">
        <v>0</v>
      </c>
      <c r="I196" s="2">
        <v>0</v>
      </c>
      <c r="J196" s="2">
        <v>7737.9999999999991</v>
      </c>
      <c r="K196" s="2">
        <v>7737.9999999999991</v>
      </c>
      <c r="L196" s="2" t="str">
        <f>_xlfn.XLOOKUP(Data_Nhập[[#This Row],[Main SKU]],MD_Main_SKU[Main SKU],MD_Main_SKU[SKU name_gom])</f>
        <v>WSS01</v>
      </c>
      <c r="M196" s="2" t="str">
        <f>_xlfn.XLOOKUP(Data_Nhập[[#This Row],[Material-Nhập]],MD_Main_SKU[Main SKU],MD_Main_SKU[SKU name_gom])</f>
        <v>Phó sản</v>
      </c>
    </row>
    <row r="197" spans="1:13" x14ac:dyDescent="0.35">
      <c r="A197">
        <v>2024</v>
      </c>
      <c r="B197">
        <v>5</v>
      </c>
      <c r="C197" t="s">
        <v>24</v>
      </c>
      <c r="D197" t="s">
        <v>25</v>
      </c>
      <c r="E197" t="s">
        <v>87</v>
      </c>
      <c r="F197" t="s">
        <v>88</v>
      </c>
      <c r="G197" s="2">
        <v>0</v>
      </c>
      <c r="H197" s="2">
        <v>0</v>
      </c>
      <c r="I197" s="2">
        <v>0</v>
      </c>
      <c r="J197" s="2">
        <v>17011.999999999996</v>
      </c>
      <c r="K197" s="2">
        <v>17011.999999999996</v>
      </c>
      <c r="L197" s="2" t="str">
        <f>_xlfn.XLOOKUP(Data_Nhập[[#This Row],[Main SKU]],MD_Main_SKU[Main SKU],MD_Main_SKU[SKU name_gom])</f>
        <v>WSS01</v>
      </c>
      <c r="M197" s="2" t="str">
        <f>_xlfn.XLOOKUP(Data_Nhập[[#This Row],[Material-Nhập]],MD_Main_SKU[Main SKU],MD_Main_SKU[SKU name_gom])</f>
        <v>Phó sản</v>
      </c>
    </row>
    <row r="198" spans="1:13" x14ac:dyDescent="0.35">
      <c r="A198">
        <v>2024</v>
      </c>
      <c r="B198">
        <v>5</v>
      </c>
      <c r="C198" t="s">
        <v>24</v>
      </c>
      <c r="D198" t="s">
        <v>25</v>
      </c>
      <c r="E198" t="s">
        <v>89</v>
      </c>
      <c r="F198" t="s">
        <v>90</v>
      </c>
      <c r="G198" s="2">
        <v>0</v>
      </c>
      <c r="H198" s="2">
        <v>0</v>
      </c>
      <c r="I198" s="2">
        <v>0</v>
      </c>
      <c r="J198" s="2">
        <v>1271</v>
      </c>
      <c r="K198" s="2">
        <v>1271</v>
      </c>
      <c r="L198" s="2" t="str">
        <f>_xlfn.XLOOKUP(Data_Nhập[[#This Row],[Main SKU]],MD_Main_SKU[Main SKU],MD_Main_SKU[SKU name_gom])</f>
        <v>WSS01</v>
      </c>
      <c r="M198" s="2" t="str">
        <f>_xlfn.XLOOKUP(Data_Nhập[[#This Row],[Material-Nhập]],MD_Main_SKU[Main SKU],MD_Main_SKU[SKU name_gom])</f>
        <v>Phó sản</v>
      </c>
    </row>
    <row r="199" spans="1:13" x14ac:dyDescent="0.35">
      <c r="A199">
        <v>2024</v>
      </c>
      <c r="B199">
        <v>5</v>
      </c>
      <c r="C199" t="s">
        <v>24</v>
      </c>
      <c r="D199" t="s">
        <v>25</v>
      </c>
      <c r="E199" t="s">
        <v>93</v>
      </c>
      <c r="F199" t="s">
        <v>94</v>
      </c>
      <c r="G199" s="2">
        <v>0</v>
      </c>
      <c r="H199" s="2">
        <v>0</v>
      </c>
      <c r="I199" s="2">
        <v>0</v>
      </c>
      <c r="J199" s="2">
        <v>120.50000000000001</v>
      </c>
      <c r="K199" s="2">
        <v>120.50000000000001</v>
      </c>
      <c r="L199" s="2" t="str">
        <f>_xlfn.XLOOKUP(Data_Nhập[[#This Row],[Main SKU]],MD_Main_SKU[Main SKU],MD_Main_SKU[SKU name_gom])</f>
        <v>WSS01</v>
      </c>
      <c r="M199" s="2" t="str">
        <f>_xlfn.XLOOKUP(Data_Nhập[[#This Row],[Material-Nhập]],MD_Main_SKU[Main SKU],MD_Main_SKU[SKU name_gom])</f>
        <v>Phó sản</v>
      </c>
    </row>
    <row r="200" spans="1:13" x14ac:dyDescent="0.35">
      <c r="A200">
        <v>2024</v>
      </c>
      <c r="B200">
        <v>5</v>
      </c>
      <c r="C200" t="s">
        <v>101</v>
      </c>
      <c r="D200" t="s">
        <v>102</v>
      </c>
      <c r="E200" t="s">
        <v>101</v>
      </c>
      <c r="F200" t="s">
        <v>102</v>
      </c>
      <c r="G200" s="2">
        <v>2200</v>
      </c>
      <c r="H200" s="2">
        <v>0</v>
      </c>
      <c r="I200" s="2">
        <v>2200</v>
      </c>
      <c r="J200" s="2">
        <v>0</v>
      </c>
      <c r="K200" s="2">
        <v>2200</v>
      </c>
      <c r="L200" s="2" t="str">
        <f>_xlfn.XLOOKUP(Data_Nhập[[#This Row],[Main SKU]],MD_Main_SKU[Main SKU],MD_Main_SKU[SKU name_gom])</f>
        <v>WSS03</v>
      </c>
      <c r="M200" s="2" t="str">
        <f>_xlfn.XLOOKUP(Data_Nhập[[#This Row],[Material-Nhập]],MD_Main_SKU[Main SKU],MD_Main_SKU[SKU name_gom])</f>
        <v>WSS03</v>
      </c>
    </row>
    <row r="201" spans="1:13" x14ac:dyDescent="0.35">
      <c r="A201">
        <v>2024</v>
      </c>
      <c r="B201">
        <v>5</v>
      </c>
      <c r="C201" t="s">
        <v>107</v>
      </c>
      <c r="D201" t="s">
        <v>108</v>
      </c>
      <c r="E201" t="s">
        <v>107</v>
      </c>
      <c r="F201" t="s">
        <v>108</v>
      </c>
      <c r="G201" s="2">
        <v>29700</v>
      </c>
      <c r="H201" s="2">
        <v>0</v>
      </c>
      <c r="I201" s="2">
        <v>29700</v>
      </c>
      <c r="J201" s="2">
        <v>0</v>
      </c>
      <c r="K201" s="2">
        <v>29700</v>
      </c>
      <c r="L201" s="2" t="str">
        <f>_xlfn.XLOOKUP(Data_Nhập[[#This Row],[Main SKU]],MD_Main_SKU[Main SKU],MD_Main_SKU[SKU name_gom])</f>
        <v>WSS05</v>
      </c>
      <c r="M201" s="2" t="str">
        <f>_xlfn.XLOOKUP(Data_Nhập[[#This Row],[Material-Nhập]],MD_Main_SKU[Main SKU],MD_Main_SKU[SKU name_gom])</f>
        <v>WSS05</v>
      </c>
    </row>
    <row r="202" spans="1:13" x14ac:dyDescent="0.35">
      <c r="A202">
        <v>2024</v>
      </c>
      <c r="B202">
        <v>5</v>
      </c>
      <c r="C202" t="s">
        <v>107</v>
      </c>
      <c r="D202" t="s">
        <v>108</v>
      </c>
      <c r="E202" t="s">
        <v>85</v>
      </c>
      <c r="F202" t="s">
        <v>86</v>
      </c>
      <c r="G202" s="2">
        <v>0</v>
      </c>
      <c r="H202" s="2">
        <v>0</v>
      </c>
      <c r="I202" s="2">
        <v>0</v>
      </c>
      <c r="J202" s="2">
        <v>6534</v>
      </c>
      <c r="K202" s="2">
        <v>6534</v>
      </c>
      <c r="L202" s="2" t="str">
        <f>_xlfn.XLOOKUP(Data_Nhập[[#This Row],[Main SKU]],MD_Main_SKU[Main SKU],MD_Main_SKU[SKU name_gom])</f>
        <v>WSS05</v>
      </c>
      <c r="M202" s="2" t="str">
        <f>_xlfn.XLOOKUP(Data_Nhập[[#This Row],[Material-Nhập]],MD_Main_SKU[Main SKU],MD_Main_SKU[SKU name_gom])</f>
        <v>Phó sản</v>
      </c>
    </row>
    <row r="203" spans="1:13" x14ac:dyDescent="0.35">
      <c r="A203">
        <v>2024</v>
      </c>
      <c r="B203">
        <v>5</v>
      </c>
      <c r="C203" t="s">
        <v>107</v>
      </c>
      <c r="D203" t="s">
        <v>108</v>
      </c>
      <c r="E203" t="s">
        <v>87</v>
      </c>
      <c r="F203" t="s">
        <v>88</v>
      </c>
      <c r="G203" s="2">
        <v>0</v>
      </c>
      <c r="H203" s="2">
        <v>0</v>
      </c>
      <c r="I203" s="2">
        <v>0</v>
      </c>
      <c r="J203" s="2">
        <v>1222</v>
      </c>
      <c r="K203" s="2">
        <v>1222</v>
      </c>
      <c r="L203" s="2" t="str">
        <f>_xlfn.XLOOKUP(Data_Nhập[[#This Row],[Main SKU]],MD_Main_SKU[Main SKU],MD_Main_SKU[SKU name_gom])</f>
        <v>WSS05</v>
      </c>
      <c r="M203" s="2" t="str">
        <f>_xlfn.XLOOKUP(Data_Nhập[[#This Row],[Material-Nhập]],MD_Main_SKU[Main SKU],MD_Main_SKU[SKU name_gom])</f>
        <v>Phó sản</v>
      </c>
    </row>
    <row r="204" spans="1:13" x14ac:dyDescent="0.35">
      <c r="A204">
        <v>2024</v>
      </c>
      <c r="B204">
        <v>5</v>
      </c>
      <c r="C204" t="s">
        <v>115</v>
      </c>
      <c r="D204" t="s">
        <v>116</v>
      </c>
      <c r="E204" t="s">
        <v>97</v>
      </c>
      <c r="F204" t="s">
        <v>98</v>
      </c>
      <c r="G204" s="2">
        <v>0</v>
      </c>
      <c r="H204" s="2">
        <v>47300</v>
      </c>
      <c r="I204" s="2">
        <v>47300</v>
      </c>
      <c r="J204" s="2">
        <v>0</v>
      </c>
      <c r="K204" s="2">
        <v>47300</v>
      </c>
      <c r="L204" s="2" t="str">
        <f>_xlfn.XLOOKUP(Data_Nhập[[#This Row],[Main SKU]],MD_Main_SKU[Main SKU],MD_Main_SKU[SKU name_gom])</f>
        <v>WSS05</v>
      </c>
      <c r="M204" s="2" t="str">
        <f>_xlfn.XLOOKUP(Data_Nhập[[#This Row],[Material-Nhập]],MD_Main_SKU[Main SKU],MD_Main_SKU[SKU name_gom])</f>
        <v>WSS05</v>
      </c>
    </row>
    <row r="205" spans="1:13" x14ac:dyDescent="0.35">
      <c r="A205">
        <v>2024</v>
      </c>
      <c r="B205">
        <v>5</v>
      </c>
      <c r="C205" t="s">
        <v>115</v>
      </c>
      <c r="D205" t="s">
        <v>116</v>
      </c>
      <c r="E205" t="s">
        <v>115</v>
      </c>
      <c r="F205" t="s">
        <v>116</v>
      </c>
      <c r="G205" s="2">
        <v>347600</v>
      </c>
      <c r="H205" s="2">
        <v>0</v>
      </c>
      <c r="I205" s="2">
        <v>347600</v>
      </c>
      <c r="J205" s="2">
        <v>0</v>
      </c>
      <c r="K205" s="2">
        <v>347600</v>
      </c>
      <c r="L205" s="2" t="str">
        <f>_xlfn.XLOOKUP(Data_Nhập[[#This Row],[Main SKU]],MD_Main_SKU[Main SKU],MD_Main_SKU[SKU name_gom])</f>
        <v>WSS05</v>
      </c>
      <c r="M205" s="2" t="str">
        <f>_xlfn.XLOOKUP(Data_Nhập[[#This Row],[Material-Nhập]],MD_Main_SKU[Main SKU],MD_Main_SKU[SKU name_gom])</f>
        <v>WSS05</v>
      </c>
    </row>
    <row r="206" spans="1:13" x14ac:dyDescent="0.35">
      <c r="A206">
        <v>2024</v>
      </c>
      <c r="B206">
        <v>6</v>
      </c>
      <c r="C206" t="s">
        <v>8</v>
      </c>
      <c r="D206" t="s">
        <v>9</v>
      </c>
      <c r="E206" t="s">
        <v>8</v>
      </c>
      <c r="F206" t="s">
        <v>9</v>
      </c>
      <c r="G206" s="2">
        <v>12100</v>
      </c>
      <c r="H206" s="2">
        <v>0</v>
      </c>
      <c r="I206" s="2">
        <v>12100</v>
      </c>
      <c r="J206" s="2">
        <v>0</v>
      </c>
      <c r="K206" s="2">
        <v>12100</v>
      </c>
      <c r="L206" s="2" t="str">
        <f>_xlfn.XLOOKUP(Data_Nhập[[#This Row],[Main SKU]],MD_Main_SKU[Main SKU],MD_Main_SKU[SKU name_gom])</f>
        <v>WSS01</v>
      </c>
      <c r="M206" s="2" t="str">
        <f>_xlfn.XLOOKUP(Data_Nhập[[#This Row],[Material-Nhập]],MD_Main_SKU[Main SKU],MD_Main_SKU[SKU name_gom])</f>
        <v>WSS01</v>
      </c>
    </row>
    <row r="207" spans="1:13" x14ac:dyDescent="0.35">
      <c r="A207">
        <v>2024</v>
      </c>
      <c r="B207">
        <v>6</v>
      </c>
      <c r="C207" t="s">
        <v>8</v>
      </c>
      <c r="D207" t="s">
        <v>9</v>
      </c>
      <c r="E207" t="s">
        <v>10</v>
      </c>
      <c r="F207" t="s">
        <v>11</v>
      </c>
      <c r="G207" s="2">
        <v>0</v>
      </c>
      <c r="H207" s="2">
        <v>1100</v>
      </c>
      <c r="I207" s="2">
        <v>1100</v>
      </c>
      <c r="J207" s="2">
        <v>0</v>
      </c>
      <c r="K207" s="2">
        <v>1100</v>
      </c>
      <c r="L207" s="2" t="str">
        <f>_xlfn.XLOOKUP(Data_Nhập[[#This Row],[Main SKU]],MD_Main_SKU[Main SKU],MD_Main_SKU[SKU name_gom])</f>
        <v>WSS01</v>
      </c>
      <c r="M207" s="2" t="str">
        <f>_xlfn.XLOOKUP(Data_Nhập[[#This Row],[Material-Nhập]],MD_Main_SKU[Main SKU],MD_Main_SKU[SKU name_gom])</f>
        <v>WSS02</v>
      </c>
    </row>
    <row r="208" spans="1:13" x14ac:dyDescent="0.35">
      <c r="A208">
        <v>2024</v>
      </c>
      <c r="B208">
        <v>6</v>
      </c>
      <c r="C208" t="s">
        <v>14</v>
      </c>
      <c r="D208" t="s">
        <v>15</v>
      </c>
      <c r="E208" t="s">
        <v>14</v>
      </c>
      <c r="F208" t="s">
        <v>15</v>
      </c>
      <c r="G208" s="2">
        <v>193600</v>
      </c>
      <c r="H208" s="2">
        <v>0</v>
      </c>
      <c r="I208" s="2">
        <v>193600</v>
      </c>
      <c r="J208" s="2">
        <v>0</v>
      </c>
      <c r="K208" s="2">
        <v>193600</v>
      </c>
      <c r="L208" s="2" t="str">
        <f>_xlfn.XLOOKUP(Data_Nhập[[#This Row],[Main SKU]],MD_Main_SKU[Main SKU],MD_Main_SKU[SKU name_gom])</f>
        <v>iSS01084</v>
      </c>
      <c r="M208" s="2" t="str">
        <f>_xlfn.XLOOKUP(Data_Nhập[[#This Row],[Material-Nhập]],MD_Main_SKU[Main SKU],MD_Main_SKU[SKU name_gom])</f>
        <v>iSS01084</v>
      </c>
    </row>
    <row r="209" spans="1:13" x14ac:dyDescent="0.35">
      <c r="A209">
        <v>2024</v>
      </c>
      <c r="B209">
        <v>6</v>
      </c>
      <c r="C209" t="s">
        <v>14</v>
      </c>
      <c r="D209" t="s">
        <v>15</v>
      </c>
      <c r="E209" t="s">
        <v>18</v>
      </c>
      <c r="F209" t="s">
        <v>19</v>
      </c>
      <c r="G209" s="2">
        <v>0</v>
      </c>
      <c r="H209" s="2">
        <v>4400</v>
      </c>
      <c r="I209" s="2">
        <v>4400</v>
      </c>
      <c r="J209" s="2">
        <v>0</v>
      </c>
      <c r="K209" s="2">
        <v>4400</v>
      </c>
      <c r="L209" s="2" t="str">
        <f>_xlfn.XLOOKUP(Data_Nhập[[#This Row],[Main SKU]],MD_Main_SKU[Main SKU],MD_Main_SKU[SKU name_gom])</f>
        <v>iSS01084</v>
      </c>
      <c r="M209" s="2" t="str">
        <f>_xlfn.XLOOKUP(Data_Nhập[[#This Row],[Material-Nhập]],MD_Main_SKU[Main SKU],MD_Main_SKU[SKU name_gom])</f>
        <v>iSS01</v>
      </c>
    </row>
    <row r="210" spans="1:13" x14ac:dyDescent="0.35">
      <c r="A210">
        <v>2024</v>
      </c>
      <c r="B210">
        <v>6</v>
      </c>
      <c r="C210" t="s">
        <v>14</v>
      </c>
      <c r="D210" t="s">
        <v>15</v>
      </c>
      <c r="E210" t="s">
        <v>22</v>
      </c>
      <c r="F210" t="s">
        <v>23</v>
      </c>
      <c r="G210" s="2">
        <v>0</v>
      </c>
      <c r="H210" s="2">
        <v>1100</v>
      </c>
      <c r="I210" s="2">
        <v>1100</v>
      </c>
      <c r="J210" s="2">
        <v>0</v>
      </c>
      <c r="K210" s="2">
        <v>1100</v>
      </c>
      <c r="L210" s="2" t="str">
        <f>_xlfn.XLOOKUP(Data_Nhập[[#This Row],[Main SKU]],MD_Main_SKU[Main SKU],MD_Main_SKU[SKU name_gom])</f>
        <v>iSS01084</v>
      </c>
      <c r="M210" s="2" t="str">
        <f>_xlfn.XLOOKUP(Data_Nhập[[#This Row],[Material-Nhập]],MD_Main_SKU[Main SKU],MD_Main_SKU[SKU name_gom])</f>
        <v>WSS03</v>
      </c>
    </row>
    <row r="211" spans="1:13" x14ac:dyDescent="0.35">
      <c r="A211">
        <v>2024</v>
      </c>
      <c r="B211">
        <v>6</v>
      </c>
      <c r="C211" t="s">
        <v>14</v>
      </c>
      <c r="D211" t="s">
        <v>15</v>
      </c>
      <c r="E211" t="s">
        <v>85</v>
      </c>
      <c r="F211" t="s">
        <v>86</v>
      </c>
      <c r="G211" s="2">
        <v>0</v>
      </c>
      <c r="H211" s="2">
        <v>0</v>
      </c>
      <c r="I211" s="2">
        <v>0</v>
      </c>
      <c r="J211" s="2">
        <v>4374</v>
      </c>
      <c r="K211" s="2">
        <v>4374</v>
      </c>
      <c r="L211" s="2" t="str">
        <f>_xlfn.XLOOKUP(Data_Nhập[[#This Row],[Main SKU]],MD_Main_SKU[Main SKU],MD_Main_SKU[SKU name_gom])</f>
        <v>iSS01084</v>
      </c>
      <c r="M211" s="2" t="str">
        <f>_xlfn.XLOOKUP(Data_Nhập[[#This Row],[Material-Nhập]],MD_Main_SKU[Main SKU],MD_Main_SKU[SKU name_gom])</f>
        <v>Phó sản</v>
      </c>
    </row>
    <row r="212" spans="1:13" x14ac:dyDescent="0.35">
      <c r="A212">
        <v>2024</v>
      </c>
      <c r="B212">
        <v>6</v>
      </c>
      <c r="C212" t="s">
        <v>14</v>
      </c>
      <c r="D212" t="s">
        <v>15</v>
      </c>
      <c r="E212" t="s">
        <v>87</v>
      </c>
      <c r="F212" t="s">
        <v>88</v>
      </c>
      <c r="G212" s="2">
        <v>0</v>
      </c>
      <c r="H212" s="2">
        <v>0</v>
      </c>
      <c r="I212" s="2">
        <v>0</v>
      </c>
      <c r="J212" s="2">
        <v>8533.7999999999993</v>
      </c>
      <c r="K212" s="2">
        <v>8533.7999999999993</v>
      </c>
      <c r="L212" s="2" t="str">
        <f>_xlfn.XLOOKUP(Data_Nhập[[#This Row],[Main SKU]],MD_Main_SKU[Main SKU],MD_Main_SKU[SKU name_gom])</f>
        <v>iSS01084</v>
      </c>
      <c r="M212" s="2" t="str">
        <f>_xlfn.XLOOKUP(Data_Nhập[[#This Row],[Material-Nhập]],MD_Main_SKU[Main SKU],MD_Main_SKU[SKU name_gom])</f>
        <v>Phó sản</v>
      </c>
    </row>
    <row r="213" spans="1:13" x14ac:dyDescent="0.35">
      <c r="A213">
        <v>2024</v>
      </c>
      <c r="B213">
        <v>6</v>
      </c>
      <c r="C213" t="s">
        <v>14</v>
      </c>
      <c r="D213" t="s">
        <v>15</v>
      </c>
      <c r="E213" t="s">
        <v>89</v>
      </c>
      <c r="F213" t="s">
        <v>90</v>
      </c>
      <c r="G213" s="2">
        <v>0</v>
      </c>
      <c r="H213" s="2">
        <v>0</v>
      </c>
      <c r="I213" s="2">
        <v>0</v>
      </c>
      <c r="J213" s="2">
        <v>736</v>
      </c>
      <c r="K213" s="2">
        <v>736</v>
      </c>
      <c r="L213" s="2" t="str">
        <f>_xlfn.XLOOKUP(Data_Nhập[[#This Row],[Main SKU]],MD_Main_SKU[Main SKU],MD_Main_SKU[SKU name_gom])</f>
        <v>iSS01084</v>
      </c>
      <c r="M213" s="2" t="str">
        <f>_xlfn.XLOOKUP(Data_Nhập[[#This Row],[Material-Nhập]],MD_Main_SKU[Main SKU],MD_Main_SKU[SKU name_gom])</f>
        <v>Phó sản</v>
      </c>
    </row>
    <row r="214" spans="1:13" x14ac:dyDescent="0.35">
      <c r="A214">
        <v>2024</v>
      </c>
      <c r="B214">
        <v>6</v>
      </c>
      <c r="C214" t="s">
        <v>14</v>
      </c>
      <c r="D214" t="s">
        <v>15</v>
      </c>
      <c r="E214" t="s">
        <v>93</v>
      </c>
      <c r="F214" t="s">
        <v>94</v>
      </c>
      <c r="G214" s="2">
        <v>0</v>
      </c>
      <c r="H214" s="2">
        <v>0</v>
      </c>
      <c r="I214" s="2">
        <v>0</v>
      </c>
      <c r="J214" s="2">
        <v>31.700000000000003</v>
      </c>
      <c r="K214" s="2">
        <v>31.700000000000003</v>
      </c>
      <c r="L214" s="2" t="str">
        <f>_xlfn.XLOOKUP(Data_Nhập[[#This Row],[Main SKU]],MD_Main_SKU[Main SKU],MD_Main_SKU[SKU name_gom])</f>
        <v>iSS01084</v>
      </c>
      <c r="M214" s="2" t="str">
        <f>_xlfn.XLOOKUP(Data_Nhập[[#This Row],[Material-Nhập]],MD_Main_SKU[Main SKU],MD_Main_SKU[SKU name_gom])</f>
        <v>Phó sản</v>
      </c>
    </row>
    <row r="215" spans="1:13" x14ac:dyDescent="0.35">
      <c r="A215">
        <v>2024</v>
      </c>
      <c r="B215">
        <v>6</v>
      </c>
      <c r="C215" t="s">
        <v>16</v>
      </c>
      <c r="D215" t="s">
        <v>17</v>
      </c>
      <c r="E215" t="s">
        <v>16</v>
      </c>
      <c r="F215" t="s">
        <v>17</v>
      </c>
      <c r="G215" s="2">
        <v>2685099.9999999995</v>
      </c>
      <c r="H215" s="2">
        <v>23100</v>
      </c>
      <c r="I215" s="2">
        <v>2708199.9999999995</v>
      </c>
      <c r="J215" s="2">
        <v>0</v>
      </c>
      <c r="K215" s="2">
        <v>2708199.9999999995</v>
      </c>
      <c r="L215" s="2" t="str">
        <f>_xlfn.XLOOKUP(Data_Nhập[[#This Row],[Main SKU]],MD_Main_SKU[Main SKU],MD_Main_SKU[SKU name_gom])</f>
        <v>WSS01</v>
      </c>
      <c r="M215" s="2" t="str">
        <f>_xlfn.XLOOKUP(Data_Nhập[[#This Row],[Material-Nhập]],MD_Main_SKU[Main SKU],MD_Main_SKU[SKU name_gom])</f>
        <v>WSS01</v>
      </c>
    </row>
    <row r="216" spans="1:13" x14ac:dyDescent="0.35">
      <c r="A216">
        <v>2024</v>
      </c>
      <c r="B216">
        <v>6</v>
      </c>
      <c r="C216" t="s">
        <v>16</v>
      </c>
      <c r="D216" t="s">
        <v>17</v>
      </c>
      <c r="E216" t="s">
        <v>18</v>
      </c>
      <c r="F216" t="s">
        <v>19</v>
      </c>
      <c r="G216" s="2">
        <v>0</v>
      </c>
      <c r="H216" s="2">
        <v>458700.00000000006</v>
      </c>
      <c r="I216" s="2">
        <v>458700.00000000006</v>
      </c>
      <c r="J216" s="2">
        <v>0</v>
      </c>
      <c r="K216" s="2">
        <v>458700.00000000006</v>
      </c>
      <c r="L216" s="2" t="str">
        <f>_xlfn.XLOOKUP(Data_Nhập[[#This Row],[Main SKU]],MD_Main_SKU[Main SKU],MD_Main_SKU[SKU name_gom])</f>
        <v>WSS01</v>
      </c>
      <c r="M216" s="2" t="str">
        <f>_xlfn.XLOOKUP(Data_Nhập[[#This Row],[Material-Nhập]],MD_Main_SKU[Main SKU],MD_Main_SKU[SKU name_gom])</f>
        <v>iSS01</v>
      </c>
    </row>
    <row r="217" spans="1:13" x14ac:dyDescent="0.35">
      <c r="A217">
        <v>2024</v>
      </c>
      <c r="B217">
        <v>6</v>
      </c>
      <c r="C217" t="s">
        <v>16</v>
      </c>
      <c r="D217" t="s">
        <v>17</v>
      </c>
      <c r="E217" t="s">
        <v>20</v>
      </c>
      <c r="F217" t="s">
        <v>21</v>
      </c>
      <c r="G217" s="2">
        <v>0</v>
      </c>
      <c r="H217" s="2">
        <v>6600</v>
      </c>
      <c r="I217" s="2">
        <v>6600</v>
      </c>
      <c r="J217" s="2">
        <v>0</v>
      </c>
      <c r="K217" s="2">
        <v>6600</v>
      </c>
      <c r="L217" s="2" t="str">
        <f>_xlfn.XLOOKUP(Data_Nhập[[#This Row],[Main SKU]],MD_Main_SKU[Main SKU],MD_Main_SKU[SKU name_gom])</f>
        <v>WSS01</v>
      </c>
      <c r="M217" s="2" t="str">
        <f>_xlfn.XLOOKUP(Data_Nhập[[#This Row],[Material-Nhập]],MD_Main_SKU[Main SKU],MD_Main_SKU[SKU name_gom])</f>
        <v>WSS02</v>
      </c>
    </row>
    <row r="218" spans="1:13" x14ac:dyDescent="0.35">
      <c r="A218">
        <v>2024</v>
      </c>
      <c r="B218">
        <v>6</v>
      </c>
      <c r="C218" t="s">
        <v>16</v>
      </c>
      <c r="D218" t="s">
        <v>17</v>
      </c>
      <c r="E218" t="s">
        <v>22</v>
      </c>
      <c r="F218" t="s">
        <v>23</v>
      </c>
      <c r="G218" s="2">
        <v>0</v>
      </c>
      <c r="H218" s="2">
        <v>182799.99999999997</v>
      </c>
      <c r="I218" s="2">
        <v>182799.99999999997</v>
      </c>
      <c r="J218" s="2">
        <v>0</v>
      </c>
      <c r="K218" s="2">
        <v>182799.99999999997</v>
      </c>
      <c r="L218" s="2" t="str">
        <f>_xlfn.XLOOKUP(Data_Nhập[[#This Row],[Main SKU]],MD_Main_SKU[Main SKU],MD_Main_SKU[SKU name_gom])</f>
        <v>WSS01</v>
      </c>
      <c r="M218" s="2" t="str">
        <f>_xlfn.XLOOKUP(Data_Nhập[[#This Row],[Material-Nhập]],MD_Main_SKU[Main SKU],MD_Main_SKU[SKU name_gom])</f>
        <v>WSS03</v>
      </c>
    </row>
    <row r="219" spans="1:13" x14ac:dyDescent="0.35">
      <c r="A219">
        <v>2024</v>
      </c>
      <c r="B219">
        <v>6</v>
      </c>
      <c r="C219" t="s">
        <v>16</v>
      </c>
      <c r="D219" t="s">
        <v>17</v>
      </c>
      <c r="E219" t="s">
        <v>26</v>
      </c>
      <c r="F219" t="s">
        <v>27</v>
      </c>
      <c r="G219" s="2">
        <v>0</v>
      </c>
      <c r="H219" s="2">
        <v>3300</v>
      </c>
      <c r="I219" s="2">
        <v>3300</v>
      </c>
      <c r="J219" s="2">
        <v>0</v>
      </c>
      <c r="K219" s="2">
        <v>3300</v>
      </c>
      <c r="L219" s="2" t="str">
        <f>_xlfn.XLOOKUP(Data_Nhập[[#This Row],[Main SKU]],MD_Main_SKU[Main SKU],MD_Main_SKU[SKU name_gom])</f>
        <v>WSS01</v>
      </c>
      <c r="M219" s="2" t="str">
        <f>_xlfn.XLOOKUP(Data_Nhập[[#This Row],[Material-Nhập]],MD_Main_SKU[Main SKU],MD_Main_SKU[SKU name_gom])</f>
        <v>iSS01</v>
      </c>
    </row>
    <row r="220" spans="1:13" x14ac:dyDescent="0.35">
      <c r="A220">
        <v>2024</v>
      </c>
      <c r="B220">
        <v>6</v>
      </c>
      <c r="C220" t="s">
        <v>16</v>
      </c>
      <c r="D220" t="s">
        <v>17</v>
      </c>
      <c r="E220" t="s">
        <v>111</v>
      </c>
      <c r="F220" t="s">
        <v>112</v>
      </c>
      <c r="G220" s="2">
        <v>0</v>
      </c>
      <c r="H220" s="2">
        <v>0</v>
      </c>
      <c r="I220" s="2">
        <v>0</v>
      </c>
      <c r="J220" s="2">
        <v>350</v>
      </c>
      <c r="K220" s="2">
        <v>350</v>
      </c>
      <c r="L220" s="2" t="str">
        <f>_xlfn.XLOOKUP(Data_Nhập[[#This Row],[Main SKU]],MD_Main_SKU[Main SKU],MD_Main_SKU[SKU name_gom])</f>
        <v>WSS01</v>
      </c>
      <c r="M220" s="2" t="str">
        <f>_xlfn.XLOOKUP(Data_Nhập[[#This Row],[Material-Nhập]],MD_Main_SKU[Main SKU],MD_Main_SKU[SKU name_gom])</f>
        <v>Phó sản</v>
      </c>
    </row>
    <row r="221" spans="1:13" x14ac:dyDescent="0.35">
      <c r="A221">
        <v>2024</v>
      </c>
      <c r="B221">
        <v>6</v>
      </c>
      <c r="C221" t="s">
        <v>16</v>
      </c>
      <c r="D221" t="s">
        <v>17</v>
      </c>
      <c r="E221" t="s">
        <v>113</v>
      </c>
      <c r="F221" t="s">
        <v>114</v>
      </c>
      <c r="G221" s="2">
        <v>0</v>
      </c>
      <c r="H221" s="2">
        <v>0</v>
      </c>
      <c r="I221" s="2">
        <v>0</v>
      </c>
      <c r="J221" s="2">
        <v>16.2</v>
      </c>
      <c r="K221" s="2">
        <v>16.2</v>
      </c>
      <c r="L221" s="2" t="str">
        <f>_xlfn.XLOOKUP(Data_Nhập[[#This Row],[Main SKU]],MD_Main_SKU[Main SKU],MD_Main_SKU[SKU name_gom])</f>
        <v>WSS01</v>
      </c>
      <c r="M221" s="2" t="str">
        <f>_xlfn.XLOOKUP(Data_Nhập[[#This Row],[Material-Nhập]],MD_Main_SKU[Main SKU],MD_Main_SKU[SKU name_gom])</f>
        <v>Phó sản</v>
      </c>
    </row>
    <row r="222" spans="1:13" x14ac:dyDescent="0.35">
      <c r="A222">
        <v>2024</v>
      </c>
      <c r="B222">
        <v>6</v>
      </c>
      <c r="C222" t="s">
        <v>16</v>
      </c>
      <c r="D222" t="s">
        <v>17</v>
      </c>
      <c r="E222" t="s">
        <v>85</v>
      </c>
      <c r="F222" t="s">
        <v>86</v>
      </c>
      <c r="G222" s="2">
        <v>0</v>
      </c>
      <c r="H222" s="2">
        <v>0</v>
      </c>
      <c r="I222" s="2">
        <v>0</v>
      </c>
      <c r="J222" s="2">
        <v>49895.900000000009</v>
      </c>
      <c r="K222" s="2">
        <v>49895.900000000009</v>
      </c>
      <c r="L222" s="2" t="str">
        <f>_xlfn.XLOOKUP(Data_Nhập[[#This Row],[Main SKU]],MD_Main_SKU[Main SKU],MD_Main_SKU[SKU name_gom])</f>
        <v>WSS01</v>
      </c>
      <c r="M222" s="2" t="str">
        <f>_xlfn.XLOOKUP(Data_Nhập[[#This Row],[Material-Nhập]],MD_Main_SKU[Main SKU],MD_Main_SKU[SKU name_gom])</f>
        <v>Phó sản</v>
      </c>
    </row>
    <row r="223" spans="1:13" x14ac:dyDescent="0.35">
      <c r="A223">
        <v>2024</v>
      </c>
      <c r="B223">
        <v>6</v>
      </c>
      <c r="C223" t="s">
        <v>16</v>
      </c>
      <c r="D223" t="s">
        <v>17</v>
      </c>
      <c r="E223" t="s">
        <v>87</v>
      </c>
      <c r="F223" t="s">
        <v>88</v>
      </c>
      <c r="G223" s="2">
        <v>0</v>
      </c>
      <c r="H223" s="2">
        <v>0</v>
      </c>
      <c r="I223" s="2">
        <v>0</v>
      </c>
      <c r="J223" s="2">
        <v>42440.999999999993</v>
      </c>
      <c r="K223" s="2">
        <v>42440.999999999993</v>
      </c>
      <c r="L223" s="2" t="str">
        <f>_xlfn.XLOOKUP(Data_Nhập[[#This Row],[Main SKU]],MD_Main_SKU[Main SKU],MD_Main_SKU[SKU name_gom])</f>
        <v>WSS01</v>
      </c>
      <c r="M223" s="2" t="str">
        <f>_xlfn.XLOOKUP(Data_Nhập[[#This Row],[Material-Nhập]],MD_Main_SKU[Main SKU],MD_Main_SKU[SKU name_gom])</f>
        <v>Phó sản</v>
      </c>
    </row>
    <row r="224" spans="1:13" x14ac:dyDescent="0.35">
      <c r="A224">
        <v>2024</v>
      </c>
      <c r="B224">
        <v>6</v>
      </c>
      <c r="C224" t="s">
        <v>16</v>
      </c>
      <c r="D224" t="s">
        <v>17</v>
      </c>
      <c r="E224" t="s">
        <v>89</v>
      </c>
      <c r="F224" t="s">
        <v>90</v>
      </c>
      <c r="G224" s="2">
        <v>0</v>
      </c>
      <c r="H224" s="2">
        <v>0</v>
      </c>
      <c r="I224" s="2">
        <v>0</v>
      </c>
      <c r="J224" s="2">
        <v>4911.9999999999982</v>
      </c>
      <c r="K224" s="2">
        <v>4911.9999999999982</v>
      </c>
      <c r="L224" s="2" t="str">
        <f>_xlfn.XLOOKUP(Data_Nhập[[#This Row],[Main SKU]],MD_Main_SKU[Main SKU],MD_Main_SKU[SKU name_gom])</f>
        <v>WSS01</v>
      </c>
      <c r="M224" s="2" t="str">
        <f>_xlfn.XLOOKUP(Data_Nhập[[#This Row],[Material-Nhập]],MD_Main_SKU[Main SKU],MD_Main_SKU[SKU name_gom])</f>
        <v>Phó sản</v>
      </c>
    </row>
    <row r="225" spans="1:13" x14ac:dyDescent="0.35">
      <c r="A225">
        <v>2024</v>
      </c>
      <c r="B225">
        <v>6</v>
      </c>
      <c r="C225" t="s">
        <v>16</v>
      </c>
      <c r="D225" t="s">
        <v>17</v>
      </c>
      <c r="E225" t="s">
        <v>91</v>
      </c>
      <c r="F225" t="s">
        <v>92</v>
      </c>
      <c r="G225" s="2">
        <v>0</v>
      </c>
      <c r="H225" s="2">
        <v>0</v>
      </c>
      <c r="I225" s="2">
        <v>0</v>
      </c>
      <c r="J225" s="2">
        <v>1100.0000000000002</v>
      </c>
      <c r="K225" s="2">
        <v>1100.0000000000002</v>
      </c>
      <c r="L225" s="2" t="str">
        <f>_xlfn.XLOOKUP(Data_Nhập[[#This Row],[Main SKU]],MD_Main_SKU[Main SKU],MD_Main_SKU[SKU name_gom])</f>
        <v>WSS01</v>
      </c>
      <c r="M225" s="2" t="str">
        <f>_xlfn.XLOOKUP(Data_Nhập[[#This Row],[Material-Nhập]],MD_Main_SKU[Main SKU],MD_Main_SKU[SKU name_gom])</f>
        <v>Phó sản</v>
      </c>
    </row>
    <row r="226" spans="1:13" x14ac:dyDescent="0.35">
      <c r="A226">
        <v>2024</v>
      </c>
      <c r="B226">
        <v>6</v>
      </c>
      <c r="C226" t="s">
        <v>16</v>
      </c>
      <c r="D226" t="s">
        <v>17</v>
      </c>
      <c r="E226" t="s">
        <v>93</v>
      </c>
      <c r="F226" t="s">
        <v>94</v>
      </c>
      <c r="G226" s="2">
        <v>0</v>
      </c>
      <c r="H226" s="2">
        <v>0</v>
      </c>
      <c r="I226" s="2">
        <v>0</v>
      </c>
      <c r="J226" s="2">
        <v>266.10000000000002</v>
      </c>
      <c r="K226" s="2">
        <v>266.10000000000002</v>
      </c>
      <c r="L226" s="2" t="str">
        <f>_xlfn.XLOOKUP(Data_Nhập[[#This Row],[Main SKU]],MD_Main_SKU[Main SKU],MD_Main_SKU[SKU name_gom])</f>
        <v>WSS01</v>
      </c>
      <c r="M226" s="2" t="str">
        <f>_xlfn.XLOOKUP(Data_Nhập[[#This Row],[Material-Nhập]],MD_Main_SKU[Main SKU],MD_Main_SKU[SKU name_gom])</f>
        <v>Phó sản</v>
      </c>
    </row>
    <row r="227" spans="1:13" x14ac:dyDescent="0.35">
      <c r="A227">
        <v>2024</v>
      </c>
      <c r="B227">
        <v>6</v>
      </c>
      <c r="C227" t="s">
        <v>24</v>
      </c>
      <c r="D227" t="s">
        <v>25</v>
      </c>
      <c r="E227" t="s">
        <v>20</v>
      </c>
      <c r="F227" t="s">
        <v>21</v>
      </c>
      <c r="G227" s="2">
        <v>0</v>
      </c>
      <c r="H227" s="2">
        <v>97900.000000000015</v>
      </c>
      <c r="I227" s="2">
        <v>97900.000000000015</v>
      </c>
      <c r="J227" s="2">
        <v>0</v>
      </c>
      <c r="K227" s="2">
        <v>97900.000000000015</v>
      </c>
      <c r="L227" s="2" t="str">
        <f>_xlfn.XLOOKUP(Data_Nhập[[#This Row],[Main SKU]],MD_Main_SKU[Main SKU],MD_Main_SKU[SKU name_gom])</f>
        <v>WSS01</v>
      </c>
      <c r="M227" s="2" t="str">
        <f>_xlfn.XLOOKUP(Data_Nhập[[#This Row],[Material-Nhập]],MD_Main_SKU[Main SKU],MD_Main_SKU[SKU name_gom])</f>
        <v>WSS02</v>
      </c>
    </row>
    <row r="228" spans="1:13" x14ac:dyDescent="0.35">
      <c r="A228">
        <v>2024</v>
      </c>
      <c r="B228">
        <v>6</v>
      </c>
      <c r="C228" t="s">
        <v>24</v>
      </c>
      <c r="D228" t="s">
        <v>25</v>
      </c>
      <c r="E228" t="s">
        <v>22</v>
      </c>
      <c r="F228" t="s">
        <v>23</v>
      </c>
      <c r="G228" s="2">
        <v>0</v>
      </c>
      <c r="H228" s="2">
        <v>195800.00000000003</v>
      </c>
      <c r="I228" s="2">
        <v>195800.00000000003</v>
      </c>
      <c r="J228" s="2">
        <v>0</v>
      </c>
      <c r="K228" s="2">
        <v>195800.00000000003</v>
      </c>
      <c r="L228" s="2" t="str">
        <f>_xlfn.XLOOKUP(Data_Nhập[[#This Row],[Main SKU]],MD_Main_SKU[Main SKU],MD_Main_SKU[SKU name_gom])</f>
        <v>WSS01</v>
      </c>
      <c r="M228" s="2" t="str">
        <f>_xlfn.XLOOKUP(Data_Nhập[[#This Row],[Material-Nhập]],MD_Main_SKU[Main SKU],MD_Main_SKU[SKU name_gom])</f>
        <v>WSS03</v>
      </c>
    </row>
    <row r="229" spans="1:13" x14ac:dyDescent="0.35">
      <c r="A229">
        <v>2024</v>
      </c>
      <c r="B229">
        <v>6</v>
      </c>
      <c r="C229" t="s">
        <v>24</v>
      </c>
      <c r="D229" t="s">
        <v>25</v>
      </c>
      <c r="E229" t="s">
        <v>24</v>
      </c>
      <c r="F229" t="s">
        <v>25</v>
      </c>
      <c r="G229" s="2">
        <v>179300</v>
      </c>
      <c r="H229" s="2">
        <v>0</v>
      </c>
      <c r="I229" s="2">
        <v>179300</v>
      </c>
      <c r="J229" s="2">
        <v>0</v>
      </c>
      <c r="K229" s="2">
        <v>179300</v>
      </c>
      <c r="L229" s="2" t="str">
        <f>_xlfn.XLOOKUP(Data_Nhập[[#This Row],[Main SKU]],MD_Main_SKU[Main SKU],MD_Main_SKU[SKU name_gom])</f>
        <v>WSS01</v>
      </c>
      <c r="M229" s="2" t="str">
        <f>_xlfn.XLOOKUP(Data_Nhập[[#This Row],[Material-Nhập]],MD_Main_SKU[Main SKU],MD_Main_SKU[SKU name_gom])</f>
        <v>WSS01</v>
      </c>
    </row>
    <row r="230" spans="1:13" x14ac:dyDescent="0.35">
      <c r="A230">
        <v>2024</v>
      </c>
      <c r="B230">
        <v>6</v>
      </c>
      <c r="C230" t="s">
        <v>24</v>
      </c>
      <c r="D230" t="s">
        <v>25</v>
      </c>
      <c r="E230" t="s">
        <v>26</v>
      </c>
      <c r="F230" t="s">
        <v>27</v>
      </c>
      <c r="G230" s="2">
        <v>0</v>
      </c>
      <c r="H230" s="2">
        <v>5500</v>
      </c>
      <c r="I230" s="2">
        <v>5500</v>
      </c>
      <c r="J230" s="2">
        <v>0</v>
      </c>
      <c r="K230" s="2">
        <v>5500</v>
      </c>
      <c r="L230" s="2" t="str">
        <f>_xlfn.XLOOKUP(Data_Nhập[[#This Row],[Main SKU]],MD_Main_SKU[Main SKU],MD_Main_SKU[SKU name_gom])</f>
        <v>WSS01</v>
      </c>
      <c r="M230" s="2" t="str">
        <f>_xlfn.XLOOKUP(Data_Nhập[[#This Row],[Material-Nhập]],MD_Main_SKU[Main SKU],MD_Main_SKU[SKU name_gom])</f>
        <v>iSS01</v>
      </c>
    </row>
    <row r="231" spans="1:13" x14ac:dyDescent="0.35">
      <c r="A231">
        <v>2024</v>
      </c>
      <c r="B231">
        <v>6</v>
      </c>
      <c r="C231" t="s">
        <v>24</v>
      </c>
      <c r="D231" t="s">
        <v>25</v>
      </c>
      <c r="E231" t="s">
        <v>113</v>
      </c>
      <c r="F231" t="s">
        <v>114</v>
      </c>
      <c r="G231" s="2">
        <v>0</v>
      </c>
      <c r="H231" s="2">
        <v>0</v>
      </c>
      <c r="I231" s="2">
        <v>0</v>
      </c>
      <c r="J231" s="2">
        <v>8.8000000000000007</v>
      </c>
      <c r="K231" s="2">
        <v>8.8000000000000007</v>
      </c>
      <c r="L231" s="2" t="str">
        <f>_xlfn.XLOOKUP(Data_Nhập[[#This Row],[Main SKU]],MD_Main_SKU[Main SKU],MD_Main_SKU[SKU name_gom])</f>
        <v>WSS01</v>
      </c>
      <c r="M231" s="2" t="str">
        <f>_xlfn.XLOOKUP(Data_Nhập[[#This Row],[Material-Nhập]],MD_Main_SKU[Main SKU],MD_Main_SKU[SKU name_gom])</f>
        <v>Phó sản</v>
      </c>
    </row>
    <row r="232" spans="1:13" x14ac:dyDescent="0.35">
      <c r="A232">
        <v>2024</v>
      </c>
      <c r="B232">
        <v>6</v>
      </c>
      <c r="C232" t="s">
        <v>24</v>
      </c>
      <c r="D232" t="s">
        <v>25</v>
      </c>
      <c r="E232" t="s">
        <v>85</v>
      </c>
      <c r="F232" t="s">
        <v>86</v>
      </c>
      <c r="G232" s="2">
        <v>0</v>
      </c>
      <c r="H232" s="2">
        <v>0</v>
      </c>
      <c r="I232" s="2">
        <v>0</v>
      </c>
      <c r="J232" s="2">
        <v>13081.999999999996</v>
      </c>
      <c r="K232" s="2">
        <v>13081.999999999996</v>
      </c>
      <c r="L232" s="2" t="str">
        <f>_xlfn.XLOOKUP(Data_Nhập[[#This Row],[Main SKU]],MD_Main_SKU[Main SKU],MD_Main_SKU[SKU name_gom])</f>
        <v>WSS01</v>
      </c>
      <c r="M232" s="2" t="str">
        <f>_xlfn.XLOOKUP(Data_Nhập[[#This Row],[Material-Nhập]],MD_Main_SKU[Main SKU],MD_Main_SKU[SKU name_gom])</f>
        <v>Phó sản</v>
      </c>
    </row>
    <row r="233" spans="1:13" x14ac:dyDescent="0.35">
      <c r="A233">
        <v>2024</v>
      </c>
      <c r="B233">
        <v>6</v>
      </c>
      <c r="C233" t="s">
        <v>24</v>
      </c>
      <c r="D233" t="s">
        <v>25</v>
      </c>
      <c r="E233" t="s">
        <v>87</v>
      </c>
      <c r="F233" t="s">
        <v>88</v>
      </c>
      <c r="G233" s="2">
        <v>0</v>
      </c>
      <c r="H233" s="2">
        <v>0</v>
      </c>
      <c r="I233" s="2">
        <v>0</v>
      </c>
      <c r="J233" s="2">
        <v>10644</v>
      </c>
      <c r="K233" s="2">
        <v>10644</v>
      </c>
      <c r="L233" s="2" t="str">
        <f>_xlfn.XLOOKUP(Data_Nhập[[#This Row],[Main SKU]],MD_Main_SKU[Main SKU],MD_Main_SKU[SKU name_gom])</f>
        <v>WSS01</v>
      </c>
      <c r="M233" s="2" t="str">
        <f>_xlfn.XLOOKUP(Data_Nhập[[#This Row],[Material-Nhập]],MD_Main_SKU[Main SKU],MD_Main_SKU[SKU name_gom])</f>
        <v>Phó sản</v>
      </c>
    </row>
    <row r="234" spans="1:13" x14ac:dyDescent="0.35">
      <c r="A234">
        <v>2024</v>
      </c>
      <c r="B234">
        <v>6</v>
      </c>
      <c r="C234" t="s">
        <v>24</v>
      </c>
      <c r="D234" t="s">
        <v>25</v>
      </c>
      <c r="E234" t="s">
        <v>89</v>
      </c>
      <c r="F234" t="s">
        <v>90</v>
      </c>
      <c r="G234" s="2">
        <v>0</v>
      </c>
      <c r="H234" s="2">
        <v>0</v>
      </c>
      <c r="I234" s="2">
        <v>0</v>
      </c>
      <c r="J234" s="2">
        <v>664.00000000000011</v>
      </c>
      <c r="K234" s="2">
        <v>664.00000000000011</v>
      </c>
      <c r="L234" s="2" t="str">
        <f>_xlfn.XLOOKUP(Data_Nhập[[#This Row],[Main SKU]],MD_Main_SKU[Main SKU],MD_Main_SKU[SKU name_gom])</f>
        <v>WSS01</v>
      </c>
      <c r="M234" s="2" t="str">
        <f>_xlfn.XLOOKUP(Data_Nhập[[#This Row],[Material-Nhập]],MD_Main_SKU[Main SKU],MD_Main_SKU[SKU name_gom])</f>
        <v>Phó sản</v>
      </c>
    </row>
    <row r="235" spans="1:13" x14ac:dyDescent="0.35">
      <c r="A235">
        <v>2024</v>
      </c>
      <c r="B235">
        <v>6</v>
      </c>
      <c r="C235" t="s">
        <v>24</v>
      </c>
      <c r="D235" t="s">
        <v>25</v>
      </c>
      <c r="E235" t="s">
        <v>91</v>
      </c>
      <c r="F235" t="s">
        <v>92</v>
      </c>
      <c r="G235" s="2">
        <v>0</v>
      </c>
      <c r="H235" s="2">
        <v>0</v>
      </c>
      <c r="I235" s="2">
        <v>0</v>
      </c>
      <c r="J235" s="2">
        <v>1100</v>
      </c>
      <c r="K235" s="2">
        <v>1100</v>
      </c>
      <c r="L235" s="2" t="str">
        <f>_xlfn.XLOOKUP(Data_Nhập[[#This Row],[Main SKU]],MD_Main_SKU[Main SKU],MD_Main_SKU[SKU name_gom])</f>
        <v>WSS01</v>
      </c>
      <c r="M235" s="2" t="str">
        <f>_xlfn.XLOOKUP(Data_Nhập[[#This Row],[Material-Nhập]],MD_Main_SKU[Main SKU],MD_Main_SKU[SKU name_gom])</f>
        <v>Phó sản</v>
      </c>
    </row>
    <row r="236" spans="1:13" x14ac:dyDescent="0.35">
      <c r="A236">
        <v>2024</v>
      </c>
      <c r="B236">
        <v>6</v>
      </c>
      <c r="C236" t="s">
        <v>24</v>
      </c>
      <c r="D236" t="s">
        <v>25</v>
      </c>
      <c r="E236" t="s">
        <v>93</v>
      </c>
      <c r="F236" t="s">
        <v>94</v>
      </c>
      <c r="G236" s="2">
        <v>0</v>
      </c>
      <c r="H236" s="2">
        <v>0</v>
      </c>
      <c r="I236" s="2">
        <v>0</v>
      </c>
      <c r="J236" s="2">
        <v>1017.3999999999999</v>
      </c>
      <c r="K236" s="2">
        <v>1017.3999999999999</v>
      </c>
      <c r="L236" s="2" t="str">
        <f>_xlfn.XLOOKUP(Data_Nhập[[#This Row],[Main SKU]],MD_Main_SKU[Main SKU],MD_Main_SKU[SKU name_gom])</f>
        <v>WSS01</v>
      </c>
      <c r="M236" s="2" t="str">
        <f>_xlfn.XLOOKUP(Data_Nhập[[#This Row],[Material-Nhập]],MD_Main_SKU[Main SKU],MD_Main_SKU[SKU name_gom])</f>
        <v>Phó sản</v>
      </c>
    </row>
    <row r="237" spans="1:13" x14ac:dyDescent="0.35">
      <c r="A237">
        <v>2024</v>
      </c>
      <c r="B237">
        <v>6</v>
      </c>
      <c r="C237" t="s">
        <v>28</v>
      </c>
      <c r="D237" t="s">
        <v>29</v>
      </c>
      <c r="E237" t="s">
        <v>28</v>
      </c>
      <c r="F237" t="s">
        <v>29</v>
      </c>
      <c r="G237" s="2">
        <v>14300</v>
      </c>
      <c r="H237" s="2">
        <v>0</v>
      </c>
      <c r="I237" s="2">
        <v>14300</v>
      </c>
      <c r="J237" s="2">
        <v>0</v>
      </c>
      <c r="K237" s="2">
        <v>14300</v>
      </c>
      <c r="L237" s="2" t="str">
        <f>_xlfn.XLOOKUP(Data_Nhập[[#This Row],[Main SKU]],MD_Main_SKU[Main SKU],MD_Main_SKU[SKU name_gom])</f>
        <v>iSS01084</v>
      </c>
      <c r="M237" s="2" t="str">
        <f>_xlfn.XLOOKUP(Data_Nhập[[#This Row],[Material-Nhập]],MD_Main_SKU[Main SKU],MD_Main_SKU[SKU name_gom])</f>
        <v>iSS01084</v>
      </c>
    </row>
    <row r="238" spans="1:13" x14ac:dyDescent="0.35">
      <c r="A238">
        <v>2024</v>
      </c>
      <c r="B238">
        <v>6</v>
      </c>
      <c r="C238" t="s">
        <v>28</v>
      </c>
      <c r="D238" t="s">
        <v>29</v>
      </c>
      <c r="E238" t="s">
        <v>30</v>
      </c>
      <c r="F238" t="s">
        <v>31</v>
      </c>
      <c r="G238" s="2">
        <v>0</v>
      </c>
      <c r="H238" s="2">
        <v>17600</v>
      </c>
      <c r="I238" s="2">
        <v>17600</v>
      </c>
      <c r="J238" s="2">
        <v>0</v>
      </c>
      <c r="K238" s="2">
        <v>17600</v>
      </c>
      <c r="L238" s="2" t="str">
        <f>_xlfn.XLOOKUP(Data_Nhập[[#This Row],[Main SKU]],MD_Main_SKU[Main SKU],MD_Main_SKU[SKU name_gom])</f>
        <v>iSS01084</v>
      </c>
      <c r="M238" s="2" t="str">
        <f>_xlfn.XLOOKUP(Data_Nhập[[#This Row],[Material-Nhập]],MD_Main_SKU[Main SKU],MD_Main_SKU[SKU name_gom])</f>
        <v>iSS01</v>
      </c>
    </row>
    <row r="239" spans="1:13" x14ac:dyDescent="0.35">
      <c r="A239">
        <v>2024</v>
      </c>
      <c r="B239">
        <v>6</v>
      </c>
      <c r="C239" t="s">
        <v>28</v>
      </c>
      <c r="D239" t="s">
        <v>29</v>
      </c>
      <c r="E239" t="s">
        <v>85</v>
      </c>
      <c r="F239" t="s">
        <v>86</v>
      </c>
      <c r="G239" s="2">
        <v>0</v>
      </c>
      <c r="H239" s="2">
        <v>0</v>
      </c>
      <c r="I239" s="2">
        <v>0</v>
      </c>
      <c r="J239" s="2">
        <v>1280.3</v>
      </c>
      <c r="K239" s="2">
        <v>1280.3</v>
      </c>
      <c r="L239" s="2" t="str">
        <f>_xlfn.XLOOKUP(Data_Nhập[[#This Row],[Main SKU]],MD_Main_SKU[Main SKU],MD_Main_SKU[SKU name_gom])</f>
        <v>iSS01084</v>
      </c>
      <c r="M239" s="2" t="str">
        <f>_xlfn.XLOOKUP(Data_Nhập[[#This Row],[Material-Nhập]],MD_Main_SKU[Main SKU],MD_Main_SKU[SKU name_gom])</f>
        <v>Phó sản</v>
      </c>
    </row>
    <row r="240" spans="1:13" x14ac:dyDescent="0.35">
      <c r="A240">
        <v>2024</v>
      </c>
      <c r="B240">
        <v>6</v>
      </c>
      <c r="C240" t="s">
        <v>28</v>
      </c>
      <c r="D240" t="s">
        <v>29</v>
      </c>
      <c r="E240" t="s">
        <v>87</v>
      </c>
      <c r="F240" t="s">
        <v>88</v>
      </c>
      <c r="G240" s="2">
        <v>0</v>
      </c>
      <c r="H240" s="2">
        <v>0</v>
      </c>
      <c r="I240" s="2">
        <v>0</v>
      </c>
      <c r="J240" s="2">
        <v>700</v>
      </c>
      <c r="K240" s="2">
        <v>700</v>
      </c>
      <c r="L240" s="2" t="str">
        <f>_xlfn.XLOOKUP(Data_Nhập[[#This Row],[Main SKU]],MD_Main_SKU[Main SKU],MD_Main_SKU[SKU name_gom])</f>
        <v>iSS01084</v>
      </c>
      <c r="M240" s="2" t="str">
        <f>_xlfn.XLOOKUP(Data_Nhập[[#This Row],[Material-Nhập]],MD_Main_SKU[Main SKU],MD_Main_SKU[SKU name_gom])</f>
        <v>Phó sản</v>
      </c>
    </row>
    <row r="241" spans="1:13" x14ac:dyDescent="0.35">
      <c r="A241">
        <v>2024</v>
      </c>
      <c r="B241">
        <v>6</v>
      </c>
      <c r="C241" t="s">
        <v>28</v>
      </c>
      <c r="D241" t="s">
        <v>29</v>
      </c>
      <c r="E241" t="s">
        <v>93</v>
      </c>
      <c r="F241" t="s">
        <v>94</v>
      </c>
      <c r="G241" s="2">
        <v>0</v>
      </c>
      <c r="H241" s="2">
        <v>0</v>
      </c>
      <c r="I241" s="2">
        <v>0</v>
      </c>
      <c r="J241" s="2">
        <v>2.7</v>
      </c>
      <c r="K241" s="2">
        <v>2.7</v>
      </c>
      <c r="L241" s="2" t="str">
        <f>_xlfn.XLOOKUP(Data_Nhập[[#This Row],[Main SKU]],MD_Main_SKU[Main SKU],MD_Main_SKU[SKU name_gom])</f>
        <v>iSS01084</v>
      </c>
      <c r="M241" s="2" t="str">
        <f>_xlfn.XLOOKUP(Data_Nhập[[#This Row],[Material-Nhập]],MD_Main_SKU[Main SKU],MD_Main_SKU[SKU name_gom])</f>
        <v>Phó sản</v>
      </c>
    </row>
    <row r="242" spans="1:13" x14ac:dyDescent="0.35">
      <c r="A242">
        <v>2024</v>
      </c>
      <c r="B242">
        <v>6</v>
      </c>
      <c r="C242" t="s">
        <v>101</v>
      </c>
      <c r="D242" t="s">
        <v>102</v>
      </c>
      <c r="E242" t="s">
        <v>101</v>
      </c>
      <c r="F242" t="s">
        <v>102</v>
      </c>
      <c r="G242" s="2">
        <v>1100</v>
      </c>
      <c r="H242" s="2">
        <v>0</v>
      </c>
      <c r="I242" s="2">
        <v>1100</v>
      </c>
      <c r="J242" s="2">
        <v>0</v>
      </c>
      <c r="K242" s="2">
        <v>1100</v>
      </c>
      <c r="L242" s="2" t="str">
        <f>_xlfn.XLOOKUP(Data_Nhập[[#This Row],[Main SKU]],MD_Main_SKU[Main SKU],MD_Main_SKU[SKU name_gom])</f>
        <v>WSS03</v>
      </c>
      <c r="M242" s="2" t="str">
        <f>_xlfn.XLOOKUP(Data_Nhập[[#This Row],[Material-Nhập]],MD_Main_SKU[Main SKU],MD_Main_SKU[SKU name_gom])</f>
        <v>WSS03</v>
      </c>
    </row>
    <row r="243" spans="1:13" x14ac:dyDescent="0.35">
      <c r="A243">
        <v>2024</v>
      </c>
      <c r="B243">
        <v>6</v>
      </c>
      <c r="C243" t="s">
        <v>107</v>
      </c>
      <c r="D243" t="s">
        <v>108</v>
      </c>
      <c r="E243" t="s">
        <v>107</v>
      </c>
      <c r="F243" t="s">
        <v>108</v>
      </c>
      <c r="G243" s="2">
        <v>2200</v>
      </c>
      <c r="H243" s="2">
        <v>0</v>
      </c>
      <c r="I243" s="2">
        <v>2200</v>
      </c>
      <c r="J243" s="2">
        <v>0</v>
      </c>
      <c r="K243" s="2">
        <v>2200</v>
      </c>
      <c r="L243" s="2" t="str">
        <f>_xlfn.XLOOKUP(Data_Nhập[[#This Row],[Main SKU]],MD_Main_SKU[Main SKU],MD_Main_SKU[SKU name_gom])</f>
        <v>WSS05</v>
      </c>
      <c r="M243" s="2" t="str">
        <f>_xlfn.XLOOKUP(Data_Nhập[[#This Row],[Material-Nhập]],MD_Main_SKU[Main SKU],MD_Main_SKU[SKU name_gom])</f>
        <v>WSS05</v>
      </c>
    </row>
    <row r="244" spans="1:13" x14ac:dyDescent="0.35">
      <c r="A244">
        <v>2024</v>
      </c>
      <c r="B244">
        <v>6</v>
      </c>
      <c r="C244" t="s">
        <v>115</v>
      </c>
      <c r="D244" t="s">
        <v>116</v>
      </c>
      <c r="E244" t="s">
        <v>97</v>
      </c>
      <c r="F244" t="s">
        <v>98</v>
      </c>
      <c r="G244" s="2">
        <v>0</v>
      </c>
      <c r="H244" s="2">
        <v>26400</v>
      </c>
      <c r="I244" s="2">
        <v>26400</v>
      </c>
      <c r="J244" s="2">
        <v>0</v>
      </c>
      <c r="K244" s="2">
        <v>26400</v>
      </c>
      <c r="L244" s="2" t="str">
        <f>_xlfn.XLOOKUP(Data_Nhập[[#This Row],[Main SKU]],MD_Main_SKU[Main SKU],MD_Main_SKU[SKU name_gom])</f>
        <v>WSS05</v>
      </c>
      <c r="M244" s="2" t="str">
        <f>_xlfn.XLOOKUP(Data_Nhập[[#This Row],[Material-Nhập]],MD_Main_SKU[Main SKU],MD_Main_SKU[SKU name_gom])</f>
        <v>WSS05</v>
      </c>
    </row>
    <row r="245" spans="1:13" x14ac:dyDescent="0.35">
      <c r="A245">
        <v>2024</v>
      </c>
      <c r="B245">
        <v>6</v>
      </c>
      <c r="C245" t="s">
        <v>115</v>
      </c>
      <c r="D245" t="s">
        <v>116</v>
      </c>
      <c r="E245" t="s">
        <v>115</v>
      </c>
      <c r="F245" t="s">
        <v>116</v>
      </c>
      <c r="G245" s="2">
        <v>246400</v>
      </c>
      <c r="H245" s="2">
        <v>0</v>
      </c>
      <c r="I245" s="2">
        <v>246400</v>
      </c>
      <c r="J245" s="2">
        <v>0</v>
      </c>
      <c r="K245" s="2">
        <v>246400</v>
      </c>
      <c r="L245" s="2" t="str">
        <f>_xlfn.XLOOKUP(Data_Nhập[[#This Row],[Main SKU]],MD_Main_SKU[Main SKU],MD_Main_SKU[SKU name_gom])</f>
        <v>WSS05</v>
      </c>
      <c r="M245" s="2" t="str">
        <f>_xlfn.XLOOKUP(Data_Nhập[[#This Row],[Material-Nhập]],MD_Main_SKU[Main SKU],MD_Main_SKU[SKU name_gom])</f>
        <v>WSS05</v>
      </c>
    </row>
    <row r="246" spans="1:13" x14ac:dyDescent="0.35">
      <c r="A246">
        <v>2024</v>
      </c>
      <c r="B246">
        <v>6</v>
      </c>
      <c r="C246" t="s">
        <v>115</v>
      </c>
      <c r="D246" t="s">
        <v>116</v>
      </c>
      <c r="E246" t="s">
        <v>85</v>
      </c>
      <c r="F246" t="s">
        <v>86</v>
      </c>
      <c r="G246" s="2">
        <v>0</v>
      </c>
      <c r="H246" s="2">
        <v>0</v>
      </c>
      <c r="I246" s="2">
        <v>0</v>
      </c>
      <c r="J246" s="2">
        <v>1746</v>
      </c>
      <c r="K246" s="2">
        <v>1746</v>
      </c>
      <c r="L246" s="2" t="str">
        <f>_xlfn.XLOOKUP(Data_Nhập[[#This Row],[Main SKU]],MD_Main_SKU[Main SKU],MD_Main_SKU[SKU name_gom])</f>
        <v>WSS05</v>
      </c>
      <c r="M246" s="2" t="str">
        <f>_xlfn.XLOOKUP(Data_Nhập[[#This Row],[Material-Nhập]],MD_Main_SKU[Main SKU],MD_Main_SKU[SKU name_gom])</f>
        <v>Phó sản</v>
      </c>
    </row>
    <row r="247" spans="1:13" x14ac:dyDescent="0.35">
      <c r="A247">
        <v>2024</v>
      </c>
      <c r="B247">
        <v>6</v>
      </c>
      <c r="C247" t="s">
        <v>115</v>
      </c>
      <c r="D247" t="s">
        <v>116</v>
      </c>
      <c r="E247" t="s">
        <v>87</v>
      </c>
      <c r="F247" t="s">
        <v>88</v>
      </c>
      <c r="G247" s="2">
        <v>0</v>
      </c>
      <c r="H247" s="2">
        <v>0</v>
      </c>
      <c r="I247" s="2">
        <v>0</v>
      </c>
      <c r="J247" s="2">
        <v>700</v>
      </c>
      <c r="K247" s="2">
        <v>700</v>
      </c>
      <c r="L247" s="2" t="str">
        <f>_xlfn.XLOOKUP(Data_Nhập[[#This Row],[Main SKU]],MD_Main_SKU[Main SKU],MD_Main_SKU[SKU name_gom])</f>
        <v>WSS05</v>
      </c>
      <c r="M247" s="2" t="str">
        <f>_xlfn.XLOOKUP(Data_Nhập[[#This Row],[Material-Nhập]],MD_Main_SKU[Main SKU],MD_Main_SKU[SKU name_gom])</f>
        <v>Phó sản</v>
      </c>
    </row>
    <row r="248" spans="1:13" x14ac:dyDescent="0.35">
      <c r="A248">
        <v>2024</v>
      </c>
      <c r="B248">
        <v>7</v>
      </c>
      <c r="C248" t="s">
        <v>8</v>
      </c>
      <c r="D248" t="s">
        <v>9</v>
      </c>
      <c r="E248" t="s">
        <v>8</v>
      </c>
      <c r="F248" t="s">
        <v>9</v>
      </c>
      <c r="G248" s="2">
        <v>19800</v>
      </c>
      <c r="H248" s="2">
        <v>0</v>
      </c>
      <c r="I248" s="2">
        <v>19800</v>
      </c>
      <c r="J248" s="2">
        <v>0</v>
      </c>
      <c r="K248" s="2">
        <v>19800</v>
      </c>
      <c r="L248" s="2" t="str">
        <f>_xlfn.XLOOKUP(Data_Nhập[[#This Row],[Main SKU]],MD_Main_SKU[Main SKU],MD_Main_SKU[SKU name_gom])</f>
        <v>WSS01</v>
      </c>
      <c r="M248" s="2" t="str">
        <f>_xlfn.XLOOKUP(Data_Nhập[[#This Row],[Material-Nhập]],MD_Main_SKU[Main SKU],MD_Main_SKU[SKU name_gom])</f>
        <v>WSS01</v>
      </c>
    </row>
    <row r="249" spans="1:13" x14ac:dyDescent="0.35">
      <c r="A249">
        <v>2024</v>
      </c>
      <c r="B249">
        <v>7</v>
      </c>
      <c r="C249" t="s">
        <v>8</v>
      </c>
      <c r="D249" t="s">
        <v>9</v>
      </c>
      <c r="E249" t="s">
        <v>10</v>
      </c>
      <c r="F249" t="s">
        <v>11</v>
      </c>
      <c r="G249" s="2">
        <v>0</v>
      </c>
      <c r="H249" s="2">
        <v>3300</v>
      </c>
      <c r="I249" s="2">
        <v>3300</v>
      </c>
      <c r="J249" s="2">
        <v>0</v>
      </c>
      <c r="K249" s="2">
        <v>3300</v>
      </c>
      <c r="L249" s="2" t="str">
        <f>_xlfn.XLOOKUP(Data_Nhập[[#This Row],[Main SKU]],MD_Main_SKU[Main SKU],MD_Main_SKU[SKU name_gom])</f>
        <v>WSS01</v>
      </c>
      <c r="M249" s="2" t="str">
        <f>_xlfn.XLOOKUP(Data_Nhập[[#This Row],[Material-Nhập]],MD_Main_SKU[Main SKU],MD_Main_SKU[SKU name_gom])</f>
        <v>WSS02</v>
      </c>
    </row>
    <row r="250" spans="1:13" x14ac:dyDescent="0.35">
      <c r="A250">
        <v>2024</v>
      </c>
      <c r="B250">
        <v>7</v>
      </c>
      <c r="C250" t="s">
        <v>8</v>
      </c>
      <c r="D250" t="s">
        <v>9</v>
      </c>
      <c r="E250" t="s">
        <v>85</v>
      </c>
      <c r="F250" t="s">
        <v>86</v>
      </c>
      <c r="G250" s="2">
        <v>0</v>
      </c>
      <c r="H250" s="2">
        <v>0</v>
      </c>
      <c r="I250" s="2">
        <v>0</v>
      </c>
      <c r="J250" s="2">
        <v>700</v>
      </c>
      <c r="K250" s="2">
        <v>700</v>
      </c>
      <c r="L250" s="2" t="str">
        <f>_xlfn.XLOOKUP(Data_Nhập[[#This Row],[Main SKU]],MD_Main_SKU[Main SKU],MD_Main_SKU[SKU name_gom])</f>
        <v>WSS01</v>
      </c>
      <c r="M250" s="2" t="str">
        <f>_xlfn.XLOOKUP(Data_Nhập[[#This Row],[Material-Nhập]],MD_Main_SKU[Main SKU],MD_Main_SKU[SKU name_gom])</f>
        <v>Phó sản</v>
      </c>
    </row>
    <row r="251" spans="1:13" x14ac:dyDescent="0.35">
      <c r="A251">
        <v>2024</v>
      </c>
      <c r="B251">
        <v>7</v>
      </c>
      <c r="C251" t="s">
        <v>8</v>
      </c>
      <c r="D251" t="s">
        <v>9</v>
      </c>
      <c r="E251" t="s">
        <v>87</v>
      </c>
      <c r="F251" t="s">
        <v>88</v>
      </c>
      <c r="G251" s="2">
        <v>0</v>
      </c>
      <c r="H251" s="2">
        <v>0</v>
      </c>
      <c r="I251" s="2">
        <v>0</v>
      </c>
      <c r="J251" s="2">
        <v>1520</v>
      </c>
      <c r="K251" s="2">
        <v>1520</v>
      </c>
      <c r="L251" s="2" t="str">
        <f>_xlfn.XLOOKUP(Data_Nhập[[#This Row],[Main SKU]],MD_Main_SKU[Main SKU],MD_Main_SKU[SKU name_gom])</f>
        <v>WSS01</v>
      </c>
      <c r="M251" s="2" t="str">
        <f>_xlfn.XLOOKUP(Data_Nhập[[#This Row],[Material-Nhập]],MD_Main_SKU[Main SKU],MD_Main_SKU[SKU name_gom])</f>
        <v>Phó sản</v>
      </c>
    </row>
    <row r="252" spans="1:13" x14ac:dyDescent="0.35">
      <c r="A252">
        <v>2024</v>
      </c>
      <c r="B252">
        <v>7</v>
      </c>
      <c r="C252" t="s">
        <v>14</v>
      </c>
      <c r="D252" t="s">
        <v>15</v>
      </c>
      <c r="E252" t="s">
        <v>14</v>
      </c>
      <c r="F252" t="s">
        <v>15</v>
      </c>
      <c r="G252" s="2">
        <v>328899.99999999994</v>
      </c>
      <c r="H252" s="2">
        <v>0</v>
      </c>
      <c r="I252" s="2">
        <v>328899.99999999994</v>
      </c>
      <c r="J252" s="2">
        <v>0</v>
      </c>
      <c r="K252" s="2">
        <v>328899.99999999994</v>
      </c>
      <c r="L252" s="2" t="str">
        <f>_xlfn.XLOOKUP(Data_Nhập[[#This Row],[Main SKU]],MD_Main_SKU[Main SKU],MD_Main_SKU[SKU name_gom])</f>
        <v>iSS01084</v>
      </c>
      <c r="M252" s="2" t="str">
        <f>_xlfn.XLOOKUP(Data_Nhập[[#This Row],[Material-Nhập]],MD_Main_SKU[Main SKU],MD_Main_SKU[SKU name_gom])</f>
        <v>iSS01084</v>
      </c>
    </row>
    <row r="253" spans="1:13" x14ac:dyDescent="0.35">
      <c r="A253">
        <v>2024</v>
      </c>
      <c r="B253">
        <v>7</v>
      </c>
      <c r="C253" t="s">
        <v>14</v>
      </c>
      <c r="D253" t="s">
        <v>15</v>
      </c>
      <c r="E253" t="s">
        <v>16</v>
      </c>
      <c r="F253" t="s">
        <v>17</v>
      </c>
      <c r="G253" s="2">
        <v>0</v>
      </c>
      <c r="H253" s="2">
        <v>7700</v>
      </c>
      <c r="I253" s="2">
        <v>7700</v>
      </c>
      <c r="J253" s="2">
        <v>0</v>
      </c>
      <c r="K253" s="2">
        <v>7700</v>
      </c>
      <c r="L253" s="2" t="str">
        <f>_xlfn.XLOOKUP(Data_Nhập[[#This Row],[Main SKU]],MD_Main_SKU[Main SKU],MD_Main_SKU[SKU name_gom])</f>
        <v>iSS01084</v>
      </c>
      <c r="M253" s="2" t="str">
        <f>_xlfn.XLOOKUP(Data_Nhập[[#This Row],[Material-Nhập]],MD_Main_SKU[Main SKU],MD_Main_SKU[SKU name_gom])</f>
        <v>WSS01</v>
      </c>
    </row>
    <row r="254" spans="1:13" x14ac:dyDescent="0.35">
      <c r="A254">
        <v>2024</v>
      </c>
      <c r="B254">
        <v>7</v>
      </c>
      <c r="C254" t="s">
        <v>14</v>
      </c>
      <c r="D254" t="s">
        <v>15</v>
      </c>
      <c r="E254" t="s">
        <v>18</v>
      </c>
      <c r="F254" t="s">
        <v>19</v>
      </c>
      <c r="G254" s="2">
        <v>0</v>
      </c>
      <c r="H254" s="2">
        <v>67100</v>
      </c>
      <c r="I254" s="2">
        <v>67100</v>
      </c>
      <c r="J254" s="2">
        <v>0</v>
      </c>
      <c r="K254" s="2">
        <v>67100</v>
      </c>
      <c r="L254" s="2" t="str">
        <f>_xlfn.XLOOKUP(Data_Nhập[[#This Row],[Main SKU]],MD_Main_SKU[Main SKU],MD_Main_SKU[SKU name_gom])</f>
        <v>iSS01084</v>
      </c>
      <c r="M254" s="2" t="str">
        <f>_xlfn.XLOOKUP(Data_Nhập[[#This Row],[Material-Nhập]],MD_Main_SKU[Main SKU],MD_Main_SKU[SKU name_gom])</f>
        <v>iSS01</v>
      </c>
    </row>
    <row r="255" spans="1:13" x14ac:dyDescent="0.35">
      <c r="A255">
        <v>2024</v>
      </c>
      <c r="B255">
        <v>7</v>
      </c>
      <c r="C255" t="s">
        <v>14</v>
      </c>
      <c r="D255" t="s">
        <v>15</v>
      </c>
      <c r="E255" t="s">
        <v>22</v>
      </c>
      <c r="F255" t="s">
        <v>23</v>
      </c>
      <c r="G255" s="2">
        <v>0</v>
      </c>
      <c r="H255" s="2">
        <v>4400</v>
      </c>
      <c r="I255" s="2">
        <v>4400</v>
      </c>
      <c r="J255" s="2">
        <v>0</v>
      </c>
      <c r="K255" s="2">
        <v>4400</v>
      </c>
      <c r="L255" s="2" t="str">
        <f>_xlfn.XLOOKUP(Data_Nhập[[#This Row],[Main SKU]],MD_Main_SKU[Main SKU],MD_Main_SKU[SKU name_gom])</f>
        <v>iSS01084</v>
      </c>
      <c r="M255" s="2" t="str">
        <f>_xlfn.XLOOKUP(Data_Nhập[[#This Row],[Material-Nhập]],MD_Main_SKU[Main SKU],MD_Main_SKU[SKU name_gom])</f>
        <v>WSS03</v>
      </c>
    </row>
    <row r="256" spans="1:13" x14ac:dyDescent="0.35">
      <c r="A256">
        <v>2024</v>
      </c>
      <c r="B256">
        <v>7</v>
      </c>
      <c r="C256" t="s">
        <v>14</v>
      </c>
      <c r="D256" t="s">
        <v>15</v>
      </c>
      <c r="E256" t="s">
        <v>85</v>
      </c>
      <c r="F256" t="s">
        <v>86</v>
      </c>
      <c r="G256" s="2">
        <v>0</v>
      </c>
      <c r="H256" s="2">
        <v>0</v>
      </c>
      <c r="I256" s="2">
        <v>0</v>
      </c>
      <c r="J256" s="2">
        <v>14975.999999999996</v>
      </c>
      <c r="K256" s="2">
        <v>14975.999999999996</v>
      </c>
      <c r="L256" s="2" t="str">
        <f>_xlfn.XLOOKUP(Data_Nhập[[#This Row],[Main SKU]],MD_Main_SKU[Main SKU],MD_Main_SKU[SKU name_gom])</f>
        <v>iSS01084</v>
      </c>
      <c r="M256" s="2" t="str">
        <f>_xlfn.XLOOKUP(Data_Nhập[[#This Row],[Material-Nhập]],MD_Main_SKU[Main SKU],MD_Main_SKU[SKU name_gom])</f>
        <v>Phó sản</v>
      </c>
    </row>
    <row r="257" spans="1:13" x14ac:dyDescent="0.35">
      <c r="A257">
        <v>2024</v>
      </c>
      <c r="B257">
        <v>7</v>
      </c>
      <c r="C257" t="s">
        <v>14</v>
      </c>
      <c r="D257" t="s">
        <v>15</v>
      </c>
      <c r="E257" t="s">
        <v>87</v>
      </c>
      <c r="F257" t="s">
        <v>88</v>
      </c>
      <c r="G257" s="2">
        <v>0</v>
      </c>
      <c r="H257" s="2">
        <v>0</v>
      </c>
      <c r="I257" s="2">
        <v>0</v>
      </c>
      <c r="J257" s="2">
        <v>1400</v>
      </c>
      <c r="K257" s="2">
        <v>1400</v>
      </c>
      <c r="L257" s="2" t="str">
        <f>_xlfn.XLOOKUP(Data_Nhập[[#This Row],[Main SKU]],MD_Main_SKU[Main SKU],MD_Main_SKU[SKU name_gom])</f>
        <v>iSS01084</v>
      </c>
      <c r="M257" s="2" t="str">
        <f>_xlfn.XLOOKUP(Data_Nhập[[#This Row],[Material-Nhập]],MD_Main_SKU[Main SKU],MD_Main_SKU[SKU name_gom])</f>
        <v>Phó sản</v>
      </c>
    </row>
    <row r="258" spans="1:13" x14ac:dyDescent="0.35">
      <c r="A258">
        <v>2024</v>
      </c>
      <c r="B258">
        <v>7</v>
      </c>
      <c r="C258" t="s">
        <v>14</v>
      </c>
      <c r="D258" t="s">
        <v>15</v>
      </c>
      <c r="E258" t="s">
        <v>89</v>
      </c>
      <c r="F258" t="s">
        <v>90</v>
      </c>
      <c r="G258" s="2">
        <v>0</v>
      </c>
      <c r="H258" s="2">
        <v>0</v>
      </c>
      <c r="I258" s="2">
        <v>0</v>
      </c>
      <c r="J258" s="2">
        <v>500</v>
      </c>
      <c r="K258" s="2">
        <v>500</v>
      </c>
      <c r="L258" s="2" t="str">
        <f>_xlfn.XLOOKUP(Data_Nhập[[#This Row],[Main SKU]],MD_Main_SKU[Main SKU],MD_Main_SKU[SKU name_gom])</f>
        <v>iSS01084</v>
      </c>
      <c r="M258" s="2" t="str">
        <f>_xlfn.XLOOKUP(Data_Nhập[[#This Row],[Material-Nhập]],MD_Main_SKU[Main SKU],MD_Main_SKU[SKU name_gom])</f>
        <v>Phó sản</v>
      </c>
    </row>
    <row r="259" spans="1:13" x14ac:dyDescent="0.35">
      <c r="A259">
        <v>2024</v>
      </c>
      <c r="B259">
        <v>7</v>
      </c>
      <c r="C259" t="s">
        <v>14</v>
      </c>
      <c r="D259" t="s">
        <v>15</v>
      </c>
      <c r="E259" t="s">
        <v>93</v>
      </c>
      <c r="F259" t="s">
        <v>94</v>
      </c>
      <c r="G259" s="2">
        <v>0</v>
      </c>
      <c r="H259" s="2">
        <v>0</v>
      </c>
      <c r="I259" s="2">
        <v>0</v>
      </c>
      <c r="J259" s="2">
        <v>5.4</v>
      </c>
      <c r="K259" s="2">
        <v>5.4</v>
      </c>
      <c r="L259" s="2" t="str">
        <f>_xlfn.XLOOKUP(Data_Nhập[[#This Row],[Main SKU]],MD_Main_SKU[Main SKU],MD_Main_SKU[SKU name_gom])</f>
        <v>iSS01084</v>
      </c>
      <c r="M259" s="2" t="str">
        <f>_xlfn.XLOOKUP(Data_Nhập[[#This Row],[Material-Nhập]],MD_Main_SKU[Main SKU],MD_Main_SKU[SKU name_gom])</f>
        <v>Phó sản</v>
      </c>
    </row>
    <row r="260" spans="1:13" x14ac:dyDescent="0.35">
      <c r="A260">
        <v>2024</v>
      </c>
      <c r="B260">
        <v>7</v>
      </c>
      <c r="C260" t="s">
        <v>14</v>
      </c>
      <c r="D260" t="s">
        <v>15</v>
      </c>
      <c r="E260" t="s">
        <v>117</v>
      </c>
      <c r="F260" t="s">
        <v>86</v>
      </c>
      <c r="G260" s="2">
        <v>0</v>
      </c>
      <c r="H260" s="2">
        <v>0</v>
      </c>
      <c r="I260" s="2">
        <v>0</v>
      </c>
      <c r="J260" s="2">
        <v>26570</v>
      </c>
      <c r="K260" s="2">
        <v>26570</v>
      </c>
      <c r="L260" s="2" t="str">
        <f>_xlfn.XLOOKUP(Data_Nhập[[#This Row],[Main SKU]],MD_Main_SKU[Main SKU],MD_Main_SKU[SKU name_gom])</f>
        <v>iSS01084</v>
      </c>
      <c r="M260" s="2" t="str">
        <f>_xlfn.XLOOKUP(Data_Nhập[[#This Row],[Material-Nhập]],MD_Main_SKU[Main SKU],MD_Main_SKU[SKU name_gom])</f>
        <v>Phó sản</v>
      </c>
    </row>
    <row r="261" spans="1:13" x14ac:dyDescent="0.35">
      <c r="A261">
        <v>2024</v>
      </c>
      <c r="B261">
        <v>7</v>
      </c>
      <c r="C261" t="s">
        <v>16</v>
      </c>
      <c r="D261" t="s">
        <v>17</v>
      </c>
      <c r="E261" t="s">
        <v>16</v>
      </c>
      <c r="F261" t="s">
        <v>17</v>
      </c>
      <c r="G261" s="2">
        <v>55000</v>
      </c>
      <c r="H261" s="2">
        <v>0</v>
      </c>
      <c r="I261" s="2">
        <v>55000</v>
      </c>
      <c r="J261" s="2">
        <v>0</v>
      </c>
      <c r="K261" s="2">
        <v>55000</v>
      </c>
      <c r="L261" s="2" t="str">
        <f>_xlfn.XLOOKUP(Data_Nhập[[#This Row],[Main SKU]],MD_Main_SKU[Main SKU],MD_Main_SKU[SKU name_gom])</f>
        <v>WSS01</v>
      </c>
      <c r="M261" s="2" t="str">
        <f>_xlfn.XLOOKUP(Data_Nhập[[#This Row],[Material-Nhập]],MD_Main_SKU[Main SKU],MD_Main_SKU[SKU name_gom])</f>
        <v>WSS01</v>
      </c>
    </row>
    <row r="262" spans="1:13" x14ac:dyDescent="0.35">
      <c r="A262">
        <v>2024</v>
      </c>
      <c r="B262">
        <v>7</v>
      </c>
      <c r="C262" t="s">
        <v>16</v>
      </c>
      <c r="D262" t="s">
        <v>17</v>
      </c>
      <c r="E262" t="s">
        <v>91</v>
      </c>
      <c r="F262" t="s">
        <v>92</v>
      </c>
      <c r="G262" s="2">
        <v>0</v>
      </c>
      <c r="H262" s="2">
        <v>0</v>
      </c>
      <c r="I262" s="2">
        <v>0</v>
      </c>
      <c r="J262" s="2">
        <v>500</v>
      </c>
      <c r="K262" s="2">
        <v>500</v>
      </c>
      <c r="L262" s="2" t="str">
        <f>_xlfn.XLOOKUP(Data_Nhập[[#This Row],[Main SKU]],MD_Main_SKU[Main SKU],MD_Main_SKU[SKU name_gom])</f>
        <v>WSS01</v>
      </c>
      <c r="M262" s="2" t="str">
        <f>_xlfn.XLOOKUP(Data_Nhập[[#This Row],[Material-Nhập]],MD_Main_SKU[Main SKU],MD_Main_SKU[SKU name_gom])</f>
        <v>Phó sản</v>
      </c>
    </row>
    <row r="263" spans="1:13" x14ac:dyDescent="0.35">
      <c r="A263">
        <v>2024</v>
      </c>
      <c r="B263">
        <v>7</v>
      </c>
      <c r="C263" t="s">
        <v>16</v>
      </c>
      <c r="D263" t="s">
        <v>17</v>
      </c>
      <c r="E263" t="s">
        <v>117</v>
      </c>
      <c r="F263" t="s">
        <v>86</v>
      </c>
      <c r="G263" s="2">
        <v>0</v>
      </c>
      <c r="H263" s="2">
        <v>0</v>
      </c>
      <c r="I263" s="2">
        <v>0</v>
      </c>
      <c r="J263" s="2">
        <v>2995</v>
      </c>
      <c r="K263" s="2">
        <v>2995</v>
      </c>
      <c r="L263" s="2" t="str">
        <f>_xlfn.XLOOKUP(Data_Nhập[[#This Row],[Main SKU]],MD_Main_SKU[Main SKU],MD_Main_SKU[SKU name_gom])</f>
        <v>WSS01</v>
      </c>
      <c r="M263" s="2" t="str">
        <f>_xlfn.XLOOKUP(Data_Nhập[[#This Row],[Material-Nhập]],MD_Main_SKU[Main SKU],MD_Main_SKU[SKU name_gom])</f>
        <v>Phó sản</v>
      </c>
    </row>
    <row r="264" spans="1:13" x14ac:dyDescent="0.35">
      <c r="A264">
        <v>2024</v>
      </c>
      <c r="B264">
        <v>7</v>
      </c>
      <c r="C264" t="s">
        <v>18</v>
      </c>
      <c r="D264" t="s">
        <v>19</v>
      </c>
      <c r="E264" t="s">
        <v>14</v>
      </c>
      <c r="F264" t="s">
        <v>15</v>
      </c>
      <c r="G264" s="2">
        <v>0</v>
      </c>
      <c r="H264" s="2">
        <v>112200</v>
      </c>
      <c r="I264" s="2">
        <v>112200</v>
      </c>
      <c r="J264" s="2">
        <v>0</v>
      </c>
      <c r="K264" s="2">
        <v>112200</v>
      </c>
      <c r="L264" s="2" t="str">
        <f>_xlfn.XLOOKUP(Data_Nhập[[#This Row],[Main SKU]],MD_Main_SKU[Main SKU],MD_Main_SKU[SKU name_gom])</f>
        <v>iSS01</v>
      </c>
      <c r="M264" s="2" t="str">
        <f>_xlfn.XLOOKUP(Data_Nhập[[#This Row],[Material-Nhập]],MD_Main_SKU[Main SKU],MD_Main_SKU[SKU name_gom])</f>
        <v>iSS01084</v>
      </c>
    </row>
    <row r="265" spans="1:13" x14ac:dyDescent="0.35">
      <c r="A265">
        <v>2024</v>
      </c>
      <c r="B265">
        <v>7</v>
      </c>
      <c r="C265" t="s">
        <v>18</v>
      </c>
      <c r="D265" t="s">
        <v>19</v>
      </c>
      <c r="E265" t="s">
        <v>18</v>
      </c>
      <c r="F265" t="s">
        <v>19</v>
      </c>
      <c r="G265" s="2">
        <v>214499.99999999997</v>
      </c>
      <c r="H265" s="2">
        <v>0</v>
      </c>
      <c r="I265" s="2">
        <v>214499.99999999997</v>
      </c>
      <c r="J265" s="2">
        <v>0</v>
      </c>
      <c r="K265" s="2">
        <v>214499.99999999997</v>
      </c>
      <c r="L265" s="2" t="str">
        <f>_xlfn.XLOOKUP(Data_Nhập[[#This Row],[Main SKU]],MD_Main_SKU[Main SKU],MD_Main_SKU[SKU name_gom])</f>
        <v>iSS01</v>
      </c>
      <c r="M265" s="2" t="str">
        <f>_xlfn.XLOOKUP(Data_Nhập[[#This Row],[Material-Nhập]],MD_Main_SKU[Main SKU],MD_Main_SKU[SKU name_gom])</f>
        <v>iSS01</v>
      </c>
    </row>
    <row r="266" spans="1:13" x14ac:dyDescent="0.35">
      <c r="A266">
        <v>2024</v>
      </c>
      <c r="B266">
        <v>7</v>
      </c>
      <c r="C266" t="s">
        <v>18</v>
      </c>
      <c r="D266" t="s">
        <v>19</v>
      </c>
      <c r="E266" t="s">
        <v>22</v>
      </c>
      <c r="F266" t="s">
        <v>23</v>
      </c>
      <c r="G266" s="2">
        <v>0</v>
      </c>
      <c r="H266" s="2">
        <v>2200</v>
      </c>
      <c r="I266" s="2">
        <v>2200</v>
      </c>
      <c r="J266" s="2">
        <v>0</v>
      </c>
      <c r="K266" s="2">
        <v>2200</v>
      </c>
      <c r="L266" s="2" t="str">
        <f>_xlfn.XLOOKUP(Data_Nhập[[#This Row],[Main SKU]],MD_Main_SKU[Main SKU],MD_Main_SKU[SKU name_gom])</f>
        <v>iSS01</v>
      </c>
      <c r="M266" s="2" t="str">
        <f>_xlfn.XLOOKUP(Data_Nhập[[#This Row],[Material-Nhập]],MD_Main_SKU[Main SKU],MD_Main_SKU[SKU name_gom])</f>
        <v>WSS03</v>
      </c>
    </row>
    <row r="267" spans="1:13" x14ac:dyDescent="0.35">
      <c r="A267">
        <v>2024</v>
      </c>
      <c r="B267">
        <v>7</v>
      </c>
      <c r="C267" t="s">
        <v>18</v>
      </c>
      <c r="D267" t="s">
        <v>19</v>
      </c>
      <c r="E267" t="s">
        <v>85</v>
      </c>
      <c r="F267" t="s">
        <v>86</v>
      </c>
      <c r="G267" s="2">
        <v>0</v>
      </c>
      <c r="H267" s="2">
        <v>0</v>
      </c>
      <c r="I267" s="2">
        <v>0</v>
      </c>
      <c r="J267" s="2">
        <v>999.99999999999989</v>
      </c>
      <c r="K267" s="2">
        <v>999.99999999999989</v>
      </c>
      <c r="L267" s="2" t="str">
        <f>_xlfn.XLOOKUP(Data_Nhập[[#This Row],[Main SKU]],MD_Main_SKU[Main SKU],MD_Main_SKU[SKU name_gom])</f>
        <v>iSS01</v>
      </c>
      <c r="M267" s="2" t="str">
        <f>_xlfn.XLOOKUP(Data_Nhập[[#This Row],[Material-Nhập]],MD_Main_SKU[Main SKU],MD_Main_SKU[SKU name_gom])</f>
        <v>Phó sản</v>
      </c>
    </row>
    <row r="268" spans="1:13" x14ac:dyDescent="0.35">
      <c r="A268">
        <v>2024</v>
      </c>
      <c r="B268">
        <v>7</v>
      </c>
      <c r="C268" t="s">
        <v>18</v>
      </c>
      <c r="D268" t="s">
        <v>19</v>
      </c>
      <c r="E268" t="s">
        <v>117</v>
      </c>
      <c r="F268" t="s">
        <v>86</v>
      </c>
      <c r="G268" s="2">
        <v>0</v>
      </c>
      <c r="H268" s="2">
        <v>0</v>
      </c>
      <c r="I268" s="2">
        <v>0</v>
      </c>
      <c r="J268" s="2">
        <v>20000</v>
      </c>
      <c r="K268" s="2">
        <v>20000</v>
      </c>
      <c r="L268" s="2" t="str">
        <f>_xlfn.XLOOKUP(Data_Nhập[[#This Row],[Main SKU]],MD_Main_SKU[Main SKU],MD_Main_SKU[SKU name_gom])</f>
        <v>iSS01</v>
      </c>
      <c r="M268" s="2" t="str">
        <f>_xlfn.XLOOKUP(Data_Nhập[[#This Row],[Material-Nhập]],MD_Main_SKU[Main SKU],MD_Main_SKU[SKU name_gom])</f>
        <v>Phó sản</v>
      </c>
    </row>
    <row r="269" spans="1:13" x14ac:dyDescent="0.35">
      <c r="A269">
        <v>2024</v>
      </c>
      <c r="B269">
        <v>7</v>
      </c>
      <c r="C269" t="s">
        <v>24</v>
      </c>
      <c r="D269" t="s">
        <v>25</v>
      </c>
      <c r="E269" t="s">
        <v>22</v>
      </c>
      <c r="F269" t="s">
        <v>23</v>
      </c>
      <c r="G269" s="2">
        <v>0</v>
      </c>
      <c r="H269" s="2">
        <v>42600</v>
      </c>
      <c r="I269" s="2">
        <v>42600</v>
      </c>
      <c r="J269" s="2">
        <v>0</v>
      </c>
      <c r="K269" s="2">
        <v>42600</v>
      </c>
      <c r="L269" s="2" t="str">
        <f>_xlfn.XLOOKUP(Data_Nhập[[#This Row],[Main SKU]],MD_Main_SKU[Main SKU],MD_Main_SKU[SKU name_gom])</f>
        <v>WSS01</v>
      </c>
      <c r="M269" s="2" t="str">
        <f>_xlfn.XLOOKUP(Data_Nhập[[#This Row],[Material-Nhập]],MD_Main_SKU[Main SKU],MD_Main_SKU[SKU name_gom])</f>
        <v>WSS03</v>
      </c>
    </row>
    <row r="270" spans="1:13" x14ac:dyDescent="0.35">
      <c r="A270">
        <v>2024</v>
      </c>
      <c r="B270">
        <v>7</v>
      </c>
      <c r="C270" t="s">
        <v>24</v>
      </c>
      <c r="D270" t="s">
        <v>25</v>
      </c>
      <c r="E270" t="s">
        <v>24</v>
      </c>
      <c r="F270" t="s">
        <v>25</v>
      </c>
      <c r="G270" s="2">
        <v>51700</v>
      </c>
      <c r="H270" s="2">
        <v>0</v>
      </c>
      <c r="I270" s="2">
        <v>51700</v>
      </c>
      <c r="J270" s="2">
        <v>0</v>
      </c>
      <c r="K270" s="2">
        <v>51700</v>
      </c>
      <c r="L270" s="2" t="str">
        <f>_xlfn.XLOOKUP(Data_Nhập[[#This Row],[Main SKU]],MD_Main_SKU[Main SKU],MD_Main_SKU[SKU name_gom])</f>
        <v>WSS01</v>
      </c>
      <c r="M270" s="2" t="str">
        <f>_xlfn.XLOOKUP(Data_Nhập[[#This Row],[Material-Nhập]],MD_Main_SKU[Main SKU],MD_Main_SKU[SKU name_gom])</f>
        <v>WSS01</v>
      </c>
    </row>
    <row r="271" spans="1:13" x14ac:dyDescent="0.35">
      <c r="A271">
        <v>2024</v>
      </c>
      <c r="B271">
        <v>7</v>
      </c>
      <c r="C271" t="s">
        <v>24</v>
      </c>
      <c r="D271" t="s">
        <v>25</v>
      </c>
      <c r="E271" t="s">
        <v>87</v>
      </c>
      <c r="F271" t="s">
        <v>88</v>
      </c>
      <c r="G271" s="2">
        <v>0</v>
      </c>
      <c r="H271" s="2">
        <v>0</v>
      </c>
      <c r="I271" s="2">
        <v>0</v>
      </c>
      <c r="J271" s="2">
        <v>100</v>
      </c>
      <c r="K271" s="2">
        <v>100</v>
      </c>
      <c r="L271" s="2" t="str">
        <f>_xlfn.XLOOKUP(Data_Nhập[[#This Row],[Main SKU]],MD_Main_SKU[Main SKU],MD_Main_SKU[SKU name_gom])</f>
        <v>WSS01</v>
      </c>
      <c r="M271" s="2" t="str">
        <f>_xlfn.XLOOKUP(Data_Nhập[[#This Row],[Material-Nhập]],MD_Main_SKU[Main SKU],MD_Main_SKU[SKU name_gom])</f>
        <v>Phó sản</v>
      </c>
    </row>
    <row r="272" spans="1:13" x14ac:dyDescent="0.35">
      <c r="A272">
        <v>2024</v>
      </c>
      <c r="B272">
        <v>7</v>
      </c>
      <c r="C272" t="s">
        <v>24</v>
      </c>
      <c r="D272" t="s">
        <v>25</v>
      </c>
      <c r="E272" t="s">
        <v>89</v>
      </c>
      <c r="F272" t="s">
        <v>90</v>
      </c>
      <c r="G272" s="2">
        <v>0</v>
      </c>
      <c r="H272" s="2">
        <v>0</v>
      </c>
      <c r="I272" s="2">
        <v>0</v>
      </c>
      <c r="J272" s="2">
        <v>41</v>
      </c>
      <c r="K272" s="2">
        <v>41</v>
      </c>
      <c r="L272" s="2" t="str">
        <f>_xlfn.XLOOKUP(Data_Nhập[[#This Row],[Main SKU]],MD_Main_SKU[Main SKU],MD_Main_SKU[SKU name_gom])</f>
        <v>WSS01</v>
      </c>
      <c r="M272" s="2" t="str">
        <f>_xlfn.XLOOKUP(Data_Nhập[[#This Row],[Material-Nhập]],MD_Main_SKU[Main SKU],MD_Main_SKU[SKU name_gom])</f>
        <v>Phó sản</v>
      </c>
    </row>
    <row r="273" spans="1:13" x14ac:dyDescent="0.35">
      <c r="A273">
        <v>2024</v>
      </c>
      <c r="B273">
        <v>7</v>
      </c>
      <c r="C273" t="s">
        <v>24</v>
      </c>
      <c r="D273" t="s">
        <v>25</v>
      </c>
      <c r="E273" t="s">
        <v>117</v>
      </c>
      <c r="F273" t="s">
        <v>86</v>
      </c>
      <c r="G273" s="2">
        <v>0</v>
      </c>
      <c r="H273" s="2">
        <v>0</v>
      </c>
      <c r="I273" s="2">
        <v>0</v>
      </c>
      <c r="J273" s="2">
        <v>600</v>
      </c>
      <c r="K273" s="2">
        <v>600</v>
      </c>
      <c r="L273" s="2" t="str">
        <f>_xlfn.XLOOKUP(Data_Nhập[[#This Row],[Main SKU]],MD_Main_SKU[Main SKU],MD_Main_SKU[SKU name_gom])</f>
        <v>WSS01</v>
      </c>
      <c r="M273" s="2" t="str">
        <f>_xlfn.XLOOKUP(Data_Nhập[[#This Row],[Material-Nhập]],MD_Main_SKU[Main SKU],MD_Main_SKU[SKU name_gom])</f>
        <v>Phó sản</v>
      </c>
    </row>
    <row r="274" spans="1:13" x14ac:dyDescent="0.35">
      <c r="A274">
        <v>2024</v>
      </c>
      <c r="B274">
        <v>7</v>
      </c>
      <c r="C274" t="s">
        <v>28</v>
      </c>
      <c r="D274" t="s">
        <v>29</v>
      </c>
      <c r="E274" t="s">
        <v>28</v>
      </c>
      <c r="F274" t="s">
        <v>29</v>
      </c>
      <c r="G274" s="2">
        <v>5500.0000000000009</v>
      </c>
      <c r="H274" s="2">
        <v>0</v>
      </c>
      <c r="I274" s="2">
        <v>5500.0000000000009</v>
      </c>
      <c r="J274" s="2">
        <v>0</v>
      </c>
      <c r="K274" s="2">
        <v>5500.0000000000009</v>
      </c>
      <c r="L274" s="2" t="str">
        <f>_xlfn.XLOOKUP(Data_Nhập[[#This Row],[Main SKU]],MD_Main_SKU[Main SKU],MD_Main_SKU[SKU name_gom])</f>
        <v>iSS01084</v>
      </c>
      <c r="M274" s="2" t="str">
        <f>_xlfn.XLOOKUP(Data_Nhập[[#This Row],[Material-Nhập]],MD_Main_SKU[Main SKU],MD_Main_SKU[SKU name_gom])</f>
        <v>iSS01084</v>
      </c>
    </row>
    <row r="275" spans="1:13" x14ac:dyDescent="0.35">
      <c r="A275">
        <v>2024</v>
      </c>
      <c r="B275">
        <v>7</v>
      </c>
      <c r="C275" t="s">
        <v>28</v>
      </c>
      <c r="D275" t="s">
        <v>29</v>
      </c>
      <c r="E275" t="s">
        <v>30</v>
      </c>
      <c r="F275" t="s">
        <v>31</v>
      </c>
      <c r="G275" s="2">
        <v>0</v>
      </c>
      <c r="H275" s="2">
        <v>3300.0000000000005</v>
      </c>
      <c r="I275" s="2">
        <v>3300.0000000000005</v>
      </c>
      <c r="J275" s="2">
        <v>0</v>
      </c>
      <c r="K275" s="2">
        <v>3300.0000000000005</v>
      </c>
      <c r="L275" s="2" t="str">
        <f>_xlfn.XLOOKUP(Data_Nhập[[#This Row],[Main SKU]],MD_Main_SKU[Main SKU],MD_Main_SKU[SKU name_gom])</f>
        <v>iSS01084</v>
      </c>
      <c r="M275" s="2" t="str">
        <f>_xlfn.XLOOKUP(Data_Nhập[[#This Row],[Material-Nhập]],MD_Main_SKU[Main SKU],MD_Main_SKU[SKU name_gom])</f>
        <v>iSS01</v>
      </c>
    </row>
    <row r="276" spans="1:13" x14ac:dyDescent="0.35">
      <c r="A276">
        <v>2024</v>
      </c>
      <c r="B276">
        <v>7</v>
      </c>
      <c r="C276" t="s">
        <v>28</v>
      </c>
      <c r="D276" t="s">
        <v>29</v>
      </c>
      <c r="E276" t="s">
        <v>87</v>
      </c>
      <c r="F276" t="s">
        <v>88</v>
      </c>
      <c r="G276" s="2">
        <v>0</v>
      </c>
      <c r="H276" s="2">
        <v>0</v>
      </c>
      <c r="I276" s="2">
        <v>0</v>
      </c>
      <c r="J276" s="2">
        <v>1100</v>
      </c>
      <c r="K276" s="2">
        <v>1100</v>
      </c>
      <c r="L276" s="2" t="str">
        <f>_xlfn.XLOOKUP(Data_Nhập[[#This Row],[Main SKU]],MD_Main_SKU[Main SKU],MD_Main_SKU[SKU name_gom])</f>
        <v>iSS01084</v>
      </c>
      <c r="M276" s="2" t="str">
        <f>_xlfn.XLOOKUP(Data_Nhập[[#This Row],[Material-Nhập]],MD_Main_SKU[Main SKU],MD_Main_SKU[SKU name_gom])</f>
        <v>Phó sản</v>
      </c>
    </row>
    <row r="277" spans="1:13" x14ac:dyDescent="0.35">
      <c r="A277">
        <v>2024</v>
      </c>
      <c r="B277">
        <v>7</v>
      </c>
      <c r="C277" t="s">
        <v>28</v>
      </c>
      <c r="D277" t="s">
        <v>29</v>
      </c>
      <c r="E277" t="s">
        <v>89</v>
      </c>
      <c r="F277" t="s">
        <v>90</v>
      </c>
      <c r="G277" s="2">
        <v>0</v>
      </c>
      <c r="H277" s="2">
        <v>0</v>
      </c>
      <c r="I277" s="2">
        <v>0</v>
      </c>
      <c r="J277" s="2">
        <v>100.00000000000001</v>
      </c>
      <c r="K277" s="2">
        <v>100.00000000000001</v>
      </c>
      <c r="L277" s="2" t="str">
        <f>_xlfn.XLOOKUP(Data_Nhập[[#This Row],[Main SKU]],MD_Main_SKU[Main SKU],MD_Main_SKU[SKU name_gom])</f>
        <v>iSS01084</v>
      </c>
      <c r="M277" s="2" t="str">
        <f>_xlfn.XLOOKUP(Data_Nhập[[#This Row],[Material-Nhập]],MD_Main_SKU[Main SKU],MD_Main_SKU[SKU name_gom])</f>
        <v>Phó sản</v>
      </c>
    </row>
    <row r="278" spans="1:13" x14ac:dyDescent="0.35">
      <c r="A278">
        <v>2024</v>
      </c>
      <c r="B278">
        <v>7</v>
      </c>
      <c r="C278" t="s">
        <v>115</v>
      </c>
      <c r="D278" t="s">
        <v>116</v>
      </c>
      <c r="E278" t="s">
        <v>97</v>
      </c>
      <c r="F278" t="s">
        <v>98</v>
      </c>
      <c r="G278" s="2">
        <v>0</v>
      </c>
      <c r="H278" s="2">
        <v>12100</v>
      </c>
      <c r="I278" s="2">
        <v>12100</v>
      </c>
      <c r="J278" s="2">
        <v>0</v>
      </c>
      <c r="K278" s="2">
        <v>12100</v>
      </c>
      <c r="L278" s="2" t="str">
        <f>_xlfn.XLOOKUP(Data_Nhập[[#This Row],[Main SKU]],MD_Main_SKU[Main SKU],MD_Main_SKU[SKU name_gom])</f>
        <v>WSS05</v>
      </c>
      <c r="M278" s="2" t="str">
        <f>_xlfn.XLOOKUP(Data_Nhập[[#This Row],[Material-Nhập]],MD_Main_SKU[Main SKU],MD_Main_SKU[SKU name_gom])</f>
        <v>WSS05</v>
      </c>
    </row>
    <row r="279" spans="1:13" x14ac:dyDescent="0.35">
      <c r="A279">
        <v>2024</v>
      </c>
      <c r="B279">
        <v>7</v>
      </c>
      <c r="C279" t="s">
        <v>115</v>
      </c>
      <c r="D279" t="s">
        <v>116</v>
      </c>
      <c r="E279" t="s">
        <v>115</v>
      </c>
      <c r="F279" t="s">
        <v>116</v>
      </c>
      <c r="G279" s="2">
        <v>308089</v>
      </c>
      <c r="H279" s="2">
        <v>0</v>
      </c>
      <c r="I279" s="2">
        <v>308089</v>
      </c>
      <c r="J279" s="2">
        <v>0</v>
      </c>
      <c r="K279" s="2">
        <v>308089</v>
      </c>
      <c r="L279" s="2" t="str">
        <f>_xlfn.XLOOKUP(Data_Nhập[[#This Row],[Main SKU]],MD_Main_SKU[Main SKU],MD_Main_SKU[SKU name_gom])</f>
        <v>WSS05</v>
      </c>
      <c r="M279" s="2" t="str">
        <f>_xlfn.XLOOKUP(Data_Nhập[[#This Row],[Material-Nhập]],MD_Main_SKU[Main SKU],MD_Main_SKU[SKU name_gom])</f>
        <v>WSS05</v>
      </c>
    </row>
    <row r="280" spans="1:13" x14ac:dyDescent="0.35">
      <c r="A280">
        <v>2024</v>
      </c>
      <c r="B280">
        <v>7</v>
      </c>
      <c r="C280" t="s">
        <v>115</v>
      </c>
      <c r="D280" t="s">
        <v>116</v>
      </c>
      <c r="E280" t="s">
        <v>85</v>
      </c>
      <c r="F280" t="s">
        <v>86</v>
      </c>
      <c r="G280" s="2">
        <v>0</v>
      </c>
      <c r="H280" s="2">
        <v>0</v>
      </c>
      <c r="I280" s="2">
        <v>0</v>
      </c>
      <c r="J280" s="2">
        <v>5860</v>
      </c>
      <c r="K280" s="2">
        <v>5860</v>
      </c>
      <c r="L280" s="2" t="str">
        <f>_xlfn.XLOOKUP(Data_Nhập[[#This Row],[Main SKU]],MD_Main_SKU[Main SKU],MD_Main_SKU[SKU name_gom])</f>
        <v>WSS05</v>
      </c>
      <c r="M280" s="2" t="str">
        <f>_xlfn.XLOOKUP(Data_Nhập[[#This Row],[Material-Nhập]],MD_Main_SKU[Main SKU],MD_Main_SKU[SKU name_gom])</f>
        <v>Phó sản</v>
      </c>
    </row>
    <row r="281" spans="1:13" x14ac:dyDescent="0.35">
      <c r="A281">
        <v>2024</v>
      </c>
      <c r="B281">
        <v>7</v>
      </c>
      <c r="C281" t="s">
        <v>115</v>
      </c>
      <c r="D281" t="s">
        <v>116</v>
      </c>
      <c r="E281" t="s">
        <v>87</v>
      </c>
      <c r="F281" t="s">
        <v>88</v>
      </c>
      <c r="G281" s="2">
        <v>0</v>
      </c>
      <c r="H281" s="2">
        <v>0</v>
      </c>
      <c r="I281" s="2">
        <v>0</v>
      </c>
      <c r="J281" s="2">
        <v>9250</v>
      </c>
      <c r="K281" s="2">
        <v>9250</v>
      </c>
      <c r="L281" s="2" t="str">
        <f>_xlfn.XLOOKUP(Data_Nhập[[#This Row],[Main SKU]],MD_Main_SKU[Main SKU],MD_Main_SKU[SKU name_gom])</f>
        <v>WSS05</v>
      </c>
      <c r="M281" s="2" t="str">
        <f>_xlfn.XLOOKUP(Data_Nhập[[#This Row],[Material-Nhập]],MD_Main_SKU[Main SKU],MD_Main_SKU[SKU name_gom])</f>
        <v>Phó sản</v>
      </c>
    </row>
    <row r="282" spans="1:13" x14ac:dyDescent="0.35">
      <c r="A282">
        <v>2024</v>
      </c>
      <c r="B282">
        <v>7</v>
      </c>
      <c r="C282" t="s">
        <v>115</v>
      </c>
      <c r="D282" t="s">
        <v>116</v>
      </c>
      <c r="E282" t="s">
        <v>117</v>
      </c>
      <c r="F282" t="s">
        <v>86</v>
      </c>
      <c r="G282" s="2">
        <v>0</v>
      </c>
      <c r="H282" s="2">
        <v>0</v>
      </c>
      <c r="I282" s="2">
        <v>0</v>
      </c>
      <c r="J282" s="2">
        <v>4704</v>
      </c>
      <c r="K282" s="2">
        <v>4704</v>
      </c>
      <c r="L282" s="2" t="str">
        <f>_xlfn.XLOOKUP(Data_Nhập[[#This Row],[Main SKU]],MD_Main_SKU[Main SKU],MD_Main_SKU[SKU name_gom])</f>
        <v>WSS05</v>
      </c>
      <c r="M282" s="2" t="str">
        <f>_xlfn.XLOOKUP(Data_Nhập[[#This Row],[Material-Nhập]],MD_Main_SKU[Main SKU],MD_Main_SKU[SKU name_gom])</f>
        <v>Phó sản</v>
      </c>
    </row>
    <row r="283" spans="1:13" x14ac:dyDescent="0.35">
      <c r="A283">
        <v>2024</v>
      </c>
      <c r="B283">
        <v>8</v>
      </c>
      <c r="C283" t="s">
        <v>8</v>
      </c>
      <c r="D283" t="s">
        <v>9</v>
      </c>
      <c r="E283" t="s">
        <v>8</v>
      </c>
      <c r="F283" t="s">
        <v>9</v>
      </c>
      <c r="G283" s="2">
        <v>404500</v>
      </c>
      <c r="H283" s="2">
        <v>0</v>
      </c>
      <c r="I283" s="2">
        <v>404500</v>
      </c>
      <c r="J283" s="2">
        <v>0</v>
      </c>
      <c r="K283" s="2">
        <v>404500</v>
      </c>
      <c r="L283" s="2" t="str">
        <f>_xlfn.XLOOKUP(Data_Nhập[[#This Row],[Main SKU]],MD_Main_SKU[Main SKU],MD_Main_SKU[SKU name_gom])</f>
        <v>WSS01</v>
      </c>
      <c r="M283" s="2" t="str">
        <f>_xlfn.XLOOKUP(Data_Nhập[[#This Row],[Material-Nhập]],MD_Main_SKU[Main SKU],MD_Main_SKU[SKU name_gom])</f>
        <v>WSS01</v>
      </c>
    </row>
    <row r="284" spans="1:13" x14ac:dyDescent="0.35">
      <c r="A284">
        <v>2024</v>
      </c>
      <c r="B284">
        <v>8</v>
      </c>
      <c r="C284" t="s">
        <v>8</v>
      </c>
      <c r="D284" t="s">
        <v>9</v>
      </c>
      <c r="E284" t="s">
        <v>20</v>
      </c>
      <c r="F284" t="s">
        <v>21</v>
      </c>
      <c r="G284" s="2">
        <v>0</v>
      </c>
      <c r="H284" s="2">
        <v>1100</v>
      </c>
      <c r="I284" s="2">
        <v>1100</v>
      </c>
      <c r="J284" s="2">
        <v>0</v>
      </c>
      <c r="K284" s="2">
        <v>1100</v>
      </c>
      <c r="L284" s="2" t="str">
        <f>_xlfn.XLOOKUP(Data_Nhập[[#This Row],[Main SKU]],MD_Main_SKU[Main SKU],MD_Main_SKU[SKU name_gom])</f>
        <v>WSS01</v>
      </c>
      <c r="M284" s="2" t="str">
        <f>_xlfn.XLOOKUP(Data_Nhập[[#This Row],[Material-Nhập]],MD_Main_SKU[Main SKU],MD_Main_SKU[SKU name_gom])</f>
        <v>WSS02</v>
      </c>
    </row>
    <row r="285" spans="1:13" x14ac:dyDescent="0.35">
      <c r="A285">
        <v>2024</v>
      </c>
      <c r="B285">
        <v>8</v>
      </c>
      <c r="C285" t="s">
        <v>8</v>
      </c>
      <c r="D285" t="s">
        <v>9</v>
      </c>
      <c r="E285" t="s">
        <v>22</v>
      </c>
      <c r="F285" t="s">
        <v>23</v>
      </c>
      <c r="G285" s="2">
        <v>0</v>
      </c>
      <c r="H285" s="2">
        <v>16600</v>
      </c>
      <c r="I285" s="2">
        <v>16600</v>
      </c>
      <c r="J285" s="2">
        <v>0</v>
      </c>
      <c r="K285" s="2">
        <v>16600</v>
      </c>
      <c r="L285" s="2" t="str">
        <f>_xlfn.XLOOKUP(Data_Nhập[[#This Row],[Main SKU]],MD_Main_SKU[Main SKU],MD_Main_SKU[SKU name_gom])</f>
        <v>WSS01</v>
      </c>
      <c r="M285" s="2" t="str">
        <f>_xlfn.XLOOKUP(Data_Nhập[[#This Row],[Material-Nhập]],MD_Main_SKU[Main SKU],MD_Main_SKU[SKU name_gom])</f>
        <v>WSS03</v>
      </c>
    </row>
    <row r="286" spans="1:13" x14ac:dyDescent="0.35">
      <c r="A286">
        <v>2024</v>
      </c>
      <c r="B286">
        <v>8</v>
      </c>
      <c r="C286" t="s">
        <v>8</v>
      </c>
      <c r="D286" t="s">
        <v>9</v>
      </c>
      <c r="E286" t="s">
        <v>87</v>
      </c>
      <c r="F286" t="s">
        <v>88</v>
      </c>
      <c r="G286" s="2">
        <v>0</v>
      </c>
      <c r="H286" s="2">
        <v>0</v>
      </c>
      <c r="I286" s="2">
        <v>0</v>
      </c>
      <c r="J286" s="2">
        <v>5674.71</v>
      </c>
      <c r="K286" s="2">
        <v>5674.71</v>
      </c>
      <c r="L286" s="2" t="str">
        <f>_xlfn.XLOOKUP(Data_Nhập[[#This Row],[Main SKU]],MD_Main_SKU[Main SKU],MD_Main_SKU[SKU name_gom])</f>
        <v>WSS01</v>
      </c>
      <c r="M286" s="2" t="str">
        <f>_xlfn.XLOOKUP(Data_Nhập[[#This Row],[Material-Nhập]],MD_Main_SKU[Main SKU],MD_Main_SKU[SKU name_gom])</f>
        <v>Phó sản</v>
      </c>
    </row>
    <row r="287" spans="1:13" x14ac:dyDescent="0.35">
      <c r="A287">
        <v>2024</v>
      </c>
      <c r="B287">
        <v>8</v>
      </c>
      <c r="C287" t="s">
        <v>8</v>
      </c>
      <c r="D287" t="s">
        <v>9</v>
      </c>
      <c r="E287" t="s">
        <v>91</v>
      </c>
      <c r="F287" t="s">
        <v>92</v>
      </c>
      <c r="G287" s="2">
        <v>0</v>
      </c>
      <c r="H287" s="2">
        <v>0</v>
      </c>
      <c r="I287" s="2">
        <v>0</v>
      </c>
      <c r="J287" s="2">
        <v>30</v>
      </c>
      <c r="K287" s="2">
        <v>30</v>
      </c>
      <c r="L287" s="2" t="str">
        <f>_xlfn.XLOOKUP(Data_Nhập[[#This Row],[Main SKU]],MD_Main_SKU[Main SKU],MD_Main_SKU[SKU name_gom])</f>
        <v>WSS01</v>
      </c>
      <c r="M287" s="2" t="str">
        <f>_xlfn.XLOOKUP(Data_Nhập[[#This Row],[Material-Nhập]],MD_Main_SKU[Main SKU],MD_Main_SKU[SKU name_gom])</f>
        <v>Phó sản</v>
      </c>
    </row>
    <row r="288" spans="1:13" x14ac:dyDescent="0.35">
      <c r="A288">
        <v>2024</v>
      </c>
      <c r="B288">
        <v>8</v>
      </c>
      <c r="C288" t="s">
        <v>8</v>
      </c>
      <c r="D288" t="s">
        <v>9</v>
      </c>
      <c r="E288" t="s">
        <v>117</v>
      </c>
      <c r="F288" t="s">
        <v>86</v>
      </c>
      <c r="G288" s="2">
        <v>0</v>
      </c>
      <c r="H288" s="2">
        <v>0</v>
      </c>
      <c r="I288" s="2">
        <v>0</v>
      </c>
      <c r="J288" s="2">
        <v>12461.279999999999</v>
      </c>
      <c r="K288" s="2">
        <v>12461.279999999999</v>
      </c>
      <c r="L288" s="2" t="str">
        <f>_xlfn.XLOOKUP(Data_Nhập[[#This Row],[Main SKU]],MD_Main_SKU[Main SKU],MD_Main_SKU[SKU name_gom])</f>
        <v>WSS01</v>
      </c>
      <c r="M288" s="2" t="str">
        <f>_xlfn.XLOOKUP(Data_Nhập[[#This Row],[Material-Nhập]],MD_Main_SKU[Main SKU],MD_Main_SKU[SKU name_gom])</f>
        <v>Phó sản</v>
      </c>
    </row>
    <row r="289" spans="1:13" x14ac:dyDescent="0.35">
      <c r="A289">
        <v>2024</v>
      </c>
      <c r="B289">
        <v>8</v>
      </c>
      <c r="C289" t="s">
        <v>14</v>
      </c>
      <c r="D289" t="s">
        <v>15</v>
      </c>
      <c r="E289" t="s">
        <v>14</v>
      </c>
      <c r="F289" t="s">
        <v>15</v>
      </c>
      <c r="G289" s="2">
        <v>476300</v>
      </c>
      <c r="H289" s="2">
        <v>0</v>
      </c>
      <c r="I289" s="2">
        <v>476300</v>
      </c>
      <c r="J289" s="2">
        <v>0</v>
      </c>
      <c r="K289" s="2">
        <v>476300</v>
      </c>
      <c r="L289" s="2" t="str">
        <f>_xlfn.XLOOKUP(Data_Nhập[[#This Row],[Main SKU]],MD_Main_SKU[Main SKU],MD_Main_SKU[SKU name_gom])</f>
        <v>iSS01084</v>
      </c>
      <c r="M289" s="2" t="str">
        <f>_xlfn.XLOOKUP(Data_Nhập[[#This Row],[Material-Nhập]],MD_Main_SKU[Main SKU],MD_Main_SKU[SKU name_gom])</f>
        <v>iSS01084</v>
      </c>
    </row>
    <row r="290" spans="1:13" x14ac:dyDescent="0.35">
      <c r="A290">
        <v>2024</v>
      </c>
      <c r="B290">
        <v>8</v>
      </c>
      <c r="C290" t="s">
        <v>14</v>
      </c>
      <c r="D290" t="s">
        <v>15</v>
      </c>
      <c r="E290" t="s">
        <v>18</v>
      </c>
      <c r="F290" t="s">
        <v>19</v>
      </c>
      <c r="G290" s="2">
        <v>0</v>
      </c>
      <c r="H290" s="2">
        <v>9900</v>
      </c>
      <c r="I290" s="2">
        <v>9900</v>
      </c>
      <c r="J290" s="2">
        <v>0</v>
      </c>
      <c r="K290" s="2">
        <v>9900</v>
      </c>
      <c r="L290" s="2" t="str">
        <f>_xlfn.XLOOKUP(Data_Nhập[[#This Row],[Main SKU]],MD_Main_SKU[Main SKU],MD_Main_SKU[SKU name_gom])</f>
        <v>iSS01084</v>
      </c>
      <c r="M290" s="2" t="str">
        <f>_xlfn.XLOOKUP(Data_Nhập[[#This Row],[Material-Nhập]],MD_Main_SKU[Main SKU],MD_Main_SKU[SKU name_gom])</f>
        <v>iSS01</v>
      </c>
    </row>
    <row r="291" spans="1:13" x14ac:dyDescent="0.35">
      <c r="A291">
        <v>2024</v>
      </c>
      <c r="B291">
        <v>8</v>
      </c>
      <c r="C291" t="s">
        <v>14</v>
      </c>
      <c r="D291" t="s">
        <v>15</v>
      </c>
      <c r="E291" t="s">
        <v>22</v>
      </c>
      <c r="F291" t="s">
        <v>23</v>
      </c>
      <c r="G291" s="2">
        <v>0</v>
      </c>
      <c r="H291" s="2">
        <v>16500</v>
      </c>
      <c r="I291" s="2">
        <v>16500</v>
      </c>
      <c r="J291" s="2">
        <v>0</v>
      </c>
      <c r="K291" s="2">
        <v>16500</v>
      </c>
      <c r="L291" s="2" t="str">
        <f>_xlfn.XLOOKUP(Data_Nhập[[#This Row],[Main SKU]],MD_Main_SKU[Main SKU],MD_Main_SKU[SKU name_gom])</f>
        <v>iSS01084</v>
      </c>
      <c r="M291" s="2" t="str">
        <f>_xlfn.XLOOKUP(Data_Nhập[[#This Row],[Material-Nhập]],MD_Main_SKU[Main SKU],MD_Main_SKU[SKU name_gom])</f>
        <v>WSS03</v>
      </c>
    </row>
    <row r="292" spans="1:13" x14ac:dyDescent="0.35">
      <c r="A292">
        <v>2024</v>
      </c>
      <c r="B292">
        <v>8</v>
      </c>
      <c r="C292" t="s">
        <v>14</v>
      </c>
      <c r="D292" t="s">
        <v>15</v>
      </c>
      <c r="E292" t="s">
        <v>87</v>
      </c>
      <c r="F292" t="s">
        <v>88</v>
      </c>
      <c r="G292" s="2">
        <v>0</v>
      </c>
      <c r="H292" s="2">
        <v>0</v>
      </c>
      <c r="I292" s="2">
        <v>0</v>
      </c>
      <c r="J292" s="2">
        <v>6400.0000000000009</v>
      </c>
      <c r="K292" s="2">
        <v>6400.0000000000009</v>
      </c>
      <c r="L292" s="2" t="str">
        <f>_xlfn.XLOOKUP(Data_Nhập[[#This Row],[Main SKU]],MD_Main_SKU[Main SKU],MD_Main_SKU[SKU name_gom])</f>
        <v>iSS01084</v>
      </c>
      <c r="M292" s="2" t="str">
        <f>_xlfn.XLOOKUP(Data_Nhập[[#This Row],[Material-Nhập]],MD_Main_SKU[Main SKU],MD_Main_SKU[SKU name_gom])</f>
        <v>Phó sản</v>
      </c>
    </row>
    <row r="293" spans="1:13" x14ac:dyDescent="0.35">
      <c r="A293">
        <v>2024</v>
      </c>
      <c r="B293">
        <v>8</v>
      </c>
      <c r="C293" t="s">
        <v>14</v>
      </c>
      <c r="D293" t="s">
        <v>15</v>
      </c>
      <c r="E293" t="s">
        <v>89</v>
      </c>
      <c r="F293" t="s">
        <v>90</v>
      </c>
      <c r="G293" s="2">
        <v>0</v>
      </c>
      <c r="H293" s="2">
        <v>0</v>
      </c>
      <c r="I293" s="2">
        <v>0</v>
      </c>
      <c r="J293" s="2">
        <v>2024.9999999999998</v>
      </c>
      <c r="K293" s="2">
        <v>2024.9999999999998</v>
      </c>
      <c r="L293" s="2" t="str">
        <f>_xlfn.XLOOKUP(Data_Nhập[[#This Row],[Main SKU]],MD_Main_SKU[Main SKU],MD_Main_SKU[SKU name_gom])</f>
        <v>iSS01084</v>
      </c>
      <c r="M293" s="2" t="str">
        <f>_xlfn.XLOOKUP(Data_Nhập[[#This Row],[Material-Nhập]],MD_Main_SKU[Main SKU],MD_Main_SKU[SKU name_gom])</f>
        <v>Phó sản</v>
      </c>
    </row>
    <row r="294" spans="1:13" x14ac:dyDescent="0.35">
      <c r="A294">
        <v>2024</v>
      </c>
      <c r="B294">
        <v>8</v>
      </c>
      <c r="C294" t="s">
        <v>14</v>
      </c>
      <c r="D294" t="s">
        <v>15</v>
      </c>
      <c r="E294" t="s">
        <v>91</v>
      </c>
      <c r="F294" t="s">
        <v>92</v>
      </c>
      <c r="G294" s="2">
        <v>0</v>
      </c>
      <c r="H294" s="2">
        <v>0</v>
      </c>
      <c r="I294" s="2">
        <v>0</v>
      </c>
      <c r="J294" s="2">
        <v>1048</v>
      </c>
      <c r="K294" s="2">
        <v>1048</v>
      </c>
      <c r="L294" s="2" t="str">
        <f>_xlfn.XLOOKUP(Data_Nhập[[#This Row],[Main SKU]],MD_Main_SKU[Main SKU],MD_Main_SKU[SKU name_gom])</f>
        <v>iSS01084</v>
      </c>
      <c r="M294" s="2" t="str">
        <f>_xlfn.XLOOKUP(Data_Nhập[[#This Row],[Material-Nhập]],MD_Main_SKU[Main SKU],MD_Main_SKU[SKU name_gom])</f>
        <v>Phó sản</v>
      </c>
    </row>
    <row r="295" spans="1:13" x14ac:dyDescent="0.35">
      <c r="A295">
        <v>2024</v>
      </c>
      <c r="B295">
        <v>8</v>
      </c>
      <c r="C295" t="s">
        <v>14</v>
      </c>
      <c r="D295" t="s">
        <v>15</v>
      </c>
      <c r="E295" t="s">
        <v>117</v>
      </c>
      <c r="F295" t="s">
        <v>86</v>
      </c>
      <c r="G295" s="2">
        <v>0</v>
      </c>
      <c r="H295" s="2">
        <v>0</v>
      </c>
      <c r="I295" s="2">
        <v>0</v>
      </c>
      <c r="J295" s="2">
        <v>10075</v>
      </c>
      <c r="K295" s="2">
        <v>10075</v>
      </c>
      <c r="L295" s="2" t="str">
        <f>_xlfn.XLOOKUP(Data_Nhập[[#This Row],[Main SKU]],MD_Main_SKU[Main SKU],MD_Main_SKU[SKU name_gom])</f>
        <v>iSS01084</v>
      </c>
      <c r="M295" s="2" t="str">
        <f>_xlfn.XLOOKUP(Data_Nhập[[#This Row],[Material-Nhập]],MD_Main_SKU[Main SKU],MD_Main_SKU[SKU name_gom])</f>
        <v>Phó sản</v>
      </c>
    </row>
    <row r="296" spans="1:13" x14ac:dyDescent="0.35">
      <c r="A296">
        <v>2024</v>
      </c>
      <c r="B296">
        <v>8</v>
      </c>
      <c r="C296" t="s">
        <v>16</v>
      </c>
      <c r="D296" t="s">
        <v>17</v>
      </c>
      <c r="E296" t="s">
        <v>16</v>
      </c>
      <c r="F296" t="s">
        <v>17</v>
      </c>
      <c r="G296" s="2">
        <v>629056</v>
      </c>
      <c r="H296" s="2">
        <v>0</v>
      </c>
      <c r="I296" s="2">
        <v>629056</v>
      </c>
      <c r="J296" s="2">
        <v>0</v>
      </c>
      <c r="K296" s="2">
        <v>629056</v>
      </c>
      <c r="L296" s="2" t="str">
        <f>_xlfn.XLOOKUP(Data_Nhập[[#This Row],[Main SKU]],MD_Main_SKU[Main SKU],MD_Main_SKU[SKU name_gom])</f>
        <v>WSS01</v>
      </c>
      <c r="M296" s="2" t="str">
        <f>_xlfn.XLOOKUP(Data_Nhập[[#This Row],[Material-Nhập]],MD_Main_SKU[Main SKU],MD_Main_SKU[SKU name_gom])</f>
        <v>WSS01</v>
      </c>
    </row>
    <row r="297" spans="1:13" x14ac:dyDescent="0.35">
      <c r="A297">
        <v>2024</v>
      </c>
      <c r="B297">
        <v>8</v>
      </c>
      <c r="C297" t="s">
        <v>16</v>
      </c>
      <c r="D297" t="s">
        <v>17</v>
      </c>
      <c r="E297" t="s">
        <v>18</v>
      </c>
      <c r="F297" t="s">
        <v>19</v>
      </c>
      <c r="G297" s="2">
        <v>0</v>
      </c>
      <c r="H297" s="2">
        <v>22219</v>
      </c>
      <c r="I297" s="2">
        <v>22219</v>
      </c>
      <c r="J297" s="2">
        <v>0</v>
      </c>
      <c r="K297" s="2">
        <v>22219</v>
      </c>
      <c r="L297" s="2" t="str">
        <f>_xlfn.XLOOKUP(Data_Nhập[[#This Row],[Main SKU]],MD_Main_SKU[Main SKU],MD_Main_SKU[SKU name_gom])</f>
        <v>WSS01</v>
      </c>
      <c r="M297" s="2" t="str">
        <f>_xlfn.XLOOKUP(Data_Nhập[[#This Row],[Material-Nhập]],MD_Main_SKU[Main SKU],MD_Main_SKU[SKU name_gom])</f>
        <v>iSS01</v>
      </c>
    </row>
    <row r="298" spans="1:13" x14ac:dyDescent="0.35">
      <c r="A298">
        <v>2024</v>
      </c>
      <c r="B298">
        <v>8</v>
      </c>
      <c r="C298" t="s">
        <v>16</v>
      </c>
      <c r="D298" t="s">
        <v>17</v>
      </c>
      <c r="E298" t="s">
        <v>20</v>
      </c>
      <c r="F298" t="s">
        <v>21</v>
      </c>
      <c r="G298" s="2">
        <v>0</v>
      </c>
      <c r="H298" s="2">
        <v>1100</v>
      </c>
      <c r="I298" s="2">
        <v>1100</v>
      </c>
      <c r="J298" s="2">
        <v>0</v>
      </c>
      <c r="K298" s="2">
        <v>1100</v>
      </c>
      <c r="L298" s="2" t="str">
        <f>_xlfn.XLOOKUP(Data_Nhập[[#This Row],[Main SKU]],MD_Main_SKU[Main SKU],MD_Main_SKU[SKU name_gom])</f>
        <v>WSS01</v>
      </c>
      <c r="M298" s="2" t="str">
        <f>_xlfn.XLOOKUP(Data_Nhập[[#This Row],[Material-Nhập]],MD_Main_SKU[Main SKU],MD_Main_SKU[SKU name_gom])</f>
        <v>WSS02</v>
      </c>
    </row>
    <row r="299" spans="1:13" x14ac:dyDescent="0.35">
      <c r="A299">
        <v>2024</v>
      </c>
      <c r="B299">
        <v>8</v>
      </c>
      <c r="C299" t="s">
        <v>16</v>
      </c>
      <c r="D299" t="s">
        <v>17</v>
      </c>
      <c r="E299" t="s">
        <v>22</v>
      </c>
      <c r="F299" t="s">
        <v>23</v>
      </c>
      <c r="G299" s="2">
        <v>0</v>
      </c>
      <c r="H299" s="2">
        <v>50751</v>
      </c>
      <c r="I299" s="2">
        <v>50751</v>
      </c>
      <c r="J299" s="2">
        <v>0</v>
      </c>
      <c r="K299" s="2">
        <v>50751</v>
      </c>
      <c r="L299" s="2" t="str">
        <f>_xlfn.XLOOKUP(Data_Nhập[[#This Row],[Main SKU]],MD_Main_SKU[Main SKU],MD_Main_SKU[SKU name_gom])</f>
        <v>WSS01</v>
      </c>
      <c r="M299" s="2" t="str">
        <f>_xlfn.XLOOKUP(Data_Nhập[[#This Row],[Material-Nhập]],MD_Main_SKU[Main SKU],MD_Main_SKU[SKU name_gom])</f>
        <v>WSS03</v>
      </c>
    </row>
    <row r="300" spans="1:13" x14ac:dyDescent="0.35">
      <c r="A300">
        <v>2024</v>
      </c>
      <c r="B300">
        <v>8</v>
      </c>
      <c r="C300" t="s">
        <v>16</v>
      </c>
      <c r="D300" t="s">
        <v>17</v>
      </c>
      <c r="E300" t="s">
        <v>111</v>
      </c>
      <c r="F300" t="s">
        <v>112</v>
      </c>
      <c r="G300" s="2">
        <v>0</v>
      </c>
      <c r="H300" s="2">
        <v>0</v>
      </c>
      <c r="I300" s="2">
        <v>0</v>
      </c>
      <c r="J300" s="2">
        <v>1270</v>
      </c>
      <c r="K300" s="2">
        <v>1270</v>
      </c>
      <c r="L300" s="2" t="str">
        <f>_xlfn.XLOOKUP(Data_Nhập[[#This Row],[Main SKU]],MD_Main_SKU[Main SKU],MD_Main_SKU[SKU name_gom])</f>
        <v>WSS01</v>
      </c>
      <c r="M300" s="2" t="str">
        <f>_xlfn.XLOOKUP(Data_Nhập[[#This Row],[Material-Nhập]],MD_Main_SKU[Main SKU],MD_Main_SKU[SKU name_gom])</f>
        <v>Phó sản</v>
      </c>
    </row>
    <row r="301" spans="1:13" x14ac:dyDescent="0.35">
      <c r="A301">
        <v>2024</v>
      </c>
      <c r="B301">
        <v>8</v>
      </c>
      <c r="C301" t="s">
        <v>16</v>
      </c>
      <c r="D301" t="s">
        <v>17</v>
      </c>
      <c r="E301" t="s">
        <v>87</v>
      </c>
      <c r="F301" t="s">
        <v>88</v>
      </c>
      <c r="G301" s="2">
        <v>0</v>
      </c>
      <c r="H301" s="2">
        <v>0</v>
      </c>
      <c r="I301" s="2">
        <v>0</v>
      </c>
      <c r="J301" s="2">
        <v>9805</v>
      </c>
      <c r="K301" s="2">
        <v>9805</v>
      </c>
      <c r="L301" s="2" t="str">
        <f>_xlfn.XLOOKUP(Data_Nhập[[#This Row],[Main SKU]],MD_Main_SKU[Main SKU],MD_Main_SKU[SKU name_gom])</f>
        <v>WSS01</v>
      </c>
      <c r="M301" s="2" t="str">
        <f>_xlfn.XLOOKUP(Data_Nhập[[#This Row],[Material-Nhập]],MD_Main_SKU[Main SKU],MD_Main_SKU[SKU name_gom])</f>
        <v>Phó sản</v>
      </c>
    </row>
    <row r="302" spans="1:13" x14ac:dyDescent="0.35">
      <c r="A302">
        <v>2024</v>
      </c>
      <c r="B302">
        <v>8</v>
      </c>
      <c r="C302" t="s">
        <v>16</v>
      </c>
      <c r="D302" t="s">
        <v>17</v>
      </c>
      <c r="E302" t="s">
        <v>89</v>
      </c>
      <c r="F302" t="s">
        <v>90</v>
      </c>
      <c r="G302" s="2">
        <v>0</v>
      </c>
      <c r="H302" s="2">
        <v>0</v>
      </c>
      <c r="I302" s="2">
        <v>0</v>
      </c>
      <c r="J302" s="2">
        <v>8676</v>
      </c>
      <c r="K302" s="2">
        <v>8676</v>
      </c>
      <c r="L302" s="2" t="str">
        <f>_xlfn.XLOOKUP(Data_Nhập[[#This Row],[Main SKU]],MD_Main_SKU[Main SKU],MD_Main_SKU[SKU name_gom])</f>
        <v>WSS01</v>
      </c>
      <c r="M302" s="2" t="str">
        <f>_xlfn.XLOOKUP(Data_Nhập[[#This Row],[Material-Nhập]],MD_Main_SKU[Main SKU],MD_Main_SKU[SKU name_gom])</f>
        <v>Phó sản</v>
      </c>
    </row>
    <row r="303" spans="1:13" x14ac:dyDescent="0.35">
      <c r="A303">
        <v>2024</v>
      </c>
      <c r="B303">
        <v>8</v>
      </c>
      <c r="C303" t="s">
        <v>16</v>
      </c>
      <c r="D303" t="s">
        <v>17</v>
      </c>
      <c r="E303" t="s">
        <v>91</v>
      </c>
      <c r="F303" t="s">
        <v>92</v>
      </c>
      <c r="G303" s="2">
        <v>0</v>
      </c>
      <c r="H303" s="2">
        <v>0</v>
      </c>
      <c r="I303" s="2">
        <v>0</v>
      </c>
      <c r="J303" s="2">
        <v>4914</v>
      </c>
      <c r="K303" s="2">
        <v>4914</v>
      </c>
      <c r="L303" s="2" t="str">
        <f>_xlfn.XLOOKUP(Data_Nhập[[#This Row],[Main SKU]],MD_Main_SKU[Main SKU],MD_Main_SKU[SKU name_gom])</f>
        <v>WSS01</v>
      </c>
      <c r="M303" s="2" t="str">
        <f>_xlfn.XLOOKUP(Data_Nhập[[#This Row],[Material-Nhập]],MD_Main_SKU[Main SKU],MD_Main_SKU[SKU name_gom])</f>
        <v>Phó sản</v>
      </c>
    </row>
    <row r="304" spans="1:13" x14ac:dyDescent="0.35">
      <c r="A304">
        <v>2024</v>
      </c>
      <c r="B304">
        <v>8</v>
      </c>
      <c r="C304" t="s">
        <v>16</v>
      </c>
      <c r="D304" t="s">
        <v>17</v>
      </c>
      <c r="E304" t="s">
        <v>93</v>
      </c>
      <c r="F304" t="s">
        <v>94</v>
      </c>
      <c r="G304" s="2">
        <v>0</v>
      </c>
      <c r="H304" s="2">
        <v>0</v>
      </c>
      <c r="I304" s="2">
        <v>0</v>
      </c>
      <c r="J304" s="2">
        <v>8.1000000000000014</v>
      </c>
      <c r="K304" s="2">
        <v>8.1000000000000014</v>
      </c>
      <c r="L304" s="2" t="str">
        <f>_xlfn.XLOOKUP(Data_Nhập[[#This Row],[Main SKU]],MD_Main_SKU[Main SKU],MD_Main_SKU[SKU name_gom])</f>
        <v>WSS01</v>
      </c>
      <c r="M304" s="2" t="str">
        <f>_xlfn.XLOOKUP(Data_Nhập[[#This Row],[Material-Nhập]],MD_Main_SKU[Main SKU],MD_Main_SKU[SKU name_gom])</f>
        <v>Phó sản</v>
      </c>
    </row>
    <row r="305" spans="1:13" x14ac:dyDescent="0.35">
      <c r="A305">
        <v>2024</v>
      </c>
      <c r="B305">
        <v>8</v>
      </c>
      <c r="C305" t="s">
        <v>16</v>
      </c>
      <c r="D305" t="s">
        <v>17</v>
      </c>
      <c r="E305" t="s">
        <v>117</v>
      </c>
      <c r="F305" t="s">
        <v>86</v>
      </c>
      <c r="G305" s="2">
        <v>0</v>
      </c>
      <c r="H305" s="2">
        <v>0</v>
      </c>
      <c r="I305" s="2">
        <v>0</v>
      </c>
      <c r="J305" s="2">
        <v>20683.075000000001</v>
      </c>
      <c r="K305" s="2">
        <v>20683.075000000001</v>
      </c>
      <c r="L305" s="2" t="str">
        <f>_xlfn.XLOOKUP(Data_Nhập[[#This Row],[Main SKU]],MD_Main_SKU[Main SKU],MD_Main_SKU[SKU name_gom])</f>
        <v>WSS01</v>
      </c>
      <c r="M305" s="2" t="str">
        <f>_xlfn.XLOOKUP(Data_Nhập[[#This Row],[Material-Nhập]],MD_Main_SKU[Main SKU],MD_Main_SKU[SKU name_gom])</f>
        <v>Phó sản</v>
      </c>
    </row>
    <row r="306" spans="1:13" x14ac:dyDescent="0.35">
      <c r="A306">
        <v>2024</v>
      </c>
      <c r="B306">
        <v>8</v>
      </c>
      <c r="C306" t="s">
        <v>18</v>
      </c>
      <c r="D306" t="s">
        <v>19</v>
      </c>
      <c r="E306" t="s">
        <v>14</v>
      </c>
      <c r="F306" t="s">
        <v>15</v>
      </c>
      <c r="G306" s="2">
        <v>0</v>
      </c>
      <c r="H306" s="2">
        <v>91299.999999999985</v>
      </c>
      <c r="I306" s="2">
        <v>91299.999999999985</v>
      </c>
      <c r="J306" s="2">
        <v>0</v>
      </c>
      <c r="K306" s="2">
        <v>91299.999999999985</v>
      </c>
      <c r="L306" s="2" t="str">
        <f>_xlfn.XLOOKUP(Data_Nhập[[#This Row],[Main SKU]],MD_Main_SKU[Main SKU],MD_Main_SKU[SKU name_gom])</f>
        <v>iSS01</v>
      </c>
      <c r="M306" s="2" t="str">
        <f>_xlfn.XLOOKUP(Data_Nhập[[#This Row],[Material-Nhập]],MD_Main_SKU[Main SKU],MD_Main_SKU[SKU name_gom])</f>
        <v>iSS01084</v>
      </c>
    </row>
    <row r="307" spans="1:13" x14ac:dyDescent="0.35">
      <c r="A307">
        <v>2024</v>
      </c>
      <c r="B307">
        <v>8</v>
      </c>
      <c r="C307" t="s">
        <v>18</v>
      </c>
      <c r="D307" t="s">
        <v>19</v>
      </c>
      <c r="E307" t="s">
        <v>18</v>
      </c>
      <c r="F307" t="s">
        <v>19</v>
      </c>
      <c r="G307" s="2">
        <v>92400</v>
      </c>
      <c r="H307" s="2">
        <v>0</v>
      </c>
      <c r="I307" s="2">
        <v>92400</v>
      </c>
      <c r="J307" s="2">
        <v>0</v>
      </c>
      <c r="K307" s="2">
        <v>92400</v>
      </c>
      <c r="L307" s="2" t="str">
        <f>_xlfn.XLOOKUP(Data_Nhập[[#This Row],[Main SKU]],MD_Main_SKU[Main SKU],MD_Main_SKU[SKU name_gom])</f>
        <v>iSS01</v>
      </c>
      <c r="M307" s="2" t="str">
        <f>_xlfn.XLOOKUP(Data_Nhập[[#This Row],[Material-Nhập]],MD_Main_SKU[Main SKU],MD_Main_SKU[SKU name_gom])</f>
        <v>iSS01</v>
      </c>
    </row>
    <row r="308" spans="1:13" x14ac:dyDescent="0.35">
      <c r="A308">
        <v>2024</v>
      </c>
      <c r="B308">
        <v>8</v>
      </c>
      <c r="C308" t="s">
        <v>18</v>
      </c>
      <c r="D308" t="s">
        <v>19</v>
      </c>
      <c r="E308" t="s">
        <v>22</v>
      </c>
      <c r="F308" t="s">
        <v>23</v>
      </c>
      <c r="G308" s="2">
        <v>0</v>
      </c>
      <c r="H308" s="2">
        <v>6599.9999999999991</v>
      </c>
      <c r="I308" s="2">
        <v>6599.9999999999991</v>
      </c>
      <c r="J308" s="2">
        <v>0</v>
      </c>
      <c r="K308" s="2">
        <v>6599.9999999999991</v>
      </c>
      <c r="L308" s="2" t="str">
        <f>_xlfn.XLOOKUP(Data_Nhập[[#This Row],[Main SKU]],MD_Main_SKU[Main SKU],MD_Main_SKU[SKU name_gom])</f>
        <v>iSS01</v>
      </c>
      <c r="M308" s="2" t="str">
        <f>_xlfn.XLOOKUP(Data_Nhập[[#This Row],[Material-Nhập]],MD_Main_SKU[Main SKU],MD_Main_SKU[SKU name_gom])</f>
        <v>WSS03</v>
      </c>
    </row>
    <row r="309" spans="1:13" x14ac:dyDescent="0.35">
      <c r="A309">
        <v>2024</v>
      </c>
      <c r="B309">
        <v>8</v>
      </c>
      <c r="C309" t="s">
        <v>18</v>
      </c>
      <c r="D309" t="s">
        <v>19</v>
      </c>
      <c r="E309" t="s">
        <v>85</v>
      </c>
      <c r="F309" t="s">
        <v>86</v>
      </c>
      <c r="G309" s="2">
        <v>0</v>
      </c>
      <c r="H309" s="2">
        <v>0</v>
      </c>
      <c r="I309" s="2">
        <v>0</v>
      </c>
      <c r="J309" s="2">
        <v>1999.9999999999998</v>
      </c>
      <c r="K309" s="2">
        <v>1999.9999999999998</v>
      </c>
      <c r="L309" s="2" t="str">
        <f>_xlfn.XLOOKUP(Data_Nhập[[#This Row],[Main SKU]],MD_Main_SKU[Main SKU],MD_Main_SKU[SKU name_gom])</f>
        <v>iSS01</v>
      </c>
      <c r="M309" s="2" t="str">
        <f>_xlfn.XLOOKUP(Data_Nhập[[#This Row],[Material-Nhập]],MD_Main_SKU[Main SKU],MD_Main_SKU[SKU name_gom])</f>
        <v>Phó sản</v>
      </c>
    </row>
    <row r="310" spans="1:13" x14ac:dyDescent="0.35">
      <c r="A310">
        <v>2024</v>
      </c>
      <c r="B310">
        <v>8</v>
      </c>
      <c r="C310" t="s">
        <v>18</v>
      </c>
      <c r="D310" t="s">
        <v>19</v>
      </c>
      <c r="E310" t="s">
        <v>89</v>
      </c>
      <c r="F310" t="s">
        <v>90</v>
      </c>
      <c r="G310" s="2">
        <v>0</v>
      </c>
      <c r="H310" s="2">
        <v>0</v>
      </c>
      <c r="I310" s="2">
        <v>0</v>
      </c>
      <c r="J310" s="2">
        <v>8800</v>
      </c>
      <c r="K310" s="2">
        <v>8800</v>
      </c>
      <c r="L310" s="2" t="str">
        <f>_xlfn.XLOOKUP(Data_Nhập[[#This Row],[Main SKU]],MD_Main_SKU[Main SKU],MD_Main_SKU[SKU name_gom])</f>
        <v>iSS01</v>
      </c>
      <c r="M310" s="2" t="str">
        <f>_xlfn.XLOOKUP(Data_Nhập[[#This Row],[Material-Nhập]],MD_Main_SKU[Main SKU],MD_Main_SKU[SKU name_gom])</f>
        <v>Phó sản</v>
      </c>
    </row>
    <row r="311" spans="1:13" x14ac:dyDescent="0.35">
      <c r="A311">
        <v>2024</v>
      </c>
      <c r="B311">
        <v>8</v>
      </c>
      <c r="C311" t="s">
        <v>18</v>
      </c>
      <c r="D311" t="s">
        <v>19</v>
      </c>
      <c r="E311" t="s">
        <v>91</v>
      </c>
      <c r="F311" t="s">
        <v>92</v>
      </c>
      <c r="G311" s="2">
        <v>0</v>
      </c>
      <c r="H311" s="2">
        <v>0</v>
      </c>
      <c r="I311" s="2">
        <v>0</v>
      </c>
      <c r="J311" s="2">
        <v>3299.9999999999995</v>
      </c>
      <c r="K311" s="2">
        <v>3299.9999999999995</v>
      </c>
      <c r="L311" s="2" t="str">
        <f>_xlfn.XLOOKUP(Data_Nhập[[#This Row],[Main SKU]],MD_Main_SKU[Main SKU],MD_Main_SKU[SKU name_gom])</f>
        <v>iSS01</v>
      </c>
      <c r="M311" s="2" t="str">
        <f>_xlfn.XLOOKUP(Data_Nhập[[#This Row],[Material-Nhập]],MD_Main_SKU[Main SKU],MD_Main_SKU[SKU name_gom])</f>
        <v>Phó sản</v>
      </c>
    </row>
    <row r="312" spans="1:13" x14ac:dyDescent="0.35">
      <c r="A312">
        <v>2024</v>
      </c>
      <c r="B312">
        <v>8</v>
      </c>
      <c r="C312" t="s">
        <v>18</v>
      </c>
      <c r="D312" t="s">
        <v>19</v>
      </c>
      <c r="E312" t="s">
        <v>117</v>
      </c>
      <c r="F312" t="s">
        <v>86</v>
      </c>
      <c r="G312" s="2">
        <v>0</v>
      </c>
      <c r="H312" s="2">
        <v>0</v>
      </c>
      <c r="I312" s="2">
        <v>0</v>
      </c>
      <c r="J312" s="2">
        <v>14404</v>
      </c>
      <c r="K312" s="2">
        <v>14404</v>
      </c>
      <c r="L312" s="2" t="str">
        <f>_xlfn.XLOOKUP(Data_Nhập[[#This Row],[Main SKU]],MD_Main_SKU[Main SKU],MD_Main_SKU[SKU name_gom])</f>
        <v>iSS01</v>
      </c>
      <c r="M312" s="2" t="str">
        <f>_xlfn.XLOOKUP(Data_Nhập[[#This Row],[Material-Nhập]],MD_Main_SKU[Main SKU],MD_Main_SKU[SKU name_gom])</f>
        <v>Phó sản</v>
      </c>
    </row>
    <row r="313" spans="1:13" x14ac:dyDescent="0.35">
      <c r="A313">
        <v>2024</v>
      </c>
      <c r="B313">
        <v>8</v>
      </c>
      <c r="C313" t="s">
        <v>24</v>
      </c>
      <c r="D313" t="s">
        <v>25</v>
      </c>
      <c r="E313" t="s">
        <v>22</v>
      </c>
      <c r="F313" t="s">
        <v>23</v>
      </c>
      <c r="G313" s="2">
        <v>0</v>
      </c>
      <c r="H313" s="2">
        <v>5500</v>
      </c>
      <c r="I313" s="2">
        <v>5500</v>
      </c>
      <c r="J313" s="2">
        <v>0</v>
      </c>
      <c r="K313" s="2">
        <v>5500</v>
      </c>
      <c r="L313" s="2" t="str">
        <f>_xlfn.XLOOKUP(Data_Nhập[[#This Row],[Main SKU]],MD_Main_SKU[Main SKU],MD_Main_SKU[SKU name_gom])</f>
        <v>WSS01</v>
      </c>
      <c r="M313" s="2" t="str">
        <f>_xlfn.XLOOKUP(Data_Nhập[[#This Row],[Material-Nhập]],MD_Main_SKU[Main SKU],MD_Main_SKU[SKU name_gom])</f>
        <v>WSS03</v>
      </c>
    </row>
    <row r="314" spans="1:13" x14ac:dyDescent="0.35">
      <c r="A314">
        <v>2024</v>
      </c>
      <c r="B314">
        <v>8</v>
      </c>
      <c r="C314" t="s">
        <v>28</v>
      </c>
      <c r="D314" t="s">
        <v>29</v>
      </c>
      <c r="E314" t="s">
        <v>28</v>
      </c>
      <c r="F314" t="s">
        <v>29</v>
      </c>
      <c r="G314" s="2">
        <v>18700</v>
      </c>
      <c r="H314" s="2">
        <v>0</v>
      </c>
      <c r="I314" s="2">
        <v>18700</v>
      </c>
      <c r="J314" s="2">
        <v>0</v>
      </c>
      <c r="K314" s="2">
        <v>18700</v>
      </c>
      <c r="L314" s="2" t="str">
        <f>_xlfn.XLOOKUP(Data_Nhập[[#This Row],[Main SKU]],MD_Main_SKU[Main SKU],MD_Main_SKU[SKU name_gom])</f>
        <v>iSS01084</v>
      </c>
      <c r="M314" s="2" t="str">
        <f>_xlfn.XLOOKUP(Data_Nhập[[#This Row],[Material-Nhập]],MD_Main_SKU[Main SKU],MD_Main_SKU[SKU name_gom])</f>
        <v>iSS01084</v>
      </c>
    </row>
    <row r="315" spans="1:13" x14ac:dyDescent="0.35">
      <c r="A315">
        <v>2024</v>
      </c>
      <c r="B315">
        <v>8</v>
      </c>
      <c r="C315" t="s">
        <v>28</v>
      </c>
      <c r="D315" t="s">
        <v>29</v>
      </c>
      <c r="E315" t="s">
        <v>30</v>
      </c>
      <c r="F315" t="s">
        <v>31</v>
      </c>
      <c r="G315" s="2">
        <v>0</v>
      </c>
      <c r="H315" s="2">
        <v>4645</v>
      </c>
      <c r="I315" s="2">
        <v>4645</v>
      </c>
      <c r="J315" s="2">
        <v>0</v>
      </c>
      <c r="K315" s="2">
        <v>4645</v>
      </c>
      <c r="L315" s="2" t="str">
        <f>_xlfn.XLOOKUP(Data_Nhập[[#This Row],[Main SKU]],MD_Main_SKU[Main SKU],MD_Main_SKU[SKU name_gom])</f>
        <v>iSS01084</v>
      </c>
      <c r="M315" s="2" t="str">
        <f>_xlfn.XLOOKUP(Data_Nhập[[#This Row],[Material-Nhập]],MD_Main_SKU[Main SKU],MD_Main_SKU[SKU name_gom])</f>
        <v>iSS01</v>
      </c>
    </row>
    <row r="316" spans="1:13" x14ac:dyDescent="0.35">
      <c r="A316">
        <v>2024</v>
      </c>
      <c r="B316">
        <v>8</v>
      </c>
      <c r="C316" t="s">
        <v>28</v>
      </c>
      <c r="D316" t="s">
        <v>29</v>
      </c>
      <c r="E316" t="s">
        <v>32</v>
      </c>
      <c r="F316" t="s">
        <v>33</v>
      </c>
      <c r="G316" s="2">
        <v>0</v>
      </c>
      <c r="H316" s="2">
        <v>2199</v>
      </c>
      <c r="I316" s="2">
        <v>2199</v>
      </c>
      <c r="J316" s="2">
        <v>0</v>
      </c>
      <c r="K316" s="2">
        <v>2199</v>
      </c>
      <c r="L316" s="2" t="str">
        <f>_xlfn.XLOOKUP(Data_Nhập[[#This Row],[Main SKU]],MD_Main_SKU[Main SKU],MD_Main_SKU[SKU name_gom])</f>
        <v>iSS01084</v>
      </c>
      <c r="M316" s="2" t="str">
        <f>_xlfn.XLOOKUP(Data_Nhập[[#This Row],[Material-Nhập]],MD_Main_SKU[Main SKU],MD_Main_SKU[SKU name_gom])</f>
        <v>WSS03</v>
      </c>
    </row>
    <row r="317" spans="1:13" x14ac:dyDescent="0.35">
      <c r="A317">
        <v>2024</v>
      </c>
      <c r="B317">
        <v>8</v>
      </c>
      <c r="C317" t="s">
        <v>28</v>
      </c>
      <c r="D317" t="s">
        <v>29</v>
      </c>
      <c r="E317" t="s">
        <v>87</v>
      </c>
      <c r="F317" t="s">
        <v>88</v>
      </c>
      <c r="G317" s="2">
        <v>0</v>
      </c>
      <c r="H317" s="2">
        <v>0</v>
      </c>
      <c r="I317" s="2">
        <v>0</v>
      </c>
      <c r="J317" s="2">
        <v>450</v>
      </c>
      <c r="K317" s="2">
        <v>450</v>
      </c>
      <c r="L317" s="2" t="str">
        <f>_xlfn.XLOOKUP(Data_Nhập[[#This Row],[Main SKU]],MD_Main_SKU[Main SKU],MD_Main_SKU[SKU name_gom])</f>
        <v>iSS01084</v>
      </c>
      <c r="M317" s="2" t="str">
        <f>_xlfn.XLOOKUP(Data_Nhập[[#This Row],[Material-Nhập]],MD_Main_SKU[Main SKU],MD_Main_SKU[SKU name_gom])</f>
        <v>Phó sản</v>
      </c>
    </row>
    <row r="318" spans="1:13" x14ac:dyDescent="0.35">
      <c r="A318">
        <v>2024</v>
      </c>
      <c r="B318">
        <v>8</v>
      </c>
      <c r="C318" t="s">
        <v>115</v>
      </c>
      <c r="D318" t="s">
        <v>116</v>
      </c>
      <c r="E318" t="s">
        <v>115</v>
      </c>
      <c r="F318" t="s">
        <v>116</v>
      </c>
      <c r="G318" s="2">
        <v>2300</v>
      </c>
      <c r="H318" s="2">
        <v>0</v>
      </c>
      <c r="I318" s="2">
        <v>2300</v>
      </c>
      <c r="J318" s="2">
        <v>0</v>
      </c>
      <c r="K318" s="2">
        <v>2300</v>
      </c>
      <c r="L318" s="2" t="str">
        <f>_xlfn.XLOOKUP(Data_Nhập[[#This Row],[Main SKU]],MD_Main_SKU[Main SKU],MD_Main_SKU[SKU name_gom])</f>
        <v>WSS05</v>
      </c>
      <c r="M318" s="2" t="str">
        <f>_xlfn.XLOOKUP(Data_Nhập[[#This Row],[Material-Nhập]],MD_Main_SKU[Main SKU],MD_Main_SKU[SKU name_gom])</f>
        <v>WSS05</v>
      </c>
    </row>
    <row r="319" spans="1:13" x14ac:dyDescent="0.35">
      <c r="A319">
        <v>2024</v>
      </c>
      <c r="B319">
        <v>8</v>
      </c>
      <c r="C319" t="s">
        <v>115</v>
      </c>
      <c r="D319" t="s">
        <v>116</v>
      </c>
      <c r="E319" t="s">
        <v>117</v>
      </c>
      <c r="F319" t="s">
        <v>86</v>
      </c>
      <c r="G319" s="2">
        <v>0</v>
      </c>
      <c r="H319" s="2">
        <v>0</v>
      </c>
      <c r="I319" s="2">
        <v>0</v>
      </c>
      <c r="J319" s="2">
        <v>249</v>
      </c>
      <c r="K319" s="2">
        <v>249</v>
      </c>
      <c r="L319" s="2" t="str">
        <f>_xlfn.XLOOKUP(Data_Nhập[[#This Row],[Main SKU]],MD_Main_SKU[Main SKU],MD_Main_SKU[SKU name_gom])</f>
        <v>WSS05</v>
      </c>
      <c r="M319" s="2" t="str">
        <f>_xlfn.XLOOKUP(Data_Nhập[[#This Row],[Material-Nhập]],MD_Main_SKU[Main SKU],MD_Main_SKU[SKU name_gom])</f>
        <v>Phó sản</v>
      </c>
    </row>
    <row r="320" spans="1:13" x14ac:dyDescent="0.35">
      <c r="A320">
        <v>2024</v>
      </c>
      <c r="B320">
        <v>8</v>
      </c>
      <c r="C320" t="s">
        <v>118</v>
      </c>
      <c r="D320" t="s">
        <v>119</v>
      </c>
      <c r="E320" t="s">
        <v>115</v>
      </c>
      <c r="F320" t="s">
        <v>116</v>
      </c>
      <c r="G320" s="2">
        <v>0</v>
      </c>
      <c r="H320" s="2">
        <v>28128</v>
      </c>
      <c r="I320" s="2">
        <v>28128</v>
      </c>
      <c r="J320" s="2">
        <v>0</v>
      </c>
      <c r="K320" s="2">
        <v>28128</v>
      </c>
      <c r="L320" s="2" t="str">
        <f>_xlfn.XLOOKUP(Data_Nhập[[#This Row],[Main SKU]],MD_Main_SKU[Main SKU],MD_Main_SKU[SKU name_gom])</f>
        <v>WSS05</v>
      </c>
      <c r="M320" s="2" t="str">
        <f>_xlfn.XLOOKUP(Data_Nhập[[#This Row],[Material-Nhập]],MD_Main_SKU[Main SKU],MD_Main_SKU[SKU name_gom])</f>
        <v>WSS05</v>
      </c>
    </row>
    <row r="321" spans="1:13" x14ac:dyDescent="0.35">
      <c r="A321">
        <v>2024</v>
      </c>
      <c r="B321">
        <v>8</v>
      </c>
      <c r="C321" t="s">
        <v>118</v>
      </c>
      <c r="D321" t="s">
        <v>119</v>
      </c>
      <c r="E321" t="s">
        <v>87</v>
      </c>
      <c r="F321" t="s">
        <v>88</v>
      </c>
      <c r="G321" s="2">
        <v>0</v>
      </c>
      <c r="H321" s="2">
        <v>0</v>
      </c>
      <c r="I321" s="2">
        <v>0</v>
      </c>
      <c r="J321" s="2">
        <v>3872</v>
      </c>
      <c r="K321" s="2">
        <v>3872</v>
      </c>
      <c r="L321" s="2" t="str">
        <f>_xlfn.XLOOKUP(Data_Nhập[[#This Row],[Main SKU]],MD_Main_SKU[Main SKU],MD_Main_SKU[SKU name_gom])</f>
        <v>WSS05</v>
      </c>
      <c r="M321" s="2" t="str">
        <f>_xlfn.XLOOKUP(Data_Nhập[[#This Row],[Material-Nhập]],MD_Main_SKU[Main SKU],MD_Main_SKU[SKU name_gom])</f>
        <v>Phó sản</v>
      </c>
    </row>
    <row r="322" spans="1:13" x14ac:dyDescent="0.35">
      <c r="A322">
        <v>2024</v>
      </c>
      <c r="B322">
        <v>9</v>
      </c>
      <c r="C322" t="s">
        <v>8</v>
      </c>
      <c r="D322" t="s">
        <v>9</v>
      </c>
      <c r="E322" t="s">
        <v>8</v>
      </c>
      <c r="F322" t="s">
        <v>9</v>
      </c>
      <c r="G322" s="2">
        <v>249700</v>
      </c>
      <c r="H322" s="2">
        <v>0</v>
      </c>
      <c r="I322" s="2">
        <v>249700</v>
      </c>
      <c r="J322" s="2">
        <v>0</v>
      </c>
      <c r="K322" s="2">
        <v>249700</v>
      </c>
      <c r="L322" s="2" t="str">
        <f>_xlfn.XLOOKUP(Data_Nhập[[#This Row],[Main SKU]],MD_Main_SKU[Main SKU],MD_Main_SKU[SKU name_gom])</f>
        <v>WSS01</v>
      </c>
      <c r="M322" s="2" t="str">
        <f>_xlfn.XLOOKUP(Data_Nhập[[#This Row],[Material-Nhập]],MD_Main_SKU[Main SKU],MD_Main_SKU[SKU name_gom])</f>
        <v>WSS01</v>
      </c>
    </row>
    <row r="323" spans="1:13" x14ac:dyDescent="0.35">
      <c r="A323">
        <v>2024</v>
      </c>
      <c r="B323">
        <v>9</v>
      </c>
      <c r="C323" t="s">
        <v>8</v>
      </c>
      <c r="D323" t="s">
        <v>9</v>
      </c>
      <c r="E323" t="s">
        <v>22</v>
      </c>
      <c r="F323" t="s">
        <v>23</v>
      </c>
      <c r="G323" s="2">
        <v>0</v>
      </c>
      <c r="H323" s="2">
        <v>8730</v>
      </c>
      <c r="I323" s="2">
        <v>8730</v>
      </c>
      <c r="J323" s="2">
        <v>0</v>
      </c>
      <c r="K323" s="2">
        <v>8730</v>
      </c>
      <c r="L323" s="2" t="str">
        <f>_xlfn.XLOOKUP(Data_Nhập[[#This Row],[Main SKU]],MD_Main_SKU[Main SKU],MD_Main_SKU[SKU name_gom])</f>
        <v>WSS01</v>
      </c>
      <c r="M323" s="2" t="str">
        <f>_xlfn.XLOOKUP(Data_Nhập[[#This Row],[Material-Nhập]],MD_Main_SKU[Main SKU],MD_Main_SKU[SKU name_gom])</f>
        <v>WSS03</v>
      </c>
    </row>
    <row r="324" spans="1:13" x14ac:dyDescent="0.35">
      <c r="A324">
        <v>2024</v>
      </c>
      <c r="B324">
        <v>9</v>
      </c>
      <c r="C324" t="s">
        <v>8</v>
      </c>
      <c r="D324" t="s">
        <v>9</v>
      </c>
      <c r="E324" t="s">
        <v>87</v>
      </c>
      <c r="F324" t="s">
        <v>88</v>
      </c>
      <c r="G324" s="2">
        <v>0</v>
      </c>
      <c r="H324" s="2">
        <v>0</v>
      </c>
      <c r="I324" s="2">
        <v>0</v>
      </c>
      <c r="J324" s="2">
        <v>3490</v>
      </c>
      <c r="K324" s="2">
        <v>3490</v>
      </c>
      <c r="L324" s="2" t="str">
        <f>_xlfn.XLOOKUP(Data_Nhập[[#This Row],[Main SKU]],MD_Main_SKU[Main SKU],MD_Main_SKU[SKU name_gom])</f>
        <v>WSS01</v>
      </c>
      <c r="M324" s="2" t="str">
        <f>_xlfn.XLOOKUP(Data_Nhập[[#This Row],[Material-Nhập]],MD_Main_SKU[Main SKU],MD_Main_SKU[SKU name_gom])</f>
        <v>Phó sản</v>
      </c>
    </row>
    <row r="325" spans="1:13" x14ac:dyDescent="0.35">
      <c r="A325">
        <v>2024</v>
      </c>
      <c r="B325">
        <v>9</v>
      </c>
      <c r="C325" t="s">
        <v>8</v>
      </c>
      <c r="D325" t="s">
        <v>9</v>
      </c>
      <c r="E325" t="s">
        <v>89</v>
      </c>
      <c r="F325" t="s">
        <v>90</v>
      </c>
      <c r="G325" s="2">
        <v>0</v>
      </c>
      <c r="H325" s="2">
        <v>0</v>
      </c>
      <c r="I325" s="2">
        <v>0</v>
      </c>
      <c r="J325" s="2">
        <v>823</v>
      </c>
      <c r="K325" s="2">
        <v>823</v>
      </c>
      <c r="L325" s="2" t="str">
        <f>_xlfn.XLOOKUP(Data_Nhập[[#This Row],[Main SKU]],MD_Main_SKU[Main SKU],MD_Main_SKU[SKU name_gom])</f>
        <v>WSS01</v>
      </c>
      <c r="M325" s="2" t="str">
        <f>_xlfn.XLOOKUP(Data_Nhập[[#This Row],[Material-Nhập]],MD_Main_SKU[Main SKU],MD_Main_SKU[SKU name_gom])</f>
        <v>Phó sản</v>
      </c>
    </row>
    <row r="326" spans="1:13" x14ac:dyDescent="0.35">
      <c r="A326">
        <v>2024</v>
      </c>
      <c r="B326">
        <v>9</v>
      </c>
      <c r="C326" t="s">
        <v>8</v>
      </c>
      <c r="D326" t="s">
        <v>9</v>
      </c>
      <c r="E326" t="s">
        <v>117</v>
      </c>
      <c r="F326" t="s">
        <v>86</v>
      </c>
      <c r="G326" s="2">
        <v>0</v>
      </c>
      <c r="H326" s="2">
        <v>0</v>
      </c>
      <c r="I326" s="2">
        <v>0</v>
      </c>
      <c r="J326" s="2">
        <v>6258</v>
      </c>
      <c r="K326" s="2">
        <v>6258</v>
      </c>
      <c r="L326" s="2" t="str">
        <f>_xlfn.XLOOKUP(Data_Nhập[[#This Row],[Main SKU]],MD_Main_SKU[Main SKU],MD_Main_SKU[SKU name_gom])</f>
        <v>WSS01</v>
      </c>
      <c r="M326" s="2" t="str">
        <f>_xlfn.XLOOKUP(Data_Nhập[[#This Row],[Material-Nhập]],MD_Main_SKU[Main SKU],MD_Main_SKU[SKU name_gom])</f>
        <v>Phó sản</v>
      </c>
    </row>
    <row r="327" spans="1:13" x14ac:dyDescent="0.35">
      <c r="A327">
        <v>2024</v>
      </c>
      <c r="B327">
        <v>9</v>
      </c>
      <c r="C327" t="s">
        <v>14</v>
      </c>
      <c r="D327" t="s">
        <v>15</v>
      </c>
      <c r="E327" t="s">
        <v>14</v>
      </c>
      <c r="F327" t="s">
        <v>15</v>
      </c>
      <c r="G327" s="2">
        <v>1163800.0000000002</v>
      </c>
      <c r="H327" s="2">
        <v>0</v>
      </c>
      <c r="I327" s="2">
        <v>1163800.0000000002</v>
      </c>
      <c r="J327" s="2">
        <v>0</v>
      </c>
      <c r="K327" s="2">
        <v>1163800.0000000002</v>
      </c>
      <c r="L327" s="2" t="str">
        <f>_xlfn.XLOOKUP(Data_Nhập[[#This Row],[Main SKU]],MD_Main_SKU[Main SKU],MD_Main_SKU[SKU name_gom])</f>
        <v>iSS01084</v>
      </c>
      <c r="M327" s="2" t="str">
        <f>_xlfn.XLOOKUP(Data_Nhập[[#This Row],[Material-Nhập]],MD_Main_SKU[Main SKU],MD_Main_SKU[SKU name_gom])</f>
        <v>iSS01084</v>
      </c>
    </row>
    <row r="328" spans="1:13" x14ac:dyDescent="0.35">
      <c r="A328">
        <v>2024</v>
      </c>
      <c r="B328">
        <v>9</v>
      </c>
      <c r="C328" t="s">
        <v>14</v>
      </c>
      <c r="D328" t="s">
        <v>15</v>
      </c>
      <c r="E328" t="s">
        <v>18</v>
      </c>
      <c r="F328" t="s">
        <v>19</v>
      </c>
      <c r="G328" s="2">
        <v>0</v>
      </c>
      <c r="H328" s="2">
        <v>71144</v>
      </c>
      <c r="I328" s="2">
        <v>71144</v>
      </c>
      <c r="J328" s="2">
        <v>0</v>
      </c>
      <c r="K328" s="2">
        <v>71144</v>
      </c>
      <c r="L328" s="2" t="str">
        <f>_xlfn.XLOOKUP(Data_Nhập[[#This Row],[Main SKU]],MD_Main_SKU[Main SKU],MD_Main_SKU[SKU name_gom])</f>
        <v>iSS01084</v>
      </c>
      <c r="M328" s="2" t="str">
        <f>_xlfn.XLOOKUP(Data_Nhập[[#This Row],[Material-Nhập]],MD_Main_SKU[Main SKU],MD_Main_SKU[SKU name_gom])</f>
        <v>iSS01</v>
      </c>
    </row>
    <row r="329" spans="1:13" x14ac:dyDescent="0.35">
      <c r="A329">
        <v>2024</v>
      </c>
      <c r="B329">
        <v>9</v>
      </c>
      <c r="C329" t="s">
        <v>14</v>
      </c>
      <c r="D329" t="s">
        <v>15</v>
      </c>
      <c r="E329" t="s">
        <v>22</v>
      </c>
      <c r="F329" t="s">
        <v>23</v>
      </c>
      <c r="G329" s="2">
        <v>0</v>
      </c>
      <c r="H329" s="2">
        <v>125591.00000000001</v>
      </c>
      <c r="I329" s="2">
        <v>125591.00000000001</v>
      </c>
      <c r="J329" s="2">
        <v>0</v>
      </c>
      <c r="K329" s="2">
        <v>125591.00000000001</v>
      </c>
      <c r="L329" s="2" t="str">
        <f>_xlfn.XLOOKUP(Data_Nhập[[#This Row],[Main SKU]],MD_Main_SKU[Main SKU],MD_Main_SKU[SKU name_gom])</f>
        <v>iSS01084</v>
      </c>
      <c r="M329" s="2" t="str">
        <f>_xlfn.XLOOKUP(Data_Nhập[[#This Row],[Material-Nhập]],MD_Main_SKU[Main SKU],MD_Main_SKU[SKU name_gom])</f>
        <v>WSS03</v>
      </c>
    </row>
    <row r="330" spans="1:13" x14ac:dyDescent="0.35">
      <c r="A330">
        <v>2024</v>
      </c>
      <c r="B330">
        <v>9</v>
      </c>
      <c r="C330" t="s">
        <v>14</v>
      </c>
      <c r="D330" t="s">
        <v>15</v>
      </c>
      <c r="E330" t="s">
        <v>87</v>
      </c>
      <c r="F330" t="s">
        <v>88</v>
      </c>
      <c r="G330" s="2">
        <v>0</v>
      </c>
      <c r="H330" s="2">
        <v>0</v>
      </c>
      <c r="I330" s="2">
        <v>0</v>
      </c>
      <c r="J330" s="2">
        <v>19522</v>
      </c>
      <c r="K330" s="2">
        <v>19522</v>
      </c>
      <c r="L330" s="2" t="str">
        <f>_xlfn.XLOOKUP(Data_Nhập[[#This Row],[Main SKU]],MD_Main_SKU[Main SKU],MD_Main_SKU[SKU name_gom])</f>
        <v>iSS01084</v>
      </c>
      <c r="M330" s="2" t="str">
        <f>_xlfn.XLOOKUP(Data_Nhập[[#This Row],[Material-Nhập]],MD_Main_SKU[Main SKU],MD_Main_SKU[SKU name_gom])</f>
        <v>Phó sản</v>
      </c>
    </row>
    <row r="331" spans="1:13" x14ac:dyDescent="0.35">
      <c r="A331">
        <v>2024</v>
      </c>
      <c r="B331">
        <v>9</v>
      </c>
      <c r="C331" t="s">
        <v>14</v>
      </c>
      <c r="D331" t="s">
        <v>15</v>
      </c>
      <c r="E331" t="s">
        <v>89</v>
      </c>
      <c r="F331" t="s">
        <v>90</v>
      </c>
      <c r="G331" s="2">
        <v>0</v>
      </c>
      <c r="H331" s="2">
        <v>0</v>
      </c>
      <c r="I331" s="2">
        <v>0</v>
      </c>
      <c r="J331" s="2">
        <v>1932.0000000000002</v>
      </c>
      <c r="K331" s="2">
        <v>1932.0000000000002</v>
      </c>
      <c r="L331" s="2" t="str">
        <f>_xlfn.XLOOKUP(Data_Nhập[[#This Row],[Main SKU]],MD_Main_SKU[Main SKU],MD_Main_SKU[SKU name_gom])</f>
        <v>iSS01084</v>
      </c>
      <c r="M331" s="2" t="str">
        <f>_xlfn.XLOOKUP(Data_Nhập[[#This Row],[Material-Nhập]],MD_Main_SKU[Main SKU],MD_Main_SKU[SKU name_gom])</f>
        <v>Phó sản</v>
      </c>
    </row>
    <row r="332" spans="1:13" x14ac:dyDescent="0.35">
      <c r="A332">
        <v>2024</v>
      </c>
      <c r="B332">
        <v>9</v>
      </c>
      <c r="C332" t="s">
        <v>14</v>
      </c>
      <c r="D332" t="s">
        <v>15</v>
      </c>
      <c r="E332" t="s">
        <v>117</v>
      </c>
      <c r="F332" t="s">
        <v>86</v>
      </c>
      <c r="G332" s="2">
        <v>0</v>
      </c>
      <c r="H332" s="2">
        <v>0</v>
      </c>
      <c r="I332" s="2">
        <v>0</v>
      </c>
      <c r="J332" s="2">
        <v>24040.445</v>
      </c>
      <c r="K332" s="2">
        <v>24040.445</v>
      </c>
      <c r="L332" s="2" t="str">
        <f>_xlfn.XLOOKUP(Data_Nhập[[#This Row],[Main SKU]],MD_Main_SKU[Main SKU],MD_Main_SKU[SKU name_gom])</f>
        <v>iSS01084</v>
      </c>
      <c r="M332" s="2" t="str">
        <f>_xlfn.XLOOKUP(Data_Nhập[[#This Row],[Material-Nhập]],MD_Main_SKU[Main SKU],MD_Main_SKU[SKU name_gom])</f>
        <v>Phó sản</v>
      </c>
    </row>
    <row r="333" spans="1:13" x14ac:dyDescent="0.35">
      <c r="A333">
        <v>2024</v>
      </c>
      <c r="B333">
        <v>9</v>
      </c>
      <c r="C333" t="s">
        <v>16</v>
      </c>
      <c r="D333" t="s">
        <v>17</v>
      </c>
      <c r="E333" t="s">
        <v>14</v>
      </c>
      <c r="F333" t="s">
        <v>15</v>
      </c>
      <c r="G333" s="2">
        <v>0</v>
      </c>
      <c r="H333" s="2">
        <v>1100</v>
      </c>
      <c r="I333" s="2">
        <v>1100</v>
      </c>
      <c r="J333" s="2">
        <v>0</v>
      </c>
      <c r="K333" s="2">
        <v>1100</v>
      </c>
      <c r="L333" s="2" t="str">
        <f>_xlfn.XLOOKUP(Data_Nhập[[#This Row],[Main SKU]],MD_Main_SKU[Main SKU],MD_Main_SKU[SKU name_gom])</f>
        <v>WSS01</v>
      </c>
      <c r="M333" s="2" t="str">
        <f>_xlfn.XLOOKUP(Data_Nhập[[#This Row],[Material-Nhập]],MD_Main_SKU[Main SKU],MD_Main_SKU[SKU name_gom])</f>
        <v>iSS01084</v>
      </c>
    </row>
    <row r="334" spans="1:13" x14ac:dyDescent="0.35">
      <c r="A334">
        <v>2024</v>
      </c>
      <c r="B334">
        <v>9</v>
      </c>
      <c r="C334" t="s">
        <v>16</v>
      </c>
      <c r="D334" t="s">
        <v>17</v>
      </c>
      <c r="E334" t="s">
        <v>16</v>
      </c>
      <c r="F334" t="s">
        <v>17</v>
      </c>
      <c r="G334" s="2">
        <v>776601</v>
      </c>
      <c r="H334" s="2">
        <v>0</v>
      </c>
      <c r="I334" s="2">
        <v>776601</v>
      </c>
      <c r="J334" s="2">
        <v>0</v>
      </c>
      <c r="K334" s="2">
        <v>776601</v>
      </c>
      <c r="L334" s="2" t="str">
        <f>_xlfn.XLOOKUP(Data_Nhập[[#This Row],[Main SKU]],MD_Main_SKU[Main SKU],MD_Main_SKU[SKU name_gom])</f>
        <v>WSS01</v>
      </c>
      <c r="M334" s="2" t="str">
        <f>_xlfn.XLOOKUP(Data_Nhập[[#This Row],[Material-Nhập]],MD_Main_SKU[Main SKU],MD_Main_SKU[SKU name_gom])</f>
        <v>WSS01</v>
      </c>
    </row>
    <row r="335" spans="1:13" x14ac:dyDescent="0.35">
      <c r="A335">
        <v>2024</v>
      </c>
      <c r="B335">
        <v>9</v>
      </c>
      <c r="C335" t="s">
        <v>16</v>
      </c>
      <c r="D335" t="s">
        <v>17</v>
      </c>
      <c r="E335" t="s">
        <v>18</v>
      </c>
      <c r="F335" t="s">
        <v>19</v>
      </c>
      <c r="G335" s="2">
        <v>0</v>
      </c>
      <c r="H335" s="2">
        <v>122100</v>
      </c>
      <c r="I335" s="2">
        <v>122100</v>
      </c>
      <c r="J335" s="2">
        <v>0</v>
      </c>
      <c r="K335" s="2">
        <v>122100</v>
      </c>
      <c r="L335" s="2" t="str">
        <f>_xlfn.XLOOKUP(Data_Nhập[[#This Row],[Main SKU]],MD_Main_SKU[Main SKU],MD_Main_SKU[SKU name_gom])</f>
        <v>WSS01</v>
      </c>
      <c r="M335" s="2" t="str">
        <f>_xlfn.XLOOKUP(Data_Nhập[[#This Row],[Material-Nhập]],MD_Main_SKU[Main SKU],MD_Main_SKU[SKU name_gom])</f>
        <v>iSS01</v>
      </c>
    </row>
    <row r="336" spans="1:13" x14ac:dyDescent="0.35">
      <c r="A336">
        <v>2024</v>
      </c>
      <c r="B336">
        <v>9</v>
      </c>
      <c r="C336" t="s">
        <v>16</v>
      </c>
      <c r="D336" t="s">
        <v>17</v>
      </c>
      <c r="E336" t="s">
        <v>22</v>
      </c>
      <c r="F336" t="s">
        <v>23</v>
      </c>
      <c r="G336" s="2">
        <v>0</v>
      </c>
      <c r="H336" s="2">
        <v>16258.5</v>
      </c>
      <c r="I336" s="2">
        <v>16258.5</v>
      </c>
      <c r="J336" s="2">
        <v>0</v>
      </c>
      <c r="K336" s="2">
        <v>16258.5</v>
      </c>
      <c r="L336" s="2" t="str">
        <f>_xlfn.XLOOKUP(Data_Nhập[[#This Row],[Main SKU]],MD_Main_SKU[Main SKU],MD_Main_SKU[SKU name_gom])</f>
        <v>WSS01</v>
      </c>
      <c r="M336" s="2" t="str">
        <f>_xlfn.XLOOKUP(Data_Nhập[[#This Row],[Material-Nhập]],MD_Main_SKU[Main SKU],MD_Main_SKU[SKU name_gom])</f>
        <v>WSS03</v>
      </c>
    </row>
    <row r="337" spans="1:13" x14ac:dyDescent="0.35">
      <c r="A337">
        <v>2024</v>
      </c>
      <c r="B337">
        <v>9</v>
      </c>
      <c r="C337" t="s">
        <v>16</v>
      </c>
      <c r="D337" t="s">
        <v>17</v>
      </c>
      <c r="E337" t="s">
        <v>87</v>
      </c>
      <c r="F337" t="s">
        <v>88</v>
      </c>
      <c r="G337" s="2">
        <v>0</v>
      </c>
      <c r="H337" s="2">
        <v>0</v>
      </c>
      <c r="I337" s="2">
        <v>0</v>
      </c>
      <c r="J337" s="2">
        <v>12330</v>
      </c>
      <c r="K337" s="2">
        <v>12330</v>
      </c>
      <c r="L337" s="2" t="str">
        <f>_xlfn.XLOOKUP(Data_Nhập[[#This Row],[Main SKU]],MD_Main_SKU[Main SKU],MD_Main_SKU[SKU name_gom])</f>
        <v>WSS01</v>
      </c>
      <c r="M337" s="2" t="str">
        <f>_xlfn.XLOOKUP(Data_Nhập[[#This Row],[Material-Nhập]],MD_Main_SKU[Main SKU],MD_Main_SKU[SKU name_gom])</f>
        <v>Phó sản</v>
      </c>
    </row>
    <row r="338" spans="1:13" x14ac:dyDescent="0.35">
      <c r="A338">
        <v>2024</v>
      </c>
      <c r="B338">
        <v>9</v>
      </c>
      <c r="C338" t="s">
        <v>16</v>
      </c>
      <c r="D338" t="s">
        <v>17</v>
      </c>
      <c r="E338" t="s">
        <v>89</v>
      </c>
      <c r="F338" t="s">
        <v>90</v>
      </c>
      <c r="G338" s="2">
        <v>0</v>
      </c>
      <c r="H338" s="2">
        <v>0</v>
      </c>
      <c r="I338" s="2">
        <v>0</v>
      </c>
      <c r="J338" s="2">
        <v>4238</v>
      </c>
      <c r="K338" s="2">
        <v>4238</v>
      </c>
      <c r="L338" s="2" t="str">
        <f>_xlfn.XLOOKUP(Data_Nhập[[#This Row],[Main SKU]],MD_Main_SKU[Main SKU],MD_Main_SKU[SKU name_gom])</f>
        <v>WSS01</v>
      </c>
      <c r="M338" s="2" t="str">
        <f>_xlfn.XLOOKUP(Data_Nhập[[#This Row],[Material-Nhập]],MD_Main_SKU[Main SKU],MD_Main_SKU[SKU name_gom])</f>
        <v>Phó sản</v>
      </c>
    </row>
    <row r="339" spans="1:13" x14ac:dyDescent="0.35">
      <c r="A339">
        <v>2024</v>
      </c>
      <c r="B339">
        <v>9</v>
      </c>
      <c r="C339" t="s">
        <v>16</v>
      </c>
      <c r="D339" t="s">
        <v>17</v>
      </c>
      <c r="E339" t="s">
        <v>91</v>
      </c>
      <c r="F339" t="s">
        <v>92</v>
      </c>
      <c r="G339" s="2">
        <v>0</v>
      </c>
      <c r="H339" s="2">
        <v>0</v>
      </c>
      <c r="I339" s="2">
        <v>0</v>
      </c>
      <c r="J339" s="2">
        <v>1015</v>
      </c>
      <c r="K339" s="2">
        <v>1015</v>
      </c>
      <c r="L339" s="2" t="str">
        <f>_xlfn.XLOOKUP(Data_Nhập[[#This Row],[Main SKU]],MD_Main_SKU[Main SKU],MD_Main_SKU[SKU name_gom])</f>
        <v>WSS01</v>
      </c>
      <c r="M339" s="2" t="str">
        <f>_xlfn.XLOOKUP(Data_Nhập[[#This Row],[Material-Nhập]],MD_Main_SKU[Main SKU],MD_Main_SKU[SKU name_gom])</f>
        <v>Phó sản</v>
      </c>
    </row>
    <row r="340" spans="1:13" x14ac:dyDescent="0.35">
      <c r="A340">
        <v>2024</v>
      </c>
      <c r="B340">
        <v>9</v>
      </c>
      <c r="C340" t="s">
        <v>16</v>
      </c>
      <c r="D340" t="s">
        <v>17</v>
      </c>
      <c r="E340" t="s">
        <v>93</v>
      </c>
      <c r="F340" t="s">
        <v>94</v>
      </c>
      <c r="G340" s="2">
        <v>0</v>
      </c>
      <c r="H340" s="2">
        <v>0</v>
      </c>
      <c r="I340" s="2">
        <v>0</v>
      </c>
      <c r="J340" s="2">
        <v>700</v>
      </c>
      <c r="K340" s="2">
        <v>700</v>
      </c>
      <c r="L340" s="2" t="str">
        <f>_xlfn.XLOOKUP(Data_Nhập[[#This Row],[Main SKU]],MD_Main_SKU[Main SKU],MD_Main_SKU[SKU name_gom])</f>
        <v>WSS01</v>
      </c>
      <c r="M340" s="2" t="str">
        <f>_xlfn.XLOOKUP(Data_Nhập[[#This Row],[Material-Nhập]],MD_Main_SKU[Main SKU],MD_Main_SKU[SKU name_gom])</f>
        <v>Phó sản</v>
      </c>
    </row>
    <row r="341" spans="1:13" x14ac:dyDescent="0.35">
      <c r="A341">
        <v>2024</v>
      </c>
      <c r="B341">
        <v>9</v>
      </c>
      <c r="C341" t="s">
        <v>16</v>
      </c>
      <c r="D341" t="s">
        <v>17</v>
      </c>
      <c r="E341" t="s">
        <v>117</v>
      </c>
      <c r="F341" t="s">
        <v>86</v>
      </c>
      <c r="G341" s="2">
        <v>0</v>
      </c>
      <c r="H341" s="2">
        <v>0</v>
      </c>
      <c r="I341" s="2">
        <v>0</v>
      </c>
      <c r="J341" s="2">
        <v>12074</v>
      </c>
      <c r="K341" s="2">
        <v>12074</v>
      </c>
      <c r="L341" s="2" t="str">
        <f>_xlfn.XLOOKUP(Data_Nhập[[#This Row],[Main SKU]],MD_Main_SKU[Main SKU],MD_Main_SKU[SKU name_gom])</f>
        <v>WSS01</v>
      </c>
      <c r="M341" s="2" t="str">
        <f>_xlfn.XLOOKUP(Data_Nhập[[#This Row],[Material-Nhập]],MD_Main_SKU[Main SKU],MD_Main_SKU[SKU name_gom])</f>
        <v>Phó sản</v>
      </c>
    </row>
    <row r="342" spans="1:13" x14ac:dyDescent="0.35">
      <c r="A342">
        <v>2024</v>
      </c>
      <c r="B342">
        <v>9</v>
      </c>
      <c r="C342" t="s">
        <v>24</v>
      </c>
      <c r="D342" t="s">
        <v>25</v>
      </c>
      <c r="E342" t="s">
        <v>20</v>
      </c>
      <c r="F342" t="s">
        <v>21</v>
      </c>
      <c r="G342" s="2">
        <v>0</v>
      </c>
      <c r="H342" s="2">
        <v>4100</v>
      </c>
      <c r="I342" s="2">
        <v>4100</v>
      </c>
      <c r="J342" s="2">
        <v>0</v>
      </c>
      <c r="K342" s="2">
        <v>4100</v>
      </c>
      <c r="L342" s="2" t="str">
        <f>_xlfn.XLOOKUP(Data_Nhập[[#This Row],[Main SKU]],MD_Main_SKU[Main SKU],MD_Main_SKU[SKU name_gom])</f>
        <v>WSS01</v>
      </c>
      <c r="M342" s="2" t="str">
        <f>_xlfn.XLOOKUP(Data_Nhập[[#This Row],[Material-Nhập]],MD_Main_SKU[Main SKU],MD_Main_SKU[SKU name_gom])</f>
        <v>WSS02</v>
      </c>
    </row>
    <row r="343" spans="1:13" x14ac:dyDescent="0.35">
      <c r="A343">
        <v>2024</v>
      </c>
      <c r="B343">
        <v>9</v>
      </c>
      <c r="C343" t="s">
        <v>24</v>
      </c>
      <c r="D343" t="s">
        <v>25</v>
      </c>
      <c r="E343" t="s">
        <v>22</v>
      </c>
      <c r="F343" t="s">
        <v>23</v>
      </c>
      <c r="G343" s="2">
        <v>0</v>
      </c>
      <c r="H343" s="2">
        <v>62244</v>
      </c>
      <c r="I343" s="2">
        <v>62244</v>
      </c>
      <c r="J343" s="2">
        <v>0</v>
      </c>
      <c r="K343" s="2">
        <v>62244</v>
      </c>
      <c r="L343" s="2" t="str">
        <f>_xlfn.XLOOKUP(Data_Nhập[[#This Row],[Main SKU]],MD_Main_SKU[Main SKU],MD_Main_SKU[SKU name_gom])</f>
        <v>WSS01</v>
      </c>
      <c r="M343" s="2" t="str">
        <f>_xlfn.XLOOKUP(Data_Nhập[[#This Row],[Material-Nhập]],MD_Main_SKU[Main SKU],MD_Main_SKU[SKU name_gom])</f>
        <v>WSS03</v>
      </c>
    </row>
    <row r="344" spans="1:13" x14ac:dyDescent="0.35">
      <c r="A344">
        <v>2024</v>
      </c>
      <c r="B344">
        <v>9</v>
      </c>
      <c r="C344" t="s">
        <v>24</v>
      </c>
      <c r="D344" t="s">
        <v>25</v>
      </c>
      <c r="E344" t="s">
        <v>24</v>
      </c>
      <c r="F344" t="s">
        <v>25</v>
      </c>
      <c r="G344" s="2">
        <v>248600</v>
      </c>
      <c r="H344" s="2">
        <v>0</v>
      </c>
      <c r="I344" s="2">
        <v>248600</v>
      </c>
      <c r="J344" s="2">
        <v>0</v>
      </c>
      <c r="K344" s="2">
        <v>248600</v>
      </c>
      <c r="L344" s="2" t="str">
        <f>_xlfn.XLOOKUP(Data_Nhập[[#This Row],[Main SKU]],MD_Main_SKU[Main SKU],MD_Main_SKU[SKU name_gom])</f>
        <v>WSS01</v>
      </c>
      <c r="M344" s="2" t="str">
        <f>_xlfn.XLOOKUP(Data_Nhập[[#This Row],[Material-Nhập]],MD_Main_SKU[Main SKU],MD_Main_SKU[SKU name_gom])</f>
        <v>WSS01</v>
      </c>
    </row>
    <row r="345" spans="1:13" x14ac:dyDescent="0.35">
      <c r="A345">
        <v>2024</v>
      </c>
      <c r="B345">
        <v>9</v>
      </c>
      <c r="C345" t="s">
        <v>24</v>
      </c>
      <c r="D345" t="s">
        <v>25</v>
      </c>
      <c r="E345" t="s">
        <v>26</v>
      </c>
      <c r="F345" t="s">
        <v>27</v>
      </c>
      <c r="G345" s="2">
        <v>0</v>
      </c>
      <c r="H345" s="2">
        <v>9900</v>
      </c>
      <c r="I345" s="2">
        <v>9900</v>
      </c>
      <c r="J345" s="2">
        <v>0</v>
      </c>
      <c r="K345" s="2">
        <v>9900</v>
      </c>
      <c r="L345" s="2" t="str">
        <f>_xlfn.XLOOKUP(Data_Nhập[[#This Row],[Main SKU]],MD_Main_SKU[Main SKU],MD_Main_SKU[SKU name_gom])</f>
        <v>WSS01</v>
      </c>
      <c r="M345" s="2" t="str">
        <f>_xlfn.XLOOKUP(Data_Nhập[[#This Row],[Material-Nhập]],MD_Main_SKU[Main SKU],MD_Main_SKU[SKU name_gom])</f>
        <v>iSS01</v>
      </c>
    </row>
    <row r="346" spans="1:13" x14ac:dyDescent="0.35">
      <c r="A346">
        <v>2024</v>
      </c>
      <c r="B346">
        <v>9</v>
      </c>
      <c r="C346" t="s">
        <v>24</v>
      </c>
      <c r="D346" t="s">
        <v>25</v>
      </c>
      <c r="E346" t="s">
        <v>87</v>
      </c>
      <c r="F346" t="s">
        <v>88</v>
      </c>
      <c r="G346" s="2">
        <v>0</v>
      </c>
      <c r="H346" s="2">
        <v>0</v>
      </c>
      <c r="I346" s="2">
        <v>0</v>
      </c>
      <c r="J346" s="2">
        <v>7917</v>
      </c>
      <c r="K346" s="2">
        <v>7917</v>
      </c>
      <c r="L346" s="2" t="str">
        <f>_xlfn.XLOOKUP(Data_Nhập[[#This Row],[Main SKU]],MD_Main_SKU[Main SKU],MD_Main_SKU[SKU name_gom])</f>
        <v>WSS01</v>
      </c>
      <c r="M346" s="2" t="str">
        <f>_xlfn.XLOOKUP(Data_Nhập[[#This Row],[Material-Nhập]],MD_Main_SKU[Main SKU],MD_Main_SKU[SKU name_gom])</f>
        <v>Phó sản</v>
      </c>
    </row>
    <row r="347" spans="1:13" x14ac:dyDescent="0.35">
      <c r="A347">
        <v>2024</v>
      </c>
      <c r="B347">
        <v>9</v>
      </c>
      <c r="C347" t="s">
        <v>24</v>
      </c>
      <c r="D347" t="s">
        <v>25</v>
      </c>
      <c r="E347" t="s">
        <v>89</v>
      </c>
      <c r="F347" t="s">
        <v>90</v>
      </c>
      <c r="G347" s="2">
        <v>0</v>
      </c>
      <c r="H347" s="2">
        <v>0</v>
      </c>
      <c r="I347" s="2">
        <v>0</v>
      </c>
      <c r="J347" s="2">
        <v>1002</v>
      </c>
      <c r="K347" s="2">
        <v>1002</v>
      </c>
      <c r="L347" s="2" t="str">
        <f>_xlfn.XLOOKUP(Data_Nhập[[#This Row],[Main SKU]],MD_Main_SKU[Main SKU],MD_Main_SKU[SKU name_gom])</f>
        <v>WSS01</v>
      </c>
      <c r="M347" s="2" t="str">
        <f>_xlfn.XLOOKUP(Data_Nhập[[#This Row],[Material-Nhập]],MD_Main_SKU[Main SKU],MD_Main_SKU[SKU name_gom])</f>
        <v>Phó sản</v>
      </c>
    </row>
    <row r="348" spans="1:13" x14ac:dyDescent="0.35">
      <c r="A348">
        <v>2024</v>
      </c>
      <c r="B348">
        <v>9</v>
      </c>
      <c r="C348" t="s">
        <v>24</v>
      </c>
      <c r="D348" t="s">
        <v>25</v>
      </c>
      <c r="E348" t="s">
        <v>91</v>
      </c>
      <c r="F348" t="s">
        <v>92</v>
      </c>
      <c r="G348" s="2">
        <v>0</v>
      </c>
      <c r="H348" s="2">
        <v>0</v>
      </c>
      <c r="I348" s="2">
        <v>0</v>
      </c>
      <c r="J348" s="2">
        <v>630</v>
      </c>
      <c r="K348" s="2">
        <v>630</v>
      </c>
      <c r="L348" s="2" t="str">
        <f>_xlfn.XLOOKUP(Data_Nhập[[#This Row],[Main SKU]],MD_Main_SKU[Main SKU],MD_Main_SKU[SKU name_gom])</f>
        <v>WSS01</v>
      </c>
      <c r="M348" s="2" t="str">
        <f>_xlfn.XLOOKUP(Data_Nhập[[#This Row],[Material-Nhập]],MD_Main_SKU[Main SKU],MD_Main_SKU[SKU name_gom])</f>
        <v>Phó sản</v>
      </c>
    </row>
    <row r="349" spans="1:13" x14ac:dyDescent="0.35">
      <c r="A349">
        <v>2024</v>
      </c>
      <c r="B349">
        <v>9</v>
      </c>
      <c r="C349" t="s">
        <v>24</v>
      </c>
      <c r="D349" t="s">
        <v>25</v>
      </c>
      <c r="E349" t="s">
        <v>117</v>
      </c>
      <c r="F349" t="s">
        <v>86</v>
      </c>
      <c r="G349" s="2">
        <v>0</v>
      </c>
      <c r="H349" s="2">
        <v>0</v>
      </c>
      <c r="I349" s="2">
        <v>0</v>
      </c>
      <c r="J349" s="2">
        <v>8663</v>
      </c>
      <c r="K349" s="2">
        <v>8663</v>
      </c>
      <c r="L349" s="2" t="str">
        <f>_xlfn.XLOOKUP(Data_Nhập[[#This Row],[Main SKU]],MD_Main_SKU[Main SKU],MD_Main_SKU[SKU name_gom])</f>
        <v>WSS01</v>
      </c>
      <c r="M349" s="2" t="str">
        <f>_xlfn.XLOOKUP(Data_Nhập[[#This Row],[Material-Nhập]],MD_Main_SKU[Main SKU],MD_Main_SKU[SKU name_gom])</f>
        <v>Phó sản</v>
      </c>
    </row>
    <row r="350" spans="1:13" x14ac:dyDescent="0.35">
      <c r="A350">
        <v>2024</v>
      </c>
      <c r="B350">
        <v>9</v>
      </c>
      <c r="C350" t="s">
        <v>26</v>
      </c>
      <c r="D350" t="s">
        <v>27</v>
      </c>
      <c r="E350" t="s">
        <v>22</v>
      </c>
      <c r="F350" t="s">
        <v>23</v>
      </c>
      <c r="G350" s="2">
        <v>0</v>
      </c>
      <c r="H350" s="2">
        <v>12100</v>
      </c>
      <c r="I350" s="2">
        <v>12100</v>
      </c>
      <c r="J350" s="2">
        <v>0</v>
      </c>
      <c r="K350" s="2">
        <v>12100</v>
      </c>
      <c r="L350" s="2" t="str">
        <f>_xlfn.XLOOKUP(Data_Nhập[[#This Row],[Main SKU]],MD_Main_SKU[Main SKU],MD_Main_SKU[SKU name_gom])</f>
        <v>iSS01</v>
      </c>
      <c r="M350" s="2" t="str">
        <f>_xlfn.XLOOKUP(Data_Nhập[[#This Row],[Material-Nhập]],MD_Main_SKU[Main SKU],MD_Main_SKU[SKU name_gom])</f>
        <v>WSS03</v>
      </c>
    </row>
    <row r="351" spans="1:13" x14ac:dyDescent="0.35">
      <c r="A351">
        <v>2024</v>
      </c>
      <c r="B351">
        <v>9</v>
      </c>
      <c r="C351" t="s">
        <v>26</v>
      </c>
      <c r="D351" t="s">
        <v>27</v>
      </c>
      <c r="E351" t="s">
        <v>24</v>
      </c>
      <c r="F351" t="s">
        <v>25</v>
      </c>
      <c r="G351" s="2">
        <v>0</v>
      </c>
      <c r="H351" s="2">
        <v>5500</v>
      </c>
      <c r="I351" s="2">
        <v>5500</v>
      </c>
      <c r="J351" s="2">
        <v>0</v>
      </c>
      <c r="K351" s="2">
        <v>5500</v>
      </c>
      <c r="L351" s="2" t="str">
        <f>_xlfn.XLOOKUP(Data_Nhập[[#This Row],[Main SKU]],MD_Main_SKU[Main SKU],MD_Main_SKU[SKU name_gom])</f>
        <v>iSS01</v>
      </c>
      <c r="M351" s="2" t="str">
        <f>_xlfn.XLOOKUP(Data_Nhập[[#This Row],[Material-Nhập]],MD_Main_SKU[Main SKU],MD_Main_SKU[SKU name_gom])</f>
        <v>WSS01</v>
      </c>
    </row>
    <row r="352" spans="1:13" x14ac:dyDescent="0.35">
      <c r="A352">
        <v>2024</v>
      </c>
      <c r="B352">
        <v>9</v>
      </c>
      <c r="C352" t="s">
        <v>26</v>
      </c>
      <c r="D352" t="s">
        <v>27</v>
      </c>
      <c r="E352" t="s">
        <v>26</v>
      </c>
      <c r="F352" t="s">
        <v>27</v>
      </c>
      <c r="G352" s="2">
        <v>40700</v>
      </c>
      <c r="H352" s="2">
        <v>0</v>
      </c>
      <c r="I352" s="2">
        <v>40700</v>
      </c>
      <c r="J352" s="2">
        <v>0</v>
      </c>
      <c r="K352" s="2">
        <v>40700</v>
      </c>
      <c r="L352" s="2" t="str">
        <f>_xlfn.XLOOKUP(Data_Nhập[[#This Row],[Main SKU]],MD_Main_SKU[Main SKU],MD_Main_SKU[SKU name_gom])</f>
        <v>iSS01</v>
      </c>
      <c r="M352" s="2" t="str">
        <f>_xlfn.XLOOKUP(Data_Nhập[[#This Row],[Material-Nhập]],MD_Main_SKU[Main SKU],MD_Main_SKU[SKU name_gom])</f>
        <v>iSS01</v>
      </c>
    </row>
    <row r="353" spans="1:13" x14ac:dyDescent="0.35">
      <c r="A353">
        <v>2024</v>
      </c>
      <c r="B353">
        <v>9</v>
      </c>
      <c r="C353" t="s">
        <v>26</v>
      </c>
      <c r="D353" t="s">
        <v>27</v>
      </c>
      <c r="E353" t="s">
        <v>87</v>
      </c>
      <c r="F353" t="s">
        <v>88</v>
      </c>
      <c r="G353" s="2">
        <v>0</v>
      </c>
      <c r="H353" s="2">
        <v>0</v>
      </c>
      <c r="I353" s="2">
        <v>0</v>
      </c>
      <c r="J353" s="2">
        <v>2800</v>
      </c>
      <c r="K353" s="2">
        <v>2800</v>
      </c>
      <c r="L353" s="2" t="str">
        <f>_xlfn.XLOOKUP(Data_Nhập[[#This Row],[Main SKU]],MD_Main_SKU[Main SKU],MD_Main_SKU[SKU name_gom])</f>
        <v>iSS01</v>
      </c>
      <c r="M353" s="2" t="str">
        <f>_xlfn.XLOOKUP(Data_Nhập[[#This Row],[Material-Nhập]],MD_Main_SKU[Main SKU],MD_Main_SKU[SKU name_gom])</f>
        <v>Phó sản</v>
      </c>
    </row>
    <row r="354" spans="1:13" x14ac:dyDescent="0.35">
      <c r="A354">
        <v>2024</v>
      </c>
      <c r="B354">
        <v>9</v>
      </c>
      <c r="C354" t="s">
        <v>26</v>
      </c>
      <c r="D354" t="s">
        <v>27</v>
      </c>
      <c r="E354" t="s">
        <v>89</v>
      </c>
      <c r="F354" t="s">
        <v>90</v>
      </c>
      <c r="G354" s="2">
        <v>0</v>
      </c>
      <c r="H354" s="2">
        <v>0</v>
      </c>
      <c r="I354" s="2">
        <v>0</v>
      </c>
      <c r="J354" s="2">
        <v>225</v>
      </c>
      <c r="K354" s="2">
        <v>225</v>
      </c>
      <c r="L354" s="2" t="str">
        <f>_xlfn.XLOOKUP(Data_Nhập[[#This Row],[Main SKU]],MD_Main_SKU[Main SKU],MD_Main_SKU[SKU name_gom])</f>
        <v>iSS01</v>
      </c>
      <c r="M354" s="2" t="str">
        <f>_xlfn.XLOOKUP(Data_Nhập[[#This Row],[Material-Nhập]],MD_Main_SKU[Main SKU],MD_Main_SKU[SKU name_gom])</f>
        <v>Phó sản</v>
      </c>
    </row>
    <row r="355" spans="1:13" x14ac:dyDescent="0.35">
      <c r="A355">
        <v>2024</v>
      </c>
      <c r="B355">
        <v>9</v>
      </c>
      <c r="C355" t="s">
        <v>26</v>
      </c>
      <c r="D355" t="s">
        <v>27</v>
      </c>
      <c r="E355" t="s">
        <v>117</v>
      </c>
      <c r="F355" t="s">
        <v>86</v>
      </c>
      <c r="G355" s="2">
        <v>0</v>
      </c>
      <c r="H355" s="2">
        <v>0</v>
      </c>
      <c r="I355" s="2">
        <v>0</v>
      </c>
      <c r="J355" s="2">
        <v>1767</v>
      </c>
      <c r="K355" s="2">
        <v>1767</v>
      </c>
      <c r="L355" s="2" t="str">
        <f>_xlfn.XLOOKUP(Data_Nhập[[#This Row],[Main SKU]],MD_Main_SKU[Main SKU],MD_Main_SKU[SKU name_gom])</f>
        <v>iSS01</v>
      </c>
      <c r="M355" s="2" t="str">
        <f>_xlfn.XLOOKUP(Data_Nhập[[#This Row],[Material-Nhập]],MD_Main_SKU[Main SKU],MD_Main_SKU[SKU name_gom])</f>
        <v>Phó sản</v>
      </c>
    </row>
    <row r="356" spans="1:13" x14ac:dyDescent="0.35">
      <c r="A356">
        <v>2024</v>
      </c>
      <c r="B356">
        <v>9</v>
      </c>
      <c r="C356" t="s">
        <v>99</v>
      </c>
      <c r="D356" t="s">
        <v>100</v>
      </c>
      <c r="E356" t="s">
        <v>99</v>
      </c>
      <c r="F356" t="s">
        <v>100</v>
      </c>
      <c r="G356" s="2">
        <v>2200</v>
      </c>
      <c r="H356" s="2">
        <v>0</v>
      </c>
      <c r="I356" s="2">
        <v>2200</v>
      </c>
      <c r="J356" s="2">
        <v>0</v>
      </c>
      <c r="K356" s="2">
        <v>2200</v>
      </c>
      <c r="L356" s="2" t="str">
        <f>_xlfn.XLOOKUP(Data_Nhập[[#This Row],[Main SKU]],MD_Main_SKU[Main SKU],MD_Main_SKU[SKU name_gom])</f>
        <v>WSS04</v>
      </c>
      <c r="M356" s="2" t="str">
        <f>_xlfn.XLOOKUP(Data_Nhập[[#This Row],[Material-Nhập]],MD_Main_SKU[Main SKU],MD_Main_SKU[SKU name_gom])</f>
        <v>WSS04</v>
      </c>
    </row>
    <row r="357" spans="1:13" x14ac:dyDescent="0.35">
      <c r="A357">
        <v>2024</v>
      </c>
      <c r="B357">
        <v>9</v>
      </c>
      <c r="C357" t="s">
        <v>99</v>
      </c>
      <c r="D357" t="s">
        <v>100</v>
      </c>
      <c r="E357" t="s">
        <v>115</v>
      </c>
      <c r="F357" t="s">
        <v>116</v>
      </c>
      <c r="G357" s="2">
        <v>0</v>
      </c>
      <c r="H357" s="2">
        <v>5450</v>
      </c>
      <c r="I357" s="2">
        <v>5450</v>
      </c>
      <c r="J357" s="2">
        <v>0</v>
      </c>
      <c r="K357" s="2">
        <v>5450</v>
      </c>
      <c r="L357" s="2" t="str">
        <f>_xlfn.XLOOKUP(Data_Nhập[[#This Row],[Main SKU]],MD_Main_SKU[Main SKU],MD_Main_SKU[SKU name_gom])</f>
        <v>WSS04</v>
      </c>
      <c r="M357" s="2" t="str">
        <f>_xlfn.XLOOKUP(Data_Nhập[[#This Row],[Material-Nhập]],MD_Main_SKU[Main SKU],MD_Main_SKU[SKU name_gom])</f>
        <v>WSS05</v>
      </c>
    </row>
    <row r="358" spans="1:13" x14ac:dyDescent="0.35">
      <c r="A358">
        <v>2024</v>
      </c>
      <c r="B358">
        <v>9</v>
      </c>
      <c r="C358" t="s">
        <v>99</v>
      </c>
      <c r="D358" t="s">
        <v>100</v>
      </c>
      <c r="E358" t="s">
        <v>117</v>
      </c>
      <c r="F358" t="s">
        <v>86</v>
      </c>
      <c r="G358" s="2">
        <v>0</v>
      </c>
      <c r="H358" s="2">
        <v>0</v>
      </c>
      <c r="I358" s="2">
        <v>0</v>
      </c>
      <c r="J358" s="2">
        <v>660</v>
      </c>
      <c r="K358" s="2">
        <v>660</v>
      </c>
      <c r="L358" s="2" t="str">
        <f>_xlfn.XLOOKUP(Data_Nhập[[#This Row],[Main SKU]],MD_Main_SKU[Main SKU],MD_Main_SKU[SKU name_gom])</f>
        <v>WSS04</v>
      </c>
      <c r="M358" s="2" t="str">
        <f>_xlfn.XLOOKUP(Data_Nhập[[#This Row],[Material-Nhập]],MD_Main_SKU[Main SKU],MD_Main_SKU[SKU name_gom])</f>
        <v>Phó sản</v>
      </c>
    </row>
    <row r="359" spans="1:13" x14ac:dyDescent="0.35">
      <c r="A359">
        <v>2024</v>
      </c>
      <c r="B359">
        <v>9</v>
      </c>
      <c r="C359" t="s">
        <v>28</v>
      </c>
      <c r="D359" t="s">
        <v>29</v>
      </c>
      <c r="E359" t="s">
        <v>22</v>
      </c>
      <c r="F359" t="s">
        <v>23</v>
      </c>
      <c r="G359" s="2">
        <v>0</v>
      </c>
      <c r="H359" s="2">
        <v>4400</v>
      </c>
      <c r="I359" s="2">
        <v>4400</v>
      </c>
      <c r="J359" s="2">
        <v>0</v>
      </c>
      <c r="K359" s="2">
        <v>4400</v>
      </c>
      <c r="L359" s="2" t="str">
        <f>_xlfn.XLOOKUP(Data_Nhập[[#This Row],[Main SKU]],MD_Main_SKU[Main SKU],MD_Main_SKU[SKU name_gom])</f>
        <v>iSS01084</v>
      </c>
      <c r="M359" s="2" t="str">
        <f>_xlfn.XLOOKUP(Data_Nhập[[#This Row],[Material-Nhập]],MD_Main_SKU[Main SKU],MD_Main_SKU[SKU name_gom])</f>
        <v>WSS03</v>
      </c>
    </row>
    <row r="360" spans="1:13" x14ac:dyDescent="0.35">
      <c r="A360">
        <v>2024</v>
      </c>
      <c r="B360">
        <v>9</v>
      </c>
      <c r="C360" t="s">
        <v>28</v>
      </c>
      <c r="D360" t="s">
        <v>29</v>
      </c>
      <c r="E360" t="s">
        <v>28</v>
      </c>
      <c r="F360" t="s">
        <v>29</v>
      </c>
      <c r="G360" s="2">
        <v>46200</v>
      </c>
      <c r="H360" s="2">
        <v>0</v>
      </c>
      <c r="I360" s="2">
        <v>46200</v>
      </c>
      <c r="J360" s="2">
        <v>0</v>
      </c>
      <c r="K360" s="2">
        <v>46200</v>
      </c>
      <c r="L360" s="2" t="str">
        <f>_xlfn.XLOOKUP(Data_Nhập[[#This Row],[Main SKU]],MD_Main_SKU[Main SKU],MD_Main_SKU[SKU name_gom])</f>
        <v>iSS01084</v>
      </c>
      <c r="M360" s="2" t="str">
        <f>_xlfn.XLOOKUP(Data_Nhập[[#This Row],[Material-Nhập]],MD_Main_SKU[Main SKU],MD_Main_SKU[SKU name_gom])</f>
        <v>iSS01084</v>
      </c>
    </row>
    <row r="361" spans="1:13" x14ac:dyDescent="0.35">
      <c r="A361">
        <v>2024</v>
      </c>
      <c r="B361">
        <v>9</v>
      </c>
      <c r="C361" t="s">
        <v>28</v>
      </c>
      <c r="D361" t="s">
        <v>29</v>
      </c>
      <c r="E361" t="s">
        <v>30</v>
      </c>
      <c r="F361" t="s">
        <v>31</v>
      </c>
      <c r="G361" s="2">
        <v>0</v>
      </c>
      <c r="H361" s="2">
        <v>19411</v>
      </c>
      <c r="I361" s="2">
        <v>19411</v>
      </c>
      <c r="J361" s="2">
        <v>0</v>
      </c>
      <c r="K361" s="2">
        <v>19411</v>
      </c>
      <c r="L361" s="2" t="str">
        <f>_xlfn.XLOOKUP(Data_Nhập[[#This Row],[Main SKU]],MD_Main_SKU[Main SKU],MD_Main_SKU[SKU name_gom])</f>
        <v>iSS01084</v>
      </c>
      <c r="M361" s="2" t="str">
        <f>_xlfn.XLOOKUP(Data_Nhập[[#This Row],[Material-Nhập]],MD_Main_SKU[Main SKU],MD_Main_SKU[SKU name_gom])</f>
        <v>iSS01</v>
      </c>
    </row>
    <row r="362" spans="1:13" x14ac:dyDescent="0.35">
      <c r="A362">
        <v>2024</v>
      </c>
      <c r="B362">
        <v>9</v>
      </c>
      <c r="C362" t="s">
        <v>28</v>
      </c>
      <c r="D362" t="s">
        <v>29</v>
      </c>
      <c r="E362" t="s">
        <v>32</v>
      </c>
      <c r="F362" t="s">
        <v>33</v>
      </c>
      <c r="G362" s="2">
        <v>0</v>
      </c>
      <c r="H362" s="2">
        <v>9913.5</v>
      </c>
      <c r="I362" s="2">
        <v>9913.5</v>
      </c>
      <c r="J362" s="2">
        <v>0</v>
      </c>
      <c r="K362" s="2">
        <v>9913.5</v>
      </c>
      <c r="L362" s="2" t="str">
        <f>_xlfn.XLOOKUP(Data_Nhập[[#This Row],[Main SKU]],MD_Main_SKU[Main SKU],MD_Main_SKU[SKU name_gom])</f>
        <v>iSS01084</v>
      </c>
      <c r="M362" s="2" t="str">
        <f>_xlfn.XLOOKUP(Data_Nhập[[#This Row],[Material-Nhập]],MD_Main_SKU[Main SKU],MD_Main_SKU[SKU name_gom])</f>
        <v>WSS03</v>
      </c>
    </row>
    <row r="363" spans="1:13" x14ac:dyDescent="0.35">
      <c r="A363">
        <v>2024</v>
      </c>
      <c r="B363">
        <v>9</v>
      </c>
      <c r="C363" t="s">
        <v>28</v>
      </c>
      <c r="D363" t="s">
        <v>29</v>
      </c>
      <c r="E363" t="s">
        <v>120</v>
      </c>
      <c r="F363" t="s">
        <v>121</v>
      </c>
      <c r="G363" s="2">
        <v>0</v>
      </c>
      <c r="H363" s="2">
        <v>0</v>
      </c>
      <c r="I363" s="2">
        <v>0</v>
      </c>
      <c r="J363" s="2">
        <v>247</v>
      </c>
      <c r="K363" s="2">
        <v>247</v>
      </c>
      <c r="L363" s="2" t="str">
        <f>_xlfn.XLOOKUP(Data_Nhập[[#This Row],[Main SKU]],MD_Main_SKU[Main SKU],MD_Main_SKU[SKU name_gom])</f>
        <v>iSS01084</v>
      </c>
      <c r="M363" s="2" t="str">
        <f>_xlfn.XLOOKUP(Data_Nhập[[#This Row],[Material-Nhập]],MD_Main_SKU[Main SKU],MD_Main_SKU[SKU name_gom])</f>
        <v>Phó sản</v>
      </c>
    </row>
    <row r="364" spans="1:13" x14ac:dyDescent="0.35">
      <c r="A364">
        <v>2024</v>
      </c>
      <c r="B364">
        <v>9</v>
      </c>
      <c r="C364" t="s">
        <v>28</v>
      </c>
      <c r="D364" t="s">
        <v>29</v>
      </c>
      <c r="E364" t="s">
        <v>122</v>
      </c>
      <c r="F364" t="s">
        <v>123</v>
      </c>
      <c r="G364" s="2">
        <v>0</v>
      </c>
      <c r="H364" s="2">
        <v>0</v>
      </c>
      <c r="I364" s="2">
        <v>0</v>
      </c>
      <c r="J364" s="2">
        <v>4080</v>
      </c>
      <c r="K364" s="2">
        <v>4080</v>
      </c>
      <c r="L364" s="2" t="str">
        <f>_xlfn.XLOOKUP(Data_Nhập[[#This Row],[Main SKU]],MD_Main_SKU[Main SKU],MD_Main_SKU[SKU name_gom])</f>
        <v>iSS01084</v>
      </c>
      <c r="M364" s="2" t="str">
        <f>_xlfn.XLOOKUP(Data_Nhập[[#This Row],[Material-Nhập]],MD_Main_SKU[Main SKU],MD_Main_SKU[SKU name_gom])</f>
        <v>Phó sản</v>
      </c>
    </row>
    <row r="365" spans="1:13" x14ac:dyDescent="0.35">
      <c r="A365">
        <v>2024</v>
      </c>
      <c r="B365">
        <v>9</v>
      </c>
      <c r="C365" t="s">
        <v>115</v>
      </c>
      <c r="D365" t="s">
        <v>116</v>
      </c>
      <c r="E365" t="s">
        <v>115</v>
      </c>
      <c r="F365" t="s">
        <v>116</v>
      </c>
      <c r="G365" s="2">
        <v>3735</v>
      </c>
      <c r="H365" s="2">
        <v>0</v>
      </c>
      <c r="I365" s="2">
        <v>3735</v>
      </c>
      <c r="J365" s="2">
        <v>0</v>
      </c>
      <c r="K365" s="2">
        <v>3735</v>
      </c>
      <c r="L365" s="2" t="str">
        <f>_xlfn.XLOOKUP(Data_Nhập[[#This Row],[Main SKU]],MD_Main_SKU[Main SKU],MD_Main_SKU[SKU name_gom])</f>
        <v>WSS05</v>
      </c>
      <c r="M365" s="2" t="str">
        <f>_xlfn.XLOOKUP(Data_Nhập[[#This Row],[Material-Nhập]],MD_Main_SKU[Main SKU],MD_Main_SKU[SKU name_gom])</f>
        <v>WSS05</v>
      </c>
    </row>
    <row r="366" spans="1:13" x14ac:dyDescent="0.35">
      <c r="A366">
        <v>2024</v>
      </c>
      <c r="B366">
        <v>9</v>
      </c>
      <c r="C366" t="s">
        <v>115</v>
      </c>
      <c r="D366" t="s">
        <v>116</v>
      </c>
      <c r="E366" t="s">
        <v>117</v>
      </c>
      <c r="F366" t="s">
        <v>86</v>
      </c>
      <c r="G366" s="2">
        <v>0</v>
      </c>
      <c r="H366" s="2">
        <v>0</v>
      </c>
      <c r="I366" s="2">
        <v>0</v>
      </c>
      <c r="J366" s="2">
        <v>1265</v>
      </c>
      <c r="K366" s="2">
        <v>1265</v>
      </c>
      <c r="L366" s="2" t="str">
        <f>_xlfn.XLOOKUP(Data_Nhập[[#This Row],[Main SKU]],MD_Main_SKU[Main SKU],MD_Main_SKU[SKU name_gom])</f>
        <v>WSS05</v>
      </c>
      <c r="M366" s="2" t="str">
        <f>_xlfn.XLOOKUP(Data_Nhập[[#This Row],[Material-Nhập]],MD_Main_SKU[Main SKU],MD_Main_SKU[SKU name_gom])</f>
        <v>Phó sản</v>
      </c>
    </row>
    <row r="367" spans="1:13" x14ac:dyDescent="0.35">
      <c r="A367">
        <v>2024</v>
      </c>
      <c r="B367">
        <v>10</v>
      </c>
      <c r="C367" t="s">
        <v>8</v>
      </c>
      <c r="D367" t="s">
        <v>9</v>
      </c>
      <c r="E367" t="s">
        <v>8</v>
      </c>
      <c r="F367" t="s">
        <v>9</v>
      </c>
      <c r="G367" s="2">
        <v>294800</v>
      </c>
      <c r="H367" s="2">
        <v>0</v>
      </c>
      <c r="I367" s="2">
        <v>294800</v>
      </c>
      <c r="J367" s="2">
        <v>0</v>
      </c>
      <c r="K367" s="2">
        <v>294800</v>
      </c>
      <c r="L367" s="2" t="str">
        <f>_xlfn.XLOOKUP(Data_Nhập[[#This Row],[Main SKU]],MD_Main_SKU[Main SKU],MD_Main_SKU[SKU name_gom])</f>
        <v>WSS01</v>
      </c>
      <c r="M367" s="2" t="str">
        <f>_xlfn.XLOOKUP(Data_Nhập[[#This Row],[Material-Nhập]],MD_Main_SKU[Main SKU],MD_Main_SKU[SKU name_gom])</f>
        <v>WSS01</v>
      </c>
    </row>
    <row r="368" spans="1:13" x14ac:dyDescent="0.35">
      <c r="A368">
        <v>2024</v>
      </c>
      <c r="B368">
        <v>10</v>
      </c>
      <c r="C368" t="s">
        <v>8</v>
      </c>
      <c r="D368" t="s">
        <v>9</v>
      </c>
      <c r="E368" t="s">
        <v>12</v>
      </c>
      <c r="F368" t="s">
        <v>13</v>
      </c>
      <c r="G368" s="2">
        <v>0</v>
      </c>
      <c r="H368" s="2">
        <v>23100</v>
      </c>
      <c r="I368" s="2">
        <v>23100</v>
      </c>
      <c r="J368" s="2">
        <v>0</v>
      </c>
      <c r="K368" s="2">
        <v>23100</v>
      </c>
      <c r="L368" s="2" t="str">
        <f>_xlfn.XLOOKUP(Data_Nhập[[#This Row],[Main SKU]],MD_Main_SKU[Main SKU],MD_Main_SKU[SKU name_gom])</f>
        <v>WSS01</v>
      </c>
      <c r="M368" s="2" t="str">
        <f>_xlfn.XLOOKUP(Data_Nhập[[#This Row],[Material-Nhập]],MD_Main_SKU[Main SKU],MD_Main_SKU[SKU name_gom])</f>
        <v>WSS03</v>
      </c>
    </row>
    <row r="369" spans="1:13" x14ac:dyDescent="0.35">
      <c r="A369">
        <v>2024</v>
      </c>
      <c r="B369">
        <v>10</v>
      </c>
      <c r="C369" t="s">
        <v>8</v>
      </c>
      <c r="D369" t="s">
        <v>9</v>
      </c>
      <c r="E369" t="s">
        <v>22</v>
      </c>
      <c r="F369" t="s">
        <v>23</v>
      </c>
      <c r="G369" s="2">
        <v>0</v>
      </c>
      <c r="H369" s="2">
        <v>4400</v>
      </c>
      <c r="I369" s="2">
        <v>4400</v>
      </c>
      <c r="J369" s="2">
        <v>0</v>
      </c>
      <c r="K369" s="2">
        <v>4400</v>
      </c>
      <c r="L369" s="2" t="str">
        <f>_xlfn.XLOOKUP(Data_Nhập[[#This Row],[Main SKU]],MD_Main_SKU[Main SKU],MD_Main_SKU[SKU name_gom])</f>
        <v>WSS01</v>
      </c>
      <c r="M369" s="2" t="str">
        <f>_xlfn.XLOOKUP(Data_Nhập[[#This Row],[Material-Nhập]],MD_Main_SKU[Main SKU],MD_Main_SKU[SKU name_gom])</f>
        <v>WSS03</v>
      </c>
    </row>
    <row r="370" spans="1:13" x14ac:dyDescent="0.35">
      <c r="A370">
        <v>2024</v>
      </c>
      <c r="B370">
        <v>10</v>
      </c>
      <c r="C370" t="s">
        <v>8</v>
      </c>
      <c r="D370" t="s">
        <v>9</v>
      </c>
      <c r="E370" t="s">
        <v>87</v>
      </c>
      <c r="F370" t="s">
        <v>88</v>
      </c>
      <c r="G370" s="2">
        <v>0</v>
      </c>
      <c r="H370" s="2">
        <v>0</v>
      </c>
      <c r="I370" s="2">
        <v>0</v>
      </c>
      <c r="J370" s="2">
        <v>5579</v>
      </c>
      <c r="K370" s="2">
        <v>5579</v>
      </c>
      <c r="L370" s="2" t="str">
        <f>_xlfn.XLOOKUP(Data_Nhập[[#This Row],[Main SKU]],MD_Main_SKU[Main SKU],MD_Main_SKU[SKU name_gom])</f>
        <v>WSS01</v>
      </c>
      <c r="M370" s="2" t="str">
        <f>_xlfn.XLOOKUP(Data_Nhập[[#This Row],[Material-Nhập]],MD_Main_SKU[Main SKU],MD_Main_SKU[SKU name_gom])</f>
        <v>Phó sản</v>
      </c>
    </row>
    <row r="371" spans="1:13" x14ac:dyDescent="0.35">
      <c r="A371">
        <v>2024</v>
      </c>
      <c r="B371">
        <v>10</v>
      </c>
      <c r="C371" t="s">
        <v>8</v>
      </c>
      <c r="D371" t="s">
        <v>9</v>
      </c>
      <c r="E371" t="s">
        <v>89</v>
      </c>
      <c r="F371" t="s">
        <v>90</v>
      </c>
      <c r="G371" s="2">
        <v>0</v>
      </c>
      <c r="H371" s="2">
        <v>0</v>
      </c>
      <c r="I371" s="2">
        <v>0</v>
      </c>
      <c r="J371" s="2">
        <v>2452</v>
      </c>
      <c r="K371" s="2">
        <v>2452</v>
      </c>
      <c r="L371" s="2" t="str">
        <f>_xlfn.XLOOKUP(Data_Nhập[[#This Row],[Main SKU]],MD_Main_SKU[Main SKU],MD_Main_SKU[SKU name_gom])</f>
        <v>WSS01</v>
      </c>
      <c r="M371" s="2" t="str">
        <f>_xlfn.XLOOKUP(Data_Nhập[[#This Row],[Material-Nhập]],MD_Main_SKU[Main SKU],MD_Main_SKU[SKU name_gom])</f>
        <v>Phó sản</v>
      </c>
    </row>
    <row r="372" spans="1:13" x14ac:dyDescent="0.35">
      <c r="A372">
        <v>2024</v>
      </c>
      <c r="B372">
        <v>10</v>
      </c>
      <c r="C372" t="s">
        <v>8</v>
      </c>
      <c r="D372" t="s">
        <v>9</v>
      </c>
      <c r="E372" t="s">
        <v>91</v>
      </c>
      <c r="F372" t="s">
        <v>92</v>
      </c>
      <c r="G372" s="2">
        <v>0</v>
      </c>
      <c r="H372" s="2">
        <v>0</v>
      </c>
      <c r="I372" s="2">
        <v>0</v>
      </c>
      <c r="J372" s="2">
        <v>20</v>
      </c>
      <c r="K372" s="2">
        <v>20</v>
      </c>
      <c r="L372" s="2" t="str">
        <f>_xlfn.XLOOKUP(Data_Nhập[[#This Row],[Main SKU]],MD_Main_SKU[Main SKU],MD_Main_SKU[SKU name_gom])</f>
        <v>WSS01</v>
      </c>
      <c r="M372" s="2" t="str">
        <f>_xlfn.XLOOKUP(Data_Nhập[[#This Row],[Material-Nhập]],MD_Main_SKU[Main SKU],MD_Main_SKU[SKU name_gom])</f>
        <v>Phó sản</v>
      </c>
    </row>
    <row r="373" spans="1:13" x14ac:dyDescent="0.35">
      <c r="A373">
        <v>2024</v>
      </c>
      <c r="B373">
        <v>10</v>
      </c>
      <c r="C373" t="s">
        <v>8</v>
      </c>
      <c r="D373" t="s">
        <v>9</v>
      </c>
      <c r="E373" t="s">
        <v>117</v>
      </c>
      <c r="F373" t="s">
        <v>86</v>
      </c>
      <c r="G373" s="2">
        <v>0</v>
      </c>
      <c r="H373" s="2">
        <v>0</v>
      </c>
      <c r="I373" s="2">
        <v>0</v>
      </c>
      <c r="J373" s="2">
        <v>2603</v>
      </c>
      <c r="K373" s="2">
        <v>2603</v>
      </c>
      <c r="L373" s="2" t="str">
        <f>_xlfn.XLOOKUP(Data_Nhập[[#This Row],[Main SKU]],MD_Main_SKU[Main SKU],MD_Main_SKU[SKU name_gom])</f>
        <v>WSS01</v>
      </c>
      <c r="M373" s="2" t="str">
        <f>_xlfn.XLOOKUP(Data_Nhập[[#This Row],[Material-Nhập]],MD_Main_SKU[Main SKU],MD_Main_SKU[SKU name_gom])</f>
        <v>Phó sản</v>
      </c>
    </row>
    <row r="374" spans="1:13" x14ac:dyDescent="0.35">
      <c r="A374">
        <v>2024</v>
      </c>
      <c r="B374">
        <v>10</v>
      </c>
      <c r="C374" t="s">
        <v>14</v>
      </c>
      <c r="D374" t="s">
        <v>15</v>
      </c>
      <c r="E374" t="s">
        <v>14</v>
      </c>
      <c r="F374" t="s">
        <v>15</v>
      </c>
      <c r="G374" s="2">
        <v>700702.00000000012</v>
      </c>
      <c r="H374" s="2">
        <v>0</v>
      </c>
      <c r="I374" s="2">
        <v>700702.00000000012</v>
      </c>
      <c r="J374" s="2">
        <v>0</v>
      </c>
      <c r="K374" s="2">
        <v>700702.00000000012</v>
      </c>
      <c r="L374" s="2" t="str">
        <f>_xlfn.XLOOKUP(Data_Nhập[[#This Row],[Main SKU]],MD_Main_SKU[Main SKU],MD_Main_SKU[SKU name_gom])</f>
        <v>iSS01084</v>
      </c>
      <c r="M374" s="2" t="str">
        <f>_xlfn.XLOOKUP(Data_Nhập[[#This Row],[Material-Nhập]],MD_Main_SKU[Main SKU],MD_Main_SKU[SKU name_gom])</f>
        <v>iSS01084</v>
      </c>
    </row>
    <row r="375" spans="1:13" x14ac:dyDescent="0.35">
      <c r="A375">
        <v>2024</v>
      </c>
      <c r="B375">
        <v>10</v>
      </c>
      <c r="C375" t="s">
        <v>14</v>
      </c>
      <c r="D375" t="s">
        <v>15</v>
      </c>
      <c r="E375" t="s">
        <v>18</v>
      </c>
      <c r="F375" t="s">
        <v>19</v>
      </c>
      <c r="G375" s="2">
        <v>0</v>
      </c>
      <c r="H375" s="2">
        <v>16500</v>
      </c>
      <c r="I375" s="2">
        <v>16500</v>
      </c>
      <c r="J375" s="2">
        <v>0</v>
      </c>
      <c r="K375" s="2">
        <v>16500</v>
      </c>
      <c r="L375" s="2" t="str">
        <f>_xlfn.XLOOKUP(Data_Nhập[[#This Row],[Main SKU]],MD_Main_SKU[Main SKU],MD_Main_SKU[SKU name_gom])</f>
        <v>iSS01084</v>
      </c>
      <c r="M375" s="2" t="str">
        <f>_xlfn.XLOOKUP(Data_Nhập[[#This Row],[Material-Nhập]],MD_Main_SKU[Main SKU],MD_Main_SKU[SKU name_gom])</f>
        <v>iSS01</v>
      </c>
    </row>
    <row r="376" spans="1:13" x14ac:dyDescent="0.35">
      <c r="A376">
        <v>2024</v>
      </c>
      <c r="B376">
        <v>10</v>
      </c>
      <c r="C376" t="s">
        <v>14</v>
      </c>
      <c r="D376" t="s">
        <v>15</v>
      </c>
      <c r="E376" t="s">
        <v>20</v>
      </c>
      <c r="F376" t="s">
        <v>21</v>
      </c>
      <c r="G376" s="2">
        <v>0</v>
      </c>
      <c r="H376" s="2">
        <v>1100</v>
      </c>
      <c r="I376" s="2">
        <v>1100</v>
      </c>
      <c r="J376" s="2">
        <v>0</v>
      </c>
      <c r="K376" s="2">
        <v>1100</v>
      </c>
      <c r="L376" s="2" t="str">
        <f>_xlfn.XLOOKUP(Data_Nhập[[#This Row],[Main SKU]],MD_Main_SKU[Main SKU],MD_Main_SKU[SKU name_gom])</f>
        <v>iSS01084</v>
      </c>
      <c r="M376" s="2" t="str">
        <f>_xlfn.XLOOKUP(Data_Nhập[[#This Row],[Material-Nhập]],MD_Main_SKU[Main SKU],MD_Main_SKU[SKU name_gom])</f>
        <v>WSS02</v>
      </c>
    </row>
    <row r="377" spans="1:13" x14ac:dyDescent="0.35">
      <c r="A377">
        <v>2024</v>
      </c>
      <c r="B377">
        <v>10</v>
      </c>
      <c r="C377" t="s">
        <v>14</v>
      </c>
      <c r="D377" t="s">
        <v>15</v>
      </c>
      <c r="E377" t="s">
        <v>22</v>
      </c>
      <c r="F377" t="s">
        <v>23</v>
      </c>
      <c r="G377" s="2">
        <v>0</v>
      </c>
      <c r="H377" s="2">
        <v>132000</v>
      </c>
      <c r="I377" s="2">
        <v>132000</v>
      </c>
      <c r="J377" s="2">
        <v>0</v>
      </c>
      <c r="K377" s="2">
        <v>132000</v>
      </c>
      <c r="L377" s="2" t="str">
        <f>_xlfn.XLOOKUP(Data_Nhập[[#This Row],[Main SKU]],MD_Main_SKU[Main SKU],MD_Main_SKU[SKU name_gom])</f>
        <v>iSS01084</v>
      </c>
      <c r="M377" s="2" t="str">
        <f>_xlfn.XLOOKUP(Data_Nhập[[#This Row],[Material-Nhập]],MD_Main_SKU[Main SKU],MD_Main_SKU[SKU name_gom])</f>
        <v>WSS03</v>
      </c>
    </row>
    <row r="378" spans="1:13" x14ac:dyDescent="0.35">
      <c r="A378">
        <v>2024</v>
      </c>
      <c r="B378">
        <v>10</v>
      </c>
      <c r="C378" t="s">
        <v>14</v>
      </c>
      <c r="D378" t="s">
        <v>15</v>
      </c>
      <c r="E378" t="s">
        <v>87</v>
      </c>
      <c r="F378" t="s">
        <v>88</v>
      </c>
      <c r="G378" s="2">
        <v>0</v>
      </c>
      <c r="H378" s="2">
        <v>0</v>
      </c>
      <c r="I378" s="2">
        <v>0</v>
      </c>
      <c r="J378" s="2">
        <v>19650</v>
      </c>
      <c r="K378" s="2">
        <v>19650</v>
      </c>
      <c r="L378" s="2" t="str">
        <f>_xlfn.XLOOKUP(Data_Nhập[[#This Row],[Main SKU]],MD_Main_SKU[Main SKU],MD_Main_SKU[SKU name_gom])</f>
        <v>iSS01084</v>
      </c>
      <c r="M378" s="2" t="str">
        <f>_xlfn.XLOOKUP(Data_Nhập[[#This Row],[Material-Nhập]],MD_Main_SKU[Main SKU],MD_Main_SKU[SKU name_gom])</f>
        <v>Phó sản</v>
      </c>
    </row>
    <row r="379" spans="1:13" x14ac:dyDescent="0.35">
      <c r="A379">
        <v>2024</v>
      </c>
      <c r="B379">
        <v>10</v>
      </c>
      <c r="C379" t="s">
        <v>14</v>
      </c>
      <c r="D379" t="s">
        <v>15</v>
      </c>
      <c r="E379" t="s">
        <v>89</v>
      </c>
      <c r="F379" t="s">
        <v>90</v>
      </c>
      <c r="G379" s="2">
        <v>0</v>
      </c>
      <c r="H379" s="2">
        <v>0</v>
      </c>
      <c r="I379" s="2">
        <v>0</v>
      </c>
      <c r="J379" s="2">
        <v>2769.0000000000005</v>
      </c>
      <c r="K379" s="2">
        <v>2769.0000000000005</v>
      </c>
      <c r="L379" s="2" t="str">
        <f>_xlfn.XLOOKUP(Data_Nhập[[#This Row],[Main SKU]],MD_Main_SKU[Main SKU],MD_Main_SKU[SKU name_gom])</f>
        <v>iSS01084</v>
      </c>
      <c r="M379" s="2" t="str">
        <f>_xlfn.XLOOKUP(Data_Nhập[[#This Row],[Material-Nhập]],MD_Main_SKU[Main SKU],MD_Main_SKU[SKU name_gom])</f>
        <v>Phó sản</v>
      </c>
    </row>
    <row r="380" spans="1:13" x14ac:dyDescent="0.35">
      <c r="A380">
        <v>2024</v>
      </c>
      <c r="B380">
        <v>10</v>
      </c>
      <c r="C380" t="s">
        <v>14</v>
      </c>
      <c r="D380" t="s">
        <v>15</v>
      </c>
      <c r="E380" t="s">
        <v>91</v>
      </c>
      <c r="F380" t="s">
        <v>92</v>
      </c>
      <c r="G380" s="2">
        <v>0</v>
      </c>
      <c r="H380" s="2">
        <v>0</v>
      </c>
      <c r="I380" s="2">
        <v>0</v>
      </c>
      <c r="J380" s="2">
        <v>1100</v>
      </c>
      <c r="K380" s="2">
        <v>1100</v>
      </c>
      <c r="L380" s="2" t="str">
        <f>_xlfn.XLOOKUP(Data_Nhập[[#This Row],[Main SKU]],MD_Main_SKU[Main SKU],MD_Main_SKU[SKU name_gom])</f>
        <v>iSS01084</v>
      </c>
      <c r="M380" s="2" t="str">
        <f>_xlfn.XLOOKUP(Data_Nhập[[#This Row],[Material-Nhập]],MD_Main_SKU[Main SKU],MD_Main_SKU[SKU name_gom])</f>
        <v>Phó sản</v>
      </c>
    </row>
    <row r="381" spans="1:13" x14ac:dyDescent="0.35">
      <c r="A381">
        <v>2024</v>
      </c>
      <c r="B381">
        <v>10</v>
      </c>
      <c r="C381" t="s">
        <v>14</v>
      </c>
      <c r="D381" t="s">
        <v>15</v>
      </c>
      <c r="E381" t="s">
        <v>117</v>
      </c>
      <c r="F381" t="s">
        <v>86</v>
      </c>
      <c r="G381" s="2">
        <v>0</v>
      </c>
      <c r="H381" s="2">
        <v>0</v>
      </c>
      <c r="I381" s="2">
        <v>0</v>
      </c>
      <c r="J381" s="2">
        <v>15520</v>
      </c>
      <c r="K381" s="2">
        <v>15520</v>
      </c>
      <c r="L381" s="2" t="str">
        <f>_xlfn.XLOOKUP(Data_Nhập[[#This Row],[Main SKU]],MD_Main_SKU[Main SKU],MD_Main_SKU[SKU name_gom])</f>
        <v>iSS01084</v>
      </c>
      <c r="M381" s="2" t="str">
        <f>_xlfn.XLOOKUP(Data_Nhập[[#This Row],[Material-Nhập]],MD_Main_SKU[Main SKU],MD_Main_SKU[SKU name_gom])</f>
        <v>Phó sản</v>
      </c>
    </row>
    <row r="382" spans="1:13" x14ac:dyDescent="0.35">
      <c r="A382">
        <v>2024</v>
      </c>
      <c r="B382">
        <v>10</v>
      </c>
      <c r="C382" t="s">
        <v>16</v>
      </c>
      <c r="D382" t="s">
        <v>17</v>
      </c>
      <c r="E382" t="s">
        <v>16</v>
      </c>
      <c r="F382" t="s">
        <v>17</v>
      </c>
      <c r="G382" s="2">
        <v>964050</v>
      </c>
      <c r="H382" s="2">
        <v>0</v>
      </c>
      <c r="I382" s="2">
        <v>964050</v>
      </c>
      <c r="J382" s="2">
        <v>0</v>
      </c>
      <c r="K382" s="2">
        <v>964050</v>
      </c>
      <c r="L382" s="2" t="str">
        <f>_xlfn.XLOOKUP(Data_Nhập[[#This Row],[Main SKU]],MD_Main_SKU[Main SKU],MD_Main_SKU[SKU name_gom])</f>
        <v>WSS01</v>
      </c>
      <c r="M382" s="2" t="str">
        <f>_xlfn.XLOOKUP(Data_Nhập[[#This Row],[Material-Nhập]],MD_Main_SKU[Main SKU],MD_Main_SKU[SKU name_gom])</f>
        <v>WSS01</v>
      </c>
    </row>
    <row r="383" spans="1:13" x14ac:dyDescent="0.35">
      <c r="A383">
        <v>2024</v>
      </c>
      <c r="B383">
        <v>10</v>
      </c>
      <c r="C383" t="s">
        <v>16</v>
      </c>
      <c r="D383" t="s">
        <v>17</v>
      </c>
      <c r="E383" t="s">
        <v>18</v>
      </c>
      <c r="F383" t="s">
        <v>19</v>
      </c>
      <c r="G383" s="2">
        <v>0</v>
      </c>
      <c r="H383" s="2">
        <v>81400</v>
      </c>
      <c r="I383" s="2">
        <v>81400</v>
      </c>
      <c r="J383" s="2">
        <v>0</v>
      </c>
      <c r="K383" s="2">
        <v>81400</v>
      </c>
      <c r="L383" s="2" t="str">
        <f>_xlfn.XLOOKUP(Data_Nhập[[#This Row],[Main SKU]],MD_Main_SKU[Main SKU],MD_Main_SKU[SKU name_gom])</f>
        <v>WSS01</v>
      </c>
      <c r="M383" s="2" t="str">
        <f>_xlfn.XLOOKUP(Data_Nhập[[#This Row],[Material-Nhập]],MD_Main_SKU[Main SKU],MD_Main_SKU[SKU name_gom])</f>
        <v>iSS01</v>
      </c>
    </row>
    <row r="384" spans="1:13" x14ac:dyDescent="0.35">
      <c r="A384">
        <v>2024</v>
      </c>
      <c r="B384">
        <v>10</v>
      </c>
      <c r="C384" t="s">
        <v>16</v>
      </c>
      <c r="D384" t="s">
        <v>17</v>
      </c>
      <c r="E384" t="s">
        <v>22</v>
      </c>
      <c r="F384" t="s">
        <v>23</v>
      </c>
      <c r="G384" s="2">
        <v>0</v>
      </c>
      <c r="H384" s="2">
        <v>35106</v>
      </c>
      <c r="I384" s="2">
        <v>35106</v>
      </c>
      <c r="J384" s="2">
        <v>0</v>
      </c>
      <c r="K384" s="2">
        <v>35106</v>
      </c>
      <c r="L384" s="2" t="str">
        <f>_xlfn.XLOOKUP(Data_Nhập[[#This Row],[Main SKU]],MD_Main_SKU[Main SKU],MD_Main_SKU[SKU name_gom])</f>
        <v>WSS01</v>
      </c>
      <c r="M384" s="2" t="str">
        <f>_xlfn.XLOOKUP(Data_Nhập[[#This Row],[Material-Nhập]],MD_Main_SKU[Main SKU],MD_Main_SKU[SKU name_gom])</f>
        <v>WSS03</v>
      </c>
    </row>
    <row r="385" spans="1:13" x14ac:dyDescent="0.35">
      <c r="A385">
        <v>2024</v>
      </c>
      <c r="B385">
        <v>10</v>
      </c>
      <c r="C385" t="s">
        <v>16</v>
      </c>
      <c r="D385" t="s">
        <v>17</v>
      </c>
      <c r="E385" t="s">
        <v>87</v>
      </c>
      <c r="F385" t="s">
        <v>88</v>
      </c>
      <c r="G385" s="2">
        <v>0</v>
      </c>
      <c r="H385" s="2">
        <v>0</v>
      </c>
      <c r="I385" s="2">
        <v>0</v>
      </c>
      <c r="J385" s="2">
        <v>14550</v>
      </c>
      <c r="K385" s="2">
        <v>14550</v>
      </c>
      <c r="L385" s="2" t="str">
        <f>_xlfn.XLOOKUP(Data_Nhập[[#This Row],[Main SKU]],MD_Main_SKU[Main SKU],MD_Main_SKU[SKU name_gom])</f>
        <v>WSS01</v>
      </c>
      <c r="M385" s="2" t="str">
        <f>_xlfn.XLOOKUP(Data_Nhập[[#This Row],[Material-Nhập]],MD_Main_SKU[Main SKU],MD_Main_SKU[SKU name_gom])</f>
        <v>Phó sản</v>
      </c>
    </row>
    <row r="386" spans="1:13" x14ac:dyDescent="0.35">
      <c r="A386">
        <v>2024</v>
      </c>
      <c r="B386">
        <v>10</v>
      </c>
      <c r="C386" t="s">
        <v>16</v>
      </c>
      <c r="D386" t="s">
        <v>17</v>
      </c>
      <c r="E386" t="s">
        <v>89</v>
      </c>
      <c r="F386" t="s">
        <v>90</v>
      </c>
      <c r="G386" s="2">
        <v>0</v>
      </c>
      <c r="H386" s="2">
        <v>0</v>
      </c>
      <c r="I386" s="2">
        <v>0</v>
      </c>
      <c r="J386" s="2">
        <v>4761</v>
      </c>
      <c r="K386" s="2">
        <v>4761</v>
      </c>
      <c r="L386" s="2" t="str">
        <f>_xlfn.XLOOKUP(Data_Nhập[[#This Row],[Main SKU]],MD_Main_SKU[Main SKU],MD_Main_SKU[SKU name_gom])</f>
        <v>WSS01</v>
      </c>
      <c r="M386" s="2" t="str">
        <f>_xlfn.XLOOKUP(Data_Nhập[[#This Row],[Material-Nhập]],MD_Main_SKU[Main SKU],MD_Main_SKU[SKU name_gom])</f>
        <v>Phó sản</v>
      </c>
    </row>
    <row r="387" spans="1:13" x14ac:dyDescent="0.35">
      <c r="A387">
        <v>2024</v>
      </c>
      <c r="B387">
        <v>10</v>
      </c>
      <c r="C387" t="s">
        <v>16</v>
      </c>
      <c r="D387" t="s">
        <v>17</v>
      </c>
      <c r="E387" t="s">
        <v>93</v>
      </c>
      <c r="F387" t="s">
        <v>94</v>
      </c>
      <c r="G387" s="2">
        <v>0</v>
      </c>
      <c r="H387" s="2">
        <v>0</v>
      </c>
      <c r="I387" s="2">
        <v>0</v>
      </c>
      <c r="J387" s="2">
        <v>10</v>
      </c>
      <c r="K387" s="2">
        <v>10</v>
      </c>
      <c r="L387" s="2" t="str">
        <f>_xlfn.XLOOKUP(Data_Nhập[[#This Row],[Main SKU]],MD_Main_SKU[Main SKU],MD_Main_SKU[SKU name_gom])</f>
        <v>WSS01</v>
      </c>
      <c r="M387" s="2" t="str">
        <f>_xlfn.XLOOKUP(Data_Nhập[[#This Row],[Material-Nhập]],MD_Main_SKU[Main SKU],MD_Main_SKU[SKU name_gom])</f>
        <v>Phó sản</v>
      </c>
    </row>
    <row r="388" spans="1:13" x14ac:dyDescent="0.35">
      <c r="A388">
        <v>2024</v>
      </c>
      <c r="B388">
        <v>10</v>
      </c>
      <c r="C388" t="s">
        <v>16</v>
      </c>
      <c r="D388" t="s">
        <v>17</v>
      </c>
      <c r="E388" t="s">
        <v>117</v>
      </c>
      <c r="F388" t="s">
        <v>86</v>
      </c>
      <c r="G388" s="2">
        <v>0</v>
      </c>
      <c r="H388" s="2">
        <v>0</v>
      </c>
      <c r="I388" s="2">
        <v>0</v>
      </c>
      <c r="J388" s="2">
        <v>15621</v>
      </c>
      <c r="K388" s="2">
        <v>15621</v>
      </c>
      <c r="L388" s="2" t="str">
        <f>_xlfn.XLOOKUP(Data_Nhập[[#This Row],[Main SKU]],MD_Main_SKU[Main SKU],MD_Main_SKU[SKU name_gom])</f>
        <v>WSS01</v>
      </c>
      <c r="M388" s="2" t="str">
        <f>_xlfn.XLOOKUP(Data_Nhập[[#This Row],[Material-Nhập]],MD_Main_SKU[Main SKU],MD_Main_SKU[SKU name_gom])</f>
        <v>Phó sản</v>
      </c>
    </row>
    <row r="389" spans="1:13" x14ac:dyDescent="0.35">
      <c r="A389">
        <v>2024</v>
      </c>
      <c r="B389">
        <v>10</v>
      </c>
      <c r="C389" t="s">
        <v>18</v>
      </c>
      <c r="D389" t="s">
        <v>19</v>
      </c>
      <c r="E389" t="s">
        <v>14</v>
      </c>
      <c r="F389" t="s">
        <v>15</v>
      </c>
      <c r="G389" s="2">
        <v>0</v>
      </c>
      <c r="H389" s="2">
        <v>16338</v>
      </c>
      <c r="I389" s="2">
        <v>16338</v>
      </c>
      <c r="J389" s="2">
        <v>0</v>
      </c>
      <c r="K389" s="2">
        <v>16338</v>
      </c>
      <c r="L389" s="2" t="str">
        <f>_xlfn.XLOOKUP(Data_Nhập[[#This Row],[Main SKU]],MD_Main_SKU[Main SKU],MD_Main_SKU[SKU name_gom])</f>
        <v>iSS01</v>
      </c>
      <c r="M389" s="2" t="str">
        <f>_xlfn.XLOOKUP(Data_Nhập[[#This Row],[Material-Nhập]],MD_Main_SKU[Main SKU],MD_Main_SKU[SKU name_gom])</f>
        <v>iSS01084</v>
      </c>
    </row>
    <row r="390" spans="1:13" x14ac:dyDescent="0.35">
      <c r="A390">
        <v>2024</v>
      </c>
      <c r="B390">
        <v>10</v>
      </c>
      <c r="C390" t="s">
        <v>18</v>
      </c>
      <c r="D390" t="s">
        <v>19</v>
      </c>
      <c r="E390" t="s">
        <v>16</v>
      </c>
      <c r="F390" t="s">
        <v>17</v>
      </c>
      <c r="G390" s="2">
        <v>0</v>
      </c>
      <c r="H390" s="2">
        <v>2200</v>
      </c>
      <c r="I390" s="2">
        <v>2200</v>
      </c>
      <c r="J390" s="2">
        <v>0</v>
      </c>
      <c r="K390" s="2">
        <v>2200</v>
      </c>
      <c r="L390" s="2" t="str">
        <f>_xlfn.XLOOKUP(Data_Nhập[[#This Row],[Main SKU]],MD_Main_SKU[Main SKU],MD_Main_SKU[SKU name_gom])</f>
        <v>iSS01</v>
      </c>
      <c r="M390" s="2" t="str">
        <f>_xlfn.XLOOKUP(Data_Nhập[[#This Row],[Material-Nhập]],MD_Main_SKU[Main SKU],MD_Main_SKU[SKU name_gom])</f>
        <v>WSS01</v>
      </c>
    </row>
    <row r="391" spans="1:13" x14ac:dyDescent="0.35">
      <c r="A391">
        <v>2024</v>
      </c>
      <c r="B391">
        <v>10</v>
      </c>
      <c r="C391" t="s">
        <v>18</v>
      </c>
      <c r="D391" t="s">
        <v>19</v>
      </c>
      <c r="E391" t="s">
        <v>18</v>
      </c>
      <c r="F391" t="s">
        <v>19</v>
      </c>
      <c r="G391" s="2">
        <v>149600</v>
      </c>
      <c r="H391" s="2">
        <v>0</v>
      </c>
      <c r="I391" s="2">
        <v>149600</v>
      </c>
      <c r="J391" s="2">
        <v>0</v>
      </c>
      <c r="K391" s="2">
        <v>149600</v>
      </c>
      <c r="L391" s="2" t="str">
        <f>_xlfn.XLOOKUP(Data_Nhập[[#This Row],[Main SKU]],MD_Main_SKU[Main SKU],MD_Main_SKU[SKU name_gom])</f>
        <v>iSS01</v>
      </c>
      <c r="M391" s="2" t="str">
        <f>_xlfn.XLOOKUP(Data_Nhập[[#This Row],[Material-Nhập]],MD_Main_SKU[Main SKU],MD_Main_SKU[SKU name_gom])</f>
        <v>iSS01</v>
      </c>
    </row>
    <row r="392" spans="1:13" x14ac:dyDescent="0.35">
      <c r="A392">
        <v>2024</v>
      </c>
      <c r="B392">
        <v>10</v>
      </c>
      <c r="C392" t="s">
        <v>18</v>
      </c>
      <c r="D392" t="s">
        <v>19</v>
      </c>
      <c r="E392" t="s">
        <v>22</v>
      </c>
      <c r="F392" t="s">
        <v>23</v>
      </c>
      <c r="G392" s="2">
        <v>0</v>
      </c>
      <c r="H392" s="2">
        <v>13816.5</v>
      </c>
      <c r="I392" s="2">
        <v>13816.5</v>
      </c>
      <c r="J392" s="2">
        <v>0</v>
      </c>
      <c r="K392" s="2">
        <v>13816.5</v>
      </c>
      <c r="L392" s="2" t="str">
        <f>_xlfn.XLOOKUP(Data_Nhập[[#This Row],[Main SKU]],MD_Main_SKU[Main SKU],MD_Main_SKU[SKU name_gom])</f>
        <v>iSS01</v>
      </c>
      <c r="M392" s="2" t="str">
        <f>_xlfn.XLOOKUP(Data_Nhập[[#This Row],[Material-Nhập]],MD_Main_SKU[Main SKU],MD_Main_SKU[SKU name_gom])</f>
        <v>WSS03</v>
      </c>
    </row>
    <row r="393" spans="1:13" x14ac:dyDescent="0.35">
      <c r="A393">
        <v>2024</v>
      </c>
      <c r="B393">
        <v>10</v>
      </c>
      <c r="C393" t="s">
        <v>18</v>
      </c>
      <c r="D393" t="s">
        <v>19</v>
      </c>
      <c r="E393" t="s">
        <v>87</v>
      </c>
      <c r="F393" t="s">
        <v>88</v>
      </c>
      <c r="G393" s="2">
        <v>0</v>
      </c>
      <c r="H393" s="2">
        <v>0</v>
      </c>
      <c r="I393" s="2">
        <v>0</v>
      </c>
      <c r="J393" s="2">
        <v>5950</v>
      </c>
      <c r="K393" s="2">
        <v>5950</v>
      </c>
      <c r="L393" s="2" t="str">
        <f>_xlfn.XLOOKUP(Data_Nhập[[#This Row],[Main SKU]],MD_Main_SKU[Main SKU],MD_Main_SKU[SKU name_gom])</f>
        <v>iSS01</v>
      </c>
      <c r="M393" s="2" t="str">
        <f>_xlfn.XLOOKUP(Data_Nhập[[#This Row],[Material-Nhập]],MD_Main_SKU[Main SKU],MD_Main_SKU[SKU name_gom])</f>
        <v>Phó sản</v>
      </c>
    </row>
    <row r="394" spans="1:13" x14ac:dyDescent="0.35">
      <c r="A394">
        <v>2024</v>
      </c>
      <c r="B394">
        <v>10</v>
      </c>
      <c r="C394" t="s">
        <v>18</v>
      </c>
      <c r="D394" t="s">
        <v>19</v>
      </c>
      <c r="E394" t="s">
        <v>89</v>
      </c>
      <c r="F394" t="s">
        <v>90</v>
      </c>
      <c r="G394" s="2">
        <v>0</v>
      </c>
      <c r="H394" s="2">
        <v>0</v>
      </c>
      <c r="I394" s="2">
        <v>0</v>
      </c>
      <c r="J394" s="2">
        <v>150</v>
      </c>
      <c r="K394" s="2">
        <v>150</v>
      </c>
      <c r="L394" s="2" t="str">
        <f>_xlfn.XLOOKUP(Data_Nhập[[#This Row],[Main SKU]],MD_Main_SKU[Main SKU],MD_Main_SKU[SKU name_gom])</f>
        <v>iSS01</v>
      </c>
      <c r="M394" s="2" t="str">
        <f>_xlfn.XLOOKUP(Data_Nhập[[#This Row],[Material-Nhập]],MD_Main_SKU[Main SKU],MD_Main_SKU[SKU name_gom])</f>
        <v>Phó sản</v>
      </c>
    </row>
    <row r="395" spans="1:13" x14ac:dyDescent="0.35">
      <c r="A395">
        <v>2024</v>
      </c>
      <c r="B395">
        <v>10</v>
      </c>
      <c r="C395" t="s">
        <v>18</v>
      </c>
      <c r="D395" t="s">
        <v>19</v>
      </c>
      <c r="E395" t="s">
        <v>117</v>
      </c>
      <c r="F395" t="s">
        <v>86</v>
      </c>
      <c r="G395" s="2">
        <v>0</v>
      </c>
      <c r="H395" s="2">
        <v>0</v>
      </c>
      <c r="I395" s="2">
        <v>0</v>
      </c>
      <c r="J395" s="2">
        <v>2400</v>
      </c>
      <c r="K395" s="2">
        <v>2400</v>
      </c>
      <c r="L395" s="2" t="str">
        <f>_xlfn.XLOOKUP(Data_Nhập[[#This Row],[Main SKU]],MD_Main_SKU[Main SKU],MD_Main_SKU[SKU name_gom])</f>
        <v>iSS01</v>
      </c>
      <c r="M395" s="2" t="str">
        <f>_xlfn.XLOOKUP(Data_Nhập[[#This Row],[Material-Nhập]],MD_Main_SKU[Main SKU],MD_Main_SKU[SKU name_gom])</f>
        <v>Phó sản</v>
      </c>
    </row>
    <row r="396" spans="1:13" x14ac:dyDescent="0.35">
      <c r="A396">
        <v>2024</v>
      </c>
      <c r="B396">
        <v>10</v>
      </c>
      <c r="C396" t="s">
        <v>22</v>
      </c>
      <c r="D396" t="s">
        <v>23</v>
      </c>
      <c r="E396" t="s">
        <v>22</v>
      </c>
      <c r="F396" t="s">
        <v>23</v>
      </c>
      <c r="G396" s="2">
        <v>108900</v>
      </c>
      <c r="H396" s="2">
        <v>0</v>
      </c>
      <c r="I396" s="2">
        <v>108900</v>
      </c>
      <c r="J396" s="2">
        <v>0</v>
      </c>
      <c r="K396" s="2">
        <v>108900</v>
      </c>
      <c r="L396" s="2" t="str">
        <f>_xlfn.XLOOKUP(Data_Nhập[[#This Row],[Main SKU]],MD_Main_SKU[Main SKU],MD_Main_SKU[SKU name_gom])</f>
        <v>WSS03</v>
      </c>
      <c r="M396" s="2" t="str">
        <f>_xlfn.XLOOKUP(Data_Nhập[[#This Row],[Material-Nhập]],MD_Main_SKU[Main SKU],MD_Main_SKU[SKU name_gom])</f>
        <v>WSS03</v>
      </c>
    </row>
    <row r="397" spans="1:13" x14ac:dyDescent="0.35">
      <c r="A397">
        <v>2024</v>
      </c>
      <c r="B397">
        <v>10</v>
      </c>
      <c r="C397" t="s">
        <v>22</v>
      </c>
      <c r="D397" t="s">
        <v>23</v>
      </c>
      <c r="E397" t="s">
        <v>87</v>
      </c>
      <c r="F397" t="s">
        <v>88</v>
      </c>
      <c r="G397" s="2">
        <v>0</v>
      </c>
      <c r="H397" s="2">
        <v>0</v>
      </c>
      <c r="I397" s="2">
        <v>0</v>
      </c>
      <c r="J397" s="2">
        <v>5720</v>
      </c>
      <c r="K397" s="2">
        <v>5720</v>
      </c>
      <c r="L397" s="2" t="str">
        <f>_xlfn.XLOOKUP(Data_Nhập[[#This Row],[Main SKU]],MD_Main_SKU[Main SKU],MD_Main_SKU[SKU name_gom])</f>
        <v>WSS03</v>
      </c>
      <c r="M397" s="2" t="str">
        <f>_xlfn.XLOOKUP(Data_Nhập[[#This Row],[Material-Nhập]],MD_Main_SKU[Main SKU],MD_Main_SKU[SKU name_gom])</f>
        <v>Phó sản</v>
      </c>
    </row>
    <row r="398" spans="1:13" x14ac:dyDescent="0.35">
      <c r="A398">
        <v>2024</v>
      </c>
      <c r="B398">
        <v>10</v>
      </c>
      <c r="C398" t="s">
        <v>22</v>
      </c>
      <c r="D398" t="s">
        <v>23</v>
      </c>
      <c r="E398" t="s">
        <v>117</v>
      </c>
      <c r="F398" t="s">
        <v>86</v>
      </c>
      <c r="G398" s="2">
        <v>0</v>
      </c>
      <c r="H398" s="2">
        <v>0</v>
      </c>
      <c r="I398" s="2">
        <v>0</v>
      </c>
      <c r="J398" s="2">
        <v>2170</v>
      </c>
      <c r="K398" s="2">
        <v>2170</v>
      </c>
      <c r="L398" s="2" t="str">
        <f>_xlfn.XLOOKUP(Data_Nhập[[#This Row],[Main SKU]],MD_Main_SKU[Main SKU],MD_Main_SKU[SKU name_gom])</f>
        <v>WSS03</v>
      </c>
      <c r="M398" s="2" t="str">
        <f>_xlfn.XLOOKUP(Data_Nhập[[#This Row],[Material-Nhập]],MD_Main_SKU[Main SKU],MD_Main_SKU[SKU name_gom])</f>
        <v>Phó sản</v>
      </c>
    </row>
    <row r="399" spans="1:13" x14ac:dyDescent="0.35">
      <c r="A399">
        <v>2024</v>
      </c>
      <c r="B399">
        <v>10</v>
      </c>
      <c r="C399" t="s">
        <v>24</v>
      </c>
      <c r="D399" t="s">
        <v>25</v>
      </c>
      <c r="E399" t="s">
        <v>20</v>
      </c>
      <c r="F399" t="s">
        <v>21</v>
      </c>
      <c r="G399" s="2">
        <v>0</v>
      </c>
      <c r="H399" s="2">
        <v>52800</v>
      </c>
      <c r="I399" s="2">
        <v>52800</v>
      </c>
      <c r="J399" s="2">
        <v>0</v>
      </c>
      <c r="K399" s="2">
        <v>52800</v>
      </c>
      <c r="L399" s="2" t="str">
        <f>_xlfn.XLOOKUP(Data_Nhập[[#This Row],[Main SKU]],MD_Main_SKU[Main SKU],MD_Main_SKU[SKU name_gom])</f>
        <v>WSS01</v>
      </c>
      <c r="M399" s="2" t="str">
        <f>_xlfn.XLOOKUP(Data_Nhập[[#This Row],[Material-Nhập]],MD_Main_SKU[Main SKU],MD_Main_SKU[SKU name_gom])</f>
        <v>WSS02</v>
      </c>
    </row>
    <row r="400" spans="1:13" x14ac:dyDescent="0.35">
      <c r="A400">
        <v>2024</v>
      </c>
      <c r="B400">
        <v>10</v>
      </c>
      <c r="C400" t="s">
        <v>24</v>
      </c>
      <c r="D400" t="s">
        <v>25</v>
      </c>
      <c r="E400" t="s">
        <v>22</v>
      </c>
      <c r="F400" t="s">
        <v>23</v>
      </c>
      <c r="G400" s="2">
        <v>0</v>
      </c>
      <c r="H400" s="2">
        <v>520500</v>
      </c>
      <c r="I400" s="2">
        <v>520500</v>
      </c>
      <c r="J400" s="2">
        <v>0</v>
      </c>
      <c r="K400" s="2">
        <v>520500</v>
      </c>
      <c r="L400" s="2" t="str">
        <f>_xlfn.XLOOKUP(Data_Nhập[[#This Row],[Main SKU]],MD_Main_SKU[Main SKU],MD_Main_SKU[SKU name_gom])</f>
        <v>WSS01</v>
      </c>
      <c r="M400" s="2" t="str">
        <f>_xlfn.XLOOKUP(Data_Nhập[[#This Row],[Material-Nhập]],MD_Main_SKU[Main SKU],MD_Main_SKU[SKU name_gom])</f>
        <v>WSS03</v>
      </c>
    </row>
    <row r="401" spans="1:13" x14ac:dyDescent="0.35">
      <c r="A401">
        <v>2024</v>
      </c>
      <c r="B401">
        <v>10</v>
      </c>
      <c r="C401" t="s">
        <v>24</v>
      </c>
      <c r="D401" t="s">
        <v>25</v>
      </c>
      <c r="E401" t="s">
        <v>24</v>
      </c>
      <c r="F401" t="s">
        <v>25</v>
      </c>
      <c r="G401" s="2">
        <v>12460</v>
      </c>
      <c r="H401" s="2">
        <v>0</v>
      </c>
      <c r="I401" s="2">
        <v>12460</v>
      </c>
      <c r="J401" s="2">
        <v>0</v>
      </c>
      <c r="K401" s="2">
        <v>12460</v>
      </c>
      <c r="L401" s="2" t="str">
        <f>_xlfn.XLOOKUP(Data_Nhập[[#This Row],[Main SKU]],MD_Main_SKU[Main SKU],MD_Main_SKU[SKU name_gom])</f>
        <v>WSS01</v>
      </c>
      <c r="M401" s="2" t="str">
        <f>_xlfn.XLOOKUP(Data_Nhập[[#This Row],[Material-Nhập]],MD_Main_SKU[Main SKU],MD_Main_SKU[SKU name_gom])</f>
        <v>WSS01</v>
      </c>
    </row>
    <row r="402" spans="1:13" x14ac:dyDescent="0.35">
      <c r="A402">
        <v>2024</v>
      </c>
      <c r="B402">
        <v>10</v>
      </c>
      <c r="C402" t="s">
        <v>24</v>
      </c>
      <c r="D402" t="s">
        <v>25</v>
      </c>
      <c r="E402" t="s">
        <v>87</v>
      </c>
      <c r="F402" t="s">
        <v>88</v>
      </c>
      <c r="G402" s="2">
        <v>0</v>
      </c>
      <c r="H402" s="2">
        <v>0</v>
      </c>
      <c r="I402" s="2">
        <v>0</v>
      </c>
      <c r="J402" s="2">
        <v>20073</v>
      </c>
      <c r="K402" s="2">
        <v>20073</v>
      </c>
      <c r="L402" s="2" t="str">
        <f>_xlfn.XLOOKUP(Data_Nhập[[#This Row],[Main SKU]],MD_Main_SKU[Main SKU],MD_Main_SKU[SKU name_gom])</f>
        <v>WSS01</v>
      </c>
      <c r="M402" s="2" t="str">
        <f>_xlfn.XLOOKUP(Data_Nhập[[#This Row],[Material-Nhập]],MD_Main_SKU[Main SKU],MD_Main_SKU[SKU name_gom])</f>
        <v>Phó sản</v>
      </c>
    </row>
    <row r="403" spans="1:13" x14ac:dyDescent="0.35">
      <c r="A403">
        <v>2024</v>
      </c>
      <c r="B403">
        <v>10</v>
      </c>
      <c r="C403" t="s">
        <v>24</v>
      </c>
      <c r="D403" t="s">
        <v>25</v>
      </c>
      <c r="E403" t="s">
        <v>89</v>
      </c>
      <c r="F403" t="s">
        <v>90</v>
      </c>
      <c r="G403" s="2">
        <v>0</v>
      </c>
      <c r="H403" s="2">
        <v>0</v>
      </c>
      <c r="I403" s="2">
        <v>0</v>
      </c>
      <c r="J403" s="2">
        <v>3670</v>
      </c>
      <c r="K403" s="2">
        <v>3670</v>
      </c>
      <c r="L403" s="2" t="str">
        <f>_xlfn.XLOOKUP(Data_Nhập[[#This Row],[Main SKU]],MD_Main_SKU[Main SKU],MD_Main_SKU[SKU name_gom])</f>
        <v>WSS01</v>
      </c>
      <c r="M403" s="2" t="str">
        <f>_xlfn.XLOOKUP(Data_Nhập[[#This Row],[Material-Nhập]],MD_Main_SKU[Main SKU],MD_Main_SKU[SKU name_gom])</f>
        <v>Phó sản</v>
      </c>
    </row>
    <row r="404" spans="1:13" x14ac:dyDescent="0.35">
      <c r="A404">
        <v>2024</v>
      </c>
      <c r="B404">
        <v>10</v>
      </c>
      <c r="C404" t="s">
        <v>24</v>
      </c>
      <c r="D404" t="s">
        <v>25</v>
      </c>
      <c r="E404" t="s">
        <v>93</v>
      </c>
      <c r="F404" t="s">
        <v>94</v>
      </c>
      <c r="G404" s="2">
        <v>0</v>
      </c>
      <c r="H404" s="2">
        <v>0</v>
      </c>
      <c r="I404" s="2">
        <v>0</v>
      </c>
      <c r="J404" s="2">
        <v>7</v>
      </c>
      <c r="K404" s="2">
        <v>7</v>
      </c>
      <c r="L404" s="2" t="str">
        <f>_xlfn.XLOOKUP(Data_Nhập[[#This Row],[Main SKU]],MD_Main_SKU[Main SKU],MD_Main_SKU[SKU name_gom])</f>
        <v>WSS01</v>
      </c>
      <c r="M404" s="2" t="str">
        <f>_xlfn.XLOOKUP(Data_Nhập[[#This Row],[Material-Nhập]],MD_Main_SKU[Main SKU],MD_Main_SKU[SKU name_gom])</f>
        <v>Phó sản</v>
      </c>
    </row>
    <row r="405" spans="1:13" x14ac:dyDescent="0.35">
      <c r="A405">
        <v>2024</v>
      </c>
      <c r="B405">
        <v>10</v>
      </c>
      <c r="C405" t="s">
        <v>24</v>
      </c>
      <c r="D405" t="s">
        <v>25</v>
      </c>
      <c r="E405" t="s">
        <v>117</v>
      </c>
      <c r="F405" t="s">
        <v>86</v>
      </c>
      <c r="G405" s="2">
        <v>0</v>
      </c>
      <c r="H405" s="2">
        <v>0</v>
      </c>
      <c r="I405" s="2">
        <v>0</v>
      </c>
      <c r="J405" s="2">
        <v>14618</v>
      </c>
      <c r="K405" s="2">
        <v>14618</v>
      </c>
      <c r="L405" s="2" t="str">
        <f>_xlfn.XLOOKUP(Data_Nhập[[#This Row],[Main SKU]],MD_Main_SKU[Main SKU],MD_Main_SKU[SKU name_gom])</f>
        <v>WSS01</v>
      </c>
      <c r="M405" s="2" t="str">
        <f>_xlfn.XLOOKUP(Data_Nhập[[#This Row],[Material-Nhập]],MD_Main_SKU[Main SKU],MD_Main_SKU[SKU name_gom])</f>
        <v>Phó sản</v>
      </c>
    </row>
    <row r="406" spans="1:13" x14ac:dyDescent="0.35">
      <c r="A406">
        <v>2024</v>
      </c>
      <c r="B406">
        <v>10</v>
      </c>
      <c r="C406" t="s">
        <v>26</v>
      </c>
      <c r="D406" t="s">
        <v>27</v>
      </c>
      <c r="E406" t="s">
        <v>24</v>
      </c>
      <c r="F406" t="s">
        <v>25</v>
      </c>
      <c r="G406" s="2">
        <v>0</v>
      </c>
      <c r="H406" s="2">
        <v>8800</v>
      </c>
      <c r="I406" s="2">
        <v>8800</v>
      </c>
      <c r="J406" s="2">
        <v>0</v>
      </c>
      <c r="K406" s="2">
        <v>8800</v>
      </c>
      <c r="L406" s="2" t="str">
        <f>_xlfn.XLOOKUP(Data_Nhập[[#This Row],[Main SKU]],MD_Main_SKU[Main SKU],MD_Main_SKU[SKU name_gom])</f>
        <v>iSS01</v>
      </c>
      <c r="M406" s="2" t="str">
        <f>_xlfn.XLOOKUP(Data_Nhập[[#This Row],[Material-Nhập]],MD_Main_SKU[Main SKU],MD_Main_SKU[SKU name_gom])</f>
        <v>WSS01</v>
      </c>
    </row>
    <row r="407" spans="1:13" x14ac:dyDescent="0.35">
      <c r="A407">
        <v>2024</v>
      </c>
      <c r="B407">
        <v>10</v>
      </c>
      <c r="C407" t="s">
        <v>26</v>
      </c>
      <c r="D407" t="s">
        <v>27</v>
      </c>
      <c r="E407" t="s">
        <v>26</v>
      </c>
      <c r="F407" t="s">
        <v>27</v>
      </c>
      <c r="G407" s="2">
        <v>204600</v>
      </c>
      <c r="H407" s="2">
        <v>17600</v>
      </c>
      <c r="I407" s="2">
        <v>222200</v>
      </c>
      <c r="J407" s="2">
        <v>0</v>
      </c>
      <c r="K407" s="2">
        <v>222200</v>
      </c>
      <c r="L407" s="2" t="str">
        <f>_xlfn.XLOOKUP(Data_Nhập[[#This Row],[Main SKU]],MD_Main_SKU[Main SKU],MD_Main_SKU[SKU name_gom])</f>
        <v>iSS01</v>
      </c>
      <c r="M407" s="2" t="str">
        <f>_xlfn.XLOOKUP(Data_Nhập[[#This Row],[Material-Nhập]],MD_Main_SKU[Main SKU],MD_Main_SKU[SKU name_gom])</f>
        <v>iSS01</v>
      </c>
    </row>
    <row r="408" spans="1:13" x14ac:dyDescent="0.35">
      <c r="A408">
        <v>2024</v>
      </c>
      <c r="B408">
        <v>10</v>
      </c>
      <c r="C408" t="s">
        <v>26</v>
      </c>
      <c r="D408" t="s">
        <v>27</v>
      </c>
      <c r="E408" t="s">
        <v>87</v>
      </c>
      <c r="F408" t="s">
        <v>88</v>
      </c>
      <c r="G408" s="2">
        <v>0</v>
      </c>
      <c r="H408" s="2">
        <v>0</v>
      </c>
      <c r="I408" s="2">
        <v>0</v>
      </c>
      <c r="J408" s="2">
        <v>11961</v>
      </c>
      <c r="K408" s="2">
        <v>11961</v>
      </c>
      <c r="L408" s="2" t="str">
        <f>_xlfn.XLOOKUP(Data_Nhập[[#This Row],[Main SKU]],MD_Main_SKU[Main SKU],MD_Main_SKU[SKU name_gom])</f>
        <v>iSS01</v>
      </c>
      <c r="M408" s="2" t="str">
        <f>_xlfn.XLOOKUP(Data_Nhập[[#This Row],[Material-Nhập]],MD_Main_SKU[Main SKU],MD_Main_SKU[SKU name_gom])</f>
        <v>Phó sản</v>
      </c>
    </row>
    <row r="409" spans="1:13" x14ac:dyDescent="0.35">
      <c r="A409">
        <v>2024</v>
      </c>
      <c r="B409">
        <v>10</v>
      </c>
      <c r="C409" t="s">
        <v>26</v>
      </c>
      <c r="D409" t="s">
        <v>27</v>
      </c>
      <c r="E409" t="s">
        <v>89</v>
      </c>
      <c r="F409" t="s">
        <v>90</v>
      </c>
      <c r="G409" s="2">
        <v>0</v>
      </c>
      <c r="H409" s="2">
        <v>0</v>
      </c>
      <c r="I409" s="2">
        <v>0</v>
      </c>
      <c r="J409" s="2">
        <v>545</v>
      </c>
      <c r="K409" s="2">
        <v>545</v>
      </c>
      <c r="L409" s="2" t="str">
        <f>_xlfn.XLOOKUP(Data_Nhập[[#This Row],[Main SKU]],MD_Main_SKU[Main SKU],MD_Main_SKU[SKU name_gom])</f>
        <v>iSS01</v>
      </c>
      <c r="M409" s="2" t="str">
        <f>_xlfn.XLOOKUP(Data_Nhập[[#This Row],[Material-Nhập]],MD_Main_SKU[Main SKU],MD_Main_SKU[SKU name_gom])</f>
        <v>Phó sản</v>
      </c>
    </row>
    <row r="410" spans="1:13" x14ac:dyDescent="0.35">
      <c r="A410">
        <v>2024</v>
      </c>
      <c r="B410">
        <v>10</v>
      </c>
      <c r="C410" t="s">
        <v>26</v>
      </c>
      <c r="D410" t="s">
        <v>27</v>
      </c>
      <c r="E410" t="s">
        <v>117</v>
      </c>
      <c r="F410" t="s">
        <v>86</v>
      </c>
      <c r="G410" s="2">
        <v>0</v>
      </c>
      <c r="H410" s="2">
        <v>0</v>
      </c>
      <c r="I410" s="2">
        <v>0</v>
      </c>
      <c r="J410" s="2">
        <v>5932</v>
      </c>
      <c r="K410" s="2">
        <v>5932</v>
      </c>
      <c r="L410" s="2" t="str">
        <f>_xlfn.XLOOKUP(Data_Nhập[[#This Row],[Main SKU]],MD_Main_SKU[Main SKU],MD_Main_SKU[SKU name_gom])</f>
        <v>iSS01</v>
      </c>
      <c r="M410" s="2" t="str">
        <f>_xlfn.XLOOKUP(Data_Nhập[[#This Row],[Material-Nhập]],MD_Main_SKU[Main SKU],MD_Main_SKU[SKU name_gom])</f>
        <v>Phó sản</v>
      </c>
    </row>
    <row r="411" spans="1:13" x14ac:dyDescent="0.35">
      <c r="A411">
        <v>2024</v>
      </c>
      <c r="B411">
        <v>10</v>
      </c>
      <c r="C411" t="s">
        <v>115</v>
      </c>
      <c r="D411" t="s">
        <v>116</v>
      </c>
      <c r="E411" t="s">
        <v>115</v>
      </c>
      <c r="F411" t="s">
        <v>116</v>
      </c>
      <c r="G411" s="2">
        <v>27500</v>
      </c>
      <c r="H411" s="2">
        <v>0</v>
      </c>
      <c r="I411" s="2">
        <v>27500</v>
      </c>
      <c r="J411" s="2">
        <v>0</v>
      </c>
      <c r="K411" s="2">
        <v>27500</v>
      </c>
      <c r="L411" s="2" t="str">
        <f>_xlfn.XLOOKUP(Data_Nhập[[#This Row],[Main SKU]],MD_Main_SKU[Main SKU],MD_Main_SKU[SKU name_gom])</f>
        <v>WSS05</v>
      </c>
      <c r="M411" s="2" t="str">
        <f>_xlfn.XLOOKUP(Data_Nhập[[#This Row],[Material-Nhập]],MD_Main_SKU[Main SKU],MD_Main_SKU[SKU name_gom])</f>
        <v>WSS05</v>
      </c>
    </row>
    <row r="412" spans="1:13" x14ac:dyDescent="0.35">
      <c r="A412">
        <v>2024</v>
      </c>
      <c r="B412">
        <v>10</v>
      </c>
      <c r="C412" t="s">
        <v>115</v>
      </c>
      <c r="D412" t="s">
        <v>116</v>
      </c>
      <c r="E412" t="s">
        <v>87</v>
      </c>
      <c r="F412" t="s">
        <v>88</v>
      </c>
      <c r="G412" s="2">
        <v>0</v>
      </c>
      <c r="H412" s="2">
        <v>0</v>
      </c>
      <c r="I412" s="2">
        <v>0</v>
      </c>
      <c r="J412" s="2">
        <v>3880</v>
      </c>
      <c r="K412" s="2">
        <v>3880</v>
      </c>
      <c r="L412" s="2" t="str">
        <f>_xlfn.XLOOKUP(Data_Nhập[[#This Row],[Main SKU]],MD_Main_SKU[Main SKU],MD_Main_SKU[SKU name_gom])</f>
        <v>WSS05</v>
      </c>
      <c r="M412" s="2" t="str">
        <f>_xlfn.XLOOKUP(Data_Nhập[[#This Row],[Material-Nhập]],MD_Main_SKU[Main SKU],MD_Main_SKU[SKU name_gom])</f>
        <v>Phó sản</v>
      </c>
    </row>
    <row r="413" spans="1:13" x14ac:dyDescent="0.35">
      <c r="A413">
        <v>2024</v>
      </c>
      <c r="B413">
        <v>10</v>
      </c>
      <c r="C413" t="s">
        <v>115</v>
      </c>
      <c r="D413" t="s">
        <v>116</v>
      </c>
      <c r="E413" t="s">
        <v>117</v>
      </c>
      <c r="F413" t="s">
        <v>86</v>
      </c>
      <c r="G413" s="2">
        <v>0</v>
      </c>
      <c r="H413" s="2">
        <v>0</v>
      </c>
      <c r="I413" s="2">
        <v>0</v>
      </c>
      <c r="J413" s="2">
        <v>2969</v>
      </c>
      <c r="K413" s="2">
        <v>2969</v>
      </c>
      <c r="L413" s="2" t="str">
        <f>_xlfn.XLOOKUP(Data_Nhập[[#This Row],[Main SKU]],MD_Main_SKU[Main SKU],MD_Main_SKU[SKU name_gom])</f>
        <v>WSS05</v>
      </c>
      <c r="M413" s="2" t="str">
        <f>_xlfn.XLOOKUP(Data_Nhập[[#This Row],[Material-Nhập]],MD_Main_SKU[Main SKU],MD_Main_SKU[SKU name_gom])</f>
        <v>Phó sản</v>
      </c>
    </row>
    <row r="414" spans="1:13" x14ac:dyDescent="0.35">
      <c r="A414">
        <v>2024</v>
      </c>
      <c r="B414">
        <v>11</v>
      </c>
      <c r="C414" t="s">
        <v>8</v>
      </c>
      <c r="D414" t="s">
        <v>9</v>
      </c>
      <c r="E414" t="s">
        <v>8</v>
      </c>
      <c r="F414" t="s">
        <v>9</v>
      </c>
      <c r="G414" s="2">
        <v>400400</v>
      </c>
      <c r="H414" s="2">
        <v>0</v>
      </c>
      <c r="I414" s="2">
        <v>400400</v>
      </c>
      <c r="J414" s="2">
        <v>0</v>
      </c>
      <c r="K414" s="2">
        <v>400400</v>
      </c>
      <c r="L414" s="2" t="str">
        <f>_xlfn.XLOOKUP(Data_Nhập[[#This Row],[Main SKU]],MD_Main_SKU[Main SKU],MD_Main_SKU[SKU name_gom])</f>
        <v>WSS01</v>
      </c>
      <c r="M414" s="2" t="str">
        <f>_xlfn.XLOOKUP(Data_Nhập[[#This Row],[Material-Nhập]],MD_Main_SKU[Main SKU],MD_Main_SKU[SKU name_gom])</f>
        <v>WSS01</v>
      </c>
    </row>
    <row r="415" spans="1:13" x14ac:dyDescent="0.35">
      <c r="A415">
        <v>2024</v>
      </c>
      <c r="B415">
        <v>11</v>
      </c>
      <c r="C415" t="s">
        <v>8</v>
      </c>
      <c r="D415" t="s">
        <v>9</v>
      </c>
      <c r="E415" t="s">
        <v>22</v>
      </c>
      <c r="F415" t="s">
        <v>23</v>
      </c>
      <c r="G415" s="2">
        <v>0</v>
      </c>
      <c r="H415" s="2">
        <v>4400</v>
      </c>
      <c r="I415" s="2">
        <v>4400</v>
      </c>
      <c r="J415" s="2">
        <v>0</v>
      </c>
      <c r="K415" s="2">
        <v>4400</v>
      </c>
      <c r="L415" s="2" t="str">
        <f>_xlfn.XLOOKUP(Data_Nhập[[#This Row],[Main SKU]],MD_Main_SKU[Main SKU],MD_Main_SKU[SKU name_gom])</f>
        <v>WSS01</v>
      </c>
      <c r="M415" s="2" t="str">
        <f>_xlfn.XLOOKUP(Data_Nhập[[#This Row],[Material-Nhập]],MD_Main_SKU[Main SKU],MD_Main_SKU[SKU name_gom])</f>
        <v>WSS03</v>
      </c>
    </row>
    <row r="416" spans="1:13" x14ac:dyDescent="0.35">
      <c r="A416">
        <v>2024</v>
      </c>
      <c r="B416">
        <v>11</v>
      </c>
      <c r="C416" t="s">
        <v>8</v>
      </c>
      <c r="D416" t="s">
        <v>9</v>
      </c>
      <c r="E416" t="s">
        <v>87</v>
      </c>
      <c r="F416" t="s">
        <v>88</v>
      </c>
      <c r="G416" s="2">
        <v>0</v>
      </c>
      <c r="H416" s="2">
        <v>0</v>
      </c>
      <c r="I416" s="2">
        <v>0</v>
      </c>
      <c r="J416" s="2">
        <v>4800</v>
      </c>
      <c r="K416" s="2">
        <v>4800</v>
      </c>
      <c r="L416" s="2" t="str">
        <f>_xlfn.XLOOKUP(Data_Nhập[[#This Row],[Main SKU]],MD_Main_SKU[Main SKU],MD_Main_SKU[SKU name_gom])</f>
        <v>WSS01</v>
      </c>
      <c r="M416" s="2" t="str">
        <f>_xlfn.XLOOKUP(Data_Nhập[[#This Row],[Material-Nhập]],MD_Main_SKU[Main SKU],MD_Main_SKU[SKU name_gom])</f>
        <v>Phó sản</v>
      </c>
    </row>
    <row r="417" spans="1:13" x14ac:dyDescent="0.35">
      <c r="A417">
        <v>2024</v>
      </c>
      <c r="B417">
        <v>11</v>
      </c>
      <c r="C417" t="s">
        <v>8</v>
      </c>
      <c r="D417" t="s">
        <v>9</v>
      </c>
      <c r="E417" t="s">
        <v>89</v>
      </c>
      <c r="F417" t="s">
        <v>90</v>
      </c>
      <c r="G417" s="2">
        <v>0</v>
      </c>
      <c r="H417" s="2">
        <v>0</v>
      </c>
      <c r="I417" s="2">
        <v>0</v>
      </c>
      <c r="J417" s="2">
        <v>156</v>
      </c>
      <c r="K417" s="2">
        <v>156</v>
      </c>
      <c r="L417" s="2" t="str">
        <f>_xlfn.XLOOKUP(Data_Nhập[[#This Row],[Main SKU]],MD_Main_SKU[Main SKU],MD_Main_SKU[SKU name_gom])</f>
        <v>WSS01</v>
      </c>
      <c r="M417" s="2" t="str">
        <f>_xlfn.XLOOKUP(Data_Nhập[[#This Row],[Material-Nhập]],MD_Main_SKU[Main SKU],MD_Main_SKU[SKU name_gom])</f>
        <v>Phó sản</v>
      </c>
    </row>
    <row r="418" spans="1:13" x14ac:dyDescent="0.35">
      <c r="A418">
        <v>2024</v>
      </c>
      <c r="B418">
        <v>11</v>
      </c>
      <c r="C418" t="s">
        <v>8</v>
      </c>
      <c r="D418" t="s">
        <v>9</v>
      </c>
      <c r="E418" t="s">
        <v>117</v>
      </c>
      <c r="F418" t="s">
        <v>86</v>
      </c>
      <c r="G418" s="2">
        <v>0</v>
      </c>
      <c r="H418" s="2">
        <v>0</v>
      </c>
      <c r="I418" s="2">
        <v>0</v>
      </c>
      <c r="J418" s="2">
        <v>6781</v>
      </c>
      <c r="K418" s="2">
        <v>6781</v>
      </c>
      <c r="L418" s="2" t="str">
        <f>_xlfn.XLOOKUP(Data_Nhập[[#This Row],[Main SKU]],MD_Main_SKU[Main SKU],MD_Main_SKU[SKU name_gom])</f>
        <v>WSS01</v>
      </c>
      <c r="M418" s="2" t="str">
        <f>_xlfn.XLOOKUP(Data_Nhập[[#This Row],[Material-Nhập]],MD_Main_SKU[Main SKU],MD_Main_SKU[SKU name_gom])</f>
        <v>Phó sản</v>
      </c>
    </row>
    <row r="419" spans="1:13" x14ac:dyDescent="0.35">
      <c r="A419">
        <v>2024</v>
      </c>
      <c r="B419">
        <v>11</v>
      </c>
      <c r="C419" t="s">
        <v>14</v>
      </c>
      <c r="D419" t="s">
        <v>15</v>
      </c>
      <c r="E419" t="s">
        <v>14</v>
      </c>
      <c r="F419" t="s">
        <v>15</v>
      </c>
      <c r="G419" s="2">
        <v>896499.99999999988</v>
      </c>
      <c r="H419" s="2">
        <v>0</v>
      </c>
      <c r="I419" s="2">
        <v>896499.99999999988</v>
      </c>
      <c r="J419" s="2">
        <v>0</v>
      </c>
      <c r="K419" s="2">
        <v>896499.99999999988</v>
      </c>
      <c r="L419" s="2" t="str">
        <f>_xlfn.XLOOKUP(Data_Nhập[[#This Row],[Main SKU]],MD_Main_SKU[Main SKU],MD_Main_SKU[SKU name_gom])</f>
        <v>iSS01084</v>
      </c>
      <c r="M419" s="2" t="str">
        <f>_xlfn.XLOOKUP(Data_Nhập[[#This Row],[Material-Nhập]],MD_Main_SKU[Main SKU],MD_Main_SKU[SKU name_gom])</f>
        <v>iSS01084</v>
      </c>
    </row>
    <row r="420" spans="1:13" x14ac:dyDescent="0.35">
      <c r="A420">
        <v>2024</v>
      </c>
      <c r="B420">
        <v>11</v>
      </c>
      <c r="C420" t="s">
        <v>14</v>
      </c>
      <c r="D420" t="s">
        <v>15</v>
      </c>
      <c r="E420" t="s">
        <v>18</v>
      </c>
      <c r="F420" t="s">
        <v>19</v>
      </c>
      <c r="G420" s="2">
        <v>0</v>
      </c>
      <c r="H420" s="2">
        <v>6600</v>
      </c>
      <c r="I420" s="2">
        <v>6600</v>
      </c>
      <c r="J420" s="2">
        <v>0</v>
      </c>
      <c r="K420" s="2">
        <v>6600</v>
      </c>
      <c r="L420" s="2" t="str">
        <f>_xlfn.XLOOKUP(Data_Nhập[[#This Row],[Main SKU]],MD_Main_SKU[Main SKU],MD_Main_SKU[SKU name_gom])</f>
        <v>iSS01084</v>
      </c>
      <c r="M420" s="2" t="str">
        <f>_xlfn.XLOOKUP(Data_Nhập[[#This Row],[Material-Nhập]],MD_Main_SKU[Main SKU],MD_Main_SKU[SKU name_gom])</f>
        <v>iSS01</v>
      </c>
    </row>
    <row r="421" spans="1:13" x14ac:dyDescent="0.35">
      <c r="A421">
        <v>2024</v>
      </c>
      <c r="B421">
        <v>11</v>
      </c>
      <c r="C421" t="s">
        <v>14</v>
      </c>
      <c r="D421" t="s">
        <v>15</v>
      </c>
      <c r="E421" t="s">
        <v>22</v>
      </c>
      <c r="F421" t="s">
        <v>23</v>
      </c>
      <c r="G421" s="2">
        <v>0</v>
      </c>
      <c r="H421" s="2">
        <v>68200.000000000015</v>
      </c>
      <c r="I421" s="2">
        <v>68200.000000000015</v>
      </c>
      <c r="J421" s="2">
        <v>0</v>
      </c>
      <c r="K421" s="2">
        <v>68200.000000000015</v>
      </c>
      <c r="L421" s="2" t="str">
        <f>_xlfn.XLOOKUP(Data_Nhập[[#This Row],[Main SKU]],MD_Main_SKU[Main SKU],MD_Main_SKU[SKU name_gom])</f>
        <v>iSS01084</v>
      </c>
      <c r="M421" s="2" t="str">
        <f>_xlfn.XLOOKUP(Data_Nhập[[#This Row],[Material-Nhập]],MD_Main_SKU[Main SKU],MD_Main_SKU[SKU name_gom])</f>
        <v>WSS03</v>
      </c>
    </row>
    <row r="422" spans="1:13" x14ac:dyDescent="0.35">
      <c r="A422">
        <v>2024</v>
      </c>
      <c r="B422">
        <v>11</v>
      </c>
      <c r="C422" t="s">
        <v>14</v>
      </c>
      <c r="D422" t="s">
        <v>15</v>
      </c>
      <c r="E422" t="s">
        <v>87</v>
      </c>
      <c r="F422" t="s">
        <v>88</v>
      </c>
      <c r="G422" s="2">
        <v>0</v>
      </c>
      <c r="H422" s="2">
        <v>0</v>
      </c>
      <c r="I422" s="2">
        <v>0</v>
      </c>
      <c r="J422" s="2">
        <v>25849.999999999996</v>
      </c>
      <c r="K422" s="2">
        <v>25849.999999999996</v>
      </c>
      <c r="L422" s="2" t="str">
        <f>_xlfn.XLOOKUP(Data_Nhập[[#This Row],[Main SKU]],MD_Main_SKU[Main SKU],MD_Main_SKU[SKU name_gom])</f>
        <v>iSS01084</v>
      </c>
      <c r="M422" s="2" t="str">
        <f>_xlfn.XLOOKUP(Data_Nhập[[#This Row],[Material-Nhập]],MD_Main_SKU[Main SKU],MD_Main_SKU[SKU name_gom])</f>
        <v>Phó sản</v>
      </c>
    </row>
    <row r="423" spans="1:13" x14ac:dyDescent="0.35">
      <c r="A423">
        <v>2024</v>
      </c>
      <c r="B423">
        <v>11</v>
      </c>
      <c r="C423" t="s">
        <v>14</v>
      </c>
      <c r="D423" t="s">
        <v>15</v>
      </c>
      <c r="E423" t="s">
        <v>89</v>
      </c>
      <c r="F423" t="s">
        <v>90</v>
      </c>
      <c r="G423" s="2">
        <v>0</v>
      </c>
      <c r="H423" s="2">
        <v>0</v>
      </c>
      <c r="I423" s="2">
        <v>0</v>
      </c>
      <c r="J423" s="2">
        <v>3858</v>
      </c>
      <c r="K423" s="2">
        <v>3858</v>
      </c>
      <c r="L423" s="2" t="str">
        <f>_xlfn.XLOOKUP(Data_Nhập[[#This Row],[Main SKU]],MD_Main_SKU[Main SKU],MD_Main_SKU[SKU name_gom])</f>
        <v>iSS01084</v>
      </c>
      <c r="M423" s="2" t="str">
        <f>_xlfn.XLOOKUP(Data_Nhập[[#This Row],[Material-Nhập]],MD_Main_SKU[Main SKU],MD_Main_SKU[SKU name_gom])</f>
        <v>Phó sản</v>
      </c>
    </row>
    <row r="424" spans="1:13" x14ac:dyDescent="0.35">
      <c r="A424">
        <v>2024</v>
      </c>
      <c r="B424">
        <v>11</v>
      </c>
      <c r="C424" t="s">
        <v>14</v>
      </c>
      <c r="D424" t="s">
        <v>15</v>
      </c>
      <c r="E424" t="s">
        <v>117</v>
      </c>
      <c r="F424" t="s">
        <v>86</v>
      </c>
      <c r="G424" s="2">
        <v>0</v>
      </c>
      <c r="H424" s="2">
        <v>0</v>
      </c>
      <c r="I424" s="2">
        <v>0</v>
      </c>
      <c r="J424" s="2">
        <v>20272</v>
      </c>
      <c r="K424" s="2">
        <v>20272</v>
      </c>
      <c r="L424" s="2" t="str">
        <f>_xlfn.XLOOKUP(Data_Nhập[[#This Row],[Main SKU]],MD_Main_SKU[Main SKU],MD_Main_SKU[SKU name_gom])</f>
        <v>iSS01084</v>
      </c>
      <c r="M424" s="2" t="str">
        <f>_xlfn.XLOOKUP(Data_Nhập[[#This Row],[Material-Nhập]],MD_Main_SKU[Main SKU],MD_Main_SKU[SKU name_gom])</f>
        <v>Phó sản</v>
      </c>
    </row>
    <row r="425" spans="1:13" x14ac:dyDescent="0.35">
      <c r="A425">
        <v>2024</v>
      </c>
      <c r="B425">
        <v>11</v>
      </c>
      <c r="C425" t="s">
        <v>16</v>
      </c>
      <c r="D425" t="s">
        <v>17</v>
      </c>
      <c r="E425" t="s">
        <v>16</v>
      </c>
      <c r="F425" t="s">
        <v>17</v>
      </c>
      <c r="G425" s="2">
        <v>1083500</v>
      </c>
      <c r="H425" s="2">
        <v>0</v>
      </c>
      <c r="I425" s="2">
        <v>1083500</v>
      </c>
      <c r="J425" s="2">
        <v>0</v>
      </c>
      <c r="K425" s="2">
        <v>1083500</v>
      </c>
      <c r="L425" s="2" t="str">
        <f>_xlfn.XLOOKUP(Data_Nhập[[#This Row],[Main SKU]],MD_Main_SKU[Main SKU],MD_Main_SKU[SKU name_gom])</f>
        <v>WSS01</v>
      </c>
      <c r="M425" s="2" t="str">
        <f>_xlfn.XLOOKUP(Data_Nhập[[#This Row],[Material-Nhập]],MD_Main_SKU[Main SKU],MD_Main_SKU[SKU name_gom])</f>
        <v>WSS01</v>
      </c>
    </row>
    <row r="426" spans="1:13" x14ac:dyDescent="0.35">
      <c r="A426">
        <v>2024</v>
      </c>
      <c r="B426">
        <v>11</v>
      </c>
      <c r="C426" t="s">
        <v>16</v>
      </c>
      <c r="D426" t="s">
        <v>17</v>
      </c>
      <c r="E426" t="s">
        <v>18</v>
      </c>
      <c r="F426" t="s">
        <v>19</v>
      </c>
      <c r="G426" s="2">
        <v>0</v>
      </c>
      <c r="H426" s="2">
        <v>244200</v>
      </c>
      <c r="I426" s="2">
        <v>244200</v>
      </c>
      <c r="J426" s="2">
        <v>0</v>
      </c>
      <c r="K426" s="2">
        <v>244200</v>
      </c>
      <c r="L426" s="2" t="str">
        <f>_xlfn.XLOOKUP(Data_Nhập[[#This Row],[Main SKU]],MD_Main_SKU[Main SKU],MD_Main_SKU[SKU name_gom])</f>
        <v>WSS01</v>
      </c>
      <c r="M426" s="2" t="str">
        <f>_xlfn.XLOOKUP(Data_Nhập[[#This Row],[Material-Nhập]],MD_Main_SKU[Main SKU],MD_Main_SKU[SKU name_gom])</f>
        <v>iSS01</v>
      </c>
    </row>
    <row r="427" spans="1:13" x14ac:dyDescent="0.35">
      <c r="A427">
        <v>2024</v>
      </c>
      <c r="B427">
        <v>11</v>
      </c>
      <c r="C427" t="s">
        <v>16</v>
      </c>
      <c r="D427" t="s">
        <v>17</v>
      </c>
      <c r="E427" t="s">
        <v>20</v>
      </c>
      <c r="F427" t="s">
        <v>21</v>
      </c>
      <c r="G427" s="2">
        <v>0</v>
      </c>
      <c r="H427" s="2">
        <v>5500</v>
      </c>
      <c r="I427" s="2">
        <v>5500</v>
      </c>
      <c r="J427" s="2">
        <v>0</v>
      </c>
      <c r="K427" s="2">
        <v>5500</v>
      </c>
      <c r="L427" s="2" t="str">
        <f>_xlfn.XLOOKUP(Data_Nhập[[#This Row],[Main SKU]],MD_Main_SKU[Main SKU],MD_Main_SKU[SKU name_gom])</f>
        <v>WSS01</v>
      </c>
      <c r="M427" s="2" t="str">
        <f>_xlfn.XLOOKUP(Data_Nhập[[#This Row],[Material-Nhập]],MD_Main_SKU[Main SKU],MD_Main_SKU[SKU name_gom])</f>
        <v>WSS02</v>
      </c>
    </row>
    <row r="428" spans="1:13" x14ac:dyDescent="0.35">
      <c r="A428">
        <v>2024</v>
      </c>
      <c r="B428">
        <v>11</v>
      </c>
      <c r="C428" t="s">
        <v>16</v>
      </c>
      <c r="D428" t="s">
        <v>17</v>
      </c>
      <c r="E428" t="s">
        <v>22</v>
      </c>
      <c r="F428" t="s">
        <v>23</v>
      </c>
      <c r="G428" s="2">
        <v>0</v>
      </c>
      <c r="H428" s="2">
        <v>15435</v>
      </c>
      <c r="I428" s="2">
        <v>15435</v>
      </c>
      <c r="J428" s="2">
        <v>0</v>
      </c>
      <c r="K428" s="2">
        <v>15435</v>
      </c>
      <c r="L428" s="2" t="str">
        <f>_xlfn.XLOOKUP(Data_Nhập[[#This Row],[Main SKU]],MD_Main_SKU[Main SKU],MD_Main_SKU[SKU name_gom])</f>
        <v>WSS01</v>
      </c>
      <c r="M428" s="2" t="str">
        <f>_xlfn.XLOOKUP(Data_Nhập[[#This Row],[Material-Nhập]],MD_Main_SKU[Main SKU],MD_Main_SKU[SKU name_gom])</f>
        <v>WSS03</v>
      </c>
    </row>
    <row r="429" spans="1:13" x14ac:dyDescent="0.35">
      <c r="A429">
        <v>2024</v>
      </c>
      <c r="B429">
        <v>11</v>
      </c>
      <c r="C429" t="s">
        <v>16</v>
      </c>
      <c r="D429" t="s">
        <v>17</v>
      </c>
      <c r="E429" t="s">
        <v>87</v>
      </c>
      <c r="F429" t="s">
        <v>88</v>
      </c>
      <c r="G429" s="2">
        <v>0</v>
      </c>
      <c r="H429" s="2">
        <v>0</v>
      </c>
      <c r="I429" s="2">
        <v>0</v>
      </c>
      <c r="J429" s="2">
        <v>28500.000000000004</v>
      </c>
      <c r="K429" s="2">
        <v>28500.000000000004</v>
      </c>
      <c r="L429" s="2" t="str">
        <f>_xlfn.XLOOKUP(Data_Nhập[[#This Row],[Main SKU]],MD_Main_SKU[Main SKU],MD_Main_SKU[SKU name_gom])</f>
        <v>WSS01</v>
      </c>
      <c r="M429" s="2" t="str">
        <f>_xlfn.XLOOKUP(Data_Nhập[[#This Row],[Material-Nhập]],MD_Main_SKU[Main SKU],MD_Main_SKU[SKU name_gom])</f>
        <v>Phó sản</v>
      </c>
    </row>
    <row r="430" spans="1:13" x14ac:dyDescent="0.35">
      <c r="A430">
        <v>2024</v>
      </c>
      <c r="B430">
        <v>11</v>
      </c>
      <c r="C430" t="s">
        <v>16</v>
      </c>
      <c r="D430" t="s">
        <v>17</v>
      </c>
      <c r="E430" t="s">
        <v>89</v>
      </c>
      <c r="F430" t="s">
        <v>90</v>
      </c>
      <c r="G430" s="2">
        <v>0</v>
      </c>
      <c r="H430" s="2">
        <v>0</v>
      </c>
      <c r="I430" s="2">
        <v>0</v>
      </c>
      <c r="J430" s="2">
        <v>7550.9999999999991</v>
      </c>
      <c r="K430" s="2">
        <v>7550.9999999999991</v>
      </c>
      <c r="L430" s="2" t="str">
        <f>_xlfn.XLOOKUP(Data_Nhập[[#This Row],[Main SKU]],MD_Main_SKU[Main SKU],MD_Main_SKU[SKU name_gom])</f>
        <v>WSS01</v>
      </c>
      <c r="M430" s="2" t="str">
        <f>_xlfn.XLOOKUP(Data_Nhập[[#This Row],[Material-Nhập]],MD_Main_SKU[Main SKU],MD_Main_SKU[SKU name_gom])</f>
        <v>Phó sản</v>
      </c>
    </row>
    <row r="431" spans="1:13" x14ac:dyDescent="0.35">
      <c r="A431">
        <v>2024</v>
      </c>
      <c r="B431">
        <v>11</v>
      </c>
      <c r="C431" t="s">
        <v>16</v>
      </c>
      <c r="D431" t="s">
        <v>17</v>
      </c>
      <c r="E431" t="s">
        <v>91</v>
      </c>
      <c r="F431" t="s">
        <v>92</v>
      </c>
      <c r="G431" s="2">
        <v>0</v>
      </c>
      <c r="H431" s="2">
        <v>0</v>
      </c>
      <c r="I431" s="2">
        <v>0</v>
      </c>
      <c r="J431" s="2">
        <v>900</v>
      </c>
      <c r="K431" s="2">
        <v>900</v>
      </c>
      <c r="L431" s="2" t="str">
        <f>_xlfn.XLOOKUP(Data_Nhập[[#This Row],[Main SKU]],MD_Main_SKU[Main SKU],MD_Main_SKU[SKU name_gom])</f>
        <v>WSS01</v>
      </c>
      <c r="M431" s="2" t="str">
        <f>_xlfn.XLOOKUP(Data_Nhập[[#This Row],[Material-Nhập]],MD_Main_SKU[Main SKU],MD_Main_SKU[SKU name_gom])</f>
        <v>Phó sản</v>
      </c>
    </row>
    <row r="432" spans="1:13" x14ac:dyDescent="0.35">
      <c r="A432">
        <v>2024</v>
      </c>
      <c r="B432">
        <v>11</v>
      </c>
      <c r="C432" t="s">
        <v>16</v>
      </c>
      <c r="D432" t="s">
        <v>17</v>
      </c>
      <c r="E432" t="s">
        <v>117</v>
      </c>
      <c r="F432" t="s">
        <v>86</v>
      </c>
      <c r="G432" s="2">
        <v>0</v>
      </c>
      <c r="H432" s="2">
        <v>0</v>
      </c>
      <c r="I432" s="2">
        <v>0</v>
      </c>
      <c r="J432" s="2">
        <v>19781</v>
      </c>
      <c r="K432" s="2">
        <v>19781</v>
      </c>
      <c r="L432" s="2" t="str">
        <f>_xlfn.XLOOKUP(Data_Nhập[[#This Row],[Main SKU]],MD_Main_SKU[Main SKU],MD_Main_SKU[SKU name_gom])</f>
        <v>WSS01</v>
      </c>
      <c r="M432" s="2" t="str">
        <f>_xlfn.XLOOKUP(Data_Nhập[[#This Row],[Material-Nhập]],MD_Main_SKU[Main SKU],MD_Main_SKU[SKU name_gom])</f>
        <v>Phó sản</v>
      </c>
    </row>
    <row r="433" spans="1:13" x14ac:dyDescent="0.35">
      <c r="A433">
        <v>2024</v>
      </c>
      <c r="B433">
        <v>11</v>
      </c>
      <c r="C433" t="s">
        <v>18</v>
      </c>
      <c r="D433" t="s">
        <v>19</v>
      </c>
      <c r="E433" t="s">
        <v>14</v>
      </c>
      <c r="F433" t="s">
        <v>15</v>
      </c>
      <c r="G433" s="2">
        <v>0</v>
      </c>
      <c r="H433" s="2">
        <v>13200</v>
      </c>
      <c r="I433" s="2">
        <v>13200</v>
      </c>
      <c r="J433" s="2">
        <v>0</v>
      </c>
      <c r="K433" s="2">
        <v>13200</v>
      </c>
      <c r="L433" s="2" t="str">
        <f>_xlfn.XLOOKUP(Data_Nhập[[#This Row],[Main SKU]],MD_Main_SKU[Main SKU],MD_Main_SKU[SKU name_gom])</f>
        <v>iSS01</v>
      </c>
      <c r="M433" s="2" t="str">
        <f>_xlfn.XLOOKUP(Data_Nhập[[#This Row],[Material-Nhập]],MD_Main_SKU[Main SKU],MD_Main_SKU[SKU name_gom])</f>
        <v>iSS01084</v>
      </c>
    </row>
    <row r="434" spans="1:13" x14ac:dyDescent="0.35">
      <c r="A434">
        <v>2024</v>
      </c>
      <c r="B434">
        <v>11</v>
      </c>
      <c r="C434" t="s">
        <v>18</v>
      </c>
      <c r="D434" t="s">
        <v>19</v>
      </c>
      <c r="E434" t="s">
        <v>16</v>
      </c>
      <c r="F434" t="s">
        <v>17</v>
      </c>
      <c r="G434" s="2">
        <v>0</v>
      </c>
      <c r="H434" s="2">
        <v>24200</v>
      </c>
      <c r="I434" s="2">
        <v>24200</v>
      </c>
      <c r="J434" s="2">
        <v>0</v>
      </c>
      <c r="K434" s="2">
        <v>24200</v>
      </c>
      <c r="L434" s="2" t="str">
        <f>_xlfn.XLOOKUP(Data_Nhập[[#This Row],[Main SKU]],MD_Main_SKU[Main SKU],MD_Main_SKU[SKU name_gom])</f>
        <v>iSS01</v>
      </c>
      <c r="M434" s="2" t="str">
        <f>_xlfn.XLOOKUP(Data_Nhập[[#This Row],[Material-Nhập]],MD_Main_SKU[Main SKU],MD_Main_SKU[SKU name_gom])</f>
        <v>WSS01</v>
      </c>
    </row>
    <row r="435" spans="1:13" x14ac:dyDescent="0.35">
      <c r="A435">
        <v>2024</v>
      </c>
      <c r="B435">
        <v>11</v>
      </c>
      <c r="C435" t="s">
        <v>18</v>
      </c>
      <c r="D435" t="s">
        <v>19</v>
      </c>
      <c r="E435" t="s">
        <v>18</v>
      </c>
      <c r="F435" t="s">
        <v>19</v>
      </c>
      <c r="G435" s="2">
        <v>144100</v>
      </c>
      <c r="H435" s="2">
        <v>0</v>
      </c>
      <c r="I435" s="2">
        <v>144100</v>
      </c>
      <c r="J435" s="2">
        <v>0</v>
      </c>
      <c r="K435" s="2">
        <v>144100</v>
      </c>
      <c r="L435" s="2" t="str">
        <f>_xlfn.XLOOKUP(Data_Nhập[[#This Row],[Main SKU]],MD_Main_SKU[Main SKU],MD_Main_SKU[SKU name_gom])</f>
        <v>iSS01</v>
      </c>
      <c r="M435" s="2" t="str">
        <f>_xlfn.XLOOKUP(Data_Nhập[[#This Row],[Material-Nhập]],MD_Main_SKU[Main SKU],MD_Main_SKU[SKU name_gom])</f>
        <v>iSS01</v>
      </c>
    </row>
    <row r="436" spans="1:13" x14ac:dyDescent="0.35">
      <c r="A436">
        <v>2024</v>
      </c>
      <c r="B436">
        <v>11</v>
      </c>
      <c r="C436" t="s">
        <v>18</v>
      </c>
      <c r="D436" t="s">
        <v>19</v>
      </c>
      <c r="E436" t="s">
        <v>22</v>
      </c>
      <c r="F436" t="s">
        <v>23</v>
      </c>
      <c r="G436" s="2">
        <v>0</v>
      </c>
      <c r="H436" s="2">
        <v>25300</v>
      </c>
      <c r="I436" s="2">
        <v>25300</v>
      </c>
      <c r="J436" s="2">
        <v>0</v>
      </c>
      <c r="K436" s="2">
        <v>25300</v>
      </c>
      <c r="L436" s="2" t="str">
        <f>_xlfn.XLOOKUP(Data_Nhập[[#This Row],[Main SKU]],MD_Main_SKU[Main SKU],MD_Main_SKU[SKU name_gom])</f>
        <v>iSS01</v>
      </c>
      <c r="M436" s="2" t="str">
        <f>_xlfn.XLOOKUP(Data_Nhập[[#This Row],[Material-Nhập]],MD_Main_SKU[Main SKU],MD_Main_SKU[SKU name_gom])</f>
        <v>WSS03</v>
      </c>
    </row>
    <row r="437" spans="1:13" x14ac:dyDescent="0.35">
      <c r="A437">
        <v>2024</v>
      </c>
      <c r="B437">
        <v>11</v>
      </c>
      <c r="C437" t="s">
        <v>18</v>
      </c>
      <c r="D437" t="s">
        <v>19</v>
      </c>
      <c r="E437" t="s">
        <v>87</v>
      </c>
      <c r="F437" t="s">
        <v>88</v>
      </c>
      <c r="G437" s="2">
        <v>0</v>
      </c>
      <c r="H437" s="2">
        <v>0</v>
      </c>
      <c r="I437" s="2">
        <v>0</v>
      </c>
      <c r="J437" s="2">
        <v>4050</v>
      </c>
      <c r="K437" s="2">
        <v>4050</v>
      </c>
      <c r="L437" s="2" t="str">
        <f>_xlfn.XLOOKUP(Data_Nhập[[#This Row],[Main SKU]],MD_Main_SKU[Main SKU],MD_Main_SKU[SKU name_gom])</f>
        <v>iSS01</v>
      </c>
      <c r="M437" s="2" t="str">
        <f>_xlfn.XLOOKUP(Data_Nhập[[#This Row],[Material-Nhập]],MD_Main_SKU[Main SKU],MD_Main_SKU[SKU name_gom])</f>
        <v>Phó sản</v>
      </c>
    </row>
    <row r="438" spans="1:13" x14ac:dyDescent="0.35">
      <c r="A438">
        <v>2024</v>
      </c>
      <c r="B438">
        <v>11</v>
      </c>
      <c r="C438" t="s">
        <v>18</v>
      </c>
      <c r="D438" t="s">
        <v>19</v>
      </c>
      <c r="E438" t="s">
        <v>89</v>
      </c>
      <c r="F438" t="s">
        <v>90</v>
      </c>
      <c r="G438" s="2">
        <v>0</v>
      </c>
      <c r="H438" s="2">
        <v>0</v>
      </c>
      <c r="I438" s="2">
        <v>0</v>
      </c>
      <c r="J438" s="2">
        <v>500</v>
      </c>
      <c r="K438" s="2">
        <v>500</v>
      </c>
      <c r="L438" s="2" t="str">
        <f>_xlfn.XLOOKUP(Data_Nhập[[#This Row],[Main SKU]],MD_Main_SKU[Main SKU],MD_Main_SKU[SKU name_gom])</f>
        <v>iSS01</v>
      </c>
      <c r="M438" s="2" t="str">
        <f>_xlfn.XLOOKUP(Data_Nhập[[#This Row],[Material-Nhập]],MD_Main_SKU[Main SKU],MD_Main_SKU[SKU name_gom])</f>
        <v>Phó sản</v>
      </c>
    </row>
    <row r="439" spans="1:13" x14ac:dyDescent="0.35">
      <c r="A439">
        <v>2024</v>
      </c>
      <c r="B439">
        <v>11</v>
      </c>
      <c r="C439" t="s">
        <v>18</v>
      </c>
      <c r="D439" t="s">
        <v>19</v>
      </c>
      <c r="E439" t="s">
        <v>117</v>
      </c>
      <c r="F439" t="s">
        <v>86</v>
      </c>
      <c r="G439" s="2">
        <v>0</v>
      </c>
      <c r="H439" s="2">
        <v>0</v>
      </c>
      <c r="I439" s="2">
        <v>0</v>
      </c>
      <c r="J439" s="2">
        <v>1540</v>
      </c>
      <c r="K439" s="2">
        <v>1540</v>
      </c>
      <c r="L439" s="2" t="str">
        <f>_xlfn.XLOOKUP(Data_Nhập[[#This Row],[Main SKU]],MD_Main_SKU[Main SKU],MD_Main_SKU[SKU name_gom])</f>
        <v>iSS01</v>
      </c>
      <c r="M439" s="2" t="str">
        <f>_xlfn.XLOOKUP(Data_Nhập[[#This Row],[Material-Nhập]],MD_Main_SKU[Main SKU],MD_Main_SKU[SKU name_gom])</f>
        <v>Phó sản</v>
      </c>
    </row>
    <row r="440" spans="1:13" x14ac:dyDescent="0.35">
      <c r="A440">
        <v>2024</v>
      </c>
      <c r="B440">
        <v>11</v>
      </c>
      <c r="C440" t="s">
        <v>22</v>
      </c>
      <c r="D440" t="s">
        <v>23</v>
      </c>
      <c r="E440" t="s">
        <v>20</v>
      </c>
      <c r="F440" t="s">
        <v>21</v>
      </c>
      <c r="G440" s="2">
        <v>0</v>
      </c>
      <c r="H440" s="2">
        <v>1100</v>
      </c>
      <c r="I440" s="2">
        <v>1100</v>
      </c>
      <c r="J440" s="2">
        <v>0</v>
      </c>
      <c r="K440" s="2">
        <v>1100</v>
      </c>
      <c r="L440" s="2" t="str">
        <f>_xlfn.XLOOKUP(Data_Nhập[[#This Row],[Main SKU]],MD_Main_SKU[Main SKU],MD_Main_SKU[SKU name_gom])</f>
        <v>WSS03</v>
      </c>
      <c r="M440" s="2" t="str">
        <f>_xlfn.XLOOKUP(Data_Nhập[[#This Row],[Material-Nhập]],MD_Main_SKU[Main SKU],MD_Main_SKU[SKU name_gom])</f>
        <v>WSS02</v>
      </c>
    </row>
    <row r="441" spans="1:13" x14ac:dyDescent="0.35">
      <c r="A441">
        <v>2024</v>
      </c>
      <c r="B441">
        <v>11</v>
      </c>
      <c r="C441" t="s">
        <v>22</v>
      </c>
      <c r="D441" t="s">
        <v>23</v>
      </c>
      <c r="E441" t="s">
        <v>22</v>
      </c>
      <c r="F441" t="s">
        <v>23</v>
      </c>
      <c r="G441" s="2">
        <v>93500</v>
      </c>
      <c r="H441" s="2">
        <v>0</v>
      </c>
      <c r="I441" s="2">
        <v>93500</v>
      </c>
      <c r="J441" s="2">
        <v>0</v>
      </c>
      <c r="K441" s="2">
        <v>93500</v>
      </c>
      <c r="L441" s="2" t="str">
        <f>_xlfn.XLOOKUP(Data_Nhập[[#This Row],[Main SKU]],MD_Main_SKU[Main SKU],MD_Main_SKU[SKU name_gom])</f>
        <v>WSS03</v>
      </c>
      <c r="M441" s="2" t="str">
        <f>_xlfn.XLOOKUP(Data_Nhập[[#This Row],[Material-Nhập]],MD_Main_SKU[Main SKU],MD_Main_SKU[SKU name_gom])</f>
        <v>WSS03</v>
      </c>
    </row>
    <row r="442" spans="1:13" x14ac:dyDescent="0.35">
      <c r="A442">
        <v>2024</v>
      </c>
      <c r="B442">
        <v>11</v>
      </c>
      <c r="C442" t="s">
        <v>22</v>
      </c>
      <c r="D442" t="s">
        <v>23</v>
      </c>
      <c r="E442" t="s">
        <v>87</v>
      </c>
      <c r="F442" t="s">
        <v>88</v>
      </c>
      <c r="G442" s="2">
        <v>0</v>
      </c>
      <c r="H442" s="2">
        <v>0</v>
      </c>
      <c r="I442" s="2">
        <v>0</v>
      </c>
      <c r="J442" s="2">
        <v>3800</v>
      </c>
      <c r="K442" s="2">
        <v>3800</v>
      </c>
      <c r="L442" s="2" t="str">
        <f>_xlfn.XLOOKUP(Data_Nhập[[#This Row],[Main SKU]],MD_Main_SKU[Main SKU],MD_Main_SKU[SKU name_gom])</f>
        <v>WSS03</v>
      </c>
      <c r="M442" s="2" t="str">
        <f>_xlfn.XLOOKUP(Data_Nhập[[#This Row],[Material-Nhập]],MD_Main_SKU[Main SKU],MD_Main_SKU[SKU name_gom])</f>
        <v>Phó sản</v>
      </c>
    </row>
    <row r="443" spans="1:13" x14ac:dyDescent="0.35">
      <c r="A443">
        <v>2024</v>
      </c>
      <c r="B443">
        <v>11</v>
      </c>
      <c r="C443" t="s">
        <v>22</v>
      </c>
      <c r="D443" t="s">
        <v>23</v>
      </c>
      <c r="E443" t="s">
        <v>89</v>
      </c>
      <c r="F443" t="s">
        <v>90</v>
      </c>
      <c r="G443" s="2">
        <v>0</v>
      </c>
      <c r="H443" s="2">
        <v>0</v>
      </c>
      <c r="I443" s="2">
        <v>0</v>
      </c>
      <c r="J443" s="2">
        <v>400</v>
      </c>
      <c r="K443" s="2">
        <v>400</v>
      </c>
      <c r="L443" s="2" t="str">
        <f>_xlfn.XLOOKUP(Data_Nhập[[#This Row],[Main SKU]],MD_Main_SKU[Main SKU],MD_Main_SKU[SKU name_gom])</f>
        <v>WSS03</v>
      </c>
      <c r="M443" s="2" t="str">
        <f>_xlfn.XLOOKUP(Data_Nhập[[#This Row],[Material-Nhập]],MD_Main_SKU[Main SKU],MD_Main_SKU[SKU name_gom])</f>
        <v>Phó sản</v>
      </c>
    </row>
    <row r="444" spans="1:13" x14ac:dyDescent="0.35">
      <c r="A444">
        <v>2024</v>
      </c>
      <c r="B444">
        <v>11</v>
      </c>
      <c r="C444" t="s">
        <v>22</v>
      </c>
      <c r="D444" t="s">
        <v>23</v>
      </c>
      <c r="E444" t="s">
        <v>117</v>
      </c>
      <c r="F444" t="s">
        <v>86</v>
      </c>
      <c r="G444" s="2">
        <v>0</v>
      </c>
      <c r="H444" s="2">
        <v>0</v>
      </c>
      <c r="I444" s="2">
        <v>0</v>
      </c>
      <c r="J444" s="2">
        <v>4900</v>
      </c>
      <c r="K444" s="2">
        <v>4900</v>
      </c>
      <c r="L444" s="2" t="str">
        <f>_xlfn.XLOOKUP(Data_Nhập[[#This Row],[Main SKU]],MD_Main_SKU[Main SKU],MD_Main_SKU[SKU name_gom])</f>
        <v>WSS03</v>
      </c>
      <c r="M444" s="2" t="str">
        <f>_xlfn.XLOOKUP(Data_Nhập[[#This Row],[Material-Nhập]],MD_Main_SKU[Main SKU],MD_Main_SKU[SKU name_gom])</f>
        <v>Phó sản</v>
      </c>
    </row>
    <row r="445" spans="1:13" x14ac:dyDescent="0.35">
      <c r="A445">
        <v>2024</v>
      </c>
      <c r="B445">
        <v>11</v>
      </c>
      <c r="C445" t="s">
        <v>24</v>
      </c>
      <c r="D445" t="s">
        <v>25</v>
      </c>
      <c r="E445" t="s">
        <v>24</v>
      </c>
      <c r="F445" t="s">
        <v>25</v>
      </c>
      <c r="G445" s="2">
        <v>9900</v>
      </c>
      <c r="H445" s="2">
        <v>0</v>
      </c>
      <c r="I445" s="2">
        <v>9900</v>
      </c>
      <c r="J445" s="2">
        <v>0</v>
      </c>
      <c r="K445" s="2">
        <v>9900</v>
      </c>
      <c r="L445" s="2" t="str">
        <f>_xlfn.XLOOKUP(Data_Nhập[[#This Row],[Main SKU]],MD_Main_SKU[Main SKU],MD_Main_SKU[SKU name_gom])</f>
        <v>WSS01</v>
      </c>
      <c r="M445" s="2" t="str">
        <f>_xlfn.XLOOKUP(Data_Nhập[[#This Row],[Material-Nhập]],MD_Main_SKU[Main SKU],MD_Main_SKU[SKU name_gom])</f>
        <v>WSS01</v>
      </c>
    </row>
    <row r="446" spans="1:13" x14ac:dyDescent="0.35">
      <c r="A446">
        <v>2024</v>
      </c>
      <c r="B446">
        <v>11</v>
      </c>
      <c r="C446" t="s">
        <v>26</v>
      </c>
      <c r="D446" t="s">
        <v>27</v>
      </c>
      <c r="E446" t="s">
        <v>22</v>
      </c>
      <c r="F446" t="s">
        <v>23</v>
      </c>
      <c r="G446" s="2">
        <v>0</v>
      </c>
      <c r="H446" s="2">
        <v>15400.000000000002</v>
      </c>
      <c r="I446" s="2">
        <v>15400.000000000002</v>
      </c>
      <c r="J446" s="2">
        <v>0</v>
      </c>
      <c r="K446" s="2">
        <v>15400.000000000002</v>
      </c>
      <c r="L446" s="2" t="str">
        <f>_xlfn.XLOOKUP(Data_Nhập[[#This Row],[Main SKU]],MD_Main_SKU[Main SKU],MD_Main_SKU[SKU name_gom])</f>
        <v>iSS01</v>
      </c>
      <c r="M446" s="2" t="str">
        <f>_xlfn.XLOOKUP(Data_Nhập[[#This Row],[Material-Nhập]],MD_Main_SKU[Main SKU],MD_Main_SKU[SKU name_gom])</f>
        <v>WSS03</v>
      </c>
    </row>
    <row r="447" spans="1:13" x14ac:dyDescent="0.35">
      <c r="A447">
        <v>2024</v>
      </c>
      <c r="B447">
        <v>11</v>
      </c>
      <c r="C447" t="s">
        <v>26</v>
      </c>
      <c r="D447" t="s">
        <v>27</v>
      </c>
      <c r="E447" t="s">
        <v>24</v>
      </c>
      <c r="F447" t="s">
        <v>25</v>
      </c>
      <c r="G447" s="2">
        <v>0</v>
      </c>
      <c r="H447" s="2">
        <v>56100.000000000007</v>
      </c>
      <c r="I447" s="2">
        <v>56100.000000000007</v>
      </c>
      <c r="J447" s="2">
        <v>0</v>
      </c>
      <c r="K447" s="2">
        <v>56100.000000000007</v>
      </c>
      <c r="L447" s="2" t="str">
        <f>_xlfn.XLOOKUP(Data_Nhập[[#This Row],[Main SKU]],MD_Main_SKU[Main SKU],MD_Main_SKU[SKU name_gom])</f>
        <v>iSS01</v>
      </c>
      <c r="M447" s="2" t="str">
        <f>_xlfn.XLOOKUP(Data_Nhập[[#This Row],[Material-Nhập]],MD_Main_SKU[Main SKU],MD_Main_SKU[SKU name_gom])</f>
        <v>WSS01</v>
      </c>
    </row>
    <row r="448" spans="1:13" x14ac:dyDescent="0.35">
      <c r="A448">
        <v>2024</v>
      </c>
      <c r="B448">
        <v>11</v>
      </c>
      <c r="C448" t="s">
        <v>26</v>
      </c>
      <c r="D448" t="s">
        <v>27</v>
      </c>
      <c r="E448" t="s">
        <v>26</v>
      </c>
      <c r="F448" t="s">
        <v>27</v>
      </c>
      <c r="G448" s="2">
        <v>1043801.0000000002</v>
      </c>
      <c r="H448" s="2">
        <v>0</v>
      </c>
      <c r="I448" s="2">
        <v>1043801.0000000002</v>
      </c>
      <c r="J448" s="2">
        <v>0</v>
      </c>
      <c r="K448" s="2">
        <v>1043801.0000000002</v>
      </c>
      <c r="L448" s="2" t="str">
        <f>_xlfn.XLOOKUP(Data_Nhập[[#This Row],[Main SKU]],MD_Main_SKU[Main SKU],MD_Main_SKU[SKU name_gom])</f>
        <v>iSS01</v>
      </c>
      <c r="M448" s="2" t="str">
        <f>_xlfn.XLOOKUP(Data_Nhập[[#This Row],[Material-Nhập]],MD_Main_SKU[Main SKU],MD_Main_SKU[SKU name_gom])</f>
        <v>iSS01</v>
      </c>
    </row>
    <row r="449" spans="1:13" x14ac:dyDescent="0.35">
      <c r="A449">
        <v>2024</v>
      </c>
      <c r="B449">
        <v>11</v>
      </c>
      <c r="C449" t="s">
        <v>26</v>
      </c>
      <c r="D449" t="s">
        <v>27</v>
      </c>
      <c r="E449" t="s">
        <v>87</v>
      </c>
      <c r="F449" t="s">
        <v>88</v>
      </c>
      <c r="G449" s="2">
        <v>0</v>
      </c>
      <c r="H449" s="2">
        <v>0</v>
      </c>
      <c r="I449" s="2">
        <v>0</v>
      </c>
      <c r="J449" s="2">
        <v>49957.999999999985</v>
      </c>
      <c r="K449" s="2">
        <v>49957.999999999985</v>
      </c>
      <c r="L449" s="2" t="str">
        <f>_xlfn.XLOOKUP(Data_Nhập[[#This Row],[Main SKU]],MD_Main_SKU[Main SKU],MD_Main_SKU[SKU name_gom])</f>
        <v>iSS01</v>
      </c>
      <c r="M449" s="2" t="str">
        <f>_xlfn.XLOOKUP(Data_Nhập[[#This Row],[Material-Nhập]],MD_Main_SKU[Main SKU],MD_Main_SKU[SKU name_gom])</f>
        <v>Phó sản</v>
      </c>
    </row>
    <row r="450" spans="1:13" x14ac:dyDescent="0.35">
      <c r="A450">
        <v>2024</v>
      </c>
      <c r="B450">
        <v>11</v>
      </c>
      <c r="C450" t="s">
        <v>26</v>
      </c>
      <c r="D450" t="s">
        <v>27</v>
      </c>
      <c r="E450" t="s">
        <v>89</v>
      </c>
      <c r="F450" t="s">
        <v>90</v>
      </c>
      <c r="G450" s="2">
        <v>0</v>
      </c>
      <c r="H450" s="2">
        <v>0</v>
      </c>
      <c r="I450" s="2">
        <v>0</v>
      </c>
      <c r="J450" s="2">
        <v>4517</v>
      </c>
      <c r="K450" s="2">
        <v>4517</v>
      </c>
      <c r="L450" s="2" t="str">
        <f>_xlfn.XLOOKUP(Data_Nhập[[#This Row],[Main SKU]],MD_Main_SKU[Main SKU],MD_Main_SKU[SKU name_gom])</f>
        <v>iSS01</v>
      </c>
      <c r="M450" s="2" t="str">
        <f>_xlfn.XLOOKUP(Data_Nhập[[#This Row],[Material-Nhập]],MD_Main_SKU[Main SKU],MD_Main_SKU[SKU name_gom])</f>
        <v>Phó sản</v>
      </c>
    </row>
    <row r="451" spans="1:13" x14ac:dyDescent="0.35">
      <c r="A451">
        <v>2024</v>
      </c>
      <c r="B451">
        <v>11</v>
      </c>
      <c r="C451" t="s">
        <v>26</v>
      </c>
      <c r="D451" t="s">
        <v>27</v>
      </c>
      <c r="E451" t="s">
        <v>117</v>
      </c>
      <c r="F451" t="s">
        <v>86</v>
      </c>
      <c r="G451" s="2">
        <v>0</v>
      </c>
      <c r="H451" s="2">
        <v>0</v>
      </c>
      <c r="I451" s="2">
        <v>0</v>
      </c>
      <c r="J451" s="2">
        <v>30273</v>
      </c>
      <c r="K451" s="2">
        <v>30273</v>
      </c>
      <c r="L451" s="2" t="str">
        <f>_xlfn.XLOOKUP(Data_Nhập[[#This Row],[Main SKU]],MD_Main_SKU[Main SKU],MD_Main_SKU[SKU name_gom])</f>
        <v>iSS01</v>
      </c>
      <c r="M451" s="2" t="str">
        <f>_xlfn.XLOOKUP(Data_Nhập[[#This Row],[Material-Nhập]],MD_Main_SKU[Main SKU],MD_Main_SKU[SKU name_gom])</f>
        <v>Phó sản</v>
      </c>
    </row>
    <row r="452" spans="1:13" x14ac:dyDescent="0.35">
      <c r="A452">
        <v>2024</v>
      </c>
      <c r="B452">
        <v>11</v>
      </c>
      <c r="C452" t="s">
        <v>115</v>
      </c>
      <c r="D452" t="s">
        <v>116</v>
      </c>
      <c r="E452" t="s">
        <v>115</v>
      </c>
      <c r="F452" t="s">
        <v>116</v>
      </c>
      <c r="G452" s="2">
        <v>151586</v>
      </c>
      <c r="H452" s="2">
        <v>0</v>
      </c>
      <c r="I452" s="2">
        <v>151586</v>
      </c>
      <c r="J452" s="2">
        <v>0</v>
      </c>
      <c r="K452" s="2">
        <v>151586</v>
      </c>
      <c r="L452" s="2" t="str">
        <f>_xlfn.XLOOKUP(Data_Nhập[[#This Row],[Main SKU]],MD_Main_SKU[Main SKU],MD_Main_SKU[SKU name_gom])</f>
        <v>WSS05</v>
      </c>
      <c r="M452" s="2" t="str">
        <f>_xlfn.XLOOKUP(Data_Nhập[[#This Row],[Material-Nhập]],MD_Main_SKU[Main SKU],MD_Main_SKU[SKU name_gom])</f>
        <v>WSS05</v>
      </c>
    </row>
    <row r="453" spans="1:13" x14ac:dyDescent="0.35">
      <c r="A453">
        <v>2024</v>
      </c>
      <c r="B453">
        <v>11</v>
      </c>
      <c r="C453" t="s">
        <v>115</v>
      </c>
      <c r="D453" t="s">
        <v>116</v>
      </c>
      <c r="E453" t="s">
        <v>87</v>
      </c>
      <c r="F453" t="s">
        <v>88</v>
      </c>
      <c r="G453" s="2">
        <v>0</v>
      </c>
      <c r="H453" s="2">
        <v>0</v>
      </c>
      <c r="I453" s="2">
        <v>0</v>
      </c>
      <c r="J453" s="2">
        <v>5921</v>
      </c>
      <c r="K453" s="2">
        <v>5921</v>
      </c>
      <c r="L453" s="2" t="str">
        <f>_xlfn.XLOOKUP(Data_Nhập[[#This Row],[Main SKU]],MD_Main_SKU[Main SKU],MD_Main_SKU[SKU name_gom])</f>
        <v>WSS05</v>
      </c>
      <c r="M453" s="2" t="str">
        <f>_xlfn.XLOOKUP(Data_Nhập[[#This Row],[Material-Nhập]],MD_Main_SKU[Main SKU],MD_Main_SKU[SKU name_gom])</f>
        <v>Phó sản</v>
      </c>
    </row>
    <row r="454" spans="1:13" x14ac:dyDescent="0.35">
      <c r="A454">
        <v>2024</v>
      </c>
      <c r="B454">
        <v>11</v>
      </c>
      <c r="C454" t="s">
        <v>115</v>
      </c>
      <c r="D454" t="s">
        <v>116</v>
      </c>
      <c r="E454" t="s">
        <v>117</v>
      </c>
      <c r="F454" t="s">
        <v>86</v>
      </c>
      <c r="G454" s="2">
        <v>0</v>
      </c>
      <c r="H454" s="2">
        <v>0</v>
      </c>
      <c r="I454" s="2">
        <v>0</v>
      </c>
      <c r="J454" s="2">
        <v>3580</v>
      </c>
      <c r="K454" s="2">
        <v>3580</v>
      </c>
      <c r="L454" s="2" t="str">
        <f>_xlfn.XLOOKUP(Data_Nhập[[#This Row],[Main SKU]],MD_Main_SKU[Main SKU],MD_Main_SKU[SKU name_gom])</f>
        <v>WSS05</v>
      </c>
      <c r="M454" s="2" t="str">
        <f>_xlfn.XLOOKUP(Data_Nhập[[#This Row],[Material-Nhập]],MD_Main_SKU[Main SKU],MD_Main_SKU[SKU name_gom])</f>
        <v>Phó sản</v>
      </c>
    </row>
    <row r="455" spans="1:13" x14ac:dyDescent="0.35">
      <c r="A455">
        <v>2024</v>
      </c>
      <c r="B455">
        <v>12</v>
      </c>
      <c r="C455" t="s">
        <v>8</v>
      </c>
      <c r="D455" t="s">
        <v>9</v>
      </c>
      <c r="E455" t="s">
        <v>8</v>
      </c>
      <c r="F455" t="s">
        <v>9</v>
      </c>
      <c r="G455" s="2">
        <v>952600</v>
      </c>
      <c r="H455" s="2">
        <v>1100</v>
      </c>
      <c r="I455" s="2">
        <v>953700</v>
      </c>
      <c r="J455" s="2">
        <v>0</v>
      </c>
      <c r="K455" s="2">
        <v>953700</v>
      </c>
      <c r="L455" s="2" t="str">
        <f>_xlfn.XLOOKUP(Data_Nhập[[#This Row],[Main SKU]],MD_Main_SKU[Main SKU],MD_Main_SKU[SKU name_gom])</f>
        <v>WSS01</v>
      </c>
      <c r="M455" s="2" t="str">
        <f>_xlfn.XLOOKUP(Data_Nhập[[#This Row],[Material-Nhập]],MD_Main_SKU[Main SKU],MD_Main_SKU[SKU name_gom])</f>
        <v>WSS01</v>
      </c>
    </row>
    <row r="456" spans="1:13" x14ac:dyDescent="0.35">
      <c r="A456">
        <v>2024</v>
      </c>
      <c r="B456">
        <v>12</v>
      </c>
      <c r="C456" t="s">
        <v>8</v>
      </c>
      <c r="D456" t="s">
        <v>9</v>
      </c>
      <c r="E456" t="s">
        <v>22</v>
      </c>
      <c r="F456" t="s">
        <v>23</v>
      </c>
      <c r="G456" s="2">
        <v>0</v>
      </c>
      <c r="H456" s="2">
        <v>5500</v>
      </c>
      <c r="I456" s="2">
        <v>5500</v>
      </c>
      <c r="J456" s="2">
        <v>0</v>
      </c>
      <c r="K456" s="2">
        <v>5500</v>
      </c>
      <c r="L456" s="2" t="str">
        <f>_xlfn.XLOOKUP(Data_Nhập[[#This Row],[Main SKU]],MD_Main_SKU[Main SKU],MD_Main_SKU[SKU name_gom])</f>
        <v>WSS01</v>
      </c>
      <c r="M456" s="2" t="str">
        <f>_xlfn.XLOOKUP(Data_Nhập[[#This Row],[Material-Nhập]],MD_Main_SKU[Main SKU],MD_Main_SKU[SKU name_gom])</f>
        <v>WSS03</v>
      </c>
    </row>
    <row r="457" spans="1:13" x14ac:dyDescent="0.35">
      <c r="A457">
        <v>2024</v>
      </c>
      <c r="B457">
        <v>12</v>
      </c>
      <c r="C457" t="s">
        <v>8</v>
      </c>
      <c r="D457" t="s">
        <v>9</v>
      </c>
      <c r="E457" t="s">
        <v>34</v>
      </c>
      <c r="F457" t="s">
        <v>35</v>
      </c>
      <c r="G457" s="2">
        <v>0</v>
      </c>
      <c r="H457" s="2">
        <v>2200</v>
      </c>
      <c r="I457" s="2">
        <v>2200</v>
      </c>
      <c r="J457" s="2">
        <v>0</v>
      </c>
      <c r="K457" s="2">
        <v>2200</v>
      </c>
      <c r="L457" s="2" t="str">
        <f>_xlfn.XLOOKUP(Data_Nhập[[#This Row],[Main SKU]],MD_Main_SKU[Main SKU],MD_Main_SKU[SKU name_gom])</f>
        <v>WSS01</v>
      </c>
      <c r="M457" s="2" t="str">
        <f>_xlfn.XLOOKUP(Data_Nhập[[#This Row],[Material-Nhập]],MD_Main_SKU[Main SKU],MD_Main_SKU[SKU name_gom])</f>
        <v>WSS03-PL</v>
      </c>
    </row>
    <row r="458" spans="1:13" x14ac:dyDescent="0.35">
      <c r="A458">
        <v>2024</v>
      </c>
      <c r="B458">
        <v>12</v>
      </c>
      <c r="C458" t="s">
        <v>8</v>
      </c>
      <c r="D458" t="s">
        <v>9</v>
      </c>
      <c r="E458" t="s">
        <v>36</v>
      </c>
      <c r="F458" t="s">
        <v>37</v>
      </c>
      <c r="G458" s="2">
        <v>0</v>
      </c>
      <c r="H458" s="2">
        <v>12100</v>
      </c>
      <c r="I458" s="2">
        <v>12100</v>
      </c>
      <c r="J458" s="2">
        <v>0</v>
      </c>
      <c r="K458" s="2">
        <v>12100</v>
      </c>
      <c r="L458" s="2" t="str">
        <f>_xlfn.XLOOKUP(Data_Nhập[[#This Row],[Main SKU]],MD_Main_SKU[Main SKU],MD_Main_SKU[SKU name_gom])</f>
        <v>WSS01</v>
      </c>
      <c r="M458" s="2" t="str">
        <f>_xlfn.XLOOKUP(Data_Nhập[[#This Row],[Material-Nhập]],MD_Main_SKU[Main SKU],MD_Main_SKU[SKU name_gom])</f>
        <v>WSS01-PL</v>
      </c>
    </row>
    <row r="459" spans="1:13" x14ac:dyDescent="0.35">
      <c r="A459">
        <v>2024</v>
      </c>
      <c r="B459">
        <v>12</v>
      </c>
      <c r="C459" t="s">
        <v>8</v>
      </c>
      <c r="D459" t="s">
        <v>9</v>
      </c>
      <c r="E459" t="s">
        <v>87</v>
      </c>
      <c r="F459" t="s">
        <v>88</v>
      </c>
      <c r="G459" s="2">
        <v>0</v>
      </c>
      <c r="H459" s="2">
        <v>0</v>
      </c>
      <c r="I459" s="2">
        <v>0</v>
      </c>
      <c r="J459" s="2">
        <v>13600</v>
      </c>
      <c r="K459" s="2">
        <v>13600</v>
      </c>
      <c r="L459" s="2" t="str">
        <f>_xlfn.XLOOKUP(Data_Nhập[[#This Row],[Main SKU]],MD_Main_SKU[Main SKU],MD_Main_SKU[SKU name_gom])</f>
        <v>WSS01</v>
      </c>
      <c r="M459" s="2" t="str">
        <f>_xlfn.XLOOKUP(Data_Nhập[[#This Row],[Material-Nhập]],MD_Main_SKU[Main SKU],MD_Main_SKU[SKU name_gom])</f>
        <v>Phó sản</v>
      </c>
    </row>
    <row r="460" spans="1:13" x14ac:dyDescent="0.35">
      <c r="A460">
        <v>2024</v>
      </c>
      <c r="B460">
        <v>12</v>
      </c>
      <c r="C460" t="s">
        <v>8</v>
      </c>
      <c r="D460" t="s">
        <v>9</v>
      </c>
      <c r="E460" t="s">
        <v>89</v>
      </c>
      <c r="F460" t="s">
        <v>90</v>
      </c>
      <c r="G460" s="2">
        <v>0</v>
      </c>
      <c r="H460" s="2">
        <v>0</v>
      </c>
      <c r="I460" s="2">
        <v>0</v>
      </c>
      <c r="J460" s="2">
        <v>9154</v>
      </c>
      <c r="K460" s="2">
        <v>9154</v>
      </c>
      <c r="L460" s="2" t="str">
        <f>_xlfn.XLOOKUP(Data_Nhập[[#This Row],[Main SKU]],MD_Main_SKU[Main SKU],MD_Main_SKU[SKU name_gom])</f>
        <v>WSS01</v>
      </c>
      <c r="M460" s="2" t="str">
        <f>_xlfn.XLOOKUP(Data_Nhập[[#This Row],[Material-Nhập]],MD_Main_SKU[Main SKU],MD_Main_SKU[SKU name_gom])</f>
        <v>Phó sản</v>
      </c>
    </row>
    <row r="461" spans="1:13" x14ac:dyDescent="0.35">
      <c r="A461">
        <v>2024</v>
      </c>
      <c r="B461">
        <v>12</v>
      </c>
      <c r="C461" t="s">
        <v>8</v>
      </c>
      <c r="D461" t="s">
        <v>9</v>
      </c>
      <c r="E461" t="s">
        <v>91</v>
      </c>
      <c r="F461" t="s">
        <v>92</v>
      </c>
      <c r="G461" s="2">
        <v>0</v>
      </c>
      <c r="H461" s="2">
        <v>0</v>
      </c>
      <c r="I461" s="2">
        <v>0</v>
      </c>
      <c r="J461" s="2">
        <v>350</v>
      </c>
      <c r="K461" s="2">
        <v>350</v>
      </c>
      <c r="L461" s="2" t="str">
        <f>_xlfn.XLOOKUP(Data_Nhập[[#This Row],[Main SKU]],MD_Main_SKU[Main SKU],MD_Main_SKU[SKU name_gom])</f>
        <v>WSS01</v>
      </c>
      <c r="M461" s="2" t="str">
        <f>_xlfn.XLOOKUP(Data_Nhập[[#This Row],[Material-Nhập]],MD_Main_SKU[Main SKU],MD_Main_SKU[SKU name_gom])</f>
        <v>Phó sản</v>
      </c>
    </row>
    <row r="462" spans="1:13" x14ac:dyDescent="0.35">
      <c r="A462">
        <v>2024</v>
      </c>
      <c r="B462">
        <v>12</v>
      </c>
      <c r="C462" t="s">
        <v>8</v>
      </c>
      <c r="D462" t="s">
        <v>9</v>
      </c>
      <c r="E462" t="s">
        <v>117</v>
      </c>
      <c r="F462" t="s">
        <v>86</v>
      </c>
      <c r="G462" s="2">
        <v>0</v>
      </c>
      <c r="H462" s="2">
        <v>0</v>
      </c>
      <c r="I462" s="2">
        <v>0</v>
      </c>
      <c r="J462" s="2">
        <v>18881</v>
      </c>
      <c r="K462" s="2">
        <v>18881</v>
      </c>
      <c r="L462" s="2" t="str">
        <f>_xlfn.XLOOKUP(Data_Nhập[[#This Row],[Main SKU]],MD_Main_SKU[Main SKU],MD_Main_SKU[SKU name_gom])</f>
        <v>WSS01</v>
      </c>
      <c r="M462" s="2" t="str">
        <f>_xlfn.XLOOKUP(Data_Nhập[[#This Row],[Material-Nhập]],MD_Main_SKU[Main SKU],MD_Main_SKU[SKU name_gom])</f>
        <v>Phó sản</v>
      </c>
    </row>
    <row r="463" spans="1:13" x14ac:dyDescent="0.35">
      <c r="A463">
        <v>2024</v>
      </c>
      <c r="B463">
        <v>12</v>
      </c>
      <c r="C463" t="s">
        <v>14</v>
      </c>
      <c r="D463" t="s">
        <v>15</v>
      </c>
      <c r="E463" t="s">
        <v>14</v>
      </c>
      <c r="F463" t="s">
        <v>15</v>
      </c>
      <c r="G463" s="2">
        <v>969100</v>
      </c>
      <c r="H463" s="2">
        <v>0</v>
      </c>
      <c r="I463" s="2">
        <v>969100</v>
      </c>
      <c r="J463" s="2">
        <v>0</v>
      </c>
      <c r="K463" s="2">
        <v>969100</v>
      </c>
      <c r="L463" s="2" t="str">
        <f>_xlfn.XLOOKUP(Data_Nhập[[#This Row],[Main SKU]],MD_Main_SKU[Main SKU],MD_Main_SKU[SKU name_gom])</f>
        <v>iSS01084</v>
      </c>
      <c r="M463" s="2" t="str">
        <f>_xlfn.XLOOKUP(Data_Nhập[[#This Row],[Material-Nhập]],MD_Main_SKU[Main SKU],MD_Main_SKU[SKU name_gom])</f>
        <v>iSS01084</v>
      </c>
    </row>
    <row r="464" spans="1:13" x14ac:dyDescent="0.35">
      <c r="A464">
        <v>2024</v>
      </c>
      <c r="B464">
        <v>12</v>
      </c>
      <c r="C464" t="s">
        <v>14</v>
      </c>
      <c r="D464" t="s">
        <v>15</v>
      </c>
      <c r="E464" t="s">
        <v>18</v>
      </c>
      <c r="F464" t="s">
        <v>19</v>
      </c>
      <c r="G464" s="2">
        <v>0</v>
      </c>
      <c r="H464" s="2">
        <v>1100</v>
      </c>
      <c r="I464" s="2">
        <v>1100</v>
      </c>
      <c r="J464" s="2">
        <v>0</v>
      </c>
      <c r="K464" s="2">
        <v>1100</v>
      </c>
      <c r="L464" s="2" t="str">
        <f>_xlfn.XLOOKUP(Data_Nhập[[#This Row],[Main SKU]],MD_Main_SKU[Main SKU],MD_Main_SKU[SKU name_gom])</f>
        <v>iSS01084</v>
      </c>
      <c r="M464" s="2" t="str">
        <f>_xlfn.XLOOKUP(Data_Nhập[[#This Row],[Material-Nhập]],MD_Main_SKU[Main SKU],MD_Main_SKU[SKU name_gom])</f>
        <v>iSS01</v>
      </c>
    </row>
    <row r="465" spans="1:13" x14ac:dyDescent="0.35">
      <c r="A465">
        <v>2024</v>
      </c>
      <c r="B465">
        <v>12</v>
      </c>
      <c r="C465" t="s">
        <v>14</v>
      </c>
      <c r="D465" t="s">
        <v>15</v>
      </c>
      <c r="E465" t="s">
        <v>22</v>
      </c>
      <c r="F465" t="s">
        <v>23</v>
      </c>
      <c r="G465" s="2">
        <v>0</v>
      </c>
      <c r="H465" s="2">
        <v>26399.999999999996</v>
      </c>
      <c r="I465" s="2">
        <v>26399.999999999996</v>
      </c>
      <c r="J465" s="2">
        <v>0</v>
      </c>
      <c r="K465" s="2">
        <v>26399.999999999996</v>
      </c>
      <c r="L465" s="2" t="str">
        <f>_xlfn.XLOOKUP(Data_Nhập[[#This Row],[Main SKU]],MD_Main_SKU[Main SKU],MD_Main_SKU[SKU name_gom])</f>
        <v>iSS01084</v>
      </c>
      <c r="M465" s="2" t="str">
        <f>_xlfn.XLOOKUP(Data_Nhập[[#This Row],[Material-Nhập]],MD_Main_SKU[Main SKU],MD_Main_SKU[SKU name_gom])</f>
        <v>WSS03</v>
      </c>
    </row>
    <row r="466" spans="1:13" x14ac:dyDescent="0.35">
      <c r="A466">
        <v>2024</v>
      </c>
      <c r="B466">
        <v>12</v>
      </c>
      <c r="C466" t="s">
        <v>14</v>
      </c>
      <c r="D466" t="s">
        <v>15</v>
      </c>
      <c r="E466" t="s">
        <v>38</v>
      </c>
      <c r="F466" t="s">
        <v>39</v>
      </c>
      <c r="G466" s="2">
        <v>0</v>
      </c>
      <c r="H466" s="2">
        <v>13200</v>
      </c>
      <c r="I466" s="2">
        <v>13200</v>
      </c>
      <c r="J466" s="2">
        <v>0</v>
      </c>
      <c r="K466" s="2">
        <v>13200</v>
      </c>
      <c r="L466" s="2" t="str">
        <f>_xlfn.XLOOKUP(Data_Nhập[[#This Row],[Main SKU]],MD_Main_SKU[Main SKU],MD_Main_SKU[SKU name_gom])</f>
        <v>iSS01084</v>
      </c>
      <c r="M466" s="2" t="str">
        <f>_xlfn.XLOOKUP(Data_Nhập[[#This Row],[Material-Nhập]],MD_Main_SKU[Main SKU],MD_Main_SKU[SKU name_gom])</f>
        <v>iSS01084-PL</v>
      </c>
    </row>
    <row r="467" spans="1:13" x14ac:dyDescent="0.35">
      <c r="A467">
        <v>2024</v>
      </c>
      <c r="B467">
        <v>12</v>
      </c>
      <c r="C467" t="s">
        <v>14</v>
      </c>
      <c r="D467" t="s">
        <v>15</v>
      </c>
      <c r="E467" t="s">
        <v>34</v>
      </c>
      <c r="F467" t="s">
        <v>35</v>
      </c>
      <c r="G467" s="2">
        <v>0</v>
      </c>
      <c r="H467" s="2">
        <v>3300</v>
      </c>
      <c r="I467" s="2">
        <v>3300</v>
      </c>
      <c r="J467" s="2">
        <v>0</v>
      </c>
      <c r="K467" s="2">
        <v>3300</v>
      </c>
      <c r="L467" s="2" t="str">
        <f>_xlfn.XLOOKUP(Data_Nhập[[#This Row],[Main SKU]],MD_Main_SKU[Main SKU],MD_Main_SKU[SKU name_gom])</f>
        <v>iSS01084</v>
      </c>
      <c r="M467" s="2" t="str">
        <f>_xlfn.XLOOKUP(Data_Nhập[[#This Row],[Material-Nhập]],MD_Main_SKU[Main SKU],MD_Main_SKU[SKU name_gom])</f>
        <v>WSS03-PL</v>
      </c>
    </row>
    <row r="468" spans="1:13" x14ac:dyDescent="0.35">
      <c r="A468">
        <v>2024</v>
      </c>
      <c r="B468">
        <v>12</v>
      </c>
      <c r="C468" t="s">
        <v>14</v>
      </c>
      <c r="D468" t="s">
        <v>15</v>
      </c>
      <c r="E468" t="s">
        <v>87</v>
      </c>
      <c r="F468" t="s">
        <v>88</v>
      </c>
      <c r="G468" s="2">
        <v>0</v>
      </c>
      <c r="H468" s="2">
        <v>0</v>
      </c>
      <c r="I468" s="2">
        <v>0</v>
      </c>
      <c r="J468" s="2">
        <v>16300</v>
      </c>
      <c r="K468" s="2">
        <v>16300</v>
      </c>
      <c r="L468" s="2" t="str">
        <f>_xlfn.XLOOKUP(Data_Nhập[[#This Row],[Main SKU]],MD_Main_SKU[Main SKU],MD_Main_SKU[SKU name_gom])</f>
        <v>iSS01084</v>
      </c>
      <c r="M468" s="2" t="str">
        <f>_xlfn.XLOOKUP(Data_Nhập[[#This Row],[Material-Nhập]],MD_Main_SKU[Main SKU],MD_Main_SKU[SKU name_gom])</f>
        <v>Phó sản</v>
      </c>
    </row>
    <row r="469" spans="1:13" x14ac:dyDescent="0.35">
      <c r="A469">
        <v>2024</v>
      </c>
      <c r="B469">
        <v>12</v>
      </c>
      <c r="C469" t="s">
        <v>14</v>
      </c>
      <c r="D469" t="s">
        <v>15</v>
      </c>
      <c r="E469" t="s">
        <v>89</v>
      </c>
      <c r="F469" t="s">
        <v>90</v>
      </c>
      <c r="G469" s="2">
        <v>0</v>
      </c>
      <c r="H469" s="2">
        <v>0</v>
      </c>
      <c r="I469" s="2">
        <v>0</v>
      </c>
      <c r="J469" s="2">
        <v>5995</v>
      </c>
      <c r="K469" s="2">
        <v>5995</v>
      </c>
      <c r="L469" s="2" t="str">
        <f>_xlfn.XLOOKUP(Data_Nhập[[#This Row],[Main SKU]],MD_Main_SKU[Main SKU],MD_Main_SKU[SKU name_gom])</f>
        <v>iSS01084</v>
      </c>
      <c r="M469" s="2" t="str">
        <f>_xlfn.XLOOKUP(Data_Nhập[[#This Row],[Material-Nhập]],MD_Main_SKU[Main SKU],MD_Main_SKU[SKU name_gom])</f>
        <v>Phó sản</v>
      </c>
    </row>
    <row r="470" spans="1:13" x14ac:dyDescent="0.35">
      <c r="A470">
        <v>2024</v>
      </c>
      <c r="B470">
        <v>12</v>
      </c>
      <c r="C470" t="s">
        <v>14</v>
      </c>
      <c r="D470" t="s">
        <v>15</v>
      </c>
      <c r="E470" t="s">
        <v>91</v>
      </c>
      <c r="F470" t="s">
        <v>92</v>
      </c>
      <c r="G470" s="2">
        <v>0</v>
      </c>
      <c r="H470" s="2">
        <v>0</v>
      </c>
      <c r="I470" s="2">
        <v>0</v>
      </c>
      <c r="J470" s="2">
        <v>3720</v>
      </c>
      <c r="K470" s="2">
        <v>3720</v>
      </c>
      <c r="L470" s="2" t="str">
        <f>_xlfn.XLOOKUP(Data_Nhập[[#This Row],[Main SKU]],MD_Main_SKU[Main SKU],MD_Main_SKU[SKU name_gom])</f>
        <v>iSS01084</v>
      </c>
      <c r="M470" s="2" t="str">
        <f>_xlfn.XLOOKUP(Data_Nhập[[#This Row],[Material-Nhập]],MD_Main_SKU[Main SKU],MD_Main_SKU[SKU name_gom])</f>
        <v>Phó sản</v>
      </c>
    </row>
    <row r="471" spans="1:13" x14ac:dyDescent="0.35">
      <c r="A471">
        <v>2024</v>
      </c>
      <c r="B471">
        <v>12</v>
      </c>
      <c r="C471" t="s">
        <v>14</v>
      </c>
      <c r="D471" t="s">
        <v>15</v>
      </c>
      <c r="E471" t="s">
        <v>117</v>
      </c>
      <c r="F471" t="s">
        <v>86</v>
      </c>
      <c r="G471" s="2">
        <v>0</v>
      </c>
      <c r="H471" s="2">
        <v>0</v>
      </c>
      <c r="I471" s="2">
        <v>0</v>
      </c>
      <c r="J471" s="2">
        <v>8355</v>
      </c>
      <c r="K471" s="2">
        <v>8355</v>
      </c>
      <c r="L471" s="2" t="str">
        <f>_xlfn.XLOOKUP(Data_Nhập[[#This Row],[Main SKU]],MD_Main_SKU[Main SKU],MD_Main_SKU[SKU name_gom])</f>
        <v>iSS01084</v>
      </c>
      <c r="M471" s="2" t="str">
        <f>_xlfn.XLOOKUP(Data_Nhập[[#This Row],[Material-Nhập]],MD_Main_SKU[Main SKU],MD_Main_SKU[SKU name_gom])</f>
        <v>Phó sản</v>
      </c>
    </row>
    <row r="472" spans="1:13" x14ac:dyDescent="0.35">
      <c r="A472">
        <v>2024</v>
      </c>
      <c r="B472">
        <v>12</v>
      </c>
      <c r="C472" t="s">
        <v>16</v>
      </c>
      <c r="D472" t="s">
        <v>17</v>
      </c>
      <c r="E472" t="s">
        <v>16</v>
      </c>
      <c r="F472" t="s">
        <v>17</v>
      </c>
      <c r="G472" s="2">
        <v>775499.99999999988</v>
      </c>
      <c r="H472" s="2">
        <v>0</v>
      </c>
      <c r="I472" s="2">
        <v>775499.99999999988</v>
      </c>
      <c r="J472" s="2">
        <v>0</v>
      </c>
      <c r="K472" s="2">
        <v>775499.99999999988</v>
      </c>
      <c r="L472" s="2" t="str">
        <f>_xlfn.XLOOKUP(Data_Nhập[[#This Row],[Main SKU]],MD_Main_SKU[Main SKU],MD_Main_SKU[SKU name_gom])</f>
        <v>WSS01</v>
      </c>
      <c r="M472" s="2" t="str">
        <f>_xlfn.XLOOKUP(Data_Nhập[[#This Row],[Material-Nhập]],MD_Main_SKU[Main SKU],MD_Main_SKU[SKU name_gom])</f>
        <v>WSS01</v>
      </c>
    </row>
    <row r="473" spans="1:13" x14ac:dyDescent="0.35">
      <c r="A473">
        <v>2024</v>
      </c>
      <c r="B473">
        <v>12</v>
      </c>
      <c r="C473" t="s">
        <v>16</v>
      </c>
      <c r="D473" t="s">
        <v>17</v>
      </c>
      <c r="E473" t="s">
        <v>18</v>
      </c>
      <c r="F473" t="s">
        <v>19</v>
      </c>
      <c r="G473" s="2">
        <v>0</v>
      </c>
      <c r="H473" s="2">
        <v>102300.00000000001</v>
      </c>
      <c r="I473" s="2">
        <v>102300.00000000001</v>
      </c>
      <c r="J473" s="2">
        <v>0</v>
      </c>
      <c r="K473" s="2">
        <v>102300.00000000001</v>
      </c>
      <c r="L473" s="2" t="str">
        <f>_xlfn.XLOOKUP(Data_Nhập[[#This Row],[Main SKU]],MD_Main_SKU[Main SKU],MD_Main_SKU[SKU name_gom])</f>
        <v>WSS01</v>
      </c>
      <c r="M473" s="2" t="str">
        <f>_xlfn.XLOOKUP(Data_Nhập[[#This Row],[Material-Nhập]],MD_Main_SKU[Main SKU],MD_Main_SKU[SKU name_gom])</f>
        <v>iSS01</v>
      </c>
    </row>
    <row r="474" spans="1:13" x14ac:dyDescent="0.35">
      <c r="A474">
        <v>2024</v>
      </c>
      <c r="B474">
        <v>12</v>
      </c>
      <c r="C474" t="s">
        <v>16</v>
      </c>
      <c r="D474" t="s">
        <v>17</v>
      </c>
      <c r="E474" t="s">
        <v>20</v>
      </c>
      <c r="F474" t="s">
        <v>21</v>
      </c>
      <c r="G474" s="2">
        <v>0</v>
      </c>
      <c r="H474" s="2">
        <v>2200</v>
      </c>
      <c r="I474" s="2">
        <v>2200</v>
      </c>
      <c r="J474" s="2">
        <v>0</v>
      </c>
      <c r="K474" s="2">
        <v>2200</v>
      </c>
      <c r="L474" s="2" t="str">
        <f>_xlfn.XLOOKUP(Data_Nhập[[#This Row],[Main SKU]],MD_Main_SKU[Main SKU],MD_Main_SKU[SKU name_gom])</f>
        <v>WSS01</v>
      </c>
      <c r="M474" s="2" t="str">
        <f>_xlfn.XLOOKUP(Data_Nhập[[#This Row],[Material-Nhập]],MD_Main_SKU[Main SKU],MD_Main_SKU[SKU name_gom])</f>
        <v>WSS02</v>
      </c>
    </row>
    <row r="475" spans="1:13" x14ac:dyDescent="0.35">
      <c r="A475">
        <v>2024</v>
      </c>
      <c r="B475">
        <v>12</v>
      </c>
      <c r="C475" t="s">
        <v>16</v>
      </c>
      <c r="D475" t="s">
        <v>17</v>
      </c>
      <c r="E475" t="s">
        <v>22</v>
      </c>
      <c r="F475" t="s">
        <v>23</v>
      </c>
      <c r="G475" s="2">
        <v>0</v>
      </c>
      <c r="H475" s="2">
        <v>7700</v>
      </c>
      <c r="I475" s="2">
        <v>7700</v>
      </c>
      <c r="J475" s="2">
        <v>0</v>
      </c>
      <c r="K475" s="2">
        <v>7700</v>
      </c>
      <c r="L475" s="2" t="str">
        <f>_xlfn.XLOOKUP(Data_Nhập[[#This Row],[Main SKU]],MD_Main_SKU[Main SKU],MD_Main_SKU[SKU name_gom])</f>
        <v>WSS01</v>
      </c>
      <c r="M475" s="2" t="str">
        <f>_xlfn.XLOOKUP(Data_Nhập[[#This Row],[Material-Nhập]],MD_Main_SKU[Main SKU],MD_Main_SKU[SKU name_gom])</f>
        <v>WSS03</v>
      </c>
    </row>
    <row r="476" spans="1:13" x14ac:dyDescent="0.35">
      <c r="A476">
        <v>2024</v>
      </c>
      <c r="B476">
        <v>12</v>
      </c>
      <c r="C476" t="s">
        <v>16</v>
      </c>
      <c r="D476" t="s">
        <v>17</v>
      </c>
      <c r="E476" t="s">
        <v>40</v>
      </c>
      <c r="F476" t="s">
        <v>41</v>
      </c>
      <c r="G476" s="2">
        <v>0</v>
      </c>
      <c r="H476" s="2">
        <v>1100</v>
      </c>
      <c r="I476" s="2">
        <v>1100</v>
      </c>
      <c r="J476" s="2">
        <v>0</v>
      </c>
      <c r="K476" s="2">
        <v>1100</v>
      </c>
      <c r="L476" s="2" t="str">
        <f>_xlfn.XLOOKUP(Data_Nhập[[#This Row],[Main SKU]],MD_Main_SKU[Main SKU],MD_Main_SKU[SKU name_gom])</f>
        <v>WSS01</v>
      </c>
      <c r="M476" s="2" t="str">
        <f>_xlfn.XLOOKUP(Data_Nhập[[#This Row],[Material-Nhập]],MD_Main_SKU[Main SKU],MD_Main_SKU[SKU name_gom])</f>
        <v>WSS01-PL</v>
      </c>
    </row>
    <row r="477" spans="1:13" x14ac:dyDescent="0.35">
      <c r="A477">
        <v>2024</v>
      </c>
      <c r="B477">
        <v>12</v>
      </c>
      <c r="C477" t="s">
        <v>16</v>
      </c>
      <c r="D477" t="s">
        <v>17</v>
      </c>
      <c r="E477" t="s">
        <v>34</v>
      </c>
      <c r="F477" t="s">
        <v>35</v>
      </c>
      <c r="G477" s="2">
        <v>0</v>
      </c>
      <c r="H477" s="2">
        <v>1100</v>
      </c>
      <c r="I477" s="2">
        <v>1100</v>
      </c>
      <c r="J477" s="2">
        <v>0</v>
      </c>
      <c r="K477" s="2">
        <v>1100</v>
      </c>
      <c r="L477" s="2" t="str">
        <f>_xlfn.XLOOKUP(Data_Nhập[[#This Row],[Main SKU]],MD_Main_SKU[Main SKU],MD_Main_SKU[SKU name_gom])</f>
        <v>WSS01</v>
      </c>
      <c r="M477" s="2" t="str">
        <f>_xlfn.XLOOKUP(Data_Nhập[[#This Row],[Material-Nhập]],MD_Main_SKU[Main SKU],MD_Main_SKU[SKU name_gom])</f>
        <v>WSS03-PL</v>
      </c>
    </row>
    <row r="478" spans="1:13" x14ac:dyDescent="0.35">
      <c r="A478">
        <v>2024</v>
      </c>
      <c r="B478">
        <v>12</v>
      </c>
      <c r="C478" t="s">
        <v>16</v>
      </c>
      <c r="D478" t="s">
        <v>17</v>
      </c>
      <c r="E478" t="s">
        <v>87</v>
      </c>
      <c r="F478" t="s">
        <v>88</v>
      </c>
      <c r="G478" s="2">
        <v>0</v>
      </c>
      <c r="H478" s="2">
        <v>0</v>
      </c>
      <c r="I478" s="2">
        <v>0</v>
      </c>
      <c r="J478" s="2">
        <v>9130</v>
      </c>
      <c r="K478" s="2">
        <v>9130</v>
      </c>
      <c r="L478" s="2" t="str">
        <f>_xlfn.XLOOKUP(Data_Nhập[[#This Row],[Main SKU]],MD_Main_SKU[Main SKU],MD_Main_SKU[SKU name_gom])</f>
        <v>WSS01</v>
      </c>
      <c r="M478" s="2" t="str">
        <f>_xlfn.XLOOKUP(Data_Nhập[[#This Row],[Material-Nhập]],MD_Main_SKU[Main SKU],MD_Main_SKU[SKU name_gom])</f>
        <v>Phó sản</v>
      </c>
    </row>
    <row r="479" spans="1:13" x14ac:dyDescent="0.35">
      <c r="A479">
        <v>2024</v>
      </c>
      <c r="B479">
        <v>12</v>
      </c>
      <c r="C479" t="s">
        <v>16</v>
      </c>
      <c r="D479" t="s">
        <v>17</v>
      </c>
      <c r="E479" t="s">
        <v>89</v>
      </c>
      <c r="F479" t="s">
        <v>90</v>
      </c>
      <c r="G479" s="2">
        <v>0</v>
      </c>
      <c r="H479" s="2">
        <v>0</v>
      </c>
      <c r="I479" s="2">
        <v>0</v>
      </c>
      <c r="J479" s="2">
        <v>3865.0000000000005</v>
      </c>
      <c r="K479" s="2">
        <v>3865.0000000000005</v>
      </c>
      <c r="L479" s="2" t="str">
        <f>_xlfn.XLOOKUP(Data_Nhập[[#This Row],[Main SKU]],MD_Main_SKU[Main SKU],MD_Main_SKU[SKU name_gom])</f>
        <v>WSS01</v>
      </c>
      <c r="M479" s="2" t="str">
        <f>_xlfn.XLOOKUP(Data_Nhập[[#This Row],[Material-Nhập]],MD_Main_SKU[Main SKU],MD_Main_SKU[SKU name_gom])</f>
        <v>Phó sản</v>
      </c>
    </row>
    <row r="480" spans="1:13" x14ac:dyDescent="0.35">
      <c r="A480">
        <v>2024</v>
      </c>
      <c r="B480">
        <v>12</v>
      </c>
      <c r="C480" t="s">
        <v>16</v>
      </c>
      <c r="D480" t="s">
        <v>17</v>
      </c>
      <c r="E480" t="s">
        <v>91</v>
      </c>
      <c r="F480" t="s">
        <v>92</v>
      </c>
      <c r="G480" s="2">
        <v>0</v>
      </c>
      <c r="H480" s="2">
        <v>0</v>
      </c>
      <c r="I480" s="2">
        <v>0</v>
      </c>
      <c r="J480" s="2">
        <v>389.99999999999994</v>
      </c>
      <c r="K480" s="2">
        <v>389.99999999999994</v>
      </c>
      <c r="L480" s="2" t="str">
        <f>_xlfn.XLOOKUP(Data_Nhập[[#This Row],[Main SKU]],MD_Main_SKU[Main SKU],MD_Main_SKU[SKU name_gom])</f>
        <v>WSS01</v>
      </c>
      <c r="M480" s="2" t="str">
        <f>_xlfn.XLOOKUP(Data_Nhập[[#This Row],[Material-Nhập]],MD_Main_SKU[Main SKU],MD_Main_SKU[SKU name_gom])</f>
        <v>Phó sản</v>
      </c>
    </row>
    <row r="481" spans="1:13" x14ac:dyDescent="0.35">
      <c r="A481">
        <v>2024</v>
      </c>
      <c r="B481">
        <v>12</v>
      </c>
      <c r="C481" t="s">
        <v>16</v>
      </c>
      <c r="D481" t="s">
        <v>17</v>
      </c>
      <c r="E481" t="s">
        <v>117</v>
      </c>
      <c r="F481" t="s">
        <v>86</v>
      </c>
      <c r="G481" s="2">
        <v>0</v>
      </c>
      <c r="H481" s="2">
        <v>0</v>
      </c>
      <c r="I481" s="2">
        <v>0</v>
      </c>
      <c r="J481" s="2">
        <v>5290</v>
      </c>
      <c r="K481" s="2">
        <v>5290</v>
      </c>
      <c r="L481" s="2" t="str">
        <f>_xlfn.XLOOKUP(Data_Nhập[[#This Row],[Main SKU]],MD_Main_SKU[Main SKU],MD_Main_SKU[SKU name_gom])</f>
        <v>WSS01</v>
      </c>
      <c r="M481" s="2" t="str">
        <f>_xlfn.XLOOKUP(Data_Nhập[[#This Row],[Material-Nhập]],MD_Main_SKU[Main SKU],MD_Main_SKU[SKU name_gom])</f>
        <v>Phó sản</v>
      </c>
    </row>
    <row r="482" spans="1:13" x14ac:dyDescent="0.35">
      <c r="A482">
        <v>2024</v>
      </c>
      <c r="B482">
        <v>12</v>
      </c>
      <c r="C482" t="s">
        <v>18</v>
      </c>
      <c r="D482" t="s">
        <v>19</v>
      </c>
      <c r="E482" t="s">
        <v>18</v>
      </c>
      <c r="F482" t="s">
        <v>19</v>
      </c>
      <c r="G482" s="2">
        <v>16500</v>
      </c>
      <c r="H482" s="2">
        <v>0</v>
      </c>
      <c r="I482" s="2">
        <v>16500</v>
      </c>
      <c r="J482" s="2">
        <v>0</v>
      </c>
      <c r="K482" s="2">
        <v>16500</v>
      </c>
      <c r="L482" s="2" t="str">
        <f>_xlfn.XLOOKUP(Data_Nhập[[#This Row],[Main SKU]],MD_Main_SKU[Main SKU],MD_Main_SKU[SKU name_gom])</f>
        <v>iSS01</v>
      </c>
      <c r="M482" s="2" t="str">
        <f>_xlfn.XLOOKUP(Data_Nhập[[#This Row],[Material-Nhập]],MD_Main_SKU[Main SKU],MD_Main_SKU[SKU name_gom])</f>
        <v>iSS01</v>
      </c>
    </row>
    <row r="483" spans="1:13" x14ac:dyDescent="0.35">
      <c r="A483">
        <v>2024</v>
      </c>
      <c r="B483">
        <v>12</v>
      </c>
      <c r="C483" t="s">
        <v>18</v>
      </c>
      <c r="D483" t="s">
        <v>19</v>
      </c>
      <c r="E483" t="s">
        <v>38</v>
      </c>
      <c r="F483" t="s">
        <v>39</v>
      </c>
      <c r="G483" s="2">
        <v>0</v>
      </c>
      <c r="H483" s="2">
        <v>3300</v>
      </c>
      <c r="I483" s="2">
        <v>3300</v>
      </c>
      <c r="J483" s="2">
        <v>0</v>
      </c>
      <c r="K483" s="2">
        <v>3300</v>
      </c>
      <c r="L483" s="2" t="str">
        <f>_xlfn.XLOOKUP(Data_Nhập[[#This Row],[Main SKU]],MD_Main_SKU[Main SKU],MD_Main_SKU[SKU name_gom])</f>
        <v>iSS01</v>
      </c>
      <c r="M483" s="2" t="str">
        <f>_xlfn.XLOOKUP(Data_Nhập[[#This Row],[Material-Nhập]],MD_Main_SKU[Main SKU],MD_Main_SKU[SKU name_gom])</f>
        <v>iSS01084-PL</v>
      </c>
    </row>
    <row r="484" spans="1:13" x14ac:dyDescent="0.35">
      <c r="A484">
        <v>2024</v>
      </c>
      <c r="B484">
        <v>12</v>
      </c>
      <c r="C484" t="s">
        <v>18</v>
      </c>
      <c r="D484" t="s">
        <v>19</v>
      </c>
      <c r="E484" t="s">
        <v>87</v>
      </c>
      <c r="F484" t="s">
        <v>88</v>
      </c>
      <c r="G484" s="2">
        <v>0</v>
      </c>
      <c r="H484" s="2">
        <v>0</v>
      </c>
      <c r="I484" s="2">
        <v>0</v>
      </c>
      <c r="J484" s="2">
        <v>2850.0000000000005</v>
      </c>
      <c r="K484" s="2">
        <v>2850.0000000000005</v>
      </c>
      <c r="L484" s="2" t="str">
        <f>_xlfn.XLOOKUP(Data_Nhập[[#This Row],[Main SKU]],MD_Main_SKU[Main SKU],MD_Main_SKU[SKU name_gom])</f>
        <v>iSS01</v>
      </c>
      <c r="M484" s="2" t="str">
        <f>_xlfn.XLOOKUP(Data_Nhập[[#This Row],[Material-Nhập]],MD_Main_SKU[Main SKU],MD_Main_SKU[SKU name_gom])</f>
        <v>Phó sản</v>
      </c>
    </row>
    <row r="485" spans="1:13" x14ac:dyDescent="0.35">
      <c r="A485">
        <v>2024</v>
      </c>
      <c r="B485">
        <v>12</v>
      </c>
      <c r="C485" t="s">
        <v>18</v>
      </c>
      <c r="D485" t="s">
        <v>19</v>
      </c>
      <c r="E485" t="s">
        <v>89</v>
      </c>
      <c r="F485" t="s">
        <v>90</v>
      </c>
      <c r="G485" s="2">
        <v>0</v>
      </c>
      <c r="H485" s="2">
        <v>0</v>
      </c>
      <c r="I485" s="2">
        <v>0</v>
      </c>
      <c r="J485" s="2">
        <v>1600</v>
      </c>
      <c r="K485" s="2">
        <v>1600</v>
      </c>
      <c r="L485" s="2" t="str">
        <f>_xlfn.XLOOKUP(Data_Nhập[[#This Row],[Main SKU]],MD_Main_SKU[Main SKU],MD_Main_SKU[SKU name_gom])</f>
        <v>iSS01</v>
      </c>
      <c r="M485" s="2" t="str">
        <f>_xlfn.XLOOKUP(Data_Nhập[[#This Row],[Material-Nhập]],MD_Main_SKU[Main SKU],MD_Main_SKU[SKU name_gom])</f>
        <v>Phó sản</v>
      </c>
    </row>
    <row r="486" spans="1:13" x14ac:dyDescent="0.35">
      <c r="A486">
        <v>2024</v>
      </c>
      <c r="B486">
        <v>12</v>
      </c>
      <c r="C486" t="s">
        <v>18</v>
      </c>
      <c r="D486" t="s">
        <v>19</v>
      </c>
      <c r="E486" t="s">
        <v>117</v>
      </c>
      <c r="F486" t="s">
        <v>86</v>
      </c>
      <c r="G486" s="2">
        <v>0</v>
      </c>
      <c r="H486" s="2">
        <v>0</v>
      </c>
      <c r="I486" s="2">
        <v>0</v>
      </c>
      <c r="J486" s="2">
        <v>1050</v>
      </c>
      <c r="K486" s="2">
        <v>1050</v>
      </c>
      <c r="L486" s="2" t="str">
        <f>_xlfn.XLOOKUP(Data_Nhập[[#This Row],[Main SKU]],MD_Main_SKU[Main SKU],MD_Main_SKU[SKU name_gom])</f>
        <v>iSS01</v>
      </c>
      <c r="M486" s="2" t="str">
        <f>_xlfn.XLOOKUP(Data_Nhập[[#This Row],[Material-Nhập]],MD_Main_SKU[Main SKU],MD_Main_SKU[SKU name_gom])</f>
        <v>Phó sản</v>
      </c>
    </row>
    <row r="487" spans="1:13" x14ac:dyDescent="0.35">
      <c r="A487">
        <v>2024</v>
      </c>
      <c r="B487">
        <v>12</v>
      </c>
      <c r="C487" t="s">
        <v>22</v>
      </c>
      <c r="D487" t="s">
        <v>23</v>
      </c>
      <c r="E487" t="s">
        <v>20</v>
      </c>
      <c r="F487" t="s">
        <v>21</v>
      </c>
      <c r="G487" s="2">
        <v>0</v>
      </c>
      <c r="H487" s="2">
        <v>1100</v>
      </c>
      <c r="I487" s="2">
        <v>1100</v>
      </c>
      <c r="J487" s="2">
        <v>0</v>
      </c>
      <c r="K487" s="2">
        <v>1100</v>
      </c>
      <c r="L487" s="2" t="str">
        <f>_xlfn.XLOOKUP(Data_Nhập[[#This Row],[Main SKU]],MD_Main_SKU[Main SKU],MD_Main_SKU[SKU name_gom])</f>
        <v>WSS03</v>
      </c>
      <c r="M487" s="2" t="str">
        <f>_xlfn.XLOOKUP(Data_Nhập[[#This Row],[Material-Nhập]],MD_Main_SKU[Main SKU],MD_Main_SKU[SKU name_gom])</f>
        <v>WSS02</v>
      </c>
    </row>
    <row r="488" spans="1:13" x14ac:dyDescent="0.35">
      <c r="A488">
        <v>2024</v>
      </c>
      <c r="B488">
        <v>12</v>
      </c>
      <c r="C488" t="s">
        <v>22</v>
      </c>
      <c r="D488" t="s">
        <v>23</v>
      </c>
      <c r="E488" t="s">
        <v>22</v>
      </c>
      <c r="F488" t="s">
        <v>23</v>
      </c>
      <c r="G488" s="2">
        <v>19800</v>
      </c>
      <c r="H488" s="2">
        <v>0</v>
      </c>
      <c r="I488" s="2">
        <v>19800</v>
      </c>
      <c r="J488" s="2">
        <v>0</v>
      </c>
      <c r="K488" s="2">
        <v>19800</v>
      </c>
      <c r="L488" s="2" t="str">
        <f>_xlfn.XLOOKUP(Data_Nhập[[#This Row],[Main SKU]],MD_Main_SKU[Main SKU],MD_Main_SKU[SKU name_gom])</f>
        <v>WSS03</v>
      </c>
      <c r="M488" s="2" t="str">
        <f>_xlfn.XLOOKUP(Data_Nhập[[#This Row],[Material-Nhập]],MD_Main_SKU[Main SKU],MD_Main_SKU[SKU name_gom])</f>
        <v>WSS03</v>
      </c>
    </row>
    <row r="489" spans="1:13" x14ac:dyDescent="0.35">
      <c r="A489">
        <v>2024</v>
      </c>
      <c r="B489">
        <v>12</v>
      </c>
      <c r="C489" t="s">
        <v>22</v>
      </c>
      <c r="D489" t="s">
        <v>23</v>
      </c>
      <c r="E489" t="s">
        <v>87</v>
      </c>
      <c r="F489" t="s">
        <v>88</v>
      </c>
      <c r="G489" s="2">
        <v>0</v>
      </c>
      <c r="H489" s="2">
        <v>0</v>
      </c>
      <c r="I489" s="2">
        <v>0</v>
      </c>
      <c r="J489" s="2">
        <v>3150</v>
      </c>
      <c r="K489" s="2">
        <v>3150</v>
      </c>
      <c r="L489" s="2" t="str">
        <f>_xlfn.XLOOKUP(Data_Nhập[[#This Row],[Main SKU]],MD_Main_SKU[Main SKU],MD_Main_SKU[SKU name_gom])</f>
        <v>WSS03</v>
      </c>
      <c r="M489" s="2" t="str">
        <f>_xlfn.XLOOKUP(Data_Nhập[[#This Row],[Material-Nhập]],MD_Main_SKU[Main SKU],MD_Main_SKU[SKU name_gom])</f>
        <v>Phó sản</v>
      </c>
    </row>
    <row r="490" spans="1:13" x14ac:dyDescent="0.35">
      <c r="A490">
        <v>2024</v>
      </c>
      <c r="B490">
        <v>12</v>
      </c>
      <c r="C490" t="s">
        <v>22</v>
      </c>
      <c r="D490" t="s">
        <v>23</v>
      </c>
      <c r="E490" t="s">
        <v>89</v>
      </c>
      <c r="F490" t="s">
        <v>90</v>
      </c>
      <c r="G490" s="2">
        <v>0</v>
      </c>
      <c r="H490" s="2">
        <v>0</v>
      </c>
      <c r="I490" s="2">
        <v>0</v>
      </c>
      <c r="J490" s="2">
        <v>2200</v>
      </c>
      <c r="K490" s="2">
        <v>2200</v>
      </c>
      <c r="L490" s="2" t="str">
        <f>_xlfn.XLOOKUP(Data_Nhập[[#This Row],[Main SKU]],MD_Main_SKU[Main SKU],MD_Main_SKU[SKU name_gom])</f>
        <v>WSS03</v>
      </c>
      <c r="M490" s="2" t="str">
        <f>_xlfn.XLOOKUP(Data_Nhập[[#This Row],[Material-Nhập]],MD_Main_SKU[Main SKU],MD_Main_SKU[SKU name_gom])</f>
        <v>Phó sản</v>
      </c>
    </row>
    <row r="491" spans="1:13" x14ac:dyDescent="0.35">
      <c r="A491">
        <v>2024</v>
      </c>
      <c r="B491">
        <v>12</v>
      </c>
      <c r="C491" t="s">
        <v>22</v>
      </c>
      <c r="D491" t="s">
        <v>23</v>
      </c>
      <c r="E491" t="s">
        <v>117</v>
      </c>
      <c r="F491" t="s">
        <v>86</v>
      </c>
      <c r="G491" s="2">
        <v>0</v>
      </c>
      <c r="H491" s="2">
        <v>0</v>
      </c>
      <c r="I491" s="2">
        <v>0</v>
      </c>
      <c r="J491" s="2">
        <v>3050</v>
      </c>
      <c r="K491" s="2">
        <v>3050</v>
      </c>
      <c r="L491" s="2" t="str">
        <f>_xlfn.XLOOKUP(Data_Nhập[[#This Row],[Main SKU]],MD_Main_SKU[Main SKU],MD_Main_SKU[SKU name_gom])</f>
        <v>WSS03</v>
      </c>
      <c r="M491" s="2" t="str">
        <f>_xlfn.XLOOKUP(Data_Nhập[[#This Row],[Material-Nhập]],MD_Main_SKU[Main SKU],MD_Main_SKU[SKU name_gom])</f>
        <v>Phó sản</v>
      </c>
    </row>
    <row r="492" spans="1:13" x14ac:dyDescent="0.35">
      <c r="A492">
        <v>2024</v>
      </c>
      <c r="B492">
        <v>12</v>
      </c>
      <c r="C492" t="s">
        <v>24</v>
      </c>
      <c r="D492" t="s">
        <v>25</v>
      </c>
      <c r="E492" t="s">
        <v>24</v>
      </c>
      <c r="F492" t="s">
        <v>25</v>
      </c>
      <c r="G492" s="2">
        <v>5500</v>
      </c>
      <c r="H492" s="2">
        <v>0</v>
      </c>
      <c r="I492" s="2">
        <v>5500</v>
      </c>
      <c r="J492" s="2">
        <v>0</v>
      </c>
      <c r="K492" s="2">
        <v>5500</v>
      </c>
      <c r="L492" s="2" t="str">
        <f>_xlfn.XLOOKUP(Data_Nhập[[#This Row],[Main SKU]],MD_Main_SKU[Main SKU],MD_Main_SKU[SKU name_gom])</f>
        <v>WSS01</v>
      </c>
      <c r="M492" s="2" t="str">
        <f>_xlfn.XLOOKUP(Data_Nhập[[#This Row],[Material-Nhập]],MD_Main_SKU[Main SKU],MD_Main_SKU[SKU name_gom])</f>
        <v>WSS01</v>
      </c>
    </row>
    <row r="493" spans="1:13" x14ac:dyDescent="0.35">
      <c r="A493">
        <v>2024</v>
      </c>
      <c r="B493">
        <v>12</v>
      </c>
      <c r="C493" t="s">
        <v>24</v>
      </c>
      <c r="D493" t="s">
        <v>25</v>
      </c>
      <c r="E493" t="s">
        <v>87</v>
      </c>
      <c r="F493" t="s">
        <v>88</v>
      </c>
      <c r="G493" s="2">
        <v>0</v>
      </c>
      <c r="H493" s="2">
        <v>0</v>
      </c>
      <c r="I493" s="2">
        <v>0</v>
      </c>
      <c r="J493" s="2">
        <v>3300</v>
      </c>
      <c r="K493" s="2">
        <v>3300</v>
      </c>
      <c r="L493" s="2" t="str">
        <f>_xlfn.XLOOKUP(Data_Nhập[[#This Row],[Main SKU]],MD_Main_SKU[Main SKU],MD_Main_SKU[SKU name_gom])</f>
        <v>WSS01</v>
      </c>
      <c r="M493" s="2" t="str">
        <f>_xlfn.XLOOKUP(Data_Nhập[[#This Row],[Material-Nhập]],MD_Main_SKU[Main SKU],MD_Main_SKU[SKU name_gom])</f>
        <v>Phó sản</v>
      </c>
    </row>
    <row r="494" spans="1:13" x14ac:dyDescent="0.35">
      <c r="A494">
        <v>2024</v>
      </c>
      <c r="B494">
        <v>12</v>
      </c>
      <c r="C494" t="s">
        <v>24</v>
      </c>
      <c r="D494" t="s">
        <v>25</v>
      </c>
      <c r="E494" t="s">
        <v>89</v>
      </c>
      <c r="F494" t="s">
        <v>90</v>
      </c>
      <c r="G494" s="2">
        <v>0</v>
      </c>
      <c r="H494" s="2">
        <v>0</v>
      </c>
      <c r="I494" s="2">
        <v>0</v>
      </c>
      <c r="J494" s="2">
        <v>500</v>
      </c>
      <c r="K494" s="2">
        <v>500</v>
      </c>
      <c r="L494" s="2" t="str">
        <f>_xlfn.XLOOKUP(Data_Nhập[[#This Row],[Main SKU]],MD_Main_SKU[Main SKU],MD_Main_SKU[SKU name_gom])</f>
        <v>WSS01</v>
      </c>
      <c r="M494" s="2" t="str">
        <f>_xlfn.XLOOKUP(Data_Nhập[[#This Row],[Material-Nhập]],MD_Main_SKU[Main SKU],MD_Main_SKU[SKU name_gom])</f>
        <v>Phó sản</v>
      </c>
    </row>
    <row r="495" spans="1:13" x14ac:dyDescent="0.35">
      <c r="A495">
        <v>2024</v>
      </c>
      <c r="B495">
        <v>12</v>
      </c>
      <c r="C495" t="s">
        <v>24</v>
      </c>
      <c r="D495" t="s">
        <v>25</v>
      </c>
      <c r="E495" t="s">
        <v>117</v>
      </c>
      <c r="F495" t="s">
        <v>86</v>
      </c>
      <c r="G495" s="2">
        <v>0</v>
      </c>
      <c r="H495" s="2">
        <v>0</v>
      </c>
      <c r="I495" s="2">
        <v>0</v>
      </c>
      <c r="J495" s="2">
        <v>600</v>
      </c>
      <c r="K495" s="2">
        <v>600</v>
      </c>
      <c r="L495" s="2" t="str">
        <f>_xlfn.XLOOKUP(Data_Nhập[[#This Row],[Main SKU]],MD_Main_SKU[Main SKU],MD_Main_SKU[SKU name_gom])</f>
        <v>WSS01</v>
      </c>
      <c r="M495" s="2" t="str">
        <f>_xlfn.XLOOKUP(Data_Nhập[[#This Row],[Material-Nhập]],MD_Main_SKU[Main SKU],MD_Main_SKU[SKU name_gom])</f>
        <v>Phó sản</v>
      </c>
    </row>
    <row r="496" spans="1:13" x14ac:dyDescent="0.35">
      <c r="A496">
        <v>2024</v>
      </c>
      <c r="B496">
        <v>12</v>
      </c>
      <c r="C496" t="s">
        <v>26</v>
      </c>
      <c r="D496" t="s">
        <v>27</v>
      </c>
      <c r="E496" t="s">
        <v>24</v>
      </c>
      <c r="F496" t="s">
        <v>25</v>
      </c>
      <c r="G496" s="2">
        <v>0</v>
      </c>
      <c r="H496" s="2">
        <v>18700</v>
      </c>
      <c r="I496" s="2">
        <v>18700</v>
      </c>
      <c r="J496" s="2">
        <v>0</v>
      </c>
      <c r="K496" s="2">
        <v>18700</v>
      </c>
      <c r="L496" s="2" t="str">
        <f>_xlfn.XLOOKUP(Data_Nhập[[#This Row],[Main SKU]],MD_Main_SKU[Main SKU],MD_Main_SKU[SKU name_gom])</f>
        <v>iSS01</v>
      </c>
      <c r="M496" s="2" t="str">
        <f>_xlfn.XLOOKUP(Data_Nhập[[#This Row],[Material-Nhập]],MD_Main_SKU[Main SKU],MD_Main_SKU[SKU name_gom])</f>
        <v>WSS01</v>
      </c>
    </row>
    <row r="497" spans="1:13" x14ac:dyDescent="0.35">
      <c r="A497">
        <v>2024</v>
      </c>
      <c r="B497">
        <v>12</v>
      </c>
      <c r="C497" t="s">
        <v>26</v>
      </c>
      <c r="D497" t="s">
        <v>27</v>
      </c>
      <c r="E497" t="s">
        <v>26</v>
      </c>
      <c r="F497" t="s">
        <v>27</v>
      </c>
      <c r="G497" s="2">
        <v>117700</v>
      </c>
      <c r="H497" s="2">
        <v>0</v>
      </c>
      <c r="I497" s="2">
        <v>117700</v>
      </c>
      <c r="J497" s="2">
        <v>0</v>
      </c>
      <c r="K497" s="2">
        <v>117700</v>
      </c>
      <c r="L497" s="2" t="str">
        <f>_xlfn.XLOOKUP(Data_Nhập[[#This Row],[Main SKU]],MD_Main_SKU[Main SKU],MD_Main_SKU[SKU name_gom])</f>
        <v>iSS01</v>
      </c>
      <c r="M497" s="2" t="str">
        <f>_xlfn.XLOOKUP(Data_Nhập[[#This Row],[Material-Nhập]],MD_Main_SKU[Main SKU],MD_Main_SKU[SKU name_gom])</f>
        <v>iSS01</v>
      </c>
    </row>
    <row r="498" spans="1:13" x14ac:dyDescent="0.35">
      <c r="A498">
        <v>2024</v>
      </c>
      <c r="B498">
        <v>12</v>
      </c>
      <c r="C498" t="s">
        <v>26</v>
      </c>
      <c r="D498" t="s">
        <v>27</v>
      </c>
      <c r="E498" t="s">
        <v>87</v>
      </c>
      <c r="F498" t="s">
        <v>88</v>
      </c>
      <c r="G498" s="2">
        <v>0</v>
      </c>
      <c r="H498" s="2">
        <v>0</v>
      </c>
      <c r="I498" s="2">
        <v>0</v>
      </c>
      <c r="J498" s="2">
        <v>3900</v>
      </c>
      <c r="K498" s="2">
        <v>3900</v>
      </c>
      <c r="L498" s="2" t="str">
        <f>_xlfn.XLOOKUP(Data_Nhập[[#This Row],[Main SKU]],MD_Main_SKU[Main SKU],MD_Main_SKU[SKU name_gom])</f>
        <v>iSS01</v>
      </c>
      <c r="M498" s="2" t="str">
        <f>_xlfn.XLOOKUP(Data_Nhập[[#This Row],[Material-Nhập]],MD_Main_SKU[Main SKU],MD_Main_SKU[SKU name_gom])</f>
        <v>Phó sản</v>
      </c>
    </row>
    <row r="499" spans="1:13" x14ac:dyDescent="0.35">
      <c r="A499">
        <v>2024</v>
      </c>
      <c r="B499">
        <v>12</v>
      </c>
      <c r="C499" t="s">
        <v>26</v>
      </c>
      <c r="D499" t="s">
        <v>27</v>
      </c>
      <c r="E499" t="s">
        <v>89</v>
      </c>
      <c r="F499" t="s">
        <v>90</v>
      </c>
      <c r="G499" s="2">
        <v>0</v>
      </c>
      <c r="H499" s="2">
        <v>0</v>
      </c>
      <c r="I499" s="2">
        <v>0</v>
      </c>
      <c r="J499" s="2">
        <v>35</v>
      </c>
      <c r="K499" s="2">
        <v>35</v>
      </c>
      <c r="L499" s="2" t="str">
        <f>_xlfn.XLOOKUP(Data_Nhập[[#This Row],[Main SKU]],MD_Main_SKU[Main SKU],MD_Main_SKU[SKU name_gom])</f>
        <v>iSS01</v>
      </c>
      <c r="M499" s="2" t="str">
        <f>_xlfn.XLOOKUP(Data_Nhập[[#This Row],[Material-Nhập]],MD_Main_SKU[Main SKU],MD_Main_SKU[SKU name_gom])</f>
        <v>Phó sản</v>
      </c>
    </row>
    <row r="500" spans="1:13" x14ac:dyDescent="0.35">
      <c r="A500">
        <v>2024</v>
      </c>
      <c r="B500">
        <v>12</v>
      </c>
      <c r="C500" t="s">
        <v>26</v>
      </c>
      <c r="D500" t="s">
        <v>27</v>
      </c>
      <c r="E500" t="s">
        <v>117</v>
      </c>
      <c r="F500" t="s">
        <v>86</v>
      </c>
      <c r="G500" s="2">
        <v>0</v>
      </c>
      <c r="H500" s="2">
        <v>0</v>
      </c>
      <c r="I500" s="2">
        <v>0</v>
      </c>
      <c r="J500" s="2">
        <v>4150</v>
      </c>
      <c r="K500" s="2">
        <v>4150</v>
      </c>
      <c r="L500" s="2" t="str">
        <f>_xlfn.XLOOKUP(Data_Nhập[[#This Row],[Main SKU]],MD_Main_SKU[Main SKU],MD_Main_SKU[SKU name_gom])</f>
        <v>iSS01</v>
      </c>
      <c r="M500" s="2" t="str">
        <f>_xlfn.XLOOKUP(Data_Nhập[[#This Row],[Material-Nhập]],MD_Main_SKU[Main SKU],MD_Main_SKU[SKU name_gom])</f>
        <v>Phó sản</v>
      </c>
    </row>
    <row r="501" spans="1:13" x14ac:dyDescent="0.35">
      <c r="A501">
        <v>2024</v>
      </c>
      <c r="B501">
        <v>12</v>
      </c>
      <c r="C501" t="s">
        <v>99</v>
      </c>
      <c r="D501" t="s">
        <v>100</v>
      </c>
      <c r="E501" t="s">
        <v>99</v>
      </c>
      <c r="F501" t="s">
        <v>100</v>
      </c>
      <c r="G501" s="2">
        <v>2430</v>
      </c>
      <c r="H501" s="2">
        <v>0</v>
      </c>
      <c r="I501" s="2">
        <v>2430</v>
      </c>
      <c r="J501" s="2">
        <v>0</v>
      </c>
      <c r="K501" s="2">
        <v>2430</v>
      </c>
      <c r="L501" s="2" t="str">
        <f>_xlfn.XLOOKUP(Data_Nhập[[#This Row],[Main SKU]],MD_Main_SKU[Main SKU],MD_Main_SKU[SKU name_gom])</f>
        <v>WSS04</v>
      </c>
      <c r="M501" s="2" t="str">
        <f>_xlfn.XLOOKUP(Data_Nhập[[#This Row],[Material-Nhập]],MD_Main_SKU[Main SKU],MD_Main_SKU[SKU name_gom])</f>
        <v>WSS04</v>
      </c>
    </row>
    <row r="502" spans="1:13" x14ac:dyDescent="0.35">
      <c r="A502">
        <v>2024</v>
      </c>
      <c r="B502">
        <v>12</v>
      </c>
      <c r="C502" t="s">
        <v>99</v>
      </c>
      <c r="D502" t="s">
        <v>100</v>
      </c>
      <c r="E502" t="s">
        <v>87</v>
      </c>
      <c r="F502" t="s">
        <v>88</v>
      </c>
      <c r="G502" s="2">
        <v>0</v>
      </c>
      <c r="H502" s="2">
        <v>0</v>
      </c>
      <c r="I502" s="2">
        <v>0</v>
      </c>
      <c r="J502" s="2">
        <v>1070</v>
      </c>
      <c r="K502" s="2">
        <v>1070</v>
      </c>
      <c r="L502" s="2" t="str">
        <f>_xlfn.XLOOKUP(Data_Nhập[[#This Row],[Main SKU]],MD_Main_SKU[Main SKU],MD_Main_SKU[SKU name_gom])</f>
        <v>WSS04</v>
      </c>
      <c r="M502" s="2" t="str">
        <f>_xlfn.XLOOKUP(Data_Nhập[[#This Row],[Material-Nhập]],MD_Main_SKU[Main SKU],MD_Main_SKU[SKU name_gom])</f>
        <v>Phó sản</v>
      </c>
    </row>
    <row r="503" spans="1:13" x14ac:dyDescent="0.35">
      <c r="A503">
        <v>2024</v>
      </c>
      <c r="B503">
        <v>12</v>
      </c>
      <c r="C503" t="s">
        <v>115</v>
      </c>
      <c r="D503" t="s">
        <v>116</v>
      </c>
      <c r="E503" t="s">
        <v>115</v>
      </c>
      <c r="F503" t="s">
        <v>116</v>
      </c>
      <c r="G503" s="2">
        <v>128482</v>
      </c>
      <c r="H503" s="2">
        <v>0</v>
      </c>
      <c r="I503" s="2">
        <v>128482</v>
      </c>
      <c r="J503" s="2">
        <v>0</v>
      </c>
      <c r="K503" s="2">
        <v>128482</v>
      </c>
      <c r="L503" s="2" t="str">
        <f>_xlfn.XLOOKUP(Data_Nhập[[#This Row],[Main SKU]],MD_Main_SKU[Main SKU],MD_Main_SKU[SKU name_gom])</f>
        <v>WSS05</v>
      </c>
      <c r="M503" s="2" t="str">
        <f>_xlfn.XLOOKUP(Data_Nhập[[#This Row],[Material-Nhập]],MD_Main_SKU[Main SKU],MD_Main_SKU[SKU name_gom])</f>
        <v>WSS05</v>
      </c>
    </row>
    <row r="504" spans="1:13" x14ac:dyDescent="0.35">
      <c r="A504">
        <v>2024</v>
      </c>
      <c r="B504">
        <v>12</v>
      </c>
      <c r="C504" t="s">
        <v>115</v>
      </c>
      <c r="D504" t="s">
        <v>116</v>
      </c>
      <c r="E504" t="s">
        <v>124</v>
      </c>
      <c r="F504" t="s">
        <v>125</v>
      </c>
      <c r="G504" s="2">
        <v>0</v>
      </c>
      <c r="H504" s="2">
        <v>5500</v>
      </c>
      <c r="I504" s="2">
        <v>5500</v>
      </c>
      <c r="J504" s="2">
        <v>0</v>
      </c>
      <c r="K504" s="2">
        <v>5500</v>
      </c>
      <c r="L504" s="2" t="str">
        <f>_xlfn.XLOOKUP(Data_Nhập[[#This Row],[Main SKU]],MD_Main_SKU[Main SKU],MD_Main_SKU[SKU name_gom])</f>
        <v>WSS05</v>
      </c>
      <c r="M504" s="2" t="str">
        <f>_xlfn.XLOOKUP(Data_Nhập[[#This Row],[Material-Nhập]],MD_Main_SKU[Main SKU],MD_Main_SKU[SKU name_gom])</f>
        <v>WSS06</v>
      </c>
    </row>
    <row r="505" spans="1:13" x14ac:dyDescent="0.35">
      <c r="A505">
        <v>2024</v>
      </c>
      <c r="B505">
        <v>12</v>
      </c>
      <c r="C505" t="s">
        <v>115</v>
      </c>
      <c r="D505" t="s">
        <v>116</v>
      </c>
      <c r="E505" t="s">
        <v>87</v>
      </c>
      <c r="F505" t="s">
        <v>88</v>
      </c>
      <c r="G505" s="2">
        <v>0</v>
      </c>
      <c r="H505" s="2">
        <v>0</v>
      </c>
      <c r="I505" s="2">
        <v>0</v>
      </c>
      <c r="J505" s="2">
        <v>9760</v>
      </c>
      <c r="K505" s="2">
        <v>9760</v>
      </c>
      <c r="L505" s="2" t="str">
        <f>_xlfn.XLOOKUP(Data_Nhập[[#This Row],[Main SKU]],MD_Main_SKU[Main SKU],MD_Main_SKU[SKU name_gom])</f>
        <v>WSS05</v>
      </c>
      <c r="M505" s="2" t="str">
        <f>_xlfn.XLOOKUP(Data_Nhập[[#This Row],[Material-Nhập]],MD_Main_SKU[Main SKU],MD_Main_SKU[SKU name_gom])</f>
        <v>Phó sản</v>
      </c>
    </row>
    <row r="506" spans="1:13" x14ac:dyDescent="0.35">
      <c r="A506">
        <v>2024</v>
      </c>
      <c r="B506">
        <v>12</v>
      </c>
      <c r="C506" t="s">
        <v>115</v>
      </c>
      <c r="D506" t="s">
        <v>116</v>
      </c>
      <c r="E506" t="s">
        <v>117</v>
      </c>
      <c r="F506" t="s">
        <v>86</v>
      </c>
      <c r="G506" s="2">
        <v>0</v>
      </c>
      <c r="H506" s="2">
        <v>0</v>
      </c>
      <c r="I506" s="2">
        <v>0</v>
      </c>
      <c r="J506" s="2">
        <v>8756</v>
      </c>
      <c r="K506" s="2">
        <v>8756</v>
      </c>
      <c r="L506" s="2" t="str">
        <f>_xlfn.XLOOKUP(Data_Nhập[[#This Row],[Main SKU]],MD_Main_SKU[Main SKU],MD_Main_SKU[SKU name_gom])</f>
        <v>WSS05</v>
      </c>
      <c r="M506" s="2" t="str">
        <f>_xlfn.XLOOKUP(Data_Nhập[[#This Row],[Material-Nhập]],MD_Main_SKU[Main SKU],MD_Main_SKU[SKU name_gom])</f>
        <v>Phó sản</v>
      </c>
    </row>
    <row r="507" spans="1:13" x14ac:dyDescent="0.35">
      <c r="A507">
        <v>2025</v>
      </c>
      <c r="B507">
        <v>1</v>
      </c>
      <c r="C507" t="s">
        <v>8</v>
      </c>
      <c r="D507" t="s">
        <v>9</v>
      </c>
      <c r="E507" t="s">
        <v>8</v>
      </c>
      <c r="F507" t="s">
        <v>9</v>
      </c>
      <c r="G507" s="2">
        <v>99000</v>
      </c>
      <c r="H507" s="2">
        <v>0</v>
      </c>
      <c r="I507" s="2">
        <v>99000</v>
      </c>
      <c r="J507" s="2">
        <v>0</v>
      </c>
      <c r="K507" s="2">
        <v>99000</v>
      </c>
      <c r="L507" s="2" t="str">
        <f>_xlfn.XLOOKUP(Data_Nhập[[#This Row],[Main SKU]],MD_Main_SKU[Main SKU],MD_Main_SKU[SKU name_gom])</f>
        <v>WSS01</v>
      </c>
      <c r="M507" s="2" t="str">
        <f>_xlfn.XLOOKUP(Data_Nhập[[#This Row],[Material-Nhập]],MD_Main_SKU[Main SKU],MD_Main_SKU[SKU name_gom])</f>
        <v>WSS01</v>
      </c>
    </row>
    <row r="508" spans="1:13" x14ac:dyDescent="0.35">
      <c r="A508">
        <v>2025</v>
      </c>
      <c r="B508">
        <v>1</v>
      </c>
      <c r="C508" t="s">
        <v>8</v>
      </c>
      <c r="D508" t="s">
        <v>9</v>
      </c>
      <c r="E508" t="s">
        <v>87</v>
      </c>
      <c r="F508" t="s">
        <v>88</v>
      </c>
      <c r="G508" s="2">
        <v>0</v>
      </c>
      <c r="H508" s="2">
        <v>0</v>
      </c>
      <c r="I508" s="2">
        <v>0</v>
      </c>
      <c r="J508" s="2">
        <v>3700</v>
      </c>
      <c r="K508" s="2">
        <v>3700</v>
      </c>
      <c r="L508" s="2" t="str">
        <f>_xlfn.XLOOKUP(Data_Nhập[[#This Row],[Main SKU]],MD_Main_SKU[Main SKU],MD_Main_SKU[SKU name_gom])</f>
        <v>WSS01</v>
      </c>
      <c r="M508" s="2" t="str">
        <f>_xlfn.XLOOKUP(Data_Nhập[[#This Row],[Material-Nhập]],MD_Main_SKU[Main SKU],MD_Main_SKU[SKU name_gom])</f>
        <v>Phó sản</v>
      </c>
    </row>
    <row r="509" spans="1:13" x14ac:dyDescent="0.35">
      <c r="A509">
        <v>2025</v>
      </c>
      <c r="B509">
        <v>1</v>
      </c>
      <c r="C509" t="s">
        <v>8</v>
      </c>
      <c r="D509" t="s">
        <v>9</v>
      </c>
      <c r="E509" t="s">
        <v>89</v>
      </c>
      <c r="F509" t="s">
        <v>90</v>
      </c>
      <c r="G509" s="2">
        <v>0</v>
      </c>
      <c r="H509" s="2">
        <v>0</v>
      </c>
      <c r="I509" s="2">
        <v>0</v>
      </c>
      <c r="J509" s="2">
        <v>2095</v>
      </c>
      <c r="K509" s="2">
        <v>2095</v>
      </c>
      <c r="L509" s="2" t="str">
        <f>_xlfn.XLOOKUP(Data_Nhập[[#This Row],[Main SKU]],MD_Main_SKU[Main SKU],MD_Main_SKU[SKU name_gom])</f>
        <v>WSS01</v>
      </c>
      <c r="M509" s="2" t="str">
        <f>_xlfn.XLOOKUP(Data_Nhập[[#This Row],[Material-Nhập]],MD_Main_SKU[Main SKU],MD_Main_SKU[SKU name_gom])</f>
        <v>Phó sản</v>
      </c>
    </row>
    <row r="510" spans="1:13" x14ac:dyDescent="0.35">
      <c r="A510">
        <v>2025</v>
      </c>
      <c r="B510">
        <v>1</v>
      </c>
      <c r="C510" t="s">
        <v>8</v>
      </c>
      <c r="D510" t="s">
        <v>9</v>
      </c>
      <c r="E510" t="s">
        <v>91</v>
      </c>
      <c r="F510" t="s">
        <v>92</v>
      </c>
      <c r="G510" s="2">
        <v>0</v>
      </c>
      <c r="H510" s="2">
        <v>0</v>
      </c>
      <c r="I510" s="2">
        <v>0</v>
      </c>
      <c r="J510" s="2">
        <v>300</v>
      </c>
      <c r="K510" s="2">
        <v>300</v>
      </c>
      <c r="L510" s="2" t="str">
        <f>_xlfn.XLOOKUP(Data_Nhập[[#This Row],[Main SKU]],MD_Main_SKU[Main SKU],MD_Main_SKU[SKU name_gom])</f>
        <v>WSS01</v>
      </c>
      <c r="M510" s="2" t="str">
        <f>_xlfn.XLOOKUP(Data_Nhập[[#This Row],[Material-Nhập]],MD_Main_SKU[Main SKU],MD_Main_SKU[SKU name_gom])</f>
        <v>Phó sản</v>
      </c>
    </row>
    <row r="511" spans="1:13" x14ac:dyDescent="0.35">
      <c r="A511">
        <v>2025</v>
      </c>
      <c r="B511">
        <v>1</v>
      </c>
      <c r="C511" t="s">
        <v>8</v>
      </c>
      <c r="D511" t="s">
        <v>9</v>
      </c>
      <c r="E511" t="s">
        <v>117</v>
      </c>
      <c r="F511" t="s">
        <v>86</v>
      </c>
      <c r="G511" s="2">
        <v>0</v>
      </c>
      <c r="H511" s="2">
        <v>0</v>
      </c>
      <c r="I511" s="2">
        <v>0</v>
      </c>
      <c r="J511" s="2">
        <v>589</v>
      </c>
      <c r="K511" s="2">
        <v>589</v>
      </c>
      <c r="L511" s="2" t="str">
        <f>_xlfn.XLOOKUP(Data_Nhập[[#This Row],[Main SKU]],MD_Main_SKU[Main SKU],MD_Main_SKU[SKU name_gom])</f>
        <v>WSS01</v>
      </c>
      <c r="M511" s="2" t="str">
        <f>_xlfn.XLOOKUP(Data_Nhập[[#This Row],[Material-Nhập]],MD_Main_SKU[Main SKU],MD_Main_SKU[SKU name_gom])</f>
        <v>Phó sản</v>
      </c>
    </row>
    <row r="512" spans="1:13" x14ac:dyDescent="0.35">
      <c r="A512">
        <v>2025</v>
      </c>
      <c r="B512">
        <v>1</v>
      </c>
      <c r="C512" t="s">
        <v>14</v>
      </c>
      <c r="D512" t="s">
        <v>15</v>
      </c>
      <c r="E512" t="s">
        <v>14</v>
      </c>
      <c r="F512" t="s">
        <v>15</v>
      </c>
      <c r="G512" s="2">
        <v>363000</v>
      </c>
      <c r="H512" s="2">
        <v>0</v>
      </c>
      <c r="I512" s="2">
        <v>363000</v>
      </c>
      <c r="J512" s="2">
        <v>0</v>
      </c>
      <c r="K512" s="2">
        <v>363000</v>
      </c>
      <c r="L512" s="2" t="str">
        <f>_xlfn.XLOOKUP(Data_Nhập[[#This Row],[Main SKU]],MD_Main_SKU[Main SKU],MD_Main_SKU[SKU name_gom])</f>
        <v>iSS01084</v>
      </c>
      <c r="M512" s="2" t="str">
        <f>_xlfn.XLOOKUP(Data_Nhập[[#This Row],[Material-Nhập]],MD_Main_SKU[Main SKU],MD_Main_SKU[SKU name_gom])</f>
        <v>iSS01084</v>
      </c>
    </row>
    <row r="513" spans="1:13" x14ac:dyDescent="0.35">
      <c r="A513">
        <v>2025</v>
      </c>
      <c r="B513">
        <v>1</v>
      </c>
      <c r="C513" t="s">
        <v>14</v>
      </c>
      <c r="D513" t="s">
        <v>15</v>
      </c>
      <c r="E513" t="s">
        <v>18</v>
      </c>
      <c r="F513" t="s">
        <v>19</v>
      </c>
      <c r="G513" s="2">
        <v>0</v>
      </c>
      <c r="H513" s="2">
        <v>4400</v>
      </c>
      <c r="I513" s="2">
        <v>4400</v>
      </c>
      <c r="J513" s="2">
        <v>0</v>
      </c>
      <c r="K513" s="2">
        <v>4400</v>
      </c>
      <c r="L513" s="2" t="str">
        <f>_xlfn.XLOOKUP(Data_Nhập[[#This Row],[Main SKU]],MD_Main_SKU[Main SKU],MD_Main_SKU[SKU name_gom])</f>
        <v>iSS01084</v>
      </c>
      <c r="M513" s="2" t="str">
        <f>_xlfn.XLOOKUP(Data_Nhập[[#This Row],[Material-Nhập]],MD_Main_SKU[Main SKU],MD_Main_SKU[SKU name_gom])</f>
        <v>iSS01</v>
      </c>
    </row>
    <row r="514" spans="1:13" x14ac:dyDescent="0.35">
      <c r="A514">
        <v>2025</v>
      </c>
      <c r="B514">
        <v>1</v>
      </c>
      <c r="C514" t="s">
        <v>14</v>
      </c>
      <c r="D514" t="s">
        <v>15</v>
      </c>
      <c r="E514" t="s">
        <v>22</v>
      </c>
      <c r="F514" t="s">
        <v>23</v>
      </c>
      <c r="G514" s="2">
        <v>0</v>
      </c>
      <c r="H514" s="2">
        <v>16500</v>
      </c>
      <c r="I514" s="2">
        <v>16500</v>
      </c>
      <c r="J514" s="2">
        <v>0</v>
      </c>
      <c r="K514" s="2">
        <v>16500</v>
      </c>
      <c r="L514" s="2" t="str">
        <f>_xlfn.XLOOKUP(Data_Nhập[[#This Row],[Main SKU]],MD_Main_SKU[Main SKU],MD_Main_SKU[SKU name_gom])</f>
        <v>iSS01084</v>
      </c>
      <c r="M514" s="2" t="str">
        <f>_xlfn.XLOOKUP(Data_Nhập[[#This Row],[Material-Nhập]],MD_Main_SKU[Main SKU],MD_Main_SKU[SKU name_gom])</f>
        <v>WSS03</v>
      </c>
    </row>
    <row r="515" spans="1:13" x14ac:dyDescent="0.35">
      <c r="A515">
        <v>2025</v>
      </c>
      <c r="B515">
        <v>1</v>
      </c>
      <c r="C515" t="s">
        <v>14</v>
      </c>
      <c r="D515" t="s">
        <v>15</v>
      </c>
      <c r="E515" t="s">
        <v>38</v>
      </c>
      <c r="F515" t="s">
        <v>39</v>
      </c>
      <c r="G515" s="2">
        <v>0</v>
      </c>
      <c r="H515" s="2">
        <v>1100</v>
      </c>
      <c r="I515" s="2">
        <v>1100</v>
      </c>
      <c r="J515" s="2">
        <v>0</v>
      </c>
      <c r="K515" s="2">
        <v>1100</v>
      </c>
      <c r="L515" s="2" t="str">
        <f>_xlfn.XLOOKUP(Data_Nhập[[#This Row],[Main SKU]],MD_Main_SKU[Main SKU],MD_Main_SKU[SKU name_gom])</f>
        <v>iSS01084</v>
      </c>
      <c r="M515" s="2" t="str">
        <f>_xlfn.XLOOKUP(Data_Nhập[[#This Row],[Material-Nhập]],MD_Main_SKU[Main SKU],MD_Main_SKU[SKU name_gom])</f>
        <v>iSS01084-PL</v>
      </c>
    </row>
    <row r="516" spans="1:13" x14ac:dyDescent="0.35">
      <c r="A516">
        <v>2025</v>
      </c>
      <c r="B516">
        <v>1</v>
      </c>
      <c r="C516" t="s">
        <v>14</v>
      </c>
      <c r="D516" t="s">
        <v>15</v>
      </c>
      <c r="E516" t="s">
        <v>87</v>
      </c>
      <c r="F516" t="s">
        <v>88</v>
      </c>
      <c r="G516" s="2">
        <v>0</v>
      </c>
      <c r="H516" s="2">
        <v>0</v>
      </c>
      <c r="I516" s="2">
        <v>0</v>
      </c>
      <c r="J516" s="2">
        <v>4303</v>
      </c>
      <c r="K516" s="2">
        <v>4303</v>
      </c>
      <c r="L516" s="2" t="str">
        <f>_xlfn.XLOOKUP(Data_Nhập[[#This Row],[Main SKU]],MD_Main_SKU[Main SKU],MD_Main_SKU[SKU name_gom])</f>
        <v>iSS01084</v>
      </c>
      <c r="M516" s="2" t="str">
        <f>_xlfn.XLOOKUP(Data_Nhập[[#This Row],[Material-Nhập]],MD_Main_SKU[Main SKU],MD_Main_SKU[SKU name_gom])</f>
        <v>Phó sản</v>
      </c>
    </row>
    <row r="517" spans="1:13" x14ac:dyDescent="0.35">
      <c r="A517">
        <v>2025</v>
      </c>
      <c r="B517">
        <v>1</v>
      </c>
      <c r="C517" t="s">
        <v>14</v>
      </c>
      <c r="D517" t="s">
        <v>15</v>
      </c>
      <c r="E517" t="s">
        <v>89</v>
      </c>
      <c r="F517" t="s">
        <v>90</v>
      </c>
      <c r="G517" s="2">
        <v>0</v>
      </c>
      <c r="H517" s="2">
        <v>0</v>
      </c>
      <c r="I517" s="2">
        <v>0</v>
      </c>
      <c r="J517" s="2">
        <v>2396</v>
      </c>
      <c r="K517" s="2">
        <v>2396</v>
      </c>
      <c r="L517" s="2" t="str">
        <f>_xlfn.XLOOKUP(Data_Nhập[[#This Row],[Main SKU]],MD_Main_SKU[Main SKU],MD_Main_SKU[SKU name_gom])</f>
        <v>iSS01084</v>
      </c>
      <c r="M517" s="2" t="str">
        <f>_xlfn.XLOOKUP(Data_Nhập[[#This Row],[Material-Nhập]],MD_Main_SKU[Main SKU],MD_Main_SKU[SKU name_gom])</f>
        <v>Phó sản</v>
      </c>
    </row>
    <row r="518" spans="1:13" x14ac:dyDescent="0.35">
      <c r="A518">
        <v>2025</v>
      </c>
      <c r="B518">
        <v>1</v>
      </c>
      <c r="C518" t="s">
        <v>14</v>
      </c>
      <c r="D518" t="s">
        <v>15</v>
      </c>
      <c r="E518" t="s">
        <v>91</v>
      </c>
      <c r="F518" t="s">
        <v>92</v>
      </c>
      <c r="G518" s="2">
        <v>0</v>
      </c>
      <c r="H518" s="2">
        <v>0</v>
      </c>
      <c r="I518" s="2">
        <v>0</v>
      </c>
      <c r="J518" s="2">
        <v>365</v>
      </c>
      <c r="K518" s="2">
        <v>365</v>
      </c>
      <c r="L518" s="2" t="str">
        <f>_xlfn.XLOOKUP(Data_Nhập[[#This Row],[Main SKU]],MD_Main_SKU[Main SKU],MD_Main_SKU[SKU name_gom])</f>
        <v>iSS01084</v>
      </c>
      <c r="M518" s="2" t="str">
        <f>_xlfn.XLOOKUP(Data_Nhập[[#This Row],[Material-Nhập]],MD_Main_SKU[Main SKU],MD_Main_SKU[SKU name_gom])</f>
        <v>Phó sản</v>
      </c>
    </row>
    <row r="519" spans="1:13" x14ac:dyDescent="0.35">
      <c r="A519">
        <v>2025</v>
      </c>
      <c r="B519">
        <v>1</v>
      </c>
      <c r="C519" t="s">
        <v>14</v>
      </c>
      <c r="D519" t="s">
        <v>15</v>
      </c>
      <c r="E519" t="s">
        <v>117</v>
      </c>
      <c r="F519" t="s">
        <v>86</v>
      </c>
      <c r="G519" s="2">
        <v>0</v>
      </c>
      <c r="H519" s="2">
        <v>0</v>
      </c>
      <c r="I519" s="2">
        <v>0</v>
      </c>
      <c r="J519" s="2">
        <v>3750</v>
      </c>
      <c r="K519" s="2">
        <v>3750</v>
      </c>
      <c r="L519" s="2" t="str">
        <f>_xlfn.XLOOKUP(Data_Nhập[[#This Row],[Main SKU]],MD_Main_SKU[Main SKU],MD_Main_SKU[SKU name_gom])</f>
        <v>iSS01084</v>
      </c>
      <c r="M519" s="2" t="str">
        <f>_xlfn.XLOOKUP(Data_Nhập[[#This Row],[Material-Nhập]],MD_Main_SKU[Main SKU],MD_Main_SKU[SKU name_gom])</f>
        <v>Phó sản</v>
      </c>
    </row>
    <row r="520" spans="1:13" x14ac:dyDescent="0.35">
      <c r="A520">
        <v>2025</v>
      </c>
      <c r="B520">
        <v>1</v>
      </c>
      <c r="C520" t="s">
        <v>16</v>
      </c>
      <c r="D520" t="s">
        <v>17</v>
      </c>
      <c r="E520" t="s">
        <v>16</v>
      </c>
      <c r="F520" t="s">
        <v>17</v>
      </c>
      <c r="G520" s="2">
        <v>1138500</v>
      </c>
      <c r="H520" s="2">
        <v>0</v>
      </c>
      <c r="I520" s="2">
        <v>1138500</v>
      </c>
      <c r="J520" s="2">
        <v>0</v>
      </c>
      <c r="K520" s="2">
        <v>1138500</v>
      </c>
      <c r="L520" s="2" t="str">
        <f>_xlfn.XLOOKUP(Data_Nhập[[#This Row],[Main SKU]],MD_Main_SKU[Main SKU],MD_Main_SKU[SKU name_gom])</f>
        <v>WSS01</v>
      </c>
      <c r="M520" s="2" t="str">
        <f>_xlfn.XLOOKUP(Data_Nhập[[#This Row],[Material-Nhập]],MD_Main_SKU[Main SKU],MD_Main_SKU[SKU name_gom])</f>
        <v>WSS01</v>
      </c>
    </row>
    <row r="521" spans="1:13" x14ac:dyDescent="0.35">
      <c r="A521">
        <v>2025</v>
      </c>
      <c r="B521">
        <v>1</v>
      </c>
      <c r="C521" t="s">
        <v>16</v>
      </c>
      <c r="D521" t="s">
        <v>17</v>
      </c>
      <c r="E521" t="s">
        <v>18</v>
      </c>
      <c r="F521" t="s">
        <v>19</v>
      </c>
      <c r="G521" s="2">
        <v>0</v>
      </c>
      <c r="H521" s="2">
        <v>37400</v>
      </c>
      <c r="I521" s="2">
        <v>37400</v>
      </c>
      <c r="J521" s="2">
        <v>0</v>
      </c>
      <c r="K521" s="2">
        <v>37400</v>
      </c>
      <c r="L521" s="2" t="str">
        <f>_xlfn.XLOOKUP(Data_Nhập[[#This Row],[Main SKU]],MD_Main_SKU[Main SKU],MD_Main_SKU[SKU name_gom])</f>
        <v>WSS01</v>
      </c>
      <c r="M521" s="2" t="str">
        <f>_xlfn.XLOOKUP(Data_Nhập[[#This Row],[Material-Nhập]],MD_Main_SKU[Main SKU],MD_Main_SKU[SKU name_gom])</f>
        <v>iSS01</v>
      </c>
    </row>
    <row r="522" spans="1:13" x14ac:dyDescent="0.35">
      <c r="A522">
        <v>2025</v>
      </c>
      <c r="B522">
        <v>1</v>
      </c>
      <c r="C522" t="s">
        <v>16</v>
      </c>
      <c r="D522" t="s">
        <v>17</v>
      </c>
      <c r="E522" t="s">
        <v>22</v>
      </c>
      <c r="F522" t="s">
        <v>23</v>
      </c>
      <c r="G522" s="2">
        <v>0</v>
      </c>
      <c r="H522" s="2">
        <v>7700</v>
      </c>
      <c r="I522" s="2">
        <v>7700</v>
      </c>
      <c r="J522" s="2">
        <v>0</v>
      </c>
      <c r="K522" s="2">
        <v>7700</v>
      </c>
      <c r="L522" s="2" t="str">
        <f>_xlfn.XLOOKUP(Data_Nhập[[#This Row],[Main SKU]],MD_Main_SKU[Main SKU],MD_Main_SKU[SKU name_gom])</f>
        <v>WSS01</v>
      </c>
      <c r="M522" s="2" t="str">
        <f>_xlfn.XLOOKUP(Data_Nhập[[#This Row],[Material-Nhập]],MD_Main_SKU[Main SKU],MD_Main_SKU[SKU name_gom])</f>
        <v>WSS03</v>
      </c>
    </row>
    <row r="523" spans="1:13" x14ac:dyDescent="0.35">
      <c r="A523">
        <v>2025</v>
      </c>
      <c r="B523">
        <v>1</v>
      </c>
      <c r="C523" t="s">
        <v>16</v>
      </c>
      <c r="D523" t="s">
        <v>17</v>
      </c>
      <c r="E523" t="s">
        <v>40</v>
      </c>
      <c r="F523" t="s">
        <v>41</v>
      </c>
      <c r="G523" s="2">
        <v>0</v>
      </c>
      <c r="H523" s="2">
        <v>5500</v>
      </c>
      <c r="I523" s="2">
        <v>5500</v>
      </c>
      <c r="J523" s="2">
        <v>0</v>
      </c>
      <c r="K523" s="2">
        <v>5500</v>
      </c>
      <c r="L523" s="2" t="str">
        <f>_xlfn.XLOOKUP(Data_Nhập[[#This Row],[Main SKU]],MD_Main_SKU[Main SKU],MD_Main_SKU[SKU name_gom])</f>
        <v>WSS01</v>
      </c>
      <c r="M523" s="2" t="str">
        <f>_xlfn.XLOOKUP(Data_Nhập[[#This Row],[Material-Nhập]],MD_Main_SKU[Main SKU],MD_Main_SKU[SKU name_gom])</f>
        <v>WSS01-PL</v>
      </c>
    </row>
    <row r="524" spans="1:13" x14ac:dyDescent="0.35">
      <c r="A524">
        <v>2025</v>
      </c>
      <c r="B524">
        <v>1</v>
      </c>
      <c r="C524" t="s">
        <v>16</v>
      </c>
      <c r="D524" t="s">
        <v>17</v>
      </c>
      <c r="E524" t="s">
        <v>42</v>
      </c>
      <c r="F524" t="s">
        <v>43</v>
      </c>
      <c r="G524" s="2">
        <v>0</v>
      </c>
      <c r="H524" s="2">
        <v>3300</v>
      </c>
      <c r="I524" s="2">
        <v>3300</v>
      </c>
      <c r="J524" s="2">
        <v>0</v>
      </c>
      <c r="K524" s="2">
        <v>3300</v>
      </c>
      <c r="L524" s="2" t="str">
        <f>_xlfn.XLOOKUP(Data_Nhập[[#This Row],[Main SKU]],MD_Main_SKU[Main SKU],MD_Main_SKU[SKU name_gom])</f>
        <v>WSS01</v>
      </c>
      <c r="M524" s="2" t="str">
        <f>_xlfn.XLOOKUP(Data_Nhập[[#This Row],[Material-Nhập]],MD_Main_SKU[Main SKU],MD_Main_SKU[SKU name_gom])</f>
        <v>iSS01-PL</v>
      </c>
    </row>
    <row r="525" spans="1:13" x14ac:dyDescent="0.35">
      <c r="A525">
        <v>2025</v>
      </c>
      <c r="B525">
        <v>1</v>
      </c>
      <c r="C525" t="s">
        <v>16</v>
      </c>
      <c r="D525" t="s">
        <v>17</v>
      </c>
      <c r="E525" t="s">
        <v>34</v>
      </c>
      <c r="F525" t="s">
        <v>35</v>
      </c>
      <c r="G525" s="2">
        <v>0</v>
      </c>
      <c r="H525" s="2">
        <v>9900</v>
      </c>
      <c r="I525" s="2">
        <v>9900</v>
      </c>
      <c r="J525" s="2">
        <v>0</v>
      </c>
      <c r="K525" s="2">
        <v>9900</v>
      </c>
      <c r="L525" s="2" t="str">
        <f>_xlfn.XLOOKUP(Data_Nhập[[#This Row],[Main SKU]],MD_Main_SKU[Main SKU],MD_Main_SKU[SKU name_gom])</f>
        <v>WSS01</v>
      </c>
      <c r="M525" s="2" t="str">
        <f>_xlfn.XLOOKUP(Data_Nhập[[#This Row],[Material-Nhập]],MD_Main_SKU[Main SKU],MD_Main_SKU[SKU name_gom])</f>
        <v>WSS03-PL</v>
      </c>
    </row>
    <row r="526" spans="1:13" x14ac:dyDescent="0.35">
      <c r="A526">
        <v>2025</v>
      </c>
      <c r="B526">
        <v>1</v>
      </c>
      <c r="C526" t="s">
        <v>16</v>
      </c>
      <c r="D526" t="s">
        <v>17</v>
      </c>
      <c r="E526" t="s">
        <v>87</v>
      </c>
      <c r="F526" t="s">
        <v>88</v>
      </c>
      <c r="G526" s="2">
        <v>0</v>
      </c>
      <c r="H526" s="2">
        <v>0</v>
      </c>
      <c r="I526" s="2">
        <v>0</v>
      </c>
      <c r="J526" s="2">
        <v>9649.9999999999982</v>
      </c>
      <c r="K526" s="2">
        <v>9649.9999999999982</v>
      </c>
      <c r="L526" s="2" t="str">
        <f>_xlfn.XLOOKUP(Data_Nhập[[#This Row],[Main SKU]],MD_Main_SKU[Main SKU],MD_Main_SKU[SKU name_gom])</f>
        <v>WSS01</v>
      </c>
      <c r="M526" s="2" t="str">
        <f>_xlfn.XLOOKUP(Data_Nhập[[#This Row],[Material-Nhập]],MD_Main_SKU[Main SKU],MD_Main_SKU[SKU name_gom])</f>
        <v>Phó sản</v>
      </c>
    </row>
    <row r="527" spans="1:13" x14ac:dyDescent="0.35">
      <c r="A527">
        <v>2025</v>
      </c>
      <c r="B527">
        <v>1</v>
      </c>
      <c r="C527" t="s">
        <v>16</v>
      </c>
      <c r="D527" t="s">
        <v>17</v>
      </c>
      <c r="E527" t="s">
        <v>89</v>
      </c>
      <c r="F527" t="s">
        <v>90</v>
      </c>
      <c r="G527" s="2">
        <v>0</v>
      </c>
      <c r="H527" s="2">
        <v>0</v>
      </c>
      <c r="I527" s="2">
        <v>0</v>
      </c>
      <c r="J527" s="2">
        <v>10427.999999999998</v>
      </c>
      <c r="K527" s="2">
        <v>10427.999999999998</v>
      </c>
      <c r="L527" s="2" t="str">
        <f>_xlfn.XLOOKUP(Data_Nhập[[#This Row],[Main SKU]],MD_Main_SKU[Main SKU],MD_Main_SKU[SKU name_gom])</f>
        <v>WSS01</v>
      </c>
      <c r="M527" s="2" t="str">
        <f>_xlfn.XLOOKUP(Data_Nhập[[#This Row],[Material-Nhập]],MD_Main_SKU[Main SKU],MD_Main_SKU[SKU name_gom])</f>
        <v>Phó sản</v>
      </c>
    </row>
    <row r="528" spans="1:13" x14ac:dyDescent="0.35">
      <c r="A528">
        <v>2025</v>
      </c>
      <c r="B528">
        <v>1</v>
      </c>
      <c r="C528" t="s">
        <v>16</v>
      </c>
      <c r="D528" t="s">
        <v>17</v>
      </c>
      <c r="E528" t="s">
        <v>91</v>
      </c>
      <c r="F528" t="s">
        <v>92</v>
      </c>
      <c r="G528" s="2">
        <v>0</v>
      </c>
      <c r="H528" s="2">
        <v>0</v>
      </c>
      <c r="I528" s="2">
        <v>0</v>
      </c>
      <c r="J528" s="2">
        <v>1800</v>
      </c>
      <c r="K528" s="2">
        <v>1800</v>
      </c>
      <c r="L528" s="2" t="str">
        <f>_xlfn.XLOOKUP(Data_Nhập[[#This Row],[Main SKU]],MD_Main_SKU[Main SKU],MD_Main_SKU[SKU name_gom])</f>
        <v>WSS01</v>
      </c>
      <c r="M528" s="2" t="str">
        <f>_xlfn.XLOOKUP(Data_Nhập[[#This Row],[Material-Nhập]],MD_Main_SKU[Main SKU],MD_Main_SKU[SKU name_gom])</f>
        <v>Phó sản</v>
      </c>
    </row>
    <row r="529" spans="1:13" x14ac:dyDescent="0.35">
      <c r="A529">
        <v>2025</v>
      </c>
      <c r="B529">
        <v>1</v>
      </c>
      <c r="C529" t="s">
        <v>16</v>
      </c>
      <c r="D529" t="s">
        <v>17</v>
      </c>
      <c r="E529" t="s">
        <v>117</v>
      </c>
      <c r="F529" t="s">
        <v>86</v>
      </c>
      <c r="G529" s="2">
        <v>0</v>
      </c>
      <c r="H529" s="2">
        <v>0</v>
      </c>
      <c r="I529" s="2">
        <v>0</v>
      </c>
      <c r="J529" s="2">
        <v>4210</v>
      </c>
      <c r="K529" s="2">
        <v>4210</v>
      </c>
      <c r="L529" s="2" t="str">
        <f>_xlfn.XLOOKUP(Data_Nhập[[#This Row],[Main SKU]],MD_Main_SKU[Main SKU],MD_Main_SKU[SKU name_gom])</f>
        <v>WSS01</v>
      </c>
      <c r="M529" s="2" t="str">
        <f>_xlfn.XLOOKUP(Data_Nhập[[#This Row],[Material-Nhập]],MD_Main_SKU[Main SKU],MD_Main_SKU[SKU name_gom])</f>
        <v>Phó sản</v>
      </c>
    </row>
    <row r="530" spans="1:13" x14ac:dyDescent="0.35">
      <c r="A530">
        <v>2025</v>
      </c>
      <c r="B530">
        <v>1</v>
      </c>
      <c r="C530" t="s">
        <v>18</v>
      </c>
      <c r="D530" t="s">
        <v>19</v>
      </c>
      <c r="E530" t="s">
        <v>14</v>
      </c>
      <c r="F530" t="s">
        <v>15</v>
      </c>
      <c r="G530" s="2">
        <v>0</v>
      </c>
      <c r="H530" s="2">
        <v>8800</v>
      </c>
      <c r="I530" s="2">
        <v>8800</v>
      </c>
      <c r="J530" s="2">
        <v>0</v>
      </c>
      <c r="K530" s="2">
        <v>8800</v>
      </c>
      <c r="L530" s="2" t="str">
        <f>_xlfn.XLOOKUP(Data_Nhập[[#This Row],[Main SKU]],MD_Main_SKU[Main SKU],MD_Main_SKU[SKU name_gom])</f>
        <v>iSS01</v>
      </c>
      <c r="M530" s="2" t="str">
        <f>_xlfn.XLOOKUP(Data_Nhập[[#This Row],[Material-Nhập]],MD_Main_SKU[Main SKU],MD_Main_SKU[SKU name_gom])</f>
        <v>iSS01084</v>
      </c>
    </row>
    <row r="531" spans="1:13" x14ac:dyDescent="0.35">
      <c r="A531">
        <v>2025</v>
      </c>
      <c r="B531">
        <v>1</v>
      </c>
      <c r="C531" t="s">
        <v>18</v>
      </c>
      <c r="D531" t="s">
        <v>19</v>
      </c>
      <c r="E531" t="s">
        <v>18</v>
      </c>
      <c r="F531" t="s">
        <v>19</v>
      </c>
      <c r="G531" s="2">
        <v>181500</v>
      </c>
      <c r="H531" s="2">
        <v>0</v>
      </c>
      <c r="I531" s="2">
        <v>181500</v>
      </c>
      <c r="J531" s="2">
        <v>0</v>
      </c>
      <c r="K531" s="2">
        <v>181500</v>
      </c>
      <c r="L531" s="2" t="str">
        <f>_xlfn.XLOOKUP(Data_Nhập[[#This Row],[Main SKU]],MD_Main_SKU[Main SKU],MD_Main_SKU[SKU name_gom])</f>
        <v>iSS01</v>
      </c>
      <c r="M531" s="2" t="str">
        <f>_xlfn.XLOOKUP(Data_Nhập[[#This Row],[Material-Nhập]],MD_Main_SKU[Main SKU],MD_Main_SKU[SKU name_gom])</f>
        <v>iSS01</v>
      </c>
    </row>
    <row r="532" spans="1:13" x14ac:dyDescent="0.35">
      <c r="A532">
        <v>2025</v>
      </c>
      <c r="B532">
        <v>1</v>
      </c>
      <c r="C532" t="s">
        <v>18</v>
      </c>
      <c r="D532" t="s">
        <v>19</v>
      </c>
      <c r="E532" t="s">
        <v>22</v>
      </c>
      <c r="F532" t="s">
        <v>23</v>
      </c>
      <c r="G532" s="2">
        <v>0</v>
      </c>
      <c r="H532" s="2">
        <v>3300</v>
      </c>
      <c r="I532" s="2">
        <v>3300</v>
      </c>
      <c r="J532" s="2">
        <v>0</v>
      </c>
      <c r="K532" s="2">
        <v>3300</v>
      </c>
      <c r="L532" s="2" t="str">
        <f>_xlfn.XLOOKUP(Data_Nhập[[#This Row],[Main SKU]],MD_Main_SKU[Main SKU],MD_Main_SKU[SKU name_gom])</f>
        <v>iSS01</v>
      </c>
      <c r="M532" s="2" t="str">
        <f>_xlfn.XLOOKUP(Data_Nhập[[#This Row],[Material-Nhập]],MD_Main_SKU[Main SKU],MD_Main_SKU[SKU name_gom])</f>
        <v>WSS03</v>
      </c>
    </row>
    <row r="533" spans="1:13" x14ac:dyDescent="0.35">
      <c r="A533">
        <v>2025</v>
      </c>
      <c r="B533">
        <v>1</v>
      </c>
      <c r="C533" t="s">
        <v>18</v>
      </c>
      <c r="D533" t="s">
        <v>19</v>
      </c>
      <c r="E533" t="s">
        <v>34</v>
      </c>
      <c r="F533" t="s">
        <v>35</v>
      </c>
      <c r="G533" s="2">
        <v>0</v>
      </c>
      <c r="H533" s="2">
        <v>2200</v>
      </c>
      <c r="I533" s="2">
        <v>2200</v>
      </c>
      <c r="J533" s="2">
        <v>0</v>
      </c>
      <c r="K533" s="2">
        <v>2200</v>
      </c>
      <c r="L533" s="2" t="str">
        <f>_xlfn.XLOOKUP(Data_Nhập[[#This Row],[Main SKU]],MD_Main_SKU[Main SKU],MD_Main_SKU[SKU name_gom])</f>
        <v>iSS01</v>
      </c>
      <c r="M533" s="2" t="str">
        <f>_xlfn.XLOOKUP(Data_Nhập[[#This Row],[Material-Nhập]],MD_Main_SKU[Main SKU],MD_Main_SKU[SKU name_gom])</f>
        <v>WSS03-PL</v>
      </c>
    </row>
    <row r="534" spans="1:13" x14ac:dyDescent="0.35">
      <c r="A534">
        <v>2025</v>
      </c>
      <c r="B534">
        <v>1</v>
      </c>
      <c r="C534" t="s">
        <v>18</v>
      </c>
      <c r="D534" t="s">
        <v>19</v>
      </c>
      <c r="E534" t="s">
        <v>87</v>
      </c>
      <c r="F534" t="s">
        <v>88</v>
      </c>
      <c r="G534" s="2">
        <v>0</v>
      </c>
      <c r="H534" s="2">
        <v>0</v>
      </c>
      <c r="I534" s="2">
        <v>0</v>
      </c>
      <c r="J534" s="2">
        <v>1500</v>
      </c>
      <c r="K534" s="2">
        <v>1500</v>
      </c>
      <c r="L534" s="2" t="str">
        <f>_xlfn.XLOOKUP(Data_Nhập[[#This Row],[Main SKU]],MD_Main_SKU[Main SKU],MD_Main_SKU[SKU name_gom])</f>
        <v>iSS01</v>
      </c>
      <c r="M534" s="2" t="str">
        <f>_xlfn.XLOOKUP(Data_Nhập[[#This Row],[Material-Nhập]],MD_Main_SKU[Main SKU],MD_Main_SKU[SKU name_gom])</f>
        <v>Phó sản</v>
      </c>
    </row>
    <row r="535" spans="1:13" x14ac:dyDescent="0.35">
      <c r="A535">
        <v>2025</v>
      </c>
      <c r="B535">
        <v>1</v>
      </c>
      <c r="C535" t="s">
        <v>18</v>
      </c>
      <c r="D535" t="s">
        <v>19</v>
      </c>
      <c r="E535" t="s">
        <v>89</v>
      </c>
      <c r="F535" t="s">
        <v>90</v>
      </c>
      <c r="G535" s="2">
        <v>0</v>
      </c>
      <c r="H535" s="2">
        <v>0</v>
      </c>
      <c r="I535" s="2">
        <v>0</v>
      </c>
      <c r="J535" s="2">
        <v>1540</v>
      </c>
      <c r="K535" s="2">
        <v>1540</v>
      </c>
      <c r="L535" s="2" t="str">
        <f>_xlfn.XLOOKUP(Data_Nhập[[#This Row],[Main SKU]],MD_Main_SKU[Main SKU],MD_Main_SKU[SKU name_gom])</f>
        <v>iSS01</v>
      </c>
      <c r="M535" s="2" t="str">
        <f>_xlfn.XLOOKUP(Data_Nhập[[#This Row],[Material-Nhập]],MD_Main_SKU[Main SKU],MD_Main_SKU[SKU name_gom])</f>
        <v>Phó sản</v>
      </c>
    </row>
    <row r="536" spans="1:13" x14ac:dyDescent="0.35">
      <c r="A536">
        <v>2025</v>
      </c>
      <c r="B536">
        <v>1</v>
      </c>
      <c r="C536" t="s">
        <v>18</v>
      </c>
      <c r="D536" t="s">
        <v>19</v>
      </c>
      <c r="E536" t="s">
        <v>117</v>
      </c>
      <c r="F536" t="s">
        <v>86</v>
      </c>
      <c r="G536" s="2">
        <v>0</v>
      </c>
      <c r="H536" s="2">
        <v>0</v>
      </c>
      <c r="I536" s="2">
        <v>0</v>
      </c>
      <c r="J536" s="2">
        <v>1000</v>
      </c>
      <c r="K536" s="2">
        <v>1000</v>
      </c>
      <c r="L536" s="2" t="str">
        <f>_xlfn.XLOOKUP(Data_Nhập[[#This Row],[Main SKU]],MD_Main_SKU[Main SKU],MD_Main_SKU[SKU name_gom])</f>
        <v>iSS01</v>
      </c>
      <c r="M536" s="2" t="str">
        <f>_xlfn.XLOOKUP(Data_Nhập[[#This Row],[Material-Nhập]],MD_Main_SKU[Main SKU],MD_Main_SKU[SKU name_gom])</f>
        <v>Phó sản</v>
      </c>
    </row>
    <row r="537" spans="1:13" x14ac:dyDescent="0.35">
      <c r="A537">
        <v>2025</v>
      </c>
      <c r="B537">
        <v>1</v>
      </c>
      <c r="C537" t="s">
        <v>115</v>
      </c>
      <c r="D537" t="s">
        <v>116</v>
      </c>
      <c r="E537" t="s">
        <v>115</v>
      </c>
      <c r="F537" t="s">
        <v>116</v>
      </c>
      <c r="G537" s="2">
        <v>72600</v>
      </c>
      <c r="H537" s="2">
        <v>0</v>
      </c>
      <c r="I537" s="2">
        <v>72600</v>
      </c>
      <c r="J537" s="2">
        <v>0</v>
      </c>
      <c r="K537" s="2">
        <v>72600</v>
      </c>
      <c r="L537" s="2" t="str">
        <f>_xlfn.XLOOKUP(Data_Nhập[[#This Row],[Main SKU]],MD_Main_SKU[Main SKU],MD_Main_SKU[SKU name_gom])</f>
        <v>WSS05</v>
      </c>
      <c r="M537" s="2" t="str">
        <f>_xlfn.XLOOKUP(Data_Nhập[[#This Row],[Material-Nhập]],MD_Main_SKU[Main SKU],MD_Main_SKU[SKU name_gom])</f>
        <v>WSS05</v>
      </c>
    </row>
    <row r="538" spans="1:13" x14ac:dyDescent="0.35">
      <c r="A538">
        <v>2025</v>
      </c>
      <c r="B538">
        <v>1</v>
      </c>
      <c r="C538" t="s">
        <v>115</v>
      </c>
      <c r="D538" t="s">
        <v>116</v>
      </c>
      <c r="E538" t="s">
        <v>118</v>
      </c>
      <c r="F538" t="s">
        <v>119</v>
      </c>
      <c r="G538" s="2">
        <v>0</v>
      </c>
      <c r="H538" s="2">
        <v>17600</v>
      </c>
      <c r="I538" s="2">
        <v>17600</v>
      </c>
      <c r="J538" s="2">
        <v>0</v>
      </c>
      <c r="K538" s="2">
        <v>17600</v>
      </c>
      <c r="L538" s="2" t="str">
        <f>_xlfn.XLOOKUP(Data_Nhập[[#This Row],[Main SKU]],MD_Main_SKU[Main SKU],MD_Main_SKU[SKU name_gom])</f>
        <v>WSS05</v>
      </c>
      <c r="M538" s="2" t="str">
        <f>_xlfn.XLOOKUP(Data_Nhập[[#This Row],[Material-Nhập]],MD_Main_SKU[Main SKU],MD_Main_SKU[SKU name_gom])</f>
        <v>WSS05</v>
      </c>
    </row>
    <row r="539" spans="1:13" x14ac:dyDescent="0.35">
      <c r="A539">
        <v>2025</v>
      </c>
      <c r="B539">
        <v>1</v>
      </c>
      <c r="C539" t="s">
        <v>115</v>
      </c>
      <c r="D539" t="s">
        <v>116</v>
      </c>
      <c r="E539" t="s">
        <v>87</v>
      </c>
      <c r="F539" t="s">
        <v>88</v>
      </c>
      <c r="G539" s="2">
        <v>0</v>
      </c>
      <c r="H539" s="2">
        <v>0</v>
      </c>
      <c r="I539" s="2">
        <v>0</v>
      </c>
      <c r="J539" s="2">
        <v>2400</v>
      </c>
      <c r="K539" s="2">
        <v>2400</v>
      </c>
      <c r="L539" s="2" t="str">
        <f>_xlfn.XLOOKUP(Data_Nhập[[#This Row],[Main SKU]],MD_Main_SKU[Main SKU],MD_Main_SKU[SKU name_gom])</f>
        <v>WSS05</v>
      </c>
      <c r="M539" s="2" t="str">
        <f>_xlfn.XLOOKUP(Data_Nhập[[#This Row],[Material-Nhập]],MD_Main_SKU[Main SKU],MD_Main_SKU[SKU name_gom])</f>
        <v>Phó sản</v>
      </c>
    </row>
    <row r="540" spans="1:13" x14ac:dyDescent="0.35">
      <c r="A540">
        <v>2025</v>
      </c>
      <c r="B540">
        <v>1</v>
      </c>
      <c r="C540" t="s">
        <v>115</v>
      </c>
      <c r="D540" t="s">
        <v>116</v>
      </c>
      <c r="E540" t="s">
        <v>117</v>
      </c>
      <c r="F540" t="s">
        <v>86</v>
      </c>
      <c r="G540" s="2">
        <v>0</v>
      </c>
      <c r="H540" s="2">
        <v>0</v>
      </c>
      <c r="I540" s="2">
        <v>0</v>
      </c>
      <c r="J540" s="2">
        <v>4550</v>
      </c>
      <c r="K540" s="2">
        <v>4550</v>
      </c>
      <c r="L540" s="2" t="str">
        <f>_xlfn.XLOOKUP(Data_Nhập[[#This Row],[Main SKU]],MD_Main_SKU[Main SKU],MD_Main_SKU[SKU name_gom])</f>
        <v>WSS05</v>
      </c>
      <c r="M540" s="2" t="str">
        <f>_xlfn.XLOOKUP(Data_Nhập[[#This Row],[Material-Nhập]],MD_Main_SKU[Main SKU],MD_Main_SKU[SKU name_gom])</f>
        <v>Phó sản</v>
      </c>
    </row>
    <row r="541" spans="1:13" x14ac:dyDescent="0.35">
      <c r="A541">
        <v>2025</v>
      </c>
      <c r="B541">
        <v>1</v>
      </c>
      <c r="C541" t="s">
        <v>118</v>
      </c>
      <c r="D541" t="s">
        <v>119</v>
      </c>
      <c r="E541" t="s">
        <v>115</v>
      </c>
      <c r="F541" t="s">
        <v>116</v>
      </c>
      <c r="G541" s="2">
        <v>0</v>
      </c>
      <c r="H541" s="2">
        <v>2200</v>
      </c>
      <c r="I541" s="2">
        <v>2200</v>
      </c>
      <c r="J541" s="2">
        <v>0</v>
      </c>
      <c r="K541" s="2">
        <v>2200</v>
      </c>
      <c r="L541" s="2" t="str">
        <f>_xlfn.XLOOKUP(Data_Nhập[[#This Row],[Main SKU]],MD_Main_SKU[Main SKU],MD_Main_SKU[SKU name_gom])</f>
        <v>WSS05</v>
      </c>
      <c r="M541" s="2" t="str">
        <f>_xlfn.XLOOKUP(Data_Nhập[[#This Row],[Material-Nhập]],MD_Main_SKU[Main SKU],MD_Main_SKU[SKU name_gom])</f>
        <v>WSS05</v>
      </c>
    </row>
    <row r="542" spans="1:13" x14ac:dyDescent="0.35">
      <c r="A542">
        <v>2025</v>
      </c>
      <c r="B542">
        <v>1</v>
      </c>
      <c r="C542" t="s">
        <v>118</v>
      </c>
      <c r="D542" t="s">
        <v>119</v>
      </c>
      <c r="E542" t="s">
        <v>118</v>
      </c>
      <c r="F542" t="s">
        <v>119</v>
      </c>
      <c r="G542" s="2">
        <v>12100</v>
      </c>
      <c r="H542" s="2">
        <v>0</v>
      </c>
      <c r="I542" s="2">
        <v>12100</v>
      </c>
      <c r="J542" s="2">
        <v>0</v>
      </c>
      <c r="K542" s="2">
        <v>12100</v>
      </c>
      <c r="L542" s="2" t="str">
        <f>_xlfn.XLOOKUP(Data_Nhập[[#This Row],[Main SKU]],MD_Main_SKU[Main SKU],MD_Main_SKU[SKU name_gom])</f>
        <v>WSS05</v>
      </c>
      <c r="M542" s="2" t="str">
        <f>_xlfn.XLOOKUP(Data_Nhập[[#This Row],[Material-Nhập]],MD_Main_SKU[Main SKU],MD_Main_SKU[SKU name_gom])</f>
        <v>WSS05</v>
      </c>
    </row>
    <row r="543" spans="1:13" x14ac:dyDescent="0.35">
      <c r="A543">
        <v>2025</v>
      </c>
      <c r="B543">
        <v>1</v>
      </c>
      <c r="C543" t="s">
        <v>118</v>
      </c>
      <c r="D543" t="s">
        <v>119</v>
      </c>
      <c r="E543" t="s">
        <v>87</v>
      </c>
      <c r="F543" t="s">
        <v>88</v>
      </c>
      <c r="G543" s="2">
        <v>0</v>
      </c>
      <c r="H543" s="2">
        <v>0</v>
      </c>
      <c r="I543" s="2">
        <v>0</v>
      </c>
      <c r="J543" s="2">
        <v>2100</v>
      </c>
      <c r="K543" s="2">
        <v>2100</v>
      </c>
      <c r="L543" s="2" t="str">
        <f>_xlfn.XLOOKUP(Data_Nhập[[#This Row],[Main SKU]],MD_Main_SKU[Main SKU],MD_Main_SKU[SKU name_gom])</f>
        <v>WSS05</v>
      </c>
      <c r="M543" s="2" t="str">
        <f>_xlfn.XLOOKUP(Data_Nhập[[#This Row],[Material-Nhập]],MD_Main_SKU[Main SKU],MD_Main_SKU[SKU name_gom])</f>
        <v>Phó sản</v>
      </c>
    </row>
    <row r="544" spans="1:13" x14ac:dyDescent="0.35">
      <c r="A544">
        <v>2025</v>
      </c>
      <c r="B544">
        <v>1</v>
      </c>
      <c r="C544" t="s">
        <v>118</v>
      </c>
      <c r="D544" t="s">
        <v>119</v>
      </c>
      <c r="E544" t="s">
        <v>117</v>
      </c>
      <c r="F544" t="s">
        <v>86</v>
      </c>
      <c r="G544" s="2">
        <v>0</v>
      </c>
      <c r="H544" s="2">
        <v>0</v>
      </c>
      <c r="I544" s="2">
        <v>0</v>
      </c>
      <c r="J544" s="2">
        <v>1600</v>
      </c>
      <c r="K544" s="2">
        <v>1600</v>
      </c>
      <c r="L544" s="2" t="str">
        <f>_xlfn.XLOOKUP(Data_Nhập[[#This Row],[Main SKU]],MD_Main_SKU[Main SKU],MD_Main_SKU[SKU name_gom])</f>
        <v>WSS05</v>
      </c>
      <c r="M544" s="2" t="str">
        <f>_xlfn.XLOOKUP(Data_Nhập[[#This Row],[Material-Nhập]],MD_Main_SKU[Main SKU],MD_Main_SKU[SKU name_gom])</f>
        <v>Phó sản</v>
      </c>
    </row>
    <row r="545" spans="1:13" x14ac:dyDescent="0.35">
      <c r="A545">
        <v>2025</v>
      </c>
      <c r="B545">
        <v>1</v>
      </c>
      <c r="C545" t="s">
        <v>44</v>
      </c>
      <c r="D545" t="s">
        <v>45</v>
      </c>
      <c r="E545" t="s">
        <v>44</v>
      </c>
      <c r="F545" t="s">
        <v>45</v>
      </c>
      <c r="G545" s="2">
        <v>30800</v>
      </c>
      <c r="H545" s="2">
        <v>0</v>
      </c>
      <c r="I545" s="2">
        <v>30800</v>
      </c>
      <c r="J545" s="2">
        <v>0</v>
      </c>
      <c r="K545" s="2">
        <v>30800</v>
      </c>
      <c r="L545" s="2" t="str">
        <f>_xlfn.XLOOKUP(Data_Nhập[[#This Row],[Main SKU]],MD_Main_SKU[Main SKU],MD_Main_SKU[SKU name_gom])</f>
        <v>iSS01</v>
      </c>
      <c r="M545" s="2" t="str">
        <f>_xlfn.XLOOKUP(Data_Nhập[[#This Row],[Material-Nhập]],MD_Main_SKU[Main SKU],MD_Main_SKU[SKU name_gom])</f>
        <v>iSS01</v>
      </c>
    </row>
    <row r="546" spans="1:13" x14ac:dyDescent="0.35">
      <c r="A546">
        <v>2025</v>
      </c>
      <c r="B546">
        <v>1</v>
      </c>
      <c r="C546" t="s">
        <v>44</v>
      </c>
      <c r="D546" t="s">
        <v>45</v>
      </c>
      <c r="E546" t="s">
        <v>46</v>
      </c>
      <c r="F546" t="s">
        <v>47</v>
      </c>
      <c r="G546" s="2">
        <v>0</v>
      </c>
      <c r="H546" s="2">
        <v>1100</v>
      </c>
      <c r="I546" s="2">
        <v>1100</v>
      </c>
      <c r="J546" s="2">
        <v>0</v>
      </c>
      <c r="K546" s="2">
        <v>1100</v>
      </c>
      <c r="L546" s="2" t="str">
        <f>_xlfn.XLOOKUP(Data_Nhập[[#This Row],[Main SKU]],MD_Main_SKU[Main SKU],MD_Main_SKU[SKU name_gom])</f>
        <v>iSS01</v>
      </c>
      <c r="M546" s="2" t="str">
        <f>_xlfn.XLOOKUP(Data_Nhập[[#This Row],[Material-Nhập]],MD_Main_SKU[Main SKU],MD_Main_SKU[SKU name_gom])</f>
        <v>iSS01-PL</v>
      </c>
    </row>
    <row r="547" spans="1:13" x14ac:dyDescent="0.35">
      <c r="A547">
        <v>2025</v>
      </c>
      <c r="B547">
        <v>1</v>
      </c>
      <c r="C547" t="s">
        <v>44</v>
      </c>
      <c r="D547" t="s">
        <v>45</v>
      </c>
      <c r="E547" t="s">
        <v>87</v>
      </c>
      <c r="F547" t="s">
        <v>88</v>
      </c>
      <c r="G547" s="2">
        <v>0</v>
      </c>
      <c r="H547" s="2">
        <v>0</v>
      </c>
      <c r="I547" s="2">
        <v>0</v>
      </c>
      <c r="J547" s="2">
        <v>1000</v>
      </c>
      <c r="K547" s="2">
        <v>1000</v>
      </c>
      <c r="L547" s="2" t="str">
        <f>_xlfn.XLOOKUP(Data_Nhập[[#This Row],[Main SKU]],MD_Main_SKU[Main SKU],MD_Main_SKU[SKU name_gom])</f>
        <v>iSS01</v>
      </c>
      <c r="M547" s="2" t="str">
        <f>_xlfn.XLOOKUP(Data_Nhập[[#This Row],[Material-Nhập]],MD_Main_SKU[Main SKU],MD_Main_SKU[SKU name_gom])</f>
        <v>Phó sản</v>
      </c>
    </row>
    <row r="548" spans="1:13" x14ac:dyDescent="0.35">
      <c r="A548">
        <v>2025</v>
      </c>
      <c r="B548">
        <v>1</v>
      </c>
      <c r="C548" t="s">
        <v>44</v>
      </c>
      <c r="D548" t="s">
        <v>45</v>
      </c>
      <c r="E548" t="s">
        <v>89</v>
      </c>
      <c r="F548" t="s">
        <v>90</v>
      </c>
      <c r="G548" s="2">
        <v>0</v>
      </c>
      <c r="H548" s="2">
        <v>0</v>
      </c>
      <c r="I548" s="2">
        <v>0</v>
      </c>
      <c r="J548" s="2">
        <v>1100</v>
      </c>
      <c r="K548" s="2">
        <v>1100</v>
      </c>
      <c r="L548" s="2" t="str">
        <f>_xlfn.XLOOKUP(Data_Nhập[[#This Row],[Main SKU]],MD_Main_SKU[Main SKU],MD_Main_SKU[SKU name_gom])</f>
        <v>iSS01</v>
      </c>
      <c r="M548" s="2" t="str">
        <f>_xlfn.XLOOKUP(Data_Nhập[[#This Row],[Material-Nhập]],MD_Main_SKU[Main SKU],MD_Main_SKU[SKU name_gom])</f>
        <v>Phó sản</v>
      </c>
    </row>
    <row r="549" spans="1:13" x14ac:dyDescent="0.35">
      <c r="A549">
        <v>2025</v>
      </c>
      <c r="B549">
        <v>1</v>
      </c>
      <c r="C549" t="s">
        <v>44</v>
      </c>
      <c r="D549" t="s">
        <v>45</v>
      </c>
      <c r="E549" t="s">
        <v>117</v>
      </c>
      <c r="F549" t="s">
        <v>86</v>
      </c>
      <c r="G549" s="2">
        <v>0</v>
      </c>
      <c r="H549" s="2">
        <v>0</v>
      </c>
      <c r="I549" s="2">
        <v>0</v>
      </c>
      <c r="J549" s="2">
        <v>1550</v>
      </c>
      <c r="K549" s="2">
        <v>1550</v>
      </c>
      <c r="L549" s="2" t="str">
        <f>_xlfn.XLOOKUP(Data_Nhập[[#This Row],[Main SKU]],MD_Main_SKU[Main SKU],MD_Main_SKU[SKU name_gom])</f>
        <v>iSS01</v>
      </c>
      <c r="M549" s="2" t="str">
        <f>_xlfn.XLOOKUP(Data_Nhập[[#This Row],[Material-Nhập]],MD_Main_SKU[Main SKU],MD_Main_SKU[SKU name_gom])</f>
        <v>Phó sản</v>
      </c>
    </row>
    <row r="550" spans="1:13" x14ac:dyDescent="0.35">
      <c r="A550">
        <v>2025</v>
      </c>
      <c r="B550">
        <v>1</v>
      </c>
      <c r="C550" t="s">
        <v>48</v>
      </c>
      <c r="D550" t="s">
        <v>49</v>
      </c>
      <c r="E550" t="s">
        <v>22</v>
      </c>
      <c r="F550" t="s">
        <v>23</v>
      </c>
      <c r="G550" s="2">
        <v>0</v>
      </c>
      <c r="H550" s="2">
        <v>892</v>
      </c>
      <c r="I550" s="2">
        <v>892</v>
      </c>
      <c r="J550" s="2">
        <v>0</v>
      </c>
      <c r="K550" s="2">
        <v>892</v>
      </c>
      <c r="L550" s="2" t="str">
        <f>_xlfn.XLOOKUP(Data_Nhập[[#This Row],[Main SKU]],MD_Main_SKU[Main SKU],MD_Main_SKU[SKU name_gom])</f>
        <v>WSS01</v>
      </c>
      <c r="M550" s="2" t="str">
        <f>_xlfn.XLOOKUP(Data_Nhập[[#This Row],[Material-Nhập]],MD_Main_SKU[Main SKU],MD_Main_SKU[SKU name_gom])</f>
        <v>WSS03</v>
      </c>
    </row>
    <row r="551" spans="1:13" x14ac:dyDescent="0.35">
      <c r="A551">
        <v>2025</v>
      </c>
      <c r="B551">
        <v>1</v>
      </c>
      <c r="C551" t="s">
        <v>48</v>
      </c>
      <c r="D551" t="s">
        <v>49</v>
      </c>
      <c r="E551" t="s">
        <v>48</v>
      </c>
      <c r="F551" t="s">
        <v>49</v>
      </c>
      <c r="G551" s="2">
        <v>10242</v>
      </c>
      <c r="H551" s="2">
        <v>0</v>
      </c>
      <c r="I551" s="2">
        <v>10242</v>
      </c>
      <c r="J551" s="2">
        <v>0</v>
      </c>
      <c r="K551" s="2">
        <v>10242</v>
      </c>
      <c r="L551" s="2" t="str">
        <f>_xlfn.XLOOKUP(Data_Nhập[[#This Row],[Main SKU]],MD_Main_SKU[Main SKU],MD_Main_SKU[SKU name_gom])</f>
        <v>WSS01</v>
      </c>
      <c r="M551" s="2" t="str">
        <f>_xlfn.XLOOKUP(Data_Nhập[[#This Row],[Material-Nhập]],MD_Main_SKU[Main SKU],MD_Main_SKU[SKU name_gom])</f>
        <v>WSS01</v>
      </c>
    </row>
    <row r="552" spans="1:13" x14ac:dyDescent="0.35">
      <c r="A552">
        <v>2025</v>
      </c>
      <c r="B552">
        <v>1</v>
      </c>
      <c r="C552" t="s">
        <v>48</v>
      </c>
      <c r="D552" t="s">
        <v>49</v>
      </c>
      <c r="E552" t="s">
        <v>87</v>
      </c>
      <c r="F552" t="s">
        <v>88</v>
      </c>
      <c r="G552" s="2">
        <v>0</v>
      </c>
      <c r="H552" s="2">
        <v>0</v>
      </c>
      <c r="I552" s="2">
        <v>0</v>
      </c>
      <c r="J552" s="2">
        <v>1350</v>
      </c>
      <c r="K552" s="2">
        <v>1350</v>
      </c>
      <c r="L552" s="2" t="str">
        <f>_xlfn.XLOOKUP(Data_Nhập[[#This Row],[Main SKU]],MD_Main_SKU[Main SKU],MD_Main_SKU[SKU name_gom])</f>
        <v>WSS01</v>
      </c>
      <c r="M552" s="2" t="str">
        <f>_xlfn.XLOOKUP(Data_Nhập[[#This Row],[Material-Nhập]],MD_Main_SKU[Main SKU],MD_Main_SKU[SKU name_gom])</f>
        <v>Phó sản</v>
      </c>
    </row>
    <row r="553" spans="1:13" x14ac:dyDescent="0.35">
      <c r="A553">
        <v>2025</v>
      </c>
      <c r="B553">
        <v>1</v>
      </c>
      <c r="C553" t="s">
        <v>48</v>
      </c>
      <c r="D553" t="s">
        <v>49</v>
      </c>
      <c r="E553" t="s">
        <v>89</v>
      </c>
      <c r="F553" t="s">
        <v>90</v>
      </c>
      <c r="G553" s="2">
        <v>0</v>
      </c>
      <c r="H553" s="2">
        <v>0</v>
      </c>
      <c r="I553" s="2">
        <v>0</v>
      </c>
      <c r="J553" s="2">
        <v>803</v>
      </c>
      <c r="K553" s="2">
        <v>803</v>
      </c>
      <c r="L553" s="2" t="str">
        <f>_xlfn.XLOOKUP(Data_Nhập[[#This Row],[Main SKU]],MD_Main_SKU[Main SKU],MD_Main_SKU[SKU name_gom])</f>
        <v>WSS01</v>
      </c>
      <c r="M553" s="2" t="str">
        <f>_xlfn.XLOOKUP(Data_Nhập[[#This Row],[Material-Nhập]],MD_Main_SKU[Main SKU],MD_Main_SKU[SKU name_gom])</f>
        <v>Phó sản</v>
      </c>
    </row>
    <row r="554" spans="1:13" x14ac:dyDescent="0.35">
      <c r="A554">
        <v>2025</v>
      </c>
      <c r="B554">
        <v>1</v>
      </c>
      <c r="C554" t="s">
        <v>48</v>
      </c>
      <c r="D554" t="s">
        <v>49</v>
      </c>
      <c r="E554" t="s">
        <v>117</v>
      </c>
      <c r="F554" t="s">
        <v>86</v>
      </c>
      <c r="G554" s="2">
        <v>0</v>
      </c>
      <c r="H554" s="2">
        <v>0</v>
      </c>
      <c r="I554" s="2">
        <v>0</v>
      </c>
      <c r="J554" s="2">
        <v>1610</v>
      </c>
      <c r="K554" s="2">
        <v>1610</v>
      </c>
      <c r="L554" s="2" t="str">
        <f>_xlfn.XLOOKUP(Data_Nhập[[#This Row],[Main SKU]],MD_Main_SKU[Main SKU],MD_Main_SKU[SKU name_gom])</f>
        <v>WSS01</v>
      </c>
      <c r="M554" s="2" t="str">
        <f>_xlfn.XLOOKUP(Data_Nhập[[#This Row],[Material-Nhập]],MD_Main_SKU[Main SKU],MD_Main_SKU[SKU name_gom])</f>
        <v>Phó sản</v>
      </c>
    </row>
    <row r="555" spans="1:13" x14ac:dyDescent="0.35">
      <c r="A555">
        <v>2025</v>
      </c>
      <c r="B555">
        <v>2</v>
      </c>
      <c r="C555" t="s">
        <v>8</v>
      </c>
      <c r="D555" t="s">
        <v>9</v>
      </c>
      <c r="E555" t="s">
        <v>8</v>
      </c>
      <c r="F555" t="s">
        <v>9</v>
      </c>
      <c r="G555" s="2">
        <v>91300</v>
      </c>
      <c r="H555" s="2">
        <v>0</v>
      </c>
      <c r="I555" s="2">
        <v>91300</v>
      </c>
      <c r="J555" s="2">
        <v>0</v>
      </c>
      <c r="K555" s="2">
        <v>91300</v>
      </c>
      <c r="L555" s="2" t="str">
        <f>_xlfn.XLOOKUP(Data_Nhập[[#This Row],[Main SKU]],MD_Main_SKU[Main SKU],MD_Main_SKU[SKU name_gom])</f>
        <v>WSS01</v>
      </c>
      <c r="M555" s="2" t="str">
        <f>_xlfn.XLOOKUP(Data_Nhập[[#This Row],[Material-Nhập]],MD_Main_SKU[Main SKU],MD_Main_SKU[SKU name_gom])</f>
        <v>WSS01</v>
      </c>
    </row>
    <row r="556" spans="1:13" x14ac:dyDescent="0.35">
      <c r="A556">
        <v>2025</v>
      </c>
      <c r="B556">
        <v>2</v>
      </c>
      <c r="C556" t="s">
        <v>8</v>
      </c>
      <c r="D556" t="s">
        <v>9</v>
      </c>
      <c r="E556" t="s">
        <v>22</v>
      </c>
      <c r="F556" t="s">
        <v>23</v>
      </c>
      <c r="G556" s="2">
        <v>0</v>
      </c>
      <c r="H556" s="2">
        <v>3300</v>
      </c>
      <c r="I556" s="2">
        <v>3300</v>
      </c>
      <c r="J556" s="2">
        <v>0</v>
      </c>
      <c r="K556" s="2">
        <v>3300</v>
      </c>
      <c r="L556" s="2" t="str">
        <f>_xlfn.XLOOKUP(Data_Nhập[[#This Row],[Main SKU]],MD_Main_SKU[Main SKU],MD_Main_SKU[SKU name_gom])</f>
        <v>WSS01</v>
      </c>
      <c r="M556" s="2" t="str">
        <f>_xlfn.XLOOKUP(Data_Nhập[[#This Row],[Material-Nhập]],MD_Main_SKU[Main SKU],MD_Main_SKU[SKU name_gom])</f>
        <v>WSS03</v>
      </c>
    </row>
    <row r="557" spans="1:13" x14ac:dyDescent="0.35">
      <c r="A557">
        <v>2025</v>
      </c>
      <c r="B557">
        <v>2</v>
      </c>
      <c r="C557" t="s">
        <v>8</v>
      </c>
      <c r="D557" t="s">
        <v>9</v>
      </c>
      <c r="E557" t="s">
        <v>36</v>
      </c>
      <c r="F557" t="s">
        <v>37</v>
      </c>
      <c r="G557" s="2">
        <v>0</v>
      </c>
      <c r="H557" s="2">
        <v>13200</v>
      </c>
      <c r="I557" s="2">
        <v>13200</v>
      </c>
      <c r="J557" s="2">
        <v>0</v>
      </c>
      <c r="K557" s="2">
        <v>13200</v>
      </c>
      <c r="L557" s="2" t="str">
        <f>_xlfn.XLOOKUP(Data_Nhập[[#This Row],[Main SKU]],MD_Main_SKU[Main SKU],MD_Main_SKU[SKU name_gom])</f>
        <v>WSS01</v>
      </c>
      <c r="M557" s="2" t="str">
        <f>_xlfn.XLOOKUP(Data_Nhập[[#This Row],[Material-Nhập]],MD_Main_SKU[Main SKU],MD_Main_SKU[SKU name_gom])</f>
        <v>WSS01-PL</v>
      </c>
    </row>
    <row r="558" spans="1:13" x14ac:dyDescent="0.35">
      <c r="A558">
        <v>2025</v>
      </c>
      <c r="B558">
        <v>2</v>
      </c>
      <c r="C558" t="s">
        <v>8</v>
      </c>
      <c r="D558" t="s">
        <v>9</v>
      </c>
      <c r="E558" t="s">
        <v>87</v>
      </c>
      <c r="F558" t="s">
        <v>88</v>
      </c>
      <c r="G558" s="2">
        <v>0</v>
      </c>
      <c r="H558" s="2">
        <v>0</v>
      </c>
      <c r="I558" s="2">
        <v>0</v>
      </c>
      <c r="J558" s="2">
        <v>3400</v>
      </c>
      <c r="K558" s="2">
        <v>3400</v>
      </c>
      <c r="L558" s="2" t="str">
        <f>_xlfn.XLOOKUP(Data_Nhập[[#This Row],[Main SKU]],MD_Main_SKU[Main SKU],MD_Main_SKU[SKU name_gom])</f>
        <v>WSS01</v>
      </c>
      <c r="M558" s="2" t="str">
        <f>_xlfn.XLOOKUP(Data_Nhập[[#This Row],[Material-Nhập]],MD_Main_SKU[Main SKU],MD_Main_SKU[SKU name_gom])</f>
        <v>Phó sản</v>
      </c>
    </row>
    <row r="559" spans="1:13" x14ac:dyDescent="0.35">
      <c r="A559">
        <v>2025</v>
      </c>
      <c r="B559">
        <v>2</v>
      </c>
      <c r="C559" t="s">
        <v>8</v>
      </c>
      <c r="D559" t="s">
        <v>9</v>
      </c>
      <c r="E559" t="s">
        <v>89</v>
      </c>
      <c r="F559" t="s">
        <v>90</v>
      </c>
      <c r="G559" s="2">
        <v>0</v>
      </c>
      <c r="H559" s="2">
        <v>0</v>
      </c>
      <c r="I559" s="2">
        <v>0</v>
      </c>
      <c r="J559" s="2">
        <v>1120</v>
      </c>
      <c r="K559" s="2">
        <v>1120</v>
      </c>
      <c r="L559" s="2" t="str">
        <f>_xlfn.XLOOKUP(Data_Nhập[[#This Row],[Main SKU]],MD_Main_SKU[Main SKU],MD_Main_SKU[SKU name_gom])</f>
        <v>WSS01</v>
      </c>
      <c r="M559" s="2" t="str">
        <f>_xlfn.XLOOKUP(Data_Nhập[[#This Row],[Material-Nhập]],MD_Main_SKU[Main SKU],MD_Main_SKU[SKU name_gom])</f>
        <v>Phó sản</v>
      </c>
    </row>
    <row r="560" spans="1:13" x14ac:dyDescent="0.35">
      <c r="A560">
        <v>2025</v>
      </c>
      <c r="B560">
        <v>2</v>
      </c>
      <c r="C560" t="s">
        <v>8</v>
      </c>
      <c r="D560" t="s">
        <v>9</v>
      </c>
      <c r="E560" t="s">
        <v>91</v>
      </c>
      <c r="F560" t="s">
        <v>92</v>
      </c>
      <c r="G560" s="2">
        <v>0</v>
      </c>
      <c r="H560" s="2">
        <v>0</v>
      </c>
      <c r="I560" s="2">
        <v>0</v>
      </c>
      <c r="J560" s="2">
        <v>525</v>
      </c>
      <c r="K560" s="2">
        <v>525</v>
      </c>
      <c r="L560" s="2" t="str">
        <f>_xlfn.XLOOKUP(Data_Nhập[[#This Row],[Main SKU]],MD_Main_SKU[Main SKU],MD_Main_SKU[SKU name_gom])</f>
        <v>WSS01</v>
      </c>
      <c r="M560" s="2" t="str">
        <f>_xlfn.XLOOKUP(Data_Nhập[[#This Row],[Material-Nhập]],MD_Main_SKU[Main SKU],MD_Main_SKU[SKU name_gom])</f>
        <v>Phó sản</v>
      </c>
    </row>
    <row r="561" spans="1:13" x14ac:dyDescent="0.35">
      <c r="A561">
        <v>2025</v>
      </c>
      <c r="B561">
        <v>2</v>
      </c>
      <c r="C561" t="s">
        <v>8</v>
      </c>
      <c r="D561" t="s">
        <v>9</v>
      </c>
      <c r="E561" t="s">
        <v>117</v>
      </c>
      <c r="F561" t="s">
        <v>86</v>
      </c>
      <c r="G561" s="2">
        <v>0</v>
      </c>
      <c r="H561" s="2">
        <v>0</v>
      </c>
      <c r="I561" s="2">
        <v>0</v>
      </c>
      <c r="J561" s="2">
        <v>2403</v>
      </c>
      <c r="K561" s="2">
        <v>2403</v>
      </c>
      <c r="L561" s="2" t="str">
        <f>_xlfn.XLOOKUP(Data_Nhập[[#This Row],[Main SKU]],MD_Main_SKU[Main SKU],MD_Main_SKU[SKU name_gom])</f>
        <v>WSS01</v>
      </c>
      <c r="M561" s="2" t="str">
        <f>_xlfn.XLOOKUP(Data_Nhập[[#This Row],[Material-Nhập]],MD_Main_SKU[Main SKU],MD_Main_SKU[SKU name_gom])</f>
        <v>Phó sản</v>
      </c>
    </row>
    <row r="562" spans="1:13" x14ac:dyDescent="0.35">
      <c r="A562">
        <v>2025</v>
      </c>
      <c r="B562">
        <v>2</v>
      </c>
      <c r="C562" t="s">
        <v>14</v>
      </c>
      <c r="D562" t="s">
        <v>15</v>
      </c>
      <c r="E562" t="s">
        <v>14</v>
      </c>
      <c r="F562" t="s">
        <v>15</v>
      </c>
      <c r="G562" s="2">
        <v>534600</v>
      </c>
      <c r="H562" s="2">
        <v>0</v>
      </c>
      <c r="I562" s="2">
        <v>534600</v>
      </c>
      <c r="J562" s="2">
        <v>0</v>
      </c>
      <c r="K562" s="2">
        <v>534600</v>
      </c>
      <c r="L562" s="2" t="str">
        <f>_xlfn.XLOOKUP(Data_Nhập[[#This Row],[Main SKU]],MD_Main_SKU[Main SKU],MD_Main_SKU[SKU name_gom])</f>
        <v>iSS01084</v>
      </c>
      <c r="M562" s="2" t="str">
        <f>_xlfn.XLOOKUP(Data_Nhập[[#This Row],[Material-Nhập]],MD_Main_SKU[Main SKU],MD_Main_SKU[SKU name_gom])</f>
        <v>iSS01084</v>
      </c>
    </row>
    <row r="563" spans="1:13" x14ac:dyDescent="0.35">
      <c r="A563">
        <v>2025</v>
      </c>
      <c r="B563">
        <v>2</v>
      </c>
      <c r="C563" t="s">
        <v>14</v>
      </c>
      <c r="D563" t="s">
        <v>15</v>
      </c>
      <c r="E563" t="s">
        <v>18</v>
      </c>
      <c r="F563" t="s">
        <v>19</v>
      </c>
      <c r="G563" s="2">
        <v>0</v>
      </c>
      <c r="H563" s="2">
        <v>1100</v>
      </c>
      <c r="I563" s="2">
        <v>1100</v>
      </c>
      <c r="J563" s="2">
        <v>0</v>
      </c>
      <c r="K563" s="2">
        <v>1100</v>
      </c>
      <c r="L563" s="2" t="str">
        <f>_xlfn.XLOOKUP(Data_Nhập[[#This Row],[Main SKU]],MD_Main_SKU[Main SKU],MD_Main_SKU[SKU name_gom])</f>
        <v>iSS01084</v>
      </c>
      <c r="M563" s="2" t="str">
        <f>_xlfn.XLOOKUP(Data_Nhập[[#This Row],[Material-Nhập]],MD_Main_SKU[Main SKU],MD_Main_SKU[SKU name_gom])</f>
        <v>iSS01</v>
      </c>
    </row>
    <row r="564" spans="1:13" x14ac:dyDescent="0.35">
      <c r="A564">
        <v>2025</v>
      </c>
      <c r="B564">
        <v>2</v>
      </c>
      <c r="C564" t="s">
        <v>14</v>
      </c>
      <c r="D564" t="s">
        <v>15</v>
      </c>
      <c r="E564" t="s">
        <v>22</v>
      </c>
      <c r="F564" t="s">
        <v>23</v>
      </c>
      <c r="G564" s="2">
        <v>0</v>
      </c>
      <c r="H564" s="2">
        <v>31899.999999999996</v>
      </c>
      <c r="I564" s="2">
        <v>31899.999999999996</v>
      </c>
      <c r="J564" s="2">
        <v>0</v>
      </c>
      <c r="K564" s="2">
        <v>31899.999999999996</v>
      </c>
      <c r="L564" s="2" t="str">
        <f>_xlfn.XLOOKUP(Data_Nhập[[#This Row],[Main SKU]],MD_Main_SKU[Main SKU],MD_Main_SKU[SKU name_gom])</f>
        <v>iSS01084</v>
      </c>
      <c r="M564" s="2" t="str">
        <f>_xlfn.XLOOKUP(Data_Nhập[[#This Row],[Material-Nhập]],MD_Main_SKU[Main SKU],MD_Main_SKU[SKU name_gom])</f>
        <v>WSS03</v>
      </c>
    </row>
    <row r="565" spans="1:13" x14ac:dyDescent="0.35">
      <c r="A565">
        <v>2025</v>
      </c>
      <c r="B565">
        <v>2</v>
      </c>
      <c r="C565" t="s">
        <v>14</v>
      </c>
      <c r="D565" t="s">
        <v>15</v>
      </c>
      <c r="E565" t="s">
        <v>38</v>
      </c>
      <c r="F565" t="s">
        <v>39</v>
      </c>
      <c r="G565" s="2">
        <v>0</v>
      </c>
      <c r="H565" s="2">
        <v>4400</v>
      </c>
      <c r="I565" s="2">
        <v>4400</v>
      </c>
      <c r="J565" s="2">
        <v>0</v>
      </c>
      <c r="K565" s="2">
        <v>4400</v>
      </c>
      <c r="L565" s="2" t="str">
        <f>_xlfn.XLOOKUP(Data_Nhập[[#This Row],[Main SKU]],MD_Main_SKU[Main SKU],MD_Main_SKU[SKU name_gom])</f>
        <v>iSS01084</v>
      </c>
      <c r="M565" s="2" t="str">
        <f>_xlfn.XLOOKUP(Data_Nhập[[#This Row],[Material-Nhập]],MD_Main_SKU[Main SKU],MD_Main_SKU[SKU name_gom])</f>
        <v>iSS01084-PL</v>
      </c>
    </row>
    <row r="566" spans="1:13" x14ac:dyDescent="0.35">
      <c r="A566">
        <v>2025</v>
      </c>
      <c r="B566">
        <v>2</v>
      </c>
      <c r="C566" t="s">
        <v>14</v>
      </c>
      <c r="D566" t="s">
        <v>15</v>
      </c>
      <c r="E566" t="s">
        <v>34</v>
      </c>
      <c r="F566" t="s">
        <v>35</v>
      </c>
      <c r="G566" s="2">
        <v>0</v>
      </c>
      <c r="H566" s="2">
        <v>2200</v>
      </c>
      <c r="I566" s="2">
        <v>2200</v>
      </c>
      <c r="J566" s="2">
        <v>0</v>
      </c>
      <c r="K566" s="2">
        <v>2200</v>
      </c>
      <c r="L566" s="2" t="str">
        <f>_xlfn.XLOOKUP(Data_Nhập[[#This Row],[Main SKU]],MD_Main_SKU[Main SKU],MD_Main_SKU[SKU name_gom])</f>
        <v>iSS01084</v>
      </c>
      <c r="M566" s="2" t="str">
        <f>_xlfn.XLOOKUP(Data_Nhập[[#This Row],[Material-Nhập]],MD_Main_SKU[Main SKU],MD_Main_SKU[SKU name_gom])</f>
        <v>WSS03-PL</v>
      </c>
    </row>
    <row r="567" spans="1:13" x14ac:dyDescent="0.35">
      <c r="A567">
        <v>2025</v>
      </c>
      <c r="B567">
        <v>2</v>
      </c>
      <c r="C567" t="s">
        <v>14</v>
      </c>
      <c r="D567" t="s">
        <v>15</v>
      </c>
      <c r="E567" t="s">
        <v>87</v>
      </c>
      <c r="F567" t="s">
        <v>88</v>
      </c>
      <c r="G567" s="2">
        <v>0</v>
      </c>
      <c r="H567" s="2">
        <v>0</v>
      </c>
      <c r="I567" s="2">
        <v>0</v>
      </c>
      <c r="J567" s="2">
        <v>5250.0000000000009</v>
      </c>
      <c r="K567" s="2">
        <v>5250.0000000000009</v>
      </c>
      <c r="L567" s="2" t="str">
        <f>_xlfn.XLOOKUP(Data_Nhập[[#This Row],[Main SKU]],MD_Main_SKU[Main SKU],MD_Main_SKU[SKU name_gom])</f>
        <v>iSS01084</v>
      </c>
      <c r="M567" s="2" t="str">
        <f>_xlfn.XLOOKUP(Data_Nhập[[#This Row],[Material-Nhập]],MD_Main_SKU[Main SKU],MD_Main_SKU[SKU name_gom])</f>
        <v>Phó sản</v>
      </c>
    </row>
    <row r="568" spans="1:13" x14ac:dyDescent="0.35">
      <c r="A568">
        <v>2025</v>
      </c>
      <c r="B568">
        <v>2</v>
      </c>
      <c r="C568" t="s">
        <v>14</v>
      </c>
      <c r="D568" t="s">
        <v>15</v>
      </c>
      <c r="E568" t="s">
        <v>89</v>
      </c>
      <c r="F568" t="s">
        <v>90</v>
      </c>
      <c r="G568" s="2">
        <v>0</v>
      </c>
      <c r="H568" s="2">
        <v>0</v>
      </c>
      <c r="I568" s="2">
        <v>0</v>
      </c>
      <c r="J568" s="2">
        <v>6947</v>
      </c>
      <c r="K568" s="2">
        <v>6947</v>
      </c>
      <c r="L568" s="2" t="str">
        <f>_xlfn.XLOOKUP(Data_Nhập[[#This Row],[Main SKU]],MD_Main_SKU[Main SKU],MD_Main_SKU[SKU name_gom])</f>
        <v>iSS01084</v>
      </c>
      <c r="M568" s="2" t="str">
        <f>_xlfn.XLOOKUP(Data_Nhập[[#This Row],[Material-Nhập]],MD_Main_SKU[Main SKU],MD_Main_SKU[SKU name_gom])</f>
        <v>Phó sản</v>
      </c>
    </row>
    <row r="569" spans="1:13" x14ac:dyDescent="0.35">
      <c r="A569">
        <v>2025</v>
      </c>
      <c r="B569">
        <v>2</v>
      </c>
      <c r="C569" t="s">
        <v>14</v>
      </c>
      <c r="D569" t="s">
        <v>15</v>
      </c>
      <c r="E569" t="s">
        <v>91</v>
      </c>
      <c r="F569" t="s">
        <v>92</v>
      </c>
      <c r="G569" s="2">
        <v>0</v>
      </c>
      <c r="H569" s="2">
        <v>0</v>
      </c>
      <c r="I569" s="2">
        <v>0</v>
      </c>
      <c r="J569" s="2">
        <v>4568</v>
      </c>
      <c r="K569" s="2">
        <v>4568</v>
      </c>
      <c r="L569" s="2" t="str">
        <f>_xlfn.XLOOKUP(Data_Nhập[[#This Row],[Main SKU]],MD_Main_SKU[Main SKU],MD_Main_SKU[SKU name_gom])</f>
        <v>iSS01084</v>
      </c>
      <c r="M569" s="2" t="str">
        <f>_xlfn.XLOOKUP(Data_Nhập[[#This Row],[Material-Nhập]],MD_Main_SKU[Main SKU],MD_Main_SKU[SKU name_gom])</f>
        <v>Phó sản</v>
      </c>
    </row>
    <row r="570" spans="1:13" x14ac:dyDescent="0.35">
      <c r="A570">
        <v>2025</v>
      </c>
      <c r="B570">
        <v>2</v>
      </c>
      <c r="C570" t="s">
        <v>14</v>
      </c>
      <c r="D570" t="s">
        <v>15</v>
      </c>
      <c r="E570" t="s">
        <v>117</v>
      </c>
      <c r="F570" t="s">
        <v>86</v>
      </c>
      <c r="G570" s="2">
        <v>0</v>
      </c>
      <c r="H570" s="2">
        <v>0</v>
      </c>
      <c r="I570" s="2">
        <v>0</v>
      </c>
      <c r="J570" s="2">
        <v>11894</v>
      </c>
      <c r="K570" s="2">
        <v>11894</v>
      </c>
      <c r="L570" s="2" t="str">
        <f>_xlfn.XLOOKUP(Data_Nhập[[#This Row],[Main SKU]],MD_Main_SKU[Main SKU],MD_Main_SKU[SKU name_gom])</f>
        <v>iSS01084</v>
      </c>
      <c r="M570" s="2" t="str">
        <f>_xlfn.XLOOKUP(Data_Nhập[[#This Row],[Material-Nhập]],MD_Main_SKU[Main SKU],MD_Main_SKU[SKU name_gom])</f>
        <v>Phó sản</v>
      </c>
    </row>
    <row r="571" spans="1:13" x14ac:dyDescent="0.35">
      <c r="A571">
        <v>2025</v>
      </c>
      <c r="B571">
        <v>2</v>
      </c>
      <c r="C571" t="s">
        <v>16</v>
      </c>
      <c r="D571" t="s">
        <v>17</v>
      </c>
      <c r="E571" t="s">
        <v>16</v>
      </c>
      <c r="F571" t="s">
        <v>17</v>
      </c>
      <c r="G571" s="2">
        <v>503800</v>
      </c>
      <c r="H571" s="2">
        <v>0</v>
      </c>
      <c r="I571" s="2">
        <v>503800</v>
      </c>
      <c r="J571" s="2">
        <v>0</v>
      </c>
      <c r="K571" s="2">
        <v>503800</v>
      </c>
      <c r="L571" s="2" t="str">
        <f>_xlfn.XLOOKUP(Data_Nhập[[#This Row],[Main SKU]],MD_Main_SKU[Main SKU],MD_Main_SKU[SKU name_gom])</f>
        <v>WSS01</v>
      </c>
      <c r="M571" s="2" t="str">
        <f>_xlfn.XLOOKUP(Data_Nhập[[#This Row],[Material-Nhập]],MD_Main_SKU[Main SKU],MD_Main_SKU[SKU name_gom])</f>
        <v>WSS01</v>
      </c>
    </row>
    <row r="572" spans="1:13" x14ac:dyDescent="0.35">
      <c r="A572">
        <v>2025</v>
      </c>
      <c r="B572">
        <v>2</v>
      </c>
      <c r="C572" t="s">
        <v>16</v>
      </c>
      <c r="D572" t="s">
        <v>17</v>
      </c>
      <c r="E572" t="s">
        <v>18</v>
      </c>
      <c r="F572" t="s">
        <v>19</v>
      </c>
      <c r="G572" s="2">
        <v>0</v>
      </c>
      <c r="H572" s="2">
        <v>13200</v>
      </c>
      <c r="I572" s="2">
        <v>13200</v>
      </c>
      <c r="J572" s="2">
        <v>0</v>
      </c>
      <c r="K572" s="2">
        <v>13200</v>
      </c>
      <c r="L572" s="2" t="str">
        <f>_xlfn.XLOOKUP(Data_Nhập[[#This Row],[Main SKU]],MD_Main_SKU[Main SKU],MD_Main_SKU[SKU name_gom])</f>
        <v>WSS01</v>
      </c>
      <c r="M572" s="2" t="str">
        <f>_xlfn.XLOOKUP(Data_Nhập[[#This Row],[Material-Nhập]],MD_Main_SKU[Main SKU],MD_Main_SKU[SKU name_gom])</f>
        <v>iSS01</v>
      </c>
    </row>
    <row r="573" spans="1:13" x14ac:dyDescent="0.35">
      <c r="A573">
        <v>2025</v>
      </c>
      <c r="B573">
        <v>2</v>
      </c>
      <c r="C573" t="s">
        <v>16</v>
      </c>
      <c r="D573" t="s">
        <v>17</v>
      </c>
      <c r="E573" t="s">
        <v>22</v>
      </c>
      <c r="F573" t="s">
        <v>23</v>
      </c>
      <c r="G573" s="2">
        <v>0</v>
      </c>
      <c r="H573" s="2">
        <v>2200</v>
      </c>
      <c r="I573" s="2">
        <v>2200</v>
      </c>
      <c r="J573" s="2">
        <v>0</v>
      </c>
      <c r="K573" s="2">
        <v>2200</v>
      </c>
      <c r="L573" s="2" t="str">
        <f>_xlfn.XLOOKUP(Data_Nhập[[#This Row],[Main SKU]],MD_Main_SKU[Main SKU],MD_Main_SKU[SKU name_gom])</f>
        <v>WSS01</v>
      </c>
      <c r="M573" s="2" t="str">
        <f>_xlfn.XLOOKUP(Data_Nhập[[#This Row],[Material-Nhập]],MD_Main_SKU[Main SKU],MD_Main_SKU[SKU name_gom])</f>
        <v>WSS03</v>
      </c>
    </row>
    <row r="574" spans="1:13" x14ac:dyDescent="0.35">
      <c r="A574">
        <v>2025</v>
      </c>
      <c r="B574">
        <v>2</v>
      </c>
      <c r="C574" t="s">
        <v>16</v>
      </c>
      <c r="D574" t="s">
        <v>17</v>
      </c>
      <c r="E574" t="s">
        <v>40</v>
      </c>
      <c r="F574" t="s">
        <v>41</v>
      </c>
      <c r="G574" s="2">
        <v>0</v>
      </c>
      <c r="H574" s="2">
        <v>6600</v>
      </c>
      <c r="I574" s="2">
        <v>6600</v>
      </c>
      <c r="J574" s="2">
        <v>0</v>
      </c>
      <c r="K574" s="2">
        <v>6600</v>
      </c>
      <c r="L574" s="2" t="str">
        <f>_xlfn.XLOOKUP(Data_Nhập[[#This Row],[Main SKU]],MD_Main_SKU[Main SKU],MD_Main_SKU[SKU name_gom])</f>
        <v>WSS01</v>
      </c>
      <c r="M574" s="2" t="str">
        <f>_xlfn.XLOOKUP(Data_Nhập[[#This Row],[Material-Nhập]],MD_Main_SKU[Main SKU],MD_Main_SKU[SKU name_gom])</f>
        <v>WSS01-PL</v>
      </c>
    </row>
    <row r="575" spans="1:13" x14ac:dyDescent="0.35">
      <c r="A575">
        <v>2025</v>
      </c>
      <c r="B575">
        <v>2</v>
      </c>
      <c r="C575" t="s">
        <v>16</v>
      </c>
      <c r="D575" t="s">
        <v>17</v>
      </c>
      <c r="E575" t="s">
        <v>34</v>
      </c>
      <c r="F575" t="s">
        <v>35</v>
      </c>
      <c r="G575" s="2">
        <v>0</v>
      </c>
      <c r="H575" s="2">
        <v>1100</v>
      </c>
      <c r="I575" s="2">
        <v>1100</v>
      </c>
      <c r="J575" s="2">
        <v>0</v>
      </c>
      <c r="K575" s="2">
        <v>1100</v>
      </c>
      <c r="L575" s="2" t="str">
        <f>_xlfn.XLOOKUP(Data_Nhập[[#This Row],[Main SKU]],MD_Main_SKU[Main SKU],MD_Main_SKU[SKU name_gom])</f>
        <v>WSS01</v>
      </c>
      <c r="M575" s="2" t="str">
        <f>_xlfn.XLOOKUP(Data_Nhập[[#This Row],[Material-Nhập]],MD_Main_SKU[Main SKU],MD_Main_SKU[SKU name_gom])</f>
        <v>WSS03-PL</v>
      </c>
    </row>
    <row r="576" spans="1:13" x14ac:dyDescent="0.35">
      <c r="A576">
        <v>2025</v>
      </c>
      <c r="B576">
        <v>2</v>
      </c>
      <c r="C576" t="s">
        <v>16</v>
      </c>
      <c r="D576" t="s">
        <v>17</v>
      </c>
      <c r="E576" t="s">
        <v>87</v>
      </c>
      <c r="F576" t="s">
        <v>88</v>
      </c>
      <c r="G576" s="2">
        <v>0</v>
      </c>
      <c r="H576" s="2">
        <v>0</v>
      </c>
      <c r="I576" s="2">
        <v>0</v>
      </c>
      <c r="J576" s="2">
        <v>35485</v>
      </c>
      <c r="K576" s="2">
        <v>35485</v>
      </c>
      <c r="L576" s="2" t="str">
        <f>_xlfn.XLOOKUP(Data_Nhập[[#This Row],[Main SKU]],MD_Main_SKU[Main SKU],MD_Main_SKU[SKU name_gom])</f>
        <v>WSS01</v>
      </c>
      <c r="M576" s="2" t="str">
        <f>_xlfn.XLOOKUP(Data_Nhập[[#This Row],[Material-Nhập]],MD_Main_SKU[Main SKU],MD_Main_SKU[SKU name_gom])</f>
        <v>Phó sản</v>
      </c>
    </row>
    <row r="577" spans="1:13" x14ac:dyDescent="0.35">
      <c r="A577">
        <v>2025</v>
      </c>
      <c r="B577">
        <v>2</v>
      </c>
      <c r="C577" t="s">
        <v>16</v>
      </c>
      <c r="D577" t="s">
        <v>17</v>
      </c>
      <c r="E577" t="s">
        <v>89</v>
      </c>
      <c r="F577" t="s">
        <v>90</v>
      </c>
      <c r="G577" s="2">
        <v>0</v>
      </c>
      <c r="H577" s="2">
        <v>0</v>
      </c>
      <c r="I577" s="2">
        <v>0</v>
      </c>
      <c r="J577" s="2">
        <v>4821</v>
      </c>
      <c r="K577" s="2">
        <v>4821</v>
      </c>
      <c r="L577" s="2" t="str">
        <f>_xlfn.XLOOKUP(Data_Nhập[[#This Row],[Main SKU]],MD_Main_SKU[Main SKU],MD_Main_SKU[SKU name_gom])</f>
        <v>WSS01</v>
      </c>
      <c r="M577" s="2" t="str">
        <f>_xlfn.XLOOKUP(Data_Nhập[[#This Row],[Material-Nhập]],MD_Main_SKU[Main SKU],MD_Main_SKU[SKU name_gom])</f>
        <v>Phó sản</v>
      </c>
    </row>
    <row r="578" spans="1:13" x14ac:dyDescent="0.35">
      <c r="A578">
        <v>2025</v>
      </c>
      <c r="B578">
        <v>2</v>
      </c>
      <c r="C578" t="s">
        <v>16</v>
      </c>
      <c r="D578" t="s">
        <v>17</v>
      </c>
      <c r="E578" t="s">
        <v>91</v>
      </c>
      <c r="F578" t="s">
        <v>92</v>
      </c>
      <c r="G578" s="2">
        <v>0</v>
      </c>
      <c r="H578" s="2">
        <v>0</v>
      </c>
      <c r="I578" s="2">
        <v>0</v>
      </c>
      <c r="J578" s="2">
        <v>3890</v>
      </c>
      <c r="K578" s="2">
        <v>3890</v>
      </c>
      <c r="L578" s="2" t="str">
        <f>_xlfn.XLOOKUP(Data_Nhập[[#This Row],[Main SKU]],MD_Main_SKU[Main SKU],MD_Main_SKU[SKU name_gom])</f>
        <v>WSS01</v>
      </c>
      <c r="M578" s="2" t="str">
        <f>_xlfn.XLOOKUP(Data_Nhập[[#This Row],[Material-Nhập]],MD_Main_SKU[Main SKU],MD_Main_SKU[SKU name_gom])</f>
        <v>Phó sản</v>
      </c>
    </row>
    <row r="579" spans="1:13" x14ac:dyDescent="0.35">
      <c r="A579">
        <v>2025</v>
      </c>
      <c r="B579">
        <v>2</v>
      </c>
      <c r="C579" t="s">
        <v>16</v>
      </c>
      <c r="D579" t="s">
        <v>17</v>
      </c>
      <c r="E579" t="s">
        <v>93</v>
      </c>
      <c r="F579" t="s">
        <v>94</v>
      </c>
      <c r="G579" s="2">
        <v>0</v>
      </c>
      <c r="H579" s="2">
        <v>0</v>
      </c>
      <c r="I579" s="2">
        <v>0</v>
      </c>
      <c r="J579" s="2">
        <v>406</v>
      </c>
      <c r="K579" s="2">
        <v>406</v>
      </c>
      <c r="L579" s="2" t="str">
        <f>_xlfn.XLOOKUP(Data_Nhập[[#This Row],[Main SKU]],MD_Main_SKU[Main SKU],MD_Main_SKU[SKU name_gom])</f>
        <v>WSS01</v>
      </c>
      <c r="M579" s="2" t="str">
        <f>_xlfn.XLOOKUP(Data_Nhập[[#This Row],[Material-Nhập]],MD_Main_SKU[Main SKU],MD_Main_SKU[SKU name_gom])</f>
        <v>Phó sản</v>
      </c>
    </row>
    <row r="580" spans="1:13" x14ac:dyDescent="0.35">
      <c r="A580">
        <v>2025</v>
      </c>
      <c r="B580">
        <v>2</v>
      </c>
      <c r="C580" t="s">
        <v>16</v>
      </c>
      <c r="D580" t="s">
        <v>17</v>
      </c>
      <c r="E580" t="s">
        <v>117</v>
      </c>
      <c r="F580" t="s">
        <v>86</v>
      </c>
      <c r="G580" s="2">
        <v>0</v>
      </c>
      <c r="H580" s="2">
        <v>0</v>
      </c>
      <c r="I580" s="2">
        <v>0</v>
      </c>
      <c r="J580" s="2">
        <v>14265</v>
      </c>
      <c r="K580" s="2">
        <v>14265</v>
      </c>
      <c r="L580" s="2" t="str">
        <f>_xlfn.XLOOKUP(Data_Nhập[[#This Row],[Main SKU]],MD_Main_SKU[Main SKU],MD_Main_SKU[SKU name_gom])</f>
        <v>WSS01</v>
      </c>
      <c r="M580" s="2" t="str">
        <f>_xlfn.XLOOKUP(Data_Nhập[[#This Row],[Material-Nhập]],MD_Main_SKU[Main SKU],MD_Main_SKU[SKU name_gom])</f>
        <v>Phó sản</v>
      </c>
    </row>
    <row r="581" spans="1:13" x14ac:dyDescent="0.35">
      <c r="A581">
        <v>2025</v>
      </c>
      <c r="B581">
        <v>2</v>
      </c>
      <c r="C581" t="s">
        <v>18</v>
      </c>
      <c r="D581" t="s">
        <v>19</v>
      </c>
      <c r="E581" t="s">
        <v>18</v>
      </c>
      <c r="F581" t="s">
        <v>19</v>
      </c>
      <c r="G581" s="2">
        <v>348700</v>
      </c>
      <c r="H581" s="2">
        <v>0</v>
      </c>
      <c r="I581" s="2">
        <v>348700</v>
      </c>
      <c r="J581" s="2">
        <v>0</v>
      </c>
      <c r="K581" s="2">
        <v>348700</v>
      </c>
      <c r="L581" s="2" t="str">
        <f>_xlfn.XLOOKUP(Data_Nhập[[#This Row],[Main SKU]],MD_Main_SKU[Main SKU],MD_Main_SKU[SKU name_gom])</f>
        <v>iSS01</v>
      </c>
      <c r="M581" s="2" t="str">
        <f>_xlfn.XLOOKUP(Data_Nhập[[#This Row],[Material-Nhập]],MD_Main_SKU[Main SKU],MD_Main_SKU[SKU name_gom])</f>
        <v>iSS01</v>
      </c>
    </row>
    <row r="582" spans="1:13" x14ac:dyDescent="0.35">
      <c r="A582">
        <v>2025</v>
      </c>
      <c r="B582">
        <v>2</v>
      </c>
      <c r="C582" t="s">
        <v>18</v>
      </c>
      <c r="D582" t="s">
        <v>19</v>
      </c>
      <c r="E582" t="s">
        <v>22</v>
      </c>
      <c r="F582" t="s">
        <v>23</v>
      </c>
      <c r="G582" s="2">
        <v>0</v>
      </c>
      <c r="H582" s="2">
        <v>6600</v>
      </c>
      <c r="I582" s="2">
        <v>6600</v>
      </c>
      <c r="J582" s="2">
        <v>0</v>
      </c>
      <c r="K582" s="2">
        <v>6600</v>
      </c>
      <c r="L582" s="2" t="str">
        <f>_xlfn.XLOOKUP(Data_Nhập[[#This Row],[Main SKU]],MD_Main_SKU[Main SKU],MD_Main_SKU[SKU name_gom])</f>
        <v>iSS01</v>
      </c>
      <c r="M582" s="2" t="str">
        <f>_xlfn.XLOOKUP(Data_Nhập[[#This Row],[Material-Nhập]],MD_Main_SKU[Main SKU],MD_Main_SKU[SKU name_gom])</f>
        <v>WSS03</v>
      </c>
    </row>
    <row r="583" spans="1:13" x14ac:dyDescent="0.35">
      <c r="A583">
        <v>2025</v>
      </c>
      <c r="B583">
        <v>2</v>
      </c>
      <c r="C583" t="s">
        <v>18</v>
      </c>
      <c r="D583" t="s">
        <v>19</v>
      </c>
      <c r="E583" t="s">
        <v>87</v>
      </c>
      <c r="F583" t="s">
        <v>88</v>
      </c>
      <c r="G583" s="2">
        <v>0</v>
      </c>
      <c r="H583" s="2">
        <v>0</v>
      </c>
      <c r="I583" s="2">
        <v>0</v>
      </c>
      <c r="J583" s="2">
        <v>2900</v>
      </c>
      <c r="K583" s="2">
        <v>2900</v>
      </c>
      <c r="L583" s="2" t="str">
        <f>_xlfn.XLOOKUP(Data_Nhập[[#This Row],[Main SKU]],MD_Main_SKU[Main SKU],MD_Main_SKU[SKU name_gom])</f>
        <v>iSS01</v>
      </c>
      <c r="M583" s="2" t="str">
        <f>_xlfn.XLOOKUP(Data_Nhập[[#This Row],[Material-Nhập]],MD_Main_SKU[Main SKU],MD_Main_SKU[SKU name_gom])</f>
        <v>Phó sản</v>
      </c>
    </row>
    <row r="584" spans="1:13" x14ac:dyDescent="0.35">
      <c r="A584">
        <v>2025</v>
      </c>
      <c r="B584">
        <v>2</v>
      </c>
      <c r="C584" t="s">
        <v>18</v>
      </c>
      <c r="D584" t="s">
        <v>19</v>
      </c>
      <c r="E584" t="s">
        <v>89</v>
      </c>
      <c r="F584" t="s">
        <v>90</v>
      </c>
      <c r="G584" s="2">
        <v>0</v>
      </c>
      <c r="H584" s="2">
        <v>0</v>
      </c>
      <c r="I584" s="2">
        <v>0</v>
      </c>
      <c r="J584" s="2">
        <v>4803</v>
      </c>
      <c r="K584" s="2">
        <v>4803</v>
      </c>
      <c r="L584" s="2" t="str">
        <f>_xlfn.XLOOKUP(Data_Nhập[[#This Row],[Main SKU]],MD_Main_SKU[Main SKU],MD_Main_SKU[SKU name_gom])</f>
        <v>iSS01</v>
      </c>
      <c r="M584" s="2" t="str">
        <f>_xlfn.XLOOKUP(Data_Nhập[[#This Row],[Material-Nhập]],MD_Main_SKU[Main SKU],MD_Main_SKU[SKU name_gom])</f>
        <v>Phó sản</v>
      </c>
    </row>
    <row r="585" spans="1:13" x14ac:dyDescent="0.35">
      <c r="A585">
        <v>2025</v>
      </c>
      <c r="B585">
        <v>2</v>
      </c>
      <c r="C585" t="s">
        <v>18</v>
      </c>
      <c r="D585" t="s">
        <v>19</v>
      </c>
      <c r="E585" t="s">
        <v>117</v>
      </c>
      <c r="F585" t="s">
        <v>86</v>
      </c>
      <c r="G585" s="2">
        <v>0</v>
      </c>
      <c r="H585" s="2">
        <v>0</v>
      </c>
      <c r="I585" s="2">
        <v>0</v>
      </c>
      <c r="J585" s="2">
        <v>6495</v>
      </c>
      <c r="K585" s="2">
        <v>6495</v>
      </c>
      <c r="L585" s="2" t="str">
        <f>_xlfn.XLOOKUP(Data_Nhập[[#This Row],[Main SKU]],MD_Main_SKU[Main SKU],MD_Main_SKU[SKU name_gom])</f>
        <v>iSS01</v>
      </c>
      <c r="M585" s="2" t="str">
        <f>_xlfn.XLOOKUP(Data_Nhập[[#This Row],[Material-Nhập]],MD_Main_SKU[Main SKU],MD_Main_SKU[SKU name_gom])</f>
        <v>Phó sản</v>
      </c>
    </row>
    <row r="586" spans="1:13" x14ac:dyDescent="0.35">
      <c r="A586">
        <v>2025</v>
      </c>
      <c r="B586">
        <v>2</v>
      </c>
      <c r="C586" t="s">
        <v>22</v>
      </c>
      <c r="D586" t="s">
        <v>23</v>
      </c>
      <c r="E586" t="s">
        <v>22</v>
      </c>
      <c r="F586" t="s">
        <v>23</v>
      </c>
      <c r="G586" s="2">
        <v>5500</v>
      </c>
      <c r="H586" s="2">
        <v>0</v>
      </c>
      <c r="I586" s="2">
        <v>5500</v>
      </c>
      <c r="J586" s="2">
        <v>0</v>
      </c>
      <c r="K586" s="2">
        <v>5500</v>
      </c>
      <c r="L586" s="2" t="str">
        <f>_xlfn.XLOOKUP(Data_Nhập[[#This Row],[Main SKU]],MD_Main_SKU[Main SKU],MD_Main_SKU[SKU name_gom])</f>
        <v>WSS03</v>
      </c>
      <c r="M586" s="2" t="str">
        <f>_xlfn.XLOOKUP(Data_Nhập[[#This Row],[Material-Nhập]],MD_Main_SKU[Main SKU],MD_Main_SKU[SKU name_gom])</f>
        <v>WSS03</v>
      </c>
    </row>
    <row r="587" spans="1:13" x14ac:dyDescent="0.35">
      <c r="A587">
        <v>2025</v>
      </c>
      <c r="B587">
        <v>2</v>
      </c>
      <c r="C587" t="s">
        <v>22</v>
      </c>
      <c r="D587" t="s">
        <v>23</v>
      </c>
      <c r="E587" t="s">
        <v>34</v>
      </c>
      <c r="F587" t="s">
        <v>35</v>
      </c>
      <c r="G587" s="2">
        <v>0</v>
      </c>
      <c r="H587" s="2">
        <v>2200</v>
      </c>
      <c r="I587" s="2">
        <v>2200</v>
      </c>
      <c r="J587" s="2">
        <v>0</v>
      </c>
      <c r="K587" s="2">
        <v>2200</v>
      </c>
      <c r="L587" s="2" t="str">
        <f>_xlfn.XLOOKUP(Data_Nhập[[#This Row],[Main SKU]],MD_Main_SKU[Main SKU],MD_Main_SKU[SKU name_gom])</f>
        <v>WSS03</v>
      </c>
      <c r="M587" s="2" t="str">
        <f>_xlfn.XLOOKUP(Data_Nhập[[#This Row],[Material-Nhập]],MD_Main_SKU[Main SKU],MD_Main_SKU[SKU name_gom])</f>
        <v>WSS03-PL</v>
      </c>
    </row>
    <row r="588" spans="1:13" x14ac:dyDescent="0.35">
      <c r="A588">
        <v>2025</v>
      </c>
      <c r="B588">
        <v>2</v>
      </c>
      <c r="C588" t="s">
        <v>22</v>
      </c>
      <c r="D588" t="s">
        <v>23</v>
      </c>
      <c r="E588" t="s">
        <v>87</v>
      </c>
      <c r="F588" t="s">
        <v>88</v>
      </c>
      <c r="G588" s="2">
        <v>0</v>
      </c>
      <c r="H588" s="2">
        <v>0</v>
      </c>
      <c r="I588" s="2">
        <v>0</v>
      </c>
      <c r="J588" s="2">
        <v>700</v>
      </c>
      <c r="K588" s="2">
        <v>700</v>
      </c>
      <c r="L588" s="2" t="str">
        <f>_xlfn.XLOOKUP(Data_Nhập[[#This Row],[Main SKU]],MD_Main_SKU[Main SKU],MD_Main_SKU[SKU name_gom])</f>
        <v>WSS03</v>
      </c>
      <c r="M588" s="2" t="str">
        <f>_xlfn.XLOOKUP(Data_Nhập[[#This Row],[Material-Nhập]],MD_Main_SKU[Main SKU],MD_Main_SKU[SKU name_gom])</f>
        <v>Phó sản</v>
      </c>
    </row>
    <row r="589" spans="1:13" x14ac:dyDescent="0.35">
      <c r="A589">
        <v>2025</v>
      </c>
      <c r="B589">
        <v>2</v>
      </c>
      <c r="C589" t="s">
        <v>22</v>
      </c>
      <c r="D589" t="s">
        <v>23</v>
      </c>
      <c r="E589" t="s">
        <v>117</v>
      </c>
      <c r="F589" t="s">
        <v>86</v>
      </c>
      <c r="G589" s="2">
        <v>0</v>
      </c>
      <c r="H589" s="2">
        <v>0</v>
      </c>
      <c r="I589" s="2">
        <v>0</v>
      </c>
      <c r="J589" s="2">
        <v>550</v>
      </c>
      <c r="K589" s="2">
        <v>550</v>
      </c>
      <c r="L589" s="2" t="str">
        <f>_xlfn.XLOOKUP(Data_Nhập[[#This Row],[Main SKU]],MD_Main_SKU[Main SKU],MD_Main_SKU[SKU name_gom])</f>
        <v>WSS03</v>
      </c>
      <c r="M589" s="2" t="str">
        <f>_xlfn.XLOOKUP(Data_Nhập[[#This Row],[Material-Nhập]],MD_Main_SKU[Main SKU],MD_Main_SKU[SKU name_gom])</f>
        <v>Phó sản</v>
      </c>
    </row>
    <row r="590" spans="1:13" x14ac:dyDescent="0.35">
      <c r="A590">
        <v>2025</v>
      </c>
      <c r="B590">
        <v>2</v>
      </c>
      <c r="C590" t="s">
        <v>26</v>
      </c>
      <c r="D590" t="s">
        <v>27</v>
      </c>
      <c r="E590" t="s">
        <v>22</v>
      </c>
      <c r="F590" t="s">
        <v>23</v>
      </c>
      <c r="G590" s="2">
        <v>0</v>
      </c>
      <c r="H590" s="2">
        <v>6600</v>
      </c>
      <c r="I590" s="2">
        <v>6600</v>
      </c>
      <c r="J590" s="2">
        <v>0</v>
      </c>
      <c r="K590" s="2">
        <v>6600</v>
      </c>
      <c r="L590" s="2" t="str">
        <f>_xlfn.XLOOKUP(Data_Nhập[[#This Row],[Main SKU]],MD_Main_SKU[Main SKU],MD_Main_SKU[SKU name_gom])</f>
        <v>iSS01</v>
      </c>
      <c r="M590" s="2" t="str">
        <f>_xlfn.XLOOKUP(Data_Nhập[[#This Row],[Material-Nhập]],MD_Main_SKU[Main SKU],MD_Main_SKU[SKU name_gom])</f>
        <v>WSS03</v>
      </c>
    </row>
    <row r="591" spans="1:13" x14ac:dyDescent="0.35">
      <c r="A591">
        <v>2025</v>
      </c>
      <c r="B591">
        <v>2</v>
      </c>
      <c r="C591" t="s">
        <v>26</v>
      </c>
      <c r="D591" t="s">
        <v>27</v>
      </c>
      <c r="E591" t="s">
        <v>24</v>
      </c>
      <c r="F591" t="s">
        <v>25</v>
      </c>
      <c r="G591" s="2">
        <v>0</v>
      </c>
      <c r="H591" s="2">
        <v>6600</v>
      </c>
      <c r="I591" s="2">
        <v>6600</v>
      </c>
      <c r="J591" s="2">
        <v>0</v>
      </c>
      <c r="K591" s="2">
        <v>6600</v>
      </c>
      <c r="L591" s="2" t="str">
        <f>_xlfn.XLOOKUP(Data_Nhập[[#This Row],[Main SKU]],MD_Main_SKU[Main SKU],MD_Main_SKU[SKU name_gom])</f>
        <v>iSS01</v>
      </c>
      <c r="M591" s="2" t="str">
        <f>_xlfn.XLOOKUP(Data_Nhập[[#This Row],[Material-Nhập]],MD_Main_SKU[Main SKU],MD_Main_SKU[SKU name_gom])</f>
        <v>WSS01</v>
      </c>
    </row>
    <row r="592" spans="1:13" x14ac:dyDescent="0.35">
      <c r="A592">
        <v>2025</v>
      </c>
      <c r="B592">
        <v>2</v>
      </c>
      <c r="C592" t="s">
        <v>26</v>
      </c>
      <c r="D592" t="s">
        <v>27</v>
      </c>
      <c r="E592" t="s">
        <v>26</v>
      </c>
      <c r="F592" t="s">
        <v>27</v>
      </c>
      <c r="G592" s="2">
        <v>155100</v>
      </c>
      <c r="H592" s="2">
        <v>0</v>
      </c>
      <c r="I592" s="2">
        <v>155100</v>
      </c>
      <c r="J592" s="2">
        <v>0</v>
      </c>
      <c r="K592" s="2">
        <v>155100</v>
      </c>
      <c r="L592" s="2" t="str">
        <f>_xlfn.XLOOKUP(Data_Nhập[[#This Row],[Main SKU]],MD_Main_SKU[Main SKU],MD_Main_SKU[SKU name_gom])</f>
        <v>iSS01</v>
      </c>
      <c r="M592" s="2" t="str">
        <f>_xlfn.XLOOKUP(Data_Nhập[[#This Row],[Material-Nhập]],MD_Main_SKU[Main SKU],MD_Main_SKU[SKU name_gom])</f>
        <v>iSS01</v>
      </c>
    </row>
    <row r="593" spans="1:13" x14ac:dyDescent="0.35">
      <c r="A593">
        <v>2025</v>
      </c>
      <c r="B593">
        <v>2</v>
      </c>
      <c r="C593" t="s">
        <v>26</v>
      </c>
      <c r="D593" t="s">
        <v>27</v>
      </c>
      <c r="E593" t="s">
        <v>50</v>
      </c>
      <c r="F593" t="s">
        <v>51</v>
      </c>
      <c r="G593" s="2">
        <v>0</v>
      </c>
      <c r="H593" s="2">
        <v>24200</v>
      </c>
      <c r="I593" s="2">
        <v>24200</v>
      </c>
      <c r="J593" s="2">
        <v>0</v>
      </c>
      <c r="K593" s="2">
        <v>24200</v>
      </c>
      <c r="L593" s="2" t="str">
        <f>_xlfn.XLOOKUP(Data_Nhập[[#This Row],[Main SKU]],MD_Main_SKU[Main SKU],MD_Main_SKU[SKU name_gom])</f>
        <v>iSS01</v>
      </c>
      <c r="M593" s="2" t="str">
        <f>_xlfn.XLOOKUP(Data_Nhập[[#This Row],[Material-Nhập]],MD_Main_SKU[Main SKU],MD_Main_SKU[SKU name_gom])</f>
        <v>iSS01-PL</v>
      </c>
    </row>
    <row r="594" spans="1:13" x14ac:dyDescent="0.35">
      <c r="A594">
        <v>2025</v>
      </c>
      <c r="B594">
        <v>2</v>
      </c>
      <c r="C594" t="s">
        <v>26</v>
      </c>
      <c r="D594" t="s">
        <v>27</v>
      </c>
      <c r="E594" t="s">
        <v>34</v>
      </c>
      <c r="F594" t="s">
        <v>35</v>
      </c>
      <c r="G594" s="2">
        <v>0</v>
      </c>
      <c r="H594" s="2">
        <v>2200</v>
      </c>
      <c r="I594" s="2">
        <v>2200</v>
      </c>
      <c r="J594" s="2">
        <v>0</v>
      </c>
      <c r="K594" s="2">
        <v>2200</v>
      </c>
      <c r="L594" s="2" t="str">
        <f>_xlfn.XLOOKUP(Data_Nhập[[#This Row],[Main SKU]],MD_Main_SKU[Main SKU],MD_Main_SKU[SKU name_gom])</f>
        <v>iSS01</v>
      </c>
      <c r="M594" s="2" t="str">
        <f>_xlfn.XLOOKUP(Data_Nhập[[#This Row],[Material-Nhập]],MD_Main_SKU[Main SKU],MD_Main_SKU[SKU name_gom])</f>
        <v>WSS03-PL</v>
      </c>
    </row>
    <row r="595" spans="1:13" x14ac:dyDescent="0.35">
      <c r="A595">
        <v>2025</v>
      </c>
      <c r="B595">
        <v>2</v>
      </c>
      <c r="C595" t="s">
        <v>26</v>
      </c>
      <c r="D595" t="s">
        <v>27</v>
      </c>
      <c r="E595" t="s">
        <v>87</v>
      </c>
      <c r="F595" t="s">
        <v>88</v>
      </c>
      <c r="G595" s="2">
        <v>0</v>
      </c>
      <c r="H595" s="2">
        <v>0</v>
      </c>
      <c r="I595" s="2">
        <v>0</v>
      </c>
      <c r="J595" s="2">
        <v>9780</v>
      </c>
      <c r="K595" s="2">
        <v>9780</v>
      </c>
      <c r="L595" s="2" t="str">
        <f>_xlfn.XLOOKUP(Data_Nhập[[#This Row],[Main SKU]],MD_Main_SKU[Main SKU],MD_Main_SKU[SKU name_gom])</f>
        <v>iSS01</v>
      </c>
      <c r="M595" s="2" t="str">
        <f>_xlfn.XLOOKUP(Data_Nhập[[#This Row],[Material-Nhập]],MD_Main_SKU[Main SKU],MD_Main_SKU[SKU name_gom])</f>
        <v>Phó sản</v>
      </c>
    </row>
    <row r="596" spans="1:13" x14ac:dyDescent="0.35">
      <c r="A596">
        <v>2025</v>
      </c>
      <c r="B596">
        <v>2</v>
      </c>
      <c r="C596" t="s">
        <v>26</v>
      </c>
      <c r="D596" t="s">
        <v>27</v>
      </c>
      <c r="E596" t="s">
        <v>89</v>
      </c>
      <c r="F596" t="s">
        <v>90</v>
      </c>
      <c r="G596" s="2">
        <v>0</v>
      </c>
      <c r="H596" s="2">
        <v>0</v>
      </c>
      <c r="I596" s="2">
        <v>0</v>
      </c>
      <c r="J596" s="2">
        <v>1700</v>
      </c>
      <c r="K596" s="2">
        <v>1700</v>
      </c>
      <c r="L596" s="2" t="str">
        <f>_xlfn.XLOOKUP(Data_Nhập[[#This Row],[Main SKU]],MD_Main_SKU[Main SKU],MD_Main_SKU[SKU name_gom])</f>
        <v>iSS01</v>
      </c>
      <c r="M596" s="2" t="str">
        <f>_xlfn.XLOOKUP(Data_Nhập[[#This Row],[Material-Nhập]],MD_Main_SKU[Main SKU],MD_Main_SKU[SKU name_gom])</f>
        <v>Phó sản</v>
      </c>
    </row>
    <row r="597" spans="1:13" x14ac:dyDescent="0.35">
      <c r="A597">
        <v>2025</v>
      </c>
      <c r="B597">
        <v>2</v>
      </c>
      <c r="C597" t="s">
        <v>26</v>
      </c>
      <c r="D597" t="s">
        <v>27</v>
      </c>
      <c r="E597" t="s">
        <v>117</v>
      </c>
      <c r="F597" t="s">
        <v>86</v>
      </c>
      <c r="G597" s="2">
        <v>0</v>
      </c>
      <c r="H597" s="2">
        <v>0</v>
      </c>
      <c r="I597" s="2">
        <v>0</v>
      </c>
      <c r="J597" s="2">
        <v>8598</v>
      </c>
      <c r="K597" s="2">
        <v>8598</v>
      </c>
      <c r="L597" s="2" t="str">
        <f>_xlfn.XLOOKUP(Data_Nhập[[#This Row],[Main SKU]],MD_Main_SKU[Main SKU],MD_Main_SKU[SKU name_gom])</f>
        <v>iSS01</v>
      </c>
      <c r="M597" s="2" t="str">
        <f>_xlfn.XLOOKUP(Data_Nhập[[#This Row],[Material-Nhập]],MD_Main_SKU[Main SKU],MD_Main_SKU[SKU name_gom])</f>
        <v>Phó sản</v>
      </c>
    </row>
    <row r="598" spans="1:13" x14ac:dyDescent="0.35">
      <c r="A598">
        <v>2025</v>
      </c>
      <c r="B598">
        <v>2</v>
      </c>
      <c r="C598" t="s">
        <v>115</v>
      </c>
      <c r="D598" t="s">
        <v>116</v>
      </c>
      <c r="E598" t="s">
        <v>115</v>
      </c>
      <c r="F598" t="s">
        <v>116</v>
      </c>
      <c r="G598" s="2">
        <v>150570</v>
      </c>
      <c r="H598" s="2">
        <v>0</v>
      </c>
      <c r="I598" s="2">
        <v>150570</v>
      </c>
      <c r="J598" s="2">
        <v>0</v>
      </c>
      <c r="K598" s="2">
        <v>150570</v>
      </c>
      <c r="L598" s="2" t="str">
        <f>_xlfn.XLOOKUP(Data_Nhập[[#This Row],[Main SKU]],MD_Main_SKU[Main SKU],MD_Main_SKU[SKU name_gom])</f>
        <v>WSS05</v>
      </c>
      <c r="M598" s="2" t="str">
        <f>_xlfn.XLOOKUP(Data_Nhập[[#This Row],[Material-Nhập]],MD_Main_SKU[Main SKU],MD_Main_SKU[SKU name_gom])</f>
        <v>WSS05</v>
      </c>
    </row>
    <row r="599" spans="1:13" x14ac:dyDescent="0.35">
      <c r="A599">
        <v>2025</v>
      </c>
      <c r="B599">
        <v>2</v>
      </c>
      <c r="C599" t="s">
        <v>115</v>
      </c>
      <c r="D599" t="s">
        <v>116</v>
      </c>
      <c r="E599" t="s">
        <v>124</v>
      </c>
      <c r="F599" t="s">
        <v>125</v>
      </c>
      <c r="G599" s="2">
        <v>0</v>
      </c>
      <c r="H599" s="2">
        <v>2100</v>
      </c>
      <c r="I599" s="2">
        <v>2100</v>
      </c>
      <c r="J599" s="2">
        <v>0</v>
      </c>
      <c r="K599" s="2">
        <v>2100</v>
      </c>
      <c r="L599" s="2" t="str">
        <f>_xlfn.XLOOKUP(Data_Nhập[[#This Row],[Main SKU]],MD_Main_SKU[Main SKU],MD_Main_SKU[SKU name_gom])</f>
        <v>WSS05</v>
      </c>
      <c r="M599" s="2" t="str">
        <f>_xlfn.XLOOKUP(Data_Nhập[[#This Row],[Material-Nhập]],MD_Main_SKU[Main SKU],MD_Main_SKU[SKU name_gom])</f>
        <v>WSS06</v>
      </c>
    </row>
    <row r="600" spans="1:13" x14ac:dyDescent="0.35">
      <c r="A600">
        <v>2025</v>
      </c>
      <c r="B600">
        <v>2</v>
      </c>
      <c r="C600" t="s">
        <v>115</v>
      </c>
      <c r="D600" t="s">
        <v>116</v>
      </c>
      <c r="E600" t="s">
        <v>87</v>
      </c>
      <c r="F600" t="s">
        <v>88</v>
      </c>
      <c r="G600" s="2">
        <v>0</v>
      </c>
      <c r="H600" s="2">
        <v>0</v>
      </c>
      <c r="I600" s="2">
        <v>0</v>
      </c>
      <c r="J600" s="2">
        <v>12350</v>
      </c>
      <c r="K600" s="2">
        <v>12350</v>
      </c>
      <c r="L600" s="2" t="str">
        <f>_xlfn.XLOOKUP(Data_Nhập[[#This Row],[Main SKU]],MD_Main_SKU[Main SKU],MD_Main_SKU[SKU name_gom])</f>
        <v>WSS05</v>
      </c>
      <c r="M600" s="2" t="str">
        <f>_xlfn.XLOOKUP(Data_Nhập[[#This Row],[Material-Nhập]],MD_Main_SKU[Main SKU],MD_Main_SKU[SKU name_gom])</f>
        <v>Phó sản</v>
      </c>
    </row>
    <row r="601" spans="1:13" x14ac:dyDescent="0.35">
      <c r="A601">
        <v>2025</v>
      </c>
      <c r="B601">
        <v>2</v>
      </c>
      <c r="C601" t="s">
        <v>115</v>
      </c>
      <c r="D601" t="s">
        <v>116</v>
      </c>
      <c r="E601" t="s">
        <v>117</v>
      </c>
      <c r="F601" t="s">
        <v>86</v>
      </c>
      <c r="G601" s="2">
        <v>0</v>
      </c>
      <c r="H601" s="2">
        <v>0</v>
      </c>
      <c r="I601" s="2">
        <v>0</v>
      </c>
      <c r="J601" s="2">
        <v>5321</v>
      </c>
      <c r="K601" s="2">
        <v>5321</v>
      </c>
      <c r="L601" s="2" t="str">
        <f>_xlfn.XLOOKUP(Data_Nhập[[#This Row],[Main SKU]],MD_Main_SKU[Main SKU],MD_Main_SKU[SKU name_gom])</f>
        <v>WSS05</v>
      </c>
      <c r="M601" s="2" t="str">
        <f>_xlfn.XLOOKUP(Data_Nhập[[#This Row],[Material-Nhập]],MD_Main_SKU[Main SKU],MD_Main_SKU[SKU name_gom])</f>
        <v>Phó sản</v>
      </c>
    </row>
    <row r="602" spans="1:13" x14ac:dyDescent="0.35">
      <c r="A602">
        <v>2025</v>
      </c>
      <c r="B602">
        <v>2</v>
      </c>
      <c r="C602" t="s">
        <v>118</v>
      </c>
      <c r="D602" t="s">
        <v>119</v>
      </c>
      <c r="E602" t="s">
        <v>118</v>
      </c>
      <c r="F602" t="s">
        <v>119</v>
      </c>
      <c r="G602" s="2">
        <v>71850</v>
      </c>
      <c r="H602" s="2">
        <v>0</v>
      </c>
      <c r="I602" s="2">
        <v>71850</v>
      </c>
      <c r="J602" s="2">
        <v>0</v>
      </c>
      <c r="K602" s="2">
        <v>71850</v>
      </c>
      <c r="L602" s="2" t="str">
        <f>_xlfn.XLOOKUP(Data_Nhập[[#This Row],[Main SKU]],MD_Main_SKU[Main SKU],MD_Main_SKU[SKU name_gom])</f>
        <v>WSS05</v>
      </c>
      <c r="M602" s="2" t="str">
        <f>_xlfn.XLOOKUP(Data_Nhập[[#This Row],[Material-Nhập]],MD_Main_SKU[Main SKU],MD_Main_SKU[SKU name_gom])</f>
        <v>WSS05</v>
      </c>
    </row>
    <row r="603" spans="1:13" x14ac:dyDescent="0.35">
      <c r="A603">
        <v>2025</v>
      </c>
      <c r="B603">
        <v>2</v>
      </c>
      <c r="C603" t="s">
        <v>118</v>
      </c>
      <c r="D603" t="s">
        <v>119</v>
      </c>
      <c r="E603" t="s">
        <v>87</v>
      </c>
      <c r="F603" t="s">
        <v>88</v>
      </c>
      <c r="G603" s="2">
        <v>0</v>
      </c>
      <c r="H603" s="2">
        <v>0</v>
      </c>
      <c r="I603" s="2">
        <v>0</v>
      </c>
      <c r="J603" s="2">
        <v>6150</v>
      </c>
      <c r="K603" s="2">
        <v>6150</v>
      </c>
      <c r="L603" s="2" t="str">
        <f>_xlfn.XLOOKUP(Data_Nhập[[#This Row],[Main SKU]],MD_Main_SKU[Main SKU],MD_Main_SKU[SKU name_gom])</f>
        <v>WSS05</v>
      </c>
      <c r="M603" s="2" t="str">
        <f>_xlfn.XLOOKUP(Data_Nhập[[#This Row],[Material-Nhập]],MD_Main_SKU[Main SKU],MD_Main_SKU[SKU name_gom])</f>
        <v>Phó sản</v>
      </c>
    </row>
    <row r="604" spans="1:13" x14ac:dyDescent="0.35">
      <c r="A604">
        <v>2025</v>
      </c>
      <c r="B604">
        <v>2</v>
      </c>
      <c r="C604" t="s">
        <v>118</v>
      </c>
      <c r="D604" t="s">
        <v>119</v>
      </c>
      <c r="E604" t="s">
        <v>117</v>
      </c>
      <c r="F604" t="s">
        <v>86</v>
      </c>
      <c r="G604" s="2">
        <v>0</v>
      </c>
      <c r="H604" s="2">
        <v>0</v>
      </c>
      <c r="I604" s="2">
        <v>0</v>
      </c>
      <c r="J604" s="2">
        <v>3313</v>
      </c>
      <c r="K604" s="2">
        <v>3313</v>
      </c>
      <c r="L604" s="2" t="str">
        <f>_xlfn.XLOOKUP(Data_Nhập[[#This Row],[Main SKU]],MD_Main_SKU[Main SKU],MD_Main_SKU[SKU name_gom])</f>
        <v>WSS05</v>
      </c>
      <c r="M604" s="2" t="str">
        <f>_xlfn.XLOOKUP(Data_Nhập[[#This Row],[Material-Nhập]],MD_Main_SKU[Main SKU],MD_Main_SKU[SKU name_gom])</f>
        <v>Phó sản</v>
      </c>
    </row>
    <row r="605" spans="1:13" x14ac:dyDescent="0.35">
      <c r="A605">
        <v>2025</v>
      </c>
      <c r="B605">
        <v>2</v>
      </c>
      <c r="C605" t="s">
        <v>44</v>
      </c>
      <c r="D605" t="s">
        <v>45</v>
      </c>
      <c r="E605" t="s">
        <v>14</v>
      </c>
      <c r="F605" t="s">
        <v>15</v>
      </c>
      <c r="G605" s="2">
        <v>0</v>
      </c>
      <c r="H605" s="2">
        <v>1100</v>
      </c>
      <c r="I605" s="2">
        <v>1100</v>
      </c>
      <c r="J605" s="2">
        <v>0</v>
      </c>
      <c r="K605" s="2">
        <v>1100</v>
      </c>
      <c r="L605" s="2" t="str">
        <f>_xlfn.XLOOKUP(Data_Nhập[[#This Row],[Main SKU]],MD_Main_SKU[Main SKU],MD_Main_SKU[SKU name_gom])</f>
        <v>iSS01</v>
      </c>
      <c r="M605" s="2" t="str">
        <f>_xlfn.XLOOKUP(Data_Nhập[[#This Row],[Material-Nhập]],MD_Main_SKU[Main SKU],MD_Main_SKU[SKU name_gom])</f>
        <v>iSS01084</v>
      </c>
    </row>
    <row r="606" spans="1:13" x14ac:dyDescent="0.35">
      <c r="A606">
        <v>2025</v>
      </c>
      <c r="B606">
        <v>2</v>
      </c>
      <c r="C606" t="s">
        <v>44</v>
      </c>
      <c r="D606" t="s">
        <v>45</v>
      </c>
      <c r="E606" t="s">
        <v>18</v>
      </c>
      <c r="F606" t="s">
        <v>19</v>
      </c>
      <c r="G606" s="2">
        <v>0</v>
      </c>
      <c r="H606" s="2">
        <v>11000</v>
      </c>
      <c r="I606" s="2">
        <v>11000</v>
      </c>
      <c r="J606" s="2">
        <v>0</v>
      </c>
      <c r="K606" s="2">
        <v>11000</v>
      </c>
      <c r="L606" s="2" t="str">
        <f>_xlfn.XLOOKUP(Data_Nhập[[#This Row],[Main SKU]],MD_Main_SKU[Main SKU],MD_Main_SKU[SKU name_gom])</f>
        <v>iSS01</v>
      </c>
      <c r="M606" s="2" t="str">
        <f>_xlfn.XLOOKUP(Data_Nhập[[#This Row],[Material-Nhập]],MD_Main_SKU[Main SKU],MD_Main_SKU[SKU name_gom])</f>
        <v>iSS01</v>
      </c>
    </row>
    <row r="607" spans="1:13" x14ac:dyDescent="0.35">
      <c r="A607">
        <v>2025</v>
      </c>
      <c r="B607">
        <v>2</v>
      </c>
      <c r="C607" t="s">
        <v>44</v>
      </c>
      <c r="D607" t="s">
        <v>45</v>
      </c>
      <c r="E607" t="s">
        <v>22</v>
      </c>
      <c r="F607" t="s">
        <v>23</v>
      </c>
      <c r="G607" s="2">
        <v>0</v>
      </c>
      <c r="H607" s="2">
        <v>6599.9999999999991</v>
      </c>
      <c r="I607" s="2">
        <v>6599.9999999999991</v>
      </c>
      <c r="J607" s="2">
        <v>0</v>
      </c>
      <c r="K607" s="2">
        <v>6599.9999999999991</v>
      </c>
      <c r="L607" s="2" t="str">
        <f>_xlfn.XLOOKUP(Data_Nhập[[#This Row],[Main SKU]],MD_Main_SKU[Main SKU],MD_Main_SKU[SKU name_gom])</f>
        <v>iSS01</v>
      </c>
      <c r="M607" s="2" t="str">
        <f>_xlfn.XLOOKUP(Data_Nhập[[#This Row],[Material-Nhập]],MD_Main_SKU[Main SKU],MD_Main_SKU[SKU name_gom])</f>
        <v>WSS03</v>
      </c>
    </row>
    <row r="608" spans="1:13" x14ac:dyDescent="0.35">
      <c r="A608">
        <v>2025</v>
      </c>
      <c r="B608">
        <v>2</v>
      </c>
      <c r="C608" t="s">
        <v>44</v>
      </c>
      <c r="D608" t="s">
        <v>45</v>
      </c>
      <c r="E608" t="s">
        <v>44</v>
      </c>
      <c r="F608" t="s">
        <v>45</v>
      </c>
      <c r="G608" s="2">
        <v>222640</v>
      </c>
      <c r="H608" s="2">
        <v>0</v>
      </c>
      <c r="I608" s="2">
        <v>222640</v>
      </c>
      <c r="J608" s="2">
        <v>0</v>
      </c>
      <c r="K608" s="2">
        <v>222640</v>
      </c>
      <c r="L608" s="2" t="str">
        <f>_xlfn.XLOOKUP(Data_Nhập[[#This Row],[Main SKU]],MD_Main_SKU[Main SKU],MD_Main_SKU[SKU name_gom])</f>
        <v>iSS01</v>
      </c>
      <c r="M608" s="2" t="str">
        <f>_xlfn.XLOOKUP(Data_Nhập[[#This Row],[Material-Nhập]],MD_Main_SKU[Main SKU],MD_Main_SKU[SKU name_gom])</f>
        <v>iSS01</v>
      </c>
    </row>
    <row r="609" spans="1:13" x14ac:dyDescent="0.35">
      <c r="A609">
        <v>2025</v>
      </c>
      <c r="B609">
        <v>2</v>
      </c>
      <c r="C609" t="s">
        <v>44</v>
      </c>
      <c r="D609" t="s">
        <v>45</v>
      </c>
      <c r="E609" t="s">
        <v>34</v>
      </c>
      <c r="F609" t="s">
        <v>35</v>
      </c>
      <c r="G609" s="2">
        <v>0</v>
      </c>
      <c r="H609" s="2">
        <v>3300</v>
      </c>
      <c r="I609" s="2">
        <v>3300</v>
      </c>
      <c r="J609" s="2">
        <v>0</v>
      </c>
      <c r="K609" s="2">
        <v>3300</v>
      </c>
      <c r="L609" s="2" t="str">
        <f>_xlfn.XLOOKUP(Data_Nhập[[#This Row],[Main SKU]],MD_Main_SKU[Main SKU],MD_Main_SKU[SKU name_gom])</f>
        <v>iSS01</v>
      </c>
      <c r="M609" s="2" t="str">
        <f>_xlfn.XLOOKUP(Data_Nhập[[#This Row],[Material-Nhập]],MD_Main_SKU[Main SKU],MD_Main_SKU[SKU name_gom])</f>
        <v>WSS03-PL</v>
      </c>
    </row>
    <row r="610" spans="1:13" x14ac:dyDescent="0.35">
      <c r="A610">
        <v>2025</v>
      </c>
      <c r="B610">
        <v>2</v>
      </c>
      <c r="C610" t="s">
        <v>44</v>
      </c>
      <c r="D610" t="s">
        <v>45</v>
      </c>
      <c r="E610" t="s">
        <v>87</v>
      </c>
      <c r="F610" t="s">
        <v>88</v>
      </c>
      <c r="G610" s="2">
        <v>0</v>
      </c>
      <c r="H610" s="2">
        <v>0</v>
      </c>
      <c r="I610" s="2">
        <v>0</v>
      </c>
      <c r="J610" s="2">
        <v>11650.000000000002</v>
      </c>
      <c r="K610" s="2">
        <v>11650.000000000002</v>
      </c>
      <c r="L610" s="2" t="str">
        <f>_xlfn.XLOOKUP(Data_Nhập[[#This Row],[Main SKU]],MD_Main_SKU[Main SKU],MD_Main_SKU[SKU name_gom])</f>
        <v>iSS01</v>
      </c>
      <c r="M610" s="2" t="str">
        <f>_xlfn.XLOOKUP(Data_Nhập[[#This Row],[Material-Nhập]],MD_Main_SKU[Main SKU],MD_Main_SKU[SKU name_gom])</f>
        <v>Phó sản</v>
      </c>
    </row>
    <row r="611" spans="1:13" x14ac:dyDescent="0.35">
      <c r="A611">
        <v>2025</v>
      </c>
      <c r="B611">
        <v>2</v>
      </c>
      <c r="C611" t="s">
        <v>44</v>
      </c>
      <c r="D611" t="s">
        <v>45</v>
      </c>
      <c r="E611" t="s">
        <v>89</v>
      </c>
      <c r="F611" t="s">
        <v>90</v>
      </c>
      <c r="G611" s="2">
        <v>0</v>
      </c>
      <c r="H611" s="2">
        <v>0</v>
      </c>
      <c r="I611" s="2">
        <v>0</v>
      </c>
      <c r="J611" s="2">
        <v>3031</v>
      </c>
      <c r="K611" s="2">
        <v>3031</v>
      </c>
      <c r="L611" s="2" t="str">
        <f>_xlfn.XLOOKUP(Data_Nhập[[#This Row],[Main SKU]],MD_Main_SKU[Main SKU],MD_Main_SKU[SKU name_gom])</f>
        <v>iSS01</v>
      </c>
      <c r="M611" s="2" t="str">
        <f>_xlfn.XLOOKUP(Data_Nhập[[#This Row],[Material-Nhập]],MD_Main_SKU[Main SKU],MD_Main_SKU[SKU name_gom])</f>
        <v>Phó sản</v>
      </c>
    </row>
    <row r="612" spans="1:13" x14ac:dyDescent="0.35">
      <c r="A612">
        <v>2025</v>
      </c>
      <c r="B612">
        <v>2</v>
      </c>
      <c r="C612" t="s">
        <v>44</v>
      </c>
      <c r="D612" t="s">
        <v>45</v>
      </c>
      <c r="E612" t="s">
        <v>91</v>
      </c>
      <c r="F612" t="s">
        <v>92</v>
      </c>
      <c r="G612" s="2">
        <v>0</v>
      </c>
      <c r="H612" s="2">
        <v>0</v>
      </c>
      <c r="I612" s="2">
        <v>0</v>
      </c>
      <c r="J612" s="2">
        <v>3367</v>
      </c>
      <c r="K612" s="2">
        <v>3367</v>
      </c>
      <c r="L612" s="2" t="str">
        <f>_xlfn.XLOOKUP(Data_Nhập[[#This Row],[Main SKU]],MD_Main_SKU[Main SKU],MD_Main_SKU[SKU name_gom])</f>
        <v>iSS01</v>
      </c>
      <c r="M612" s="2" t="str">
        <f>_xlfn.XLOOKUP(Data_Nhập[[#This Row],[Material-Nhập]],MD_Main_SKU[Main SKU],MD_Main_SKU[SKU name_gom])</f>
        <v>Phó sản</v>
      </c>
    </row>
    <row r="613" spans="1:13" x14ac:dyDescent="0.35">
      <c r="A613">
        <v>2025</v>
      </c>
      <c r="B613">
        <v>2</v>
      </c>
      <c r="C613" t="s">
        <v>44</v>
      </c>
      <c r="D613" t="s">
        <v>45</v>
      </c>
      <c r="E613" t="s">
        <v>117</v>
      </c>
      <c r="F613" t="s">
        <v>86</v>
      </c>
      <c r="G613" s="2">
        <v>0</v>
      </c>
      <c r="H613" s="2">
        <v>0</v>
      </c>
      <c r="I613" s="2">
        <v>0</v>
      </c>
      <c r="J613" s="2">
        <v>8720.0000000000018</v>
      </c>
      <c r="K613" s="2">
        <v>8720.0000000000018</v>
      </c>
      <c r="L613" s="2" t="str">
        <f>_xlfn.XLOOKUP(Data_Nhập[[#This Row],[Main SKU]],MD_Main_SKU[Main SKU],MD_Main_SKU[SKU name_gom])</f>
        <v>iSS01</v>
      </c>
      <c r="M613" s="2" t="str">
        <f>_xlfn.XLOOKUP(Data_Nhập[[#This Row],[Material-Nhập]],MD_Main_SKU[Main SKU],MD_Main_SKU[SKU name_gom])</f>
        <v>Phó sản</v>
      </c>
    </row>
    <row r="614" spans="1:13" x14ac:dyDescent="0.35">
      <c r="A614">
        <v>2025</v>
      </c>
      <c r="B614">
        <v>2</v>
      </c>
      <c r="C614" t="s">
        <v>48</v>
      </c>
      <c r="D614" t="s">
        <v>49</v>
      </c>
      <c r="E614" t="s">
        <v>48</v>
      </c>
      <c r="F614" t="s">
        <v>49</v>
      </c>
      <c r="G614" s="2">
        <v>3980</v>
      </c>
      <c r="H614" s="2">
        <v>0</v>
      </c>
      <c r="I614" s="2">
        <v>3980</v>
      </c>
      <c r="J614" s="2">
        <v>0</v>
      </c>
      <c r="K614" s="2">
        <v>3980</v>
      </c>
      <c r="L614" s="2" t="str">
        <f>_xlfn.XLOOKUP(Data_Nhập[[#This Row],[Main SKU]],MD_Main_SKU[Main SKU],MD_Main_SKU[SKU name_gom])</f>
        <v>WSS01</v>
      </c>
      <c r="M614" s="2" t="str">
        <f>_xlfn.XLOOKUP(Data_Nhập[[#This Row],[Material-Nhập]],MD_Main_SKU[Main SKU],MD_Main_SKU[SKU name_gom])</f>
        <v>WSS01</v>
      </c>
    </row>
    <row r="615" spans="1:13" x14ac:dyDescent="0.35">
      <c r="A615">
        <v>2025</v>
      </c>
      <c r="B615">
        <v>2</v>
      </c>
      <c r="C615" t="s">
        <v>48</v>
      </c>
      <c r="D615" t="s">
        <v>49</v>
      </c>
      <c r="E615" t="s">
        <v>87</v>
      </c>
      <c r="F615" t="s">
        <v>88</v>
      </c>
      <c r="G615" s="2">
        <v>0</v>
      </c>
      <c r="H615" s="2">
        <v>0</v>
      </c>
      <c r="I615" s="2">
        <v>0</v>
      </c>
      <c r="J615" s="2">
        <v>850</v>
      </c>
      <c r="K615" s="2">
        <v>850</v>
      </c>
      <c r="L615" s="2" t="str">
        <f>_xlfn.XLOOKUP(Data_Nhập[[#This Row],[Main SKU]],MD_Main_SKU[Main SKU],MD_Main_SKU[SKU name_gom])</f>
        <v>WSS01</v>
      </c>
      <c r="M615" s="2" t="str">
        <f>_xlfn.XLOOKUP(Data_Nhập[[#This Row],[Material-Nhập]],MD_Main_SKU[Main SKU],MD_Main_SKU[SKU name_gom])</f>
        <v>Phó sản</v>
      </c>
    </row>
    <row r="616" spans="1:13" x14ac:dyDescent="0.35">
      <c r="A616">
        <v>2025</v>
      </c>
      <c r="B616">
        <v>2</v>
      </c>
      <c r="C616" t="s">
        <v>48</v>
      </c>
      <c r="D616" t="s">
        <v>49</v>
      </c>
      <c r="E616" t="s">
        <v>89</v>
      </c>
      <c r="F616" t="s">
        <v>90</v>
      </c>
      <c r="G616" s="2">
        <v>0</v>
      </c>
      <c r="H616" s="2">
        <v>0</v>
      </c>
      <c r="I616" s="2">
        <v>0</v>
      </c>
      <c r="J616" s="2">
        <v>50</v>
      </c>
      <c r="K616" s="2">
        <v>50</v>
      </c>
      <c r="L616" s="2" t="str">
        <f>_xlfn.XLOOKUP(Data_Nhập[[#This Row],[Main SKU]],MD_Main_SKU[Main SKU],MD_Main_SKU[SKU name_gom])</f>
        <v>WSS01</v>
      </c>
      <c r="M616" s="2" t="str">
        <f>_xlfn.XLOOKUP(Data_Nhập[[#This Row],[Material-Nhập]],MD_Main_SKU[Main SKU],MD_Main_SKU[SKU name_gom])</f>
        <v>Phó sản</v>
      </c>
    </row>
    <row r="617" spans="1:13" x14ac:dyDescent="0.35">
      <c r="A617">
        <v>2025</v>
      </c>
      <c r="B617">
        <v>2</v>
      </c>
      <c r="C617" t="s">
        <v>48</v>
      </c>
      <c r="D617" t="s">
        <v>49</v>
      </c>
      <c r="E617" t="s">
        <v>117</v>
      </c>
      <c r="F617" t="s">
        <v>86</v>
      </c>
      <c r="G617" s="2">
        <v>0</v>
      </c>
      <c r="H617" s="2">
        <v>0</v>
      </c>
      <c r="I617" s="2">
        <v>0</v>
      </c>
      <c r="J617" s="2">
        <v>100</v>
      </c>
      <c r="K617" s="2">
        <v>100</v>
      </c>
      <c r="L617" s="2" t="str">
        <f>_xlfn.XLOOKUP(Data_Nhập[[#This Row],[Main SKU]],MD_Main_SKU[Main SKU],MD_Main_SKU[SKU name_gom])</f>
        <v>WSS01</v>
      </c>
      <c r="M617" s="2" t="str">
        <f>_xlfn.XLOOKUP(Data_Nhập[[#This Row],[Material-Nhập]],MD_Main_SKU[Main SKU],MD_Main_SKU[SKU name_gom])</f>
        <v>Phó sản</v>
      </c>
    </row>
    <row r="618" spans="1:13" x14ac:dyDescent="0.35">
      <c r="A618">
        <v>2025</v>
      </c>
      <c r="B618">
        <v>3</v>
      </c>
      <c r="C618" t="s">
        <v>16</v>
      </c>
      <c r="D618" t="s">
        <v>17</v>
      </c>
      <c r="E618" t="s">
        <v>16</v>
      </c>
      <c r="F618" t="s">
        <v>17</v>
      </c>
      <c r="G618" s="2">
        <v>1379399.9999999995</v>
      </c>
      <c r="H618" s="2">
        <v>0</v>
      </c>
      <c r="I618" s="2">
        <v>1379399.9999999995</v>
      </c>
      <c r="J618" s="2">
        <v>0</v>
      </c>
      <c r="K618" s="2">
        <v>1379399.9999999995</v>
      </c>
      <c r="L618" s="2" t="str">
        <f>_xlfn.XLOOKUP(Data_Nhập[[#This Row],[Main SKU]],MD_Main_SKU[Main SKU],MD_Main_SKU[SKU name_gom])</f>
        <v>WSS01</v>
      </c>
      <c r="M618" s="2" t="str">
        <f>_xlfn.XLOOKUP(Data_Nhập[[#This Row],[Material-Nhập]],MD_Main_SKU[Main SKU],MD_Main_SKU[SKU name_gom])</f>
        <v>WSS01</v>
      </c>
    </row>
    <row r="619" spans="1:13" x14ac:dyDescent="0.35">
      <c r="A619">
        <v>2025</v>
      </c>
      <c r="B619">
        <v>3</v>
      </c>
      <c r="C619" t="s">
        <v>16</v>
      </c>
      <c r="D619" t="s">
        <v>17</v>
      </c>
      <c r="E619" t="s">
        <v>18</v>
      </c>
      <c r="F619" t="s">
        <v>19</v>
      </c>
      <c r="G619" s="2">
        <v>0</v>
      </c>
      <c r="H619" s="2">
        <v>35200</v>
      </c>
      <c r="I619" s="2">
        <v>35200</v>
      </c>
      <c r="J619" s="2">
        <v>0</v>
      </c>
      <c r="K619" s="2">
        <v>35200</v>
      </c>
      <c r="L619" s="2" t="str">
        <f>_xlfn.XLOOKUP(Data_Nhập[[#This Row],[Main SKU]],MD_Main_SKU[Main SKU],MD_Main_SKU[SKU name_gom])</f>
        <v>WSS01</v>
      </c>
      <c r="M619" s="2" t="str">
        <f>_xlfn.XLOOKUP(Data_Nhập[[#This Row],[Material-Nhập]],MD_Main_SKU[Main SKU],MD_Main_SKU[SKU name_gom])</f>
        <v>iSS01</v>
      </c>
    </row>
    <row r="620" spans="1:13" x14ac:dyDescent="0.35">
      <c r="A620">
        <v>2025</v>
      </c>
      <c r="B620">
        <v>3</v>
      </c>
      <c r="C620" t="s">
        <v>16</v>
      </c>
      <c r="D620" t="s">
        <v>17</v>
      </c>
      <c r="E620" t="s">
        <v>22</v>
      </c>
      <c r="F620" t="s">
        <v>23</v>
      </c>
      <c r="G620" s="2">
        <v>0</v>
      </c>
      <c r="H620" s="2">
        <v>8800.0000000000018</v>
      </c>
      <c r="I620" s="2">
        <v>8800.0000000000018</v>
      </c>
      <c r="J620" s="2">
        <v>0</v>
      </c>
      <c r="K620" s="2">
        <v>8800.0000000000018</v>
      </c>
      <c r="L620" s="2" t="str">
        <f>_xlfn.XLOOKUP(Data_Nhập[[#This Row],[Main SKU]],MD_Main_SKU[Main SKU],MD_Main_SKU[SKU name_gom])</f>
        <v>WSS01</v>
      </c>
      <c r="M620" s="2" t="str">
        <f>_xlfn.XLOOKUP(Data_Nhập[[#This Row],[Material-Nhập]],MD_Main_SKU[Main SKU],MD_Main_SKU[SKU name_gom])</f>
        <v>WSS03</v>
      </c>
    </row>
    <row r="621" spans="1:13" x14ac:dyDescent="0.35">
      <c r="A621">
        <v>2025</v>
      </c>
      <c r="B621">
        <v>3</v>
      </c>
      <c r="C621" t="s">
        <v>16</v>
      </c>
      <c r="D621" t="s">
        <v>17</v>
      </c>
      <c r="E621" t="s">
        <v>40</v>
      </c>
      <c r="F621" t="s">
        <v>41</v>
      </c>
      <c r="G621" s="2">
        <v>0</v>
      </c>
      <c r="H621" s="2">
        <v>8800</v>
      </c>
      <c r="I621" s="2">
        <v>8800</v>
      </c>
      <c r="J621" s="2">
        <v>0</v>
      </c>
      <c r="K621" s="2">
        <v>8800</v>
      </c>
      <c r="L621" s="2" t="str">
        <f>_xlfn.XLOOKUP(Data_Nhập[[#This Row],[Main SKU]],MD_Main_SKU[Main SKU],MD_Main_SKU[SKU name_gom])</f>
        <v>WSS01</v>
      </c>
      <c r="M621" s="2" t="str">
        <f>_xlfn.XLOOKUP(Data_Nhập[[#This Row],[Material-Nhập]],MD_Main_SKU[Main SKU],MD_Main_SKU[SKU name_gom])</f>
        <v>WSS01-PL</v>
      </c>
    </row>
    <row r="622" spans="1:13" x14ac:dyDescent="0.35">
      <c r="A622">
        <v>2025</v>
      </c>
      <c r="B622">
        <v>3</v>
      </c>
      <c r="C622" t="s">
        <v>16</v>
      </c>
      <c r="D622" t="s">
        <v>17</v>
      </c>
      <c r="E622" t="s">
        <v>34</v>
      </c>
      <c r="F622" t="s">
        <v>35</v>
      </c>
      <c r="G622" s="2">
        <v>0</v>
      </c>
      <c r="H622" s="2">
        <v>3300</v>
      </c>
      <c r="I622" s="2">
        <v>3300</v>
      </c>
      <c r="J622" s="2">
        <v>0</v>
      </c>
      <c r="K622" s="2">
        <v>3300</v>
      </c>
      <c r="L622" s="2" t="str">
        <f>_xlfn.XLOOKUP(Data_Nhập[[#This Row],[Main SKU]],MD_Main_SKU[Main SKU],MD_Main_SKU[SKU name_gom])</f>
        <v>WSS01</v>
      </c>
      <c r="M622" s="2" t="str">
        <f>_xlfn.XLOOKUP(Data_Nhập[[#This Row],[Material-Nhập]],MD_Main_SKU[Main SKU],MD_Main_SKU[SKU name_gom])</f>
        <v>WSS03-PL</v>
      </c>
    </row>
    <row r="623" spans="1:13" x14ac:dyDescent="0.35">
      <c r="A623">
        <v>2025</v>
      </c>
      <c r="B623">
        <v>3</v>
      </c>
      <c r="C623" t="s">
        <v>16</v>
      </c>
      <c r="D623" t="s">
        <v>17</v>
      </c>
      <c r="E623" t="s">
        <v>87</v>
      </c>
      <c r="F623" t="s">
        <v>88</v>
      </c>
      <c r="G623" s="2">
        <v>0</v>
      </c>
      <c r="H623" s="2">
        <v>0</v>
      </c>
      <c r="I623" s="2">
        <v>0</v>
      </c>
      <c r="J623" s="2">
        <v>35055</v>
      </c>
      <c r="K623" s="2">
        <v>35055</v>
      </c>
      <c r="L623" s="2" t="str">
        <f>_xlfn.XLOOKUP(Data_Nhập[[#This Row],[Main SKU]],MD_Main_SKU[Main SKU],MD_Main_SKU[SKU name_gom])</f>
        <v>WSS01</v>
      </c>
      <c r="M623" s="2" t="str">
        <f>_xlfn.XLOOKUP(Data_Nhập[[#This Row],[Material-Nhập]],MD_Main_SKU[Main SKU],MD_Main_SKU[SKU name_gom])</f>
        <v>Phó sản</v>
      </c>
    </row>
    <row r="624" spans="1:13" x14ac:dyDescent="0.35">
      <c r="A624">
        <v>2025</v>
      </c>
      <c r="B624">
        <v>3</v>
      </c>
      <c r="C624" t="s">
        <v>16</v>
      </c>
      <c r="D624" t="s">
        <v>17</v>
      </c>
      <c r="E624" t="s">
        <v>89</v>
      </c>
      <c r="F624" t="s">
        <v>90</v>
      </c>
      <c r="G624" s="2">
        <v>0</v>
      </c>
      <c r="H624" s="2">
        <v>0</v>
      </c>
      <c r="I624" s="2">
        <v>0</v>
      </c>
      <c r="J624" s="2">
        <v>29536.999999999996</v>
      </c>
      <c r="K624" s="2">
        <v>29536.999999999996</v>
      </c>
      <c r="L624" s="2" t="str">
        <f>_xlfn.XLOOKUP(Data_Nhập[[#This Row],[Main SKU]],MD_Main_SKU[Main SKU],MD_Main_SKU[SKU name_gom])</f>
        <v>WSS01</v>
      </c>
      <c r="M624" s="2" t="str">
        <f>_xlfn.XLOOKUP(Data_Nhập[[#This Row],[Material-Nhập]],MD_Main_SKU[Main SKU],MD_Main_SKU[SKU name_gom])</f>
        <v>Phó sản</v>
      </c>
    </row>
    <row r="625" spans="1:13" x14ac:dyDescent="0.35">
      <c r="A625">
        <v>2025</v>
      </c>
      <c r="B625">
        <v>3</v>
      </c>
      <c r="C625" t="s">
        <v>16</v>
      </c>
      <c r="D625" t="s">
        <v>17</v>
      </c>
      <c r="E625" t="s">
        <v>91</v>
      </c>
      <c r="F625" t="s">
        <v>92</v>
      </c>
      <c r="G625" s="2">
        <v>0</v>
      </c>
      <c r="H625" s="2">
        <v>0</v>
      </c>
      <c r="I625" s="2">
        <v>0</v>
      </c>
      <c r="J625" s="2">
        <v>9678</v>
      </c>
      <c r="K625" s="2">
        <v>9678</v>
      </c>
      <c r="L625" s="2" t="str">
        <f>_xlfn.XLOOKUP(Data_Nhập[[#This Row],[Main SKU]],MD_Main_SKU[Main SKU],MD_Main_SKU[SKU name_gom])</f>
        <v>WSS01</v>
      </c>
      <c r="M625" s="2" t="str">
        <f>_xlfn.XLOOKUP(Data_Nhập[[#This Row],[Material-Nhập]],MD_Main_SKU[Main SKU],MD_Main_SKU[SKU name_gom])</f>
        <v>Phó sản</v>
      </c>
    </row>
    <row r="626" spans="1:13" x14ac:dyDescent="0.35">
      <c r="A626">
        <v>2025</v>
      </c>
      <c r="B626">
        <v>3</v>
      </c>
      <c r="C626" t="s">
        <v>16</v>
      </c>
      <c r="D626" t="s">
        <v>17</v>
      </c>
      <c r="E626" t="s">
        <v>93</v>
      </c>
      <c r="F626" t="s">
        <v>94</v>
      </c>
      <c r="G626" s="2">
        <v>0</v>
      </c>
      <c r="H626" s="2">
        <v>0</v>
      </c>
      <c r="I626" s="2">
        <v>0</v>
      </c>
      <c r="J626" s="2">
        <v>1894.9999999999995</v>
      </c>
      <c r="K626" s="2">
        <v>1894.9999999999995</v>
      </c>
      <c r="L626" s="2" t="str">
        <f>_xlfn.XLOOKUP(Data_Nhập[[#This Row],[Main SKU]],MD_Main_SKU[Main SKU],MD_Main_SKU[SKU name_gom])</f>
        <v>WSS01</v>
      </c>
      <c r="M626" s="2" t="str">
        <f>_xlfn.XLOOKUP(Data_Nhập[[#This Row],[Material-Nhập]],MD_Main_SKU[Main SKU],MD_Main_SKU[SKU name_gom])</f>
        <v>Phó sản</v>
      </c>
    </row>
    <row r="627" spans="1:13" x14ac:dyDescent="0.35">
      <c r="A627">
        <v>2025</v>
      </c>
      <c r="B627">
        <v>3</v>
      </c>
      <c r="C627" t="s">
        <v>16</v>
      </c>
      <c r="D627" t="s">
        <v>17</v>
      </c>
      <c r="E627" t="s">
        <v>117</v>
      </c>
      <c r="F627" t="s">
        <v>86</v>
      </c>
      <c r="G627" s="2">
        <v>0</v>
      </c>
      <c r="H627" s="2">
        <v>0</v>
      </c>
      <c r="I627" s="2">
        <v>0</v>
      </c>
      <c r="J627" s="2">
        <v>24107.000000000004</v>
      </c>
      <c r="K627" s="2">
        <v>24107.000000000004</v>
      </c>
      <c r="L627" s="2" t="str">
        <f>_xlfn.XLOOKUP(Data_Nhập[[#This Row],[Main SKU]],MD_Main_SKU[Main SKU],MD_Main_SKU[SKU name_gom])</f>
        <v>WSS01</v>
      </c>
      <c r="M627" s="2" t="str">
        <f>_xlfn.XLOOKUP(Data_Nhập[[#This Row],[Material-Nhập]],MD_Main_SKU[Main SKU],MD_Main_SKU[SKU name_gom])</f>
        <v>Phó sản</v>
      </c>
    </row>
    <row r="628" spans="1:13" x14ac:dyDescent="0.35">
      <c r="A628">
        <v>2025</v>
      </c>
      <c r="B628">
        <v>3</v>
      </c>
      <c r="C628" t="s">
        <v>18</v>
      </c>
      <c r="D628" t="s">
        <v>19</v>
      </c>
      <c r="E628" t="s">
        <v>14</v>
      </c>
      <c r="F628" t="s">
        <v>15</v>
      </c>
      <c r="G628" s="2">
        <v>0</v>
      </c>
      <c r="H628" s="2">
        <v>11000</v>
      </c>
      <c r="I628" s="2">
        <v>11000</v>
      </c>
      <c r="J628" s="2">
        <v>0</v>
      </c>
      <c r="K628" s="2">
        <v>11000</v>
      </c>
      <c r="L628" s="2" t="str">
        <f>_xlfn.XLOOKUP(Data_Nhập[[#This Row],[Main SKU]],MD_Main_SKU[Main SKU],MD_Main_SKU[SKU name_gom])</f>
        <v>iSS01</v>
      </c>
      <c r="M628" s="2" t="str">
        <f>_xlfn.XLOOKUP(Data_Nhập[[#This Row],[Material-Nhập]],MD_Main_SKU[Main SKU],MD_Main_SKU[SKU name_gom])</f>
        <v>iSS01084</v>
      </c>
    </row>
    <row r="629" spans="1:13" x14ac:dyDescent="0.35">
      <c r="A629">
        <v>2025</v>
      </c>
      <c r="B629">
        <v>3</v>
      </c>
      <c r="C629" t="s">
        <v>18</v>
      </c>
      <c r="D629" t="s">
        <v>19</v>
      </c>
      <c r="E629" t="s">
        <v>18</v>
      </c>
      <c r="F629" t="s">
        <v>19</v>
      </c>
      <c r="G629" s="2">
        <v>817300</v>
      </c>
      <c r="H629" s="2">
        <v>0</v>
      </c>
      <c r="I629" s="2">
        <v>817300</v>
      </c>
      <c r="J629" s="2">
        <v>0</v>
      </c>
      <c r="K629" s="2">
        <v>817300</v>
      </c>
      <c r="L629" s="2" t="str">
        <f>_xlfn.XLOOKUP(Data_Nhập[[#This Row],[Main SKU]],MD_Main_SKU[Main SKU],MD_Main_SKU[SKU name_gom])</f>
        <v>iSS01</v>
      </c>
      <c r="M629" s="2" t="str">
        <f>_xlfn.XLOOKUP(Data_Nhập[[#This Row],[Material-Nhập]],MD_Main_SKU[Main SKU],MD_Main_SKU[SKU name_gom])</f>
        <v>iSS01</v>
      </c>
    </row>
    <row r="630" spans="1:13" x14ac:dyDescent="0.35">
      <c r="A630">
        <v>2025</v>
      </c>
      <c r="B630">
        <v>3</v>
      </c>
      <c r="C630" t="s">
        <v>18</v>
      </c>
      <c r="D630" t="s">
        <v>19</v>
      </c>
      <c r="E630" t="s">
        <v>22</v>
      </c>
      <c r="F630" t="s">
        <v>23</v>
      </c>
      <c r="G630" s="2">
        <v>0</v>
      </c>
      <c r="H630" s="2">
        <v>16500.000000000004</v>
      </c>
      <c r="I630" s="2">
        <v>16500.000000000004</v>
      </c>
      <c r="J630" s="2">
        <v>0</v>
      </c>
      <c r="K630" s="2">
        <v>16500.000000000004</v>
      </c>
      <c r="L630" s="2" t="str">
        <f>_xlfn.XLOOKUP(Data_Nhập[[#This Row],[Main SKU]],MD_Main_SKU[Main SKU],MD_Main_SKU[SKU name_gom])</f>
        <v>iSS01</v>
      </c>
      <c r="M630" s="2" t="str">
        <f>_xlfn.XLOOKUP(Data_Nhập[[#This Row],[Material-Nhập]],MD_Main_SKU[Main SKU],MD_Main_SKU[SKU name_gom])</f>
        <v>WSS03</v>
      </c>
    </row>
    <row r="631" spans="1:13" x14ac:dyDescent="0.35">
      <c r="A631">
        <v>2025</v>
      </c>
      <c r="B631">
        <v>3</v>
      </c>
      <c r="C631" t="s">
        <v>18</v>
      </c>
      <c r="D631" t="s">
        <v>19</v>
      </c>
      <c r="E631" t="s">
        <v>40</v>
      </c>
      <c r="F631" t="s">
        <v>41</v>
      </c>
      <c r="G631" s="2">
        <v>0</v>
      </c>
      <c r="H631" s="2">
        <v>1100</v>
      </c>
      <c r="I631" s="2">
        <v>1100</v>
      </c>
      <c r="J631" s="2">
        <v>0</v>
      </c>
      <c r="K631" s="2">
        <v>1100</v>
      </c>
      <c r="L631" s="2" t="str">
        <f>_xlfn.XLOOKUP(Data_Nhập[[#This Row],[Main SKU]],MD_Main_SKU[Main SKU],MD_Main_SKU[SKU name_gom])</f>
        <v>iSS01</v>
      </c>
      <c r="M631" s="2" t="str">
        <f>_xlfn.XLOOKUP(Data_Nhập[[#This Row],[Material-Nhập]],MD_Main_SKU[Main SKU],MD_Main_SKU[SKU name_gom])</f>
        <v>WSS01-PL</v>
      </c>
    </row>
    <row r="632" spans="1:13" x14ac:dyDescent="0.35">
      <c r="A632">
        <v>2025</v>
      </c>
      <c r="B632">
        <v>3</v>
      </c>
      <c r="C632" t="s">
        <v>18</v>
      </c>
      <c r="D632" t="s">
        <v>19</v>
      </c>
      <c r="E632" t="s">
        <v>34</v>
      </c>
      <c r="F632" t="s">
        <v>35</v>
      </c>
      <c r="G632" s="2">
        <v>0</v>
      </c>
      <c r="H632" s="2">
        <v>1100</v>
      </c>
      <c r="I632" s="2">
        <v>1100</v>
      </c>
      <c r="J632" s="2">
        <v>0</v>
      </c>
      <c r="K632" s="2">
        <v>1100</v>
      </c>
      <c r="L632" s="2" t="str">
        <f>_xlfn.XLOOKUP(Data_Nhập[[#This Row],[Main SKU]],MD_Main_SKU[Main SKU],MD_Main_SKU[SKU name_gom])</f>
        <v>iSS01</v>
      </c>
      <c r="M632" s="2" t="str">
        <f>_xlfn.XLOOKUP(Data_Nhập[[#This Row],[Material-Nhập]],MD_Main_SKU[Main SKU],MD_Main_SKU[SKU name_gom])</f>
        <v>WSS03-PL</v>
      </c>
    </row>
    <row r="633" spans="1:13" x14ac:dyDescent="0.35">
      <c r="A633">
        <v>2025</v>
      </c>
      <c r="B633">
        <v>3</v>
      </c>
      <c r="C633" t="s">
        <v>18</v>
      </c>
      <c r="D633" t="s">
        <v>19</v>
      </c>
      <c r="E633" t="s">
        <v>87</v>
      </c>
      <c r="F633" t="s">
        <v>88</v>
      </c>
      <c r="G633" s="2">
        <v>0</v>
      </c>
      <c r="H633" s="2">
        <v>0</v>
      </c>
      <c r="I633" s="2">
        <v>0</v>
      </c>
      <c r="J633" s="2">
        <v>16400</v>
      </c>
      <c r="K633" s="2">
        <v>16400</v>
      </c>
      <c r="L633" s="2" t="str">
        <f>_xlfn.XLOOKUP(Data_Nhập[[#This Row],[Main SKU]],MD_Main_SKU[Main SKU],MD_Main_SKU[SKU name_gom])</f>
        <v>iSS01</v>
      </c>
      <c r="M633" s="2" t="str">
        <f>_xlfn.XLOOKUP(Data_Nhập[[#This Row],[Material-Nhập]],MD_Main_SKU[Main SKU],MD_Main_SKU[SKU name_gom])</f>
        <v>Phó sản</v>
      </c>
    </row>
    <row r="634" spans="1:13" x14ac:dyDescent="0.35">
      <c r="A634">
        <v>2025</v>
      </c>
      <c r="B634">
        <v>3</v>
      </c>
      <c r="C634" t="s">
        <v>18</v>
      </c>
      <c r="D634" t="s">
        <v>19</v>
      </c>
      <c r="E634" t="s">
        <v>89</v>
      </c>
      <c r="F634" t="s">
        <v>90</v>
      </c>
      <c r="G634" s="2">
        <v>0</v>
      </c>
      <c r="H634" s="2">
        <v>0</v>
      </c>
      <c r="I634" s="2">
        <v>0</v>
      </c>
      <c r="J634" s="2">
        <v>8079.9999999999991</v>
      </c>
      <c r="K634" s="2">
        <v>8079.9999999999991</v>
      </c>
      <c r="L634" s="2" t="str">
        <f>_xlfn.XLOOKUP(Data_Nhập[[#This Row],[Main SKU]],MD_Main_SKU[Main SKU],MD_Main_SKU[SKU name_gom])</f>
        <v>iSS01</v>
      </c>
      <c r="M634" s="2" t="str">
        <f>_xlfn.XLOOKUP(Data_Nhập[[#This Row],[Material-Nhập]],MD_Main_SKU[Main SKU],MD_Main_SKU[SKU name_gom])</f>
        <v>Phó sản</v>
      </c>
    </row>
    <row r="635" spans="1:13" x14ac:dyDescent="0.35">
      <c r="A635">
        <v>2025</v>
      </c>
      <c r="B635">
        <v>3</v>
      </c>
      <c r="C635" t="s">
        <v>18</v>
      </c>
      <c r="D635" t="s">
        <v>19</v>
      </c>
      <c r="E635" t="s">
        <v>91</v>
      </c>
      <c r="F635" t="s">
        <v>92</v>
      </c>
      <c r="G635" s="2">
        <v>0</v>
      </c>
      <c r="H635" s="2">
        <v>0</v>
      </c>
      <c r="I635" s="2">
        <v>0</v>
      </c>
      <c r="J635" s="2">
        <v>1220</v>
      </c>
      <c r="K635" s="2">
        <v>1220</v>
      </c>
      <c r="L635" s="2" t="str">
        <f>_xlfn.XLOOKUP(Data_Nhập[[#This Row],[Main SKU]],MD_Main_SKU[Main SKU],MD_Main_SKU[SKU name_gom])</f>
        <v>iSS01</v>
      </c>
      <c r="M635" s="2" t="str">
        <f>_xlfn.XLOOKUP(Data_Nhập[[#This Row],[Material-Nhập]],MD_Main_SKU[Main SKU],MD_Main_SKU[SKU name_gom])</f>
        <v>Phó sản</v>
      </c>
    </row>
    <row r="636" spans="1:13" x14ac:dyDescent="0.35">
      <c r="A636">
        <v>2025</v>
      </c>
      <c r="B636">
        <v>3</v>
      </c>
      <c r="C636" t="s">
        <v>18</v>
      </c>
      <c r="D636" t="s">
        <v>19</v>
      </c>
      <c r="E636" t="s">
        <v>93</v>
      </c>
      <c r="F636" t="s">
        <v>94</v>
      </c>
      <c r="G636" s="2">
        <v>0</v>
      </c>
      <c r="H636" s="2">
        <v>0</v>
      </c>
      <c r="I636" s="2">
        <v>0</v>
      </c>
      <c r="J636" s="2">
        <v>985.99999999999989</v>
      </c>
      <c r="K636" s="2">
        <v>985.99999999999989</v>
      </c>
      <c r="L636" s="2" t="str">
        <f>_xlfn.XLOOKUP(Data_Nhập[[#This Row],[Main SKU]],MD_Main_SKU[Main SKU],MD_Main_SKU[SKU name_gom])</f>
        <v>iSS01</v>
      </c>
      <c r="M636" s="2" t="str">
        <f>_xlfn.XLOOKUP(Data_Nhập[[#This Row],[Material-Nhập]],MD_Main_SKU[Main SKU],MD_Main_SKU[SKU name_gom])</f>
        <v>Phó sản</v>
      </c>
    </row>
    <row r="637" spans="1:13" x14ac:dyDescent="0.35">
      <c r="A637">
        <v>2025</v>
      </c>
      <c r="B637">
        <v>3</v>
      </c>
      <c r="C637" t="s">
        <v>18</v>
      </c>
      <c r="D637" t="s">
        <v>19</v>
      </c>
      <c r="E637" t="s">
        <v>117</v>
      </c>
      <c r="F637" t="s">
        <v>86</v>
      </c>
      <c r="G637" s="2">
        <v>0</v>
      </c>
      <c r="H637" s="2">
        <v>0</v>
      </c>
      <c r="I637" s="2">
        <v>0</v>
      </c>
      <c r="J637" s="2">
        <v>13506</v>
      </c>
      <c r="K637" s="2">
        <v>13506</v>
      </c>
      <c r="L637" s="2" t="str">
        <f>_xlfn.XLOOKUP(Data_Nhập[[#This Row],[Main SKU]],MD_Main_SKU[Main SKU],MD_Main_SKU[SKU name_gom])</f>
        <v>iSS01</v>
      </c>
      <c r="M637" s="2" t="str">
        <f>_xlfn.XLOOKUP(Data_Nhập[[#This Row],[Material-Nhập]],MD_Main_SKU[Main SKU],MD_Main_SKU[SKU name_gom])</f>
        <v>Phó sản</v>
      </c>
    </row>
    <row r="638" spans="1:13" x14ac:dyDescent="0.35">
      <c r="A638">
        <v>2025</v>
      </c>
      <c r="B638">
        <v>3</v>
      </c>
      <c r="C638" t="s">
        <v>22</v>
      </c>
      <c r="D638" t="s">
        <v>23</v>
      </c>
      <c r="E638" t="s">
        <v>22</v>
      </c>
      <c r="F638" t="s">
        <v>23</v>
      </c>
      <c r="G638" s="2">
        <v>390500</v>
      </c>
      <c r="H638" s="2">
        <v>0</v>
      </c>
      <c r="I638" s="2">
        <v>390500</v>
      </c>
      <c r="J638" s="2">
        <v>0</v>
      </c>
      <c r="K638" s="2">
        <v>390500</v>
      </c>
      <c r="L638" s="2" t="str">
        <f>_xlfn.XLOOKUP(Data_Nhập[[#This Row],[Main SKU]],MD_Main_SKU[Main SKU],MD_Main_SKU[SKU name_gom])</f>
        <v>WSS03</v>
      </c>
      <c r="M638" s="2" t="str">
        <f>_xlfn.XLOOKUP(Data_Nhập[[#This Row],[Material-Nhập]],MD_Main_SKU[Main SKU],MD_Main_SKU[SKU name_gom])</f>
        <v>WSS03</v>
      </c>
    </row>
    <row r="639" spans="1:13" x14ac:dyDescent="0.35">
      <c r="A639">
        <v>2025</v>
      </c>
      <c r="B639">
        <v>3</v>
      </c>
      <c r="C639" t="s">
        <v>22</v>
      </c>
      <c r="D639" t="s">
        <v>23</v>
      </c>
      <c r="E639" t="s">
        <v>87</v>
      </c>
      <c r="F639" t="s">
        <v>88</v>
      </c>
      <c r="G639" s="2">
        <v>0</v>
      </c>
      <c r="H639" s="2">
        <v>0</v>
      </c>
      <c r="I639" s="2">
        <v>0</v>
      </c>
      <c r="J639" s="2">
        <v>22480</v>
      </c>
      <c r="K639" s="2">
        <v>22480</v>
      </c>
      <c r="L639" s="2" t="str">
        <f>_xlfn.XLOOKUP(Data_Nhập[[#This Row],[Main SKU]],MD_Main_SKU[Main SKU],MD_Main_SKU[SKU name_gom])</f>
        <v>WSS03</v>
      </c>
      <c r="M639" s="2" t="str">
        <f>_xlfn.XLOOKUP(Data_Nhập[[#This Row],[Material-Nhập]],MD_Main_SKU[Main SKU],MD_Main_SKU[SKU name_gom])</f>
        <v>Phó sản</v>
      </c>
    </row>
    <row r="640" spans="1:13" x14ac:dyDescent="0.35">
      <c r="A640">
        <v>2025</v>
      </c>
      <c r="B640">
        <v>3</v>
      </c>
      <c r="C640" t="s">
        <v>22</v>
      </c>
      <c r="D640" t="s">
        <v>23</v>
      </c>
      <c r="E640" t="s">
        <v>89</v>
      </c>
      <c r="F640" t="s">
        <v>90</v>
      </c>
      <c r="G640" s="2">
        <v>0</v>
      </c>
      <c r="H640" s="2">
        <v>0</v>
      </c>
      <c r="I640" s="2">
        <v>0</v>
      </c>
      <c r="J640" s="2">
        <v>1512</v>
      </c>
      <c r="K640" s="2">
        <v>1512</v>
      </c>
      <c r="L640" s="2" t="str">
        <f>_xlfn.XLOOKUP(Data_Nhập[[#This Row],[Main SKU]],MD_Main_SKU[Main SKU],MD_Main_SKU[SKU name_gom])</f>
        <v>WSS03</v>
      </c>
      <c r="M640" s="2" t="str">
        <f>_xlfn.XLOOKUP(Data_Nhập[[#This Row],[Material-Nhập]],MD_Main_SKU[Main SKU],MD_Main_SKU[SKU name_gom])</f>
        <v>Phó sản</v>
      </c>
    </row>
    <row r="641" spans="1:13" x14ac:dyDescent="0.35">
      <c r="A641">
        <v>2025</v>
      </c>
      <c r="B641">
        <v>3</v>
      </c>
      <c r="C641" t="s">
        <v>22</v>
      </c>
      <c r="D641" t="s">
        <v>23</v>
      </c>
      <c r="E641" t="s">
        <v>91</v>
      </c>
      <c r="F641" t="s">
        <v>92</v>
      </c>
      <c r="G641" s="2">
        <v>0</v>
      </c>
      <c r="H641" s="2">
        <v>0</v>
      </c>
      <c r="I641" s="2">
        <v>0</v>
      </c>
      <c r="J641" s="2">
        <v>945</v>
      </c>
      <c r="K641" s="2">
        <v>945</v>
      </c>
      <c r="L641" s="2" t="str">
        <f>_xlfn.XLOOKUP(Data_Nhập[[#This Row],[Main SKU]],MD_Main_SKU[Main SKU],MD_Main_SKU[SKU name_gom])</f>
        <v>WSS03</v>
      </c>
      <c r="M641" s="2" t="str">
        <f>_xlfn.XLOOKUP(Data_Nhập[[#This Row],[Material-Nhập]],MD_Main_SKU[Main SKU],MD_Main_SKU[SKU name_gom])</f>
        <v>Phó sản</v>
      </c>
    </row>
    <row r="642" spans="1:13" x14ac:dyDescent="0.35">
      <c r="A642">
        <v>2025</v>
      </c>
      <c r="B642">
        <v>3</v>
      </c>
      <c r="C642" t="s">
        <v>22</v>
      </c>
      <c r="D642" t="s">
        <v>23</v>
      </c>
      <c r="E642" t="s">
        <v>93</v>
      </c>
      <c r="F642" t="s">
        <v>94</v>
      </c>
      <c r="G642" s="2">
        <v>0</v>
      </c>
      <c r="H642" s="2">
        <v>0</v>
      </c>
      <c r="I642" s="2">
        <v>0</v>
      </c>
      <c r="J642" s="2">
        <v>413</v>
      </c>
      <c r="K642" s="2">
        <v>413</v>
      </c>
      <c r="L642" s="2" t="str">
        <f>_xlfn.XLOOKUP(Data_Nhập[[#This Row],[Main SKU]],MD_Main_SKU[Main SKU],MD_Main_SKU[SKU name_gom])</f>
        <v>WSS03</v>
      </c>
      <c r="M642" s="2" t="str">
        <f>_xlfn.XLOOKUP(Data_Nhập[[#This Row],[Material-Nhập]],MD_Main_SKU[Main SKU],MD_Main_SKU[SKU name_gom])</f>
        <v>Phó sản</v>
      </c>
    </row>
    <row r="643" spans="1:13" x14ac:dyDescent="0.35">
      <c r="A643">
        <v>2025</v>
      </c>
      <c r="B643">
        <v>3</v>
      </c>
      <c r="C643" t="s">
        <v>22</v>
      </c>
      <c r="D643" t="s">
        <v>23</v>
      </c>
      <c r="E643" t="s">
        <v>117</v>
      </c>
      <c r="F643" t="s">
        <v>86</v>
      </c>
      <c r="G643" s="2">
        <v>0</v>
      </c>
      <c r="H643" s="2">
        <v>0</v>
      </c>
      <c r="I643" s="2">
        <v>0</v>
      </c>
      <c r="J643" s="2">
        <v>11063</v>
      </c>
      <c r="K643" s="2">
        <v>11063</v>
      </c>
      <c r="L643" s="2" t="str">
        <f>_xlfn.XLOOKUP(Data_Nhập[[#This Row],[Main SKU]],MD_Main_SKU[Main SKU],MD_Main_SKU[SKU name_gom])</f>
        <v>WSS03</v>
      </c>
      <c r="M643" s="2" t="str">
        <f>_xlfn.XLOOKUP(Data_Nhập[[#This Row],[Material-Nhập]],MD_Main_SKU[Main SKU],MD_Main_SKU[SKU name_gom])</f>
        <v>Phó sản</v>
      </c>
    </row>
    <row r="644" spans="1:13" x14ac:dyDescent="0.35">
      <c r="A644">
        <v>2025</v>
      </c>
      <c r="B644">
        <v>3</v>
      </c>
      <c r="C644" t="s">
        <v>26</v>
      </c>
      <c r="D644" t="s">
        <v>27</v>
      </c>
      <c r="E644" t="s">
        <v>22</v>
      </c>
      <c r="F644" t="s">
        <v>23</v>
      </c>
      <c r="G644" s="2">
        <v>0</v>
      </c>
      <c r="H644" s="2">
        <v>1015</v>
      </c>
      <c r="I644" s="2">
        <v>1015</v>
      </c>
      <c r="J644" s="2">
        <v>0</v>
      </c>
      <c r="K644" s="2">
        <v>1015</v>
      </c>
      <c r="L644" s="2" t="str">
        <f>_xlfn.XLOOKUP(Data_Nhập[[#This Row],[Main SKU]],MD_Main_SKU[Main SKU],MD_Main_SKU[SKU name_gom])</f>
        <v>iSS01</v>
      </c>
      <c r="M644" s="2" t="str">
        <f>_xlfn.XLOOKUP(Data_Nhập[[#This Row],[Material-Nhập]],MD_Main_SKU[Main SKU],MD_Main_SKU[SKU name_gom])</f>
        <v>WSS03</v>
      </c>
    </row>
    <row r="645" spans="1:13" x14ac:dyDescent="0.35">
      <c r="A645">
        <v>2025</v>
      </c>
      <c r="B645">
        <v>3</v>
      </c>
      <c r="C645" t="s">
        <v>26</v>
      </c>
      <c r="D645" t="s">
        <v>27</v>
      </c>
      <c r="E645" t="s">
        <v>24</v>
      </c>
      <c r="F645" t="s">
        <v>25</v>
      </c>
      <c r="G645" s="2">
        <v>0</v>
      </c>
      <c r="H645" s="2">
        <v>2200</v>
      </c>
      <c r="I645" s="2">
        <v>2200</v>
      </c>
      <c r="J645" s="2">
        <v>0</v>
      </c>
      <c r="K645" s="2">
        <v>2200</v>
      </c>
      <c r="L645" s="2" t="str">
        <f>_xlfn.XLOOKUP(Data_Nhập[[#This Row],[Main SKU]],MD_Main_SKU[Main SKU],MD_Main_SKU[SKU name_gom])</f>
        <v>iSS01</v>
      </c>
      <c r="M645" s="2" t="str">
        <f>_xlfn.XLOOKUP(Data_Nhập[[#This Row],[Material-Nhập]],MD_Main_SKU[Main SKU],MD_Main_SKU[SKU name_gom])</f>
        <v>WSS01</v>
      </c>
    </row>
    <row r="646" spans="1:13" x14ac:dyDescent="0.35">
      <c r="A646">
        <v>2025</v>
      </c>
      <c r="B646">
        <v>3</v>
      </c>
      <c r="C646" t="s">
        <v>26</v>
      </c>
      <c r="D646" t="s">
        <v>27</v>
      </c>
      <c r="E646" t="s">
        <v>26</v>
      </c>
      <c r="F646" t="s">
        <v>27</v>
      </c>
      <c r="G646" s="2">
        <v>386099.99999999994</v>
      </c>
      <c r="H646" s="2">
        <v>0</v>
      </c>
      <c r="I646" s="2">
        <v>386099.99999999994</v>
      </c>
      <c r="J646" s="2">
        <v>0</v>
      </c>
      <c r="K646" s="2">
        <v>386099.99999999994</v>
      </c>
      <c r="L646" s="2" t="str">
        <f>_xlfn.XLOOKUP(Data_Nhập[[#This Row],[Main SKU]],MD_Main_SKU[Main SKU],MD_Main_SKU[SKU name_gom])</f>
        <v>iSS01</v>
      </c>
      <c r="M646" s="2" t="str">
        <f>_xlfn.XLOOKUP(Data_Nhập[[#This Row],[Material-Nhập]],MD_Main_SKU[Main SKU],MD_Main_SKU[SKU name_gom])</f>
        <v>iSS01</v>
      </c>
    </row>
    <row r="647" spans="1:13" x14ac:dyDescent="0.35">
      <c r="A647">
        <v>2025</v>
      </c>
      <c r="B647">
        <v>3</v>
      </c>
      <c r="C647" t="s">
        <v>26</v>
      </c>
      <c r="D647" t="s">
        <v>27</v>
      </c>
      <c r="E647" t="s">
        <v>87</v>
      </c>
      <c r="F647" t="s">
        <v>88</v>
      </c>
      <c r="G647" s="2">
        <v>0</v>
      </c>
      <c r="H647" s="2">
        <v>0</v>
      </c>
      <c r="I647" s="2">
        <v>0</v>
      </c>
      <c r="J647" s="2">
        <v>18050</v>
      </c>
      <c r="K647" s="2">
        <v>18050</v>
      </c>
      <c r="L647" s="2" t="str">
        <f>_xlfn.XLOOKUP(Data_Nhập[[#This Row],[Main SKU]],MD_Main_SKU[Main SKU],MD_Main_SKU[SKU name_gom])</f>
        <v>iSS01</v>
      </c>
      <c r="M647" s="2" t="str">
        <f>_xlfn.XLOOKUP(Data_Nhập[[#This Row],[Material-Nhập]],MD_Main_SKU[Main SKU],MD_Main_SKU[SKU name_gom])</f>
        <v>Phó sản</v>
      </c>
    </row>
    <row r="648" spans="1:13" x14ac:dyDescent="0.35">
      <c r="A648">
        <v>2025</v>
      </c>
      <c r="B648">
        <v>3</v>
      </c>
      <c r="C648" t="s">
        <v>26</v>
      </c>
      <c r="D648" t="s">
        <v>27</v>
      </c>
      <c r="E648" t="s">
        <v>89</v>
      </c>
      <c r="F648" t="s">
        <v>90</v>
      </c>
      <c r="G648" s="2">
        <v>0</v>
      </c>
      <c r="H648" s="2">
        <v>0</v>
      </c>
      <c r="I648" s="2">
        <v>0</v>
      </c>
      <c r="J648" s="2">
        <v>1293</v>
      </c>
      <c r="K648" s="2">
        <v>1293</v>
      </c>
      <c r="L648" s="2" t="str">
        <f>_xlfn.XLOOKUP(Data_Nhập[[#This Row],[Main SKU]],MD_Main_SKU[Main SKU],MD_Main_SKU[SKU name_gom])</f>
        <v>iSS01</v>
      </c>
      <c r="M648" s="2" t="str">
        <f>_xlfn.XLOOKUP(Data_Nhập[[#This Row],[Material-Nhập]],MD_Main_SKU[Main SKU],MD_Main_SKU[SKU name_gom])</f>
        <v>Phó sản</v>
      </c>
    </row>
    <row r="649" spans="1:13" x14ac:dyDescent="0.35">
      <c r="A649">
        <v>2025</v>
      </c>
      <c r="B649">
        <v>3</v>
      </c>
      <c r="C649" t="s">
        <v>26</v>
      </c>
      <c r="D649" t="s">
        <v>27</v>
      </c>
      <c r="E649" t="s">
        <v>91</v>
      </c>
      <c r="F649" t="s">
        <v>92</v>
      </c>
      <c r="G649" s="2">
        <v>0</v>
      </c>
      <c r="H649" s="2">
        <v>0</v>
      </c>
      <c r="I649" s="2">
        <v>0</v>
      </c>
      <c r="J649" s="2">
        <v>1924.9999999999998</v>
      </c>
      <c r="K649" s="2">
        <v>1924.9999999999998</v>
      </c>
      <c r="L649" s="2" t="str">
        <f>_xlfn.XLOOKUP(Data_Nhập[[#This Row],[Main SKU]],MD_Main_SKU[Main SKU],MD_Main_SKU[SKU name_gom])</f>
        <v>iSS01</v>
      </c>
      <c r="M649" s="2" t="str">
        <f>_xlfn.XLOOKUP(Data_Nhập[[#This Row],[Material-Nhập]],MD_Main_SKU[Main SKU],MD_Main_SKU[SKU name_gom])</f>
        <v>Phó sản</v>
      </c>
    </row>
    <row r="650" spans="1:13" x14ac:dyDescent="0.35">
      <c r="A650">
        <v>2025</v>
      </c>
      <c r="B650">
        <v>3</v>
      </c>
      <c r="C650" t="s">
        <v>26</v>
      </c>
      <c r="D650" t="s">
        <v>27</v>
      </c>
      <c r="E650" t="s">
        <v>93</v>
      </c>
      <c r="F650" t="s">
        <v>94</v>
      </c>
      <c r="G650" s="2">
        <v>0</v>
      </c>
      <c r="H650" s="2">
        <v>0</v>
      </c>
      <c r="I650" s="2">
        <v>0</v>
      </c>
      <c r="J650" s="2">
        <v>1833.0000000000002</v>
      </c>
      <c r="K650" s="2">
        <v>1833.0000000000002</v>
      </c>
      <c r="L650" s="2" t="str">
        <f>_xlfn.XLOOKUP(Data_Nhập[[#This Row],[Main SKU]],MD_Main_SKU[Main SKU],MD_Main_SKU[SKU name_gom])</f>
        <v>iSS01</v>
      </c>
      <c r="M650" s="2" t="str">
        <f>_xlfn.XLOOKUP(Data_Nhập[[#This Row],[Material-Nhập]],MD_Main_SKU[Main SKU],MD_Main_SKU[SKU name_gom])</f>
        <v>Phó sản</v>
      </c>
    </row>
    <row r="651" spans="1:13" x14ac:dyDescent="0.35">
      <c r="A651">
        <v>2025</v>
      </c>
      <c r="B651">
        <v>3</v>
      </c>
      <c r="C651" t="s">
        <v>26</v>
      </c>
      <c r="D651" t="s">
        <v>27</v>
      </c>
      <c r="E651" t="s">
        <v>117</v>
      </c>
      <c r="F651" t="s">
        <v>86</v>
      </c>
      <c r="G651" s="2">
        <v>0</v>
      </c>
      <c r="H651" s="2">
        <v>0</v>
      </c>
      <c r="I651" s="2">
        <v>0</v>
      </c>
      <c r="J651" s="2">
        <v>7025.9999999999982</v>
      </c>
      <c r="K651" s="2">
        <v>7025.9999999999982</v>
      </c>
      <c r="L651" s="2" t="str">
        <f>_xlfn.XLOOKUP(Data_Nhập[[#This Row],[Main SKU]],MD_Main_SKU[Main SKU],MD_Main_SKU[SKU name_gom])</f>
        <v>iSS01</v>
      </c>
      <c r="M651" s="2" t="str">
        <f>_xlfn.XLOOKUP(Data_Nhập[[#This Row],[Material-Nhập]],MD_Main_SKU[Main SKU],MD_Main_SKU[SKU name_gom])</f>
        <v>Phó sản</v>
      </c>
    </row>
    <row r="652" spans="1:13" x14ac:dyDescent="0.35">
      <c r="A652">
        <v>2025</v>
      </c>
      <c r="B652">
        <v>3</v>
      </c>
      <c r="C652" t="s">
        <v>99</v>
      </c>
      <c r="D652" t="s">
        <v>100</v>
      </c>
      <c r="E652" t="s">
        <v>99</v>
      </c>
      <c r="F652" t="s">
        <v>100</v>
      </c>
      <c r="G652" s="2">
        <v>2100</v>
      </c>
      <c r="H652" s="2">
        <v>0</v>
      </c>
      <c r="I652" s="2">
        <v>2100</v>
      </c>
      <c r="J652" s="2">
        <v>0</v>
      </c>
      <c r="K652" s="2">
        <v>2100</v>
      </c>
      <c r="L652" s="2" t="str">
        <f>_xlfn.XLOOKUP(Data_Nhập[[#This Row],[Main SKU]],MD_Main_SKU[Main SKU],MD_Main_SKU[SKU name_gom])</f>
        <v>WSS04</v>
      </c>
      <c r="M652" s="2" t="str">
        <f>_xlfn.XLOOKUP(Data_Nhập[[#This Row],[Material-Nhập]],MD_Main_SKU[Main SKU],MD_Main_SKU[SKU name_gom])</f>
        <v>WSS04</v>
      </c>
    </row>
    <row r="653" spans="1:13" x14ac:dyDescent="0.35">
      <c r="A653">
        <v>2025</v>
      </c>
      <c r="B653">
        <v>3</v>
      </c>
      <c r="C653" t="s">
        <v>99</v>
      </c>
      <c r="D653" t="s">
        <v>100</v>
      </c>
      <c r="E653" t="s">
        <v>117</v>
      </c>
      <c r="F653" t="s">
        <v>86</v>
      </c>
      <c r="G653" s="2">
        <v>0</v>
      </c>
      <c r="H653" s="2">
        <v>0</v>
      </c>
      <c r="I653" s="2">
        <v>0</v>
      </c>
      <c r="J653" s="2">
        <v>400</v>
      </c>
      <c r="K653" s="2">
        <v>400</v>
      </c>
      <c r="L653" s="2" t="str">
        <f>_xlfn.XLOOKUP(Data_Nhập[[#This Row],[Main SKU]],MD_Main_SKU[Main SKU],MD_Main_SKU[SKU name_gom])</f>
        <v>WSS04</v>
      </c>
      <c r="M653" s="2" t="str">
        <f>_xlfn.XLOOKUP(Data_Nhập[[#This Row],[Material-Nhập]],MD_Main_SKU[Main SKU],MD_Main_SKU[SKU name_gom])</f>
        <v>Phó sản</v>
      </c>
    </row>
    <row r="654" spans="1:13" x14ac:dyDescent="0.35">
      <c r="A654">
        <v>2025</v>
      </c>
      <c r="B654">
        <v>3</v>
      </c>
      <c r="C654" t="s">
        <v>115</v>
      </c>
      <c r="D654" t="s">
        <v>116</v>
      </c>
      <c r="E654" t="s">
        <v>115</v>
      </c>
      <c r="F654" t="s">
        <v>116</v>
      </c>
      <c r="G654" s="2">
        <v>343350</v>
      </c>
      <c r="H654" s="2">
        <v>0</v>
      </c>
      <c r="I654" s="2">
        <v>343350</v>
      </c>
      <c r="J654" s="2">
        <v>0</v>
      </c>
      <c r="K654" s="2">
        <v>343350</v>
      </c>
      <c r="L654" s="2" t="str">
        <f>_xlfn.XLOOKUP(Data_Nhập[[#This Row],[Main SKU]],MD_Main_SKU[Main SKU],MD_Main_SKU[SKU name_gom])</f>
        <v>WSS05</v>
      </c>
      <c r="M654" s="2" t="str">
        <f>_xlfn.XLOOKUP(Data_Nhập[[#This Row],[Material-Nhập]],MD_Main_SKU[Main SKU],MD_Main_SKU[SKU name_gom])</f>
        <v>WSS05</v>
      </c>
    </row>
    <row r="655" spans="1:13" x14ac:dyDescent="0.35">
      <c r="A655">
        <v>2025</v>
      </c>
      <c r="B655">
        <v>3</v>
      </c>
      <c r="C655" t="s">
        <v>115</v>
      </c>
      <c r="D655" t="s">
        <v>116</v>
      </c>
      <c r="E655" t="s">
        <v>87</v>
      </c>
      <c r="F655" t="s">
        <v>88</v>
      </c>
      <c r="G655" s="2">
        <v>0</v>
      </c>
      <c r="H655" s="2">
        <v>0</v>
      </c>
      <c r="I655" s="2">
        <v>0</v>
      </c>
      <c r="J655" s="2">
        <v>27978</v>
      </c>
      <c r="K655" s="2">
        <v>27978</v>
      </c>
      <c r="L655" s="2" t="str">
        <f>_xlfn.XLOOKUP(Data_Nhập[[#This Row],[Main SKU]],MD_Main_SKU[Main SKU],MD_Main_SKU[SKU name_gom])</f>
        <v>WSS05</v>
      </c>
      <c r="M655" s="2" t="str">
        <f>_xlfn.XLOOKUP(Data_Nhập[[#This Row],[Material-Nhập]],MD_Main_SKU[Main SKU],MD_Main_SKU[SKU name_gom])</f>
        <v>Phó sản</v>
      </c>
    </row>
    <row r="656" spans="1:13" x14ac:dyDescent="0.35">
      <c r="A656">
        <v>2025</v>
      </c>
      <c r="B656">
        <v>3</v>
      </c>
      <c r="C656" t="s">
        <v>115</v>
      </c>
      <c r="D656" t="s">
        <v>116</v>
      </c>
      <c r="E656" t="s">
        <v>117</v>
      </c>
      <c r="F656" t="s">
        <v>86</v>
      </c>
      <c r="G656" s="2">
        <v>0</v>
      </c>
      <c r="H656" s="2">
        <v>0</v>
      </c>
      <c r="I656" s="2">
        <v>0</v>
      </c>
      <c r="J656" s="2">
        <v>12110</v>
      </c>
      <c r="K656" s="2">
        <v>12110</v>
      </c>
      <c r="L656" s="2" t="str">
        <f>_xlfn.XLOOKUP(Data_Nhập[[#This Row],[Main SKU]],MD_Main_SKU[Main SKU],MD_Main_SKU[SKU name_gom])</f>
        <v>WSS05</v>
      </c>
      <c r="M656" s="2" t="str">
        <f>_xlfn.XLOOKUP(Data_Nhập[[#This Row],[Material-Nhập]],MD_Main_SKU[Main SKU],MD_Main_SKU[SKU name_gom])</f>
        <v>Phó sản</v>
      </c>
    </row>
    <row r="657" spans="1:13" x14ac:dyDescent="0.35">
      <c r="A657">
        <v>2025</v>
      </c>
      <c r="B657">
        <v>3</v>
      </c>
      <c r="C657" t="s">
        <v>118</v>
      </c>
      <c r="D657" t="s">
        <v>119</v>
      </c>
      <c r="E657" t="s">
        <v>118</v>
      </c>
      <c r="F657" t="s">
        <v>119</v>
      </c>
      <c r="G657" s="2">
        <v>8400</v>
      </c>
      <c r="H657" s="2">
        <v>0</v>
      </c>
      <c r="I657" s="2">
        <v>8400</v>
      </c>
      <c r="J657" s="2">
        <v>0</v>
      </c>
      <c r="K657" s="2">
        <v>8400</v>
      </c>
      <c r="L657" s="2" t="str">
        <f>_xlfn.XLOOKUP(Data_Nhập[[#This Row],[Main SKU]],MD_Main_SKU[Main SKU],MD_Main_SKU[SKU name_gom])</f>
        <v>WSS05</v>
      </c>
      <c r="M657" s="2" t="str">
        <f>_xlfn.XLOOKUP(Data_Nhập[[#This Row],[Material-Nhập]],MD_Main_SKU[Main SKU],MD_Main_SKU[SKU name_gom])</f>
        <v>WSS05</v>
      </c>
    </row>
    <row r="658" spans="1:13" x14ac:dyDescent="0.35">
      <c r="A658">
        <v>2025</v>
      </c>
      <c r="B658">
        <v>3</v>
      </c>
      <c r="C658" t="s">
        <v>118</v>
      </c>
      <c r="D658" t="s">
        <v>119</v>
      </c>
      <c r="E658" t="s">
        <v>87</v>
      </c>
      <c r="F658" t="s">
        <v>88</v>
      </c>
      <c r="G658" s="2">
        <v>0</v>
      </c>
      <c r="H658" s="2">
        <v>0</v>
      </c>
      <c r="I658" s="2">
        <v>0</v>
      </c>
      <c r="J658" s="2">
        <v>900</v>
      </c>
      <c r="K658" s="2">
        <v>900</v>
      </c>
      <c r="L658" s="2" t="str">
        <f>_xlfn.XLOOKUP(Data_Nhập[[#This Row],[Main SKU]],MD_Main_SKU[Main SKU],MD_Main_SKU[SKU name_gom])</f>
        <v>WSS05</v>
      </c>
      <c r="M658" s="2" t="str">
        <f>_xlfn.XLOOKUP(Data_Nhập[[#This Row],[Material-Nhập]],MD_Main_SKU[Main SKU],MD_Main_SKU[SKU name_gom])</f>
        <v>Phó sản</v>
      </c>
    </row>
    <row r="659" spans="1:13" x14ac:dyDescent="0.35">
      <c r="A659">
        <v>2025</v>
      </c>
      <c r="B659">
        <v>3</v>
      </c>
      <c r="C659" t="s">
        <v>118</v>
      </c>
      <c r="D659" t="s">
        <v>119</v>
      </c>
      <c r="E659" t="s">
        <v>117</v>
      </c>
      <c r="F659" t="s">
        <v>86</v>
      </c>
      <c r="G659" s="2">
        <v>0</v>
      </c>
      <c r="H659" s="2">
        <v>0</v>
      </c>
      <c r="I659" s="2">
        <v>0</v>
      </c>
      <c r="J659" s="2">
        <v>700</v>
      </c>
      <c r="K659" s="2">
        <v>700</v>
      </c>
      <c r="L659" s="2" t="str">
        <f>_xlfn.XLOOKUP(Data_Nhập[[#This Row],[Main SKU]],MD_Main_SKU[Main SKU],MD_Main_SKU[SKU name_gom])</f>
        <v>WSS05</v>
      </c>
      <c r="M659" s="2" t="str">
        <f>_xlfn.XLOOKUP(Data_Nhập[[#This Row],[Material-Nhập]],MD_Main_SKU[Main SKU],MD_Main_SKU[SKU name_gom])</f>
        <v>Phó sản</v>
      </c>
    </row>
    <row r="660" spans="1:13" x14ac:dyDescent="0.35">
      <c r="A660">
        <v>2025</v>
      </c>
      <c r="B660">
        <v>4</v>
      </c>
      <c r="C660" t="s">
        <v>14</v>
      </c>
      <c r="D660" t="s">
        <v>15</v>
      </c>
      <c r="E660" t="s">
        <v>14</v>
      </c>
      <c r="F660" t="s">
        <v>15</v>
      </c>
      <c r="G660" s="2">
        <v>3300</v>
      </c>
      <c r="H660" s="2">
        <v>0</v>
      </c>
      <c r="I660" s="2">
        <v>3300</v>
      </c>
      <c r="J660" s="2">
        <v>0</v>
      </c>
      <c r="K660" s="2">
        <v>3300</v>
      </c>
      <c r="L660" s="2" t="str">
        <f>_xlfn.XLOOKUP(Data_Nhập[[#This Row],[Main SKU]],MD_Main_SKU[Main SKU],MD_Main_SKU[SKU name_gom])</f>
        <v>iSS01084</v>
      </c>
      <c r="M660" s="2" t="str">
        <f>_xlfn.XLOOKUP(Data_Nhập[[#This Row],[Material-Nhập]],MD_Main_SKU[Main SKU],MD_Main_SKU[SKU name_gom])</f>
        <v>iSS01084</v>
      </c>
    </row>
    <row r="661" spans="1:13" x14ac:dyDescent="0.35">
      <c r="A661">
        <v>2025</v>
      </c>
      <c r="B661">
        <v>4</v>
      </c>
      <c r="C661" t="s">
        <v>14</v>
      </c>
      <c r="D661" t="s">
        <v>15</v>
      </c>
      <c r="E661" t="s">
        <v>22</v>
      </c>
      <c r="F661" t="s">
        <v>23</v>
      </c>
      <c r="G661" s="2">
        <v>0</v>
      </c>
      <c r="H661" s="2">
        <v>1100</v>
      </c>
      <c r="I661" s="2">
        <v>1100</v>
      </c>
      <c r="J661" s="2">
        <v>0</v>
      </c>
      <c r="K661" s="2">
        <v>1100</v>
      </c>
      <c r="L661" s="2" t="str">
        <f>_xlfn.XLOOKUP(Data_Nhập[[#This Row],[Main SKU]],MD_Main_SKU[Main SKU],MD_Main_SKU[SKU name_gom])</f>
        <v>iSS01084</v>
      </c>
      <c r="M661" s="2" t="str">
        <f>_xlfn.XLOOKUP(Data_Nhập[[#This Row],[Material-Nhập]],MD_Main_SKU[Main SKU],MD_Main_SKU[SKU name_gom])</f>
        <v>WSS03</v>
      </c>
    </row>
    <row r="662" spans="1:13" x14ac:dyDescent="0.35">
      <c r="A662">
        <v>2025</v>
      </c>
      <c r="B662">
        <v>4</v>
      </c>
      <c r="C662" t="s">
        <v>14</v>
      </c>
      <c r="D662" t="s">
        <v>15</v>
      </c>
      <c r="E662" t="s">
        <v>87</v>
      </c>
      <c r="F662" t="s">
        <v>88</v>
      </c>
      <c r="G662" s="2">
        <v>0</v>
      </c>
      <c r="H662" s="2">
        <v>0</v>
      </c>
      <c r="I662" s="2">
        <v>0</v>
      </c>
      <c r="J662" s="2">
        <v>350</v>
      </c>
      <c r="K662" s="2">
        <v>350</v>
      </c>
      <c r="L662" s="2" t="str">
        <f>_xlfn.XLOOKUP(Data_Nhập[[#This Row],[Main SKU]],MD_Main_SKU[Main SKU],MD_Main_SKU[SKU name_gom])</f>
        <v>iSS01084</v>
      </c>
      <c r="M662" s="2" t="str">
        <f>_xlfn.XLOOKUP(Data_Nhập[[#This Row],[Material-Nhập]],MD_Main_SKU[Main SKU],MD_Main_SKU[SKU name_gom])</f>
        <v>Phó sản</v>
      </c>
    </row>
    <row r="663" spans="1:13" x14ac:dyDescent="0.35">
      <c r="A663">
        <v>2025</v>
      </c>
      <c r="B663">
        <v>4</v>
      </c>
      <c r="C663" t="s">
        <v>14</v>
      </c>
      <c r="D663" t="s">
        <v>15</v>
      </c>
      <c r="E663" t="s">
        <v>93</v>
      </c>
      <c r="F663" t="s">
        <v>94</v>
      </c>
      <c r="G663" s="2">
        <v>0</v>
      </c>
      <c r="H663" s="2">
        <v>0</v>
      </c>
      <c r="I663" s="2">
        <v>0</v>
      </c>
      <c r="J663" s="2">
        <v>150</v>
      </c>
      <c r="K663" s="2">
        <v>150</v>
      </c>
      <c r="L663" s="2" t="str">
        <f>_xlfn.XLOOKUP(Data_Nhập[[#This Row],[Main SKU]],MD_Main_SKU[Main SKU],MD_Main_SKU[SKU name_gom])</f>
        <v>iSS01084</v>
      </c>
      <c r="M663" s="2" t="str">
        <f>_xlfn.XLOOKUP(Data_Nhập[[#This Row],[Material-Nhập]],MD_Main_SKU[Main SKU],MD_Main_SKU[SKU name_gom])</f>
        <v>Phó sản</v>
      </c>
    </row>
    <row r="664" spans="1:13" x14ac:dyDescent="0.35">
      <c r="A664">
        <v>2025</v>
      </c>
      <c r="B664">
        <v>4</v>
      </c>
      <c r="C664" t="s">
        <v>16</v>
      </c>
      <c r="D664" t="s">
        <v>17</v>
      </c>
      <c r="E664" t="s">
        <v>14</v>
      </c>
      <c r="F664" t="s">
        <v>15</v>
      </c>
      <c r="G664" s="2">
        <v>0</v>
      </c>
      <c r="H664" s="2">
        <v>2200</v>
      </c>
      <c r="I664" s="2">
        <v>2200</v>
      </c>
      <c r="J664" s="2">
        <v>0</v>
      </c>
      <c r="K664" s="2">
        <v>2200</v>
      </c>
      <c r="L664" s="2" t="str">
        <f>_xlfn.XLOOKUP(Data_Nhập[[#This Row],[Main SKU]],MD_Main_SKU[Main SKU],MD_Main_SKU[SKU name_gom])</f>
        <v>WSS01</v>
      </c>
      <c r="M664" s="2" t="str">
        <f>_xlfn.XLOOKUP(Data_Nhập[[#This Row],[Material-Nhập]],MD_Main_SKU[Main SKU],MD_Main_SKU[SKU name_gom])</f>
        <v>iSS01084</v>
      </c>
    </row>
    <row r="665" spans="1:13" x14ac:dyDescent="0.35">
      <c r="A665">
        <v>2025</v>
      </c>
      <c r="B665">
        <v>4</v>
      </c>
      <c r="C665" t="s">
        <v>16</v>
      </c>
      <c r="D665" t="s">
        <v>17</v>
      </c>
      <c r="E665" t="s">
        <v>16</v>
      </c>
      <c r="F665" t="s">
        <v>17</v>
      </c>
      <c r="G665" s="2">
        <v>2603700.0000000005</v>
      </c>
      <c r="H665" s="2">
        <v>5500</v>
      </c>
      <c r="I665" s="2">
        <v>2609200.0000000005</v>
      </c>
      <c r="J665" s="2">
        <v>0</v>
      </c>
      <c r="K665" s="2">
        <v>2609200.0000000005</v>
      </c>
      <c r="L665" s="2" t="str">
        <f>_xlfn.XLOOKUP(Data_Nhập[[#This Row],[Main SKU]],MD_Main_SKU[Main SKU],MD_Main_SKU[SKU name_gom])</f>
        <v>WSS01</v>
      </c>
      <c r="M665" s="2" t="str">
        <f>_xlfn.XLOOKUP(Data_Nhập[[#This Row],[Material-Nhập]],MD_Main_SKU[Main SKU],MD_Main_SKU[SKU name_gom])</f>
        <v>WSS01</v>
      </c>
    </row>
    <row r="666" spans="1:13" x14ac:dyDescent="0.35">
      <c r="A666">
        <v>2025</v>
      </c>
      <c r="B666">
        <v>4</v>
      </c>
      <c r="C666" t="s">
        <v>16</v>
      </c>
      <c r="D666" t="s">
        <v>17</v>
      </c>
      <c r="E666" t="s">
        <v>18</v>
      </c>
      <c r="F666" t="s">
        <v>19</v>
      </c>
      <c r="G666" s="2">
        <v>0</v>
      </c>
      <c r="H666" s="2">
        <v>132000.00000000006</v>
      </c>
      <c r="I666" s="2">
        <v>132000.00000000006</v>
      </c>
      <c r="J666" s="2">
        <v>0</v>
      </c>
      <c r="K666" s="2">
        <v>132000.00000000006</v>
      </c>
      <c r="L666" s="2" t="str">
        <f>_xlfn.XLOOKUP(Data_Nhập[[#This Row],[Main SKU]],MD_Main_SKU[Main SKU],MD_Main_SKU[SKU name_gom])</f>
        <v>WSS01</v>
      </c>
      <c r="M666" s="2" t="str">
        <f>_xlfn.XLOOKUP(Data_Nhập[[#This Row],[Material-Nhập]],MD_Main_SKU[Main SKU],MD_Main_SKU[SKU name_gom])</f>
        <v>iSS01</v>
      </c>
    </row>
    <row r="667" spans="1:13" x14ac:dyDescent="0.35">
      <c r="A667">
        <v>2025</v>
      </c>
      <c r="B667">
        <v>4</v>
      </c>
      <c r="C667" t="s">
        <v>16</v>
      </c>
      <c r="D667" t="s">
        <v>17</v>
      </c>
      <c r="E667" t="s">
        <v>22</v>
      </c>
      <c r="F667" t="s">
        <v>23</v>
      </c>
      <c r="G667" s="2">
        <v>0</v>
      </c>
      <c r="H667" s="2">
        <v>14300.000000000002</v>
      </c>
      <c r="I667" s="2">
        <v>14300.000000000002</v>
      </c>
      <c r="J667" s="2">
        <v>0</v>
      </c>
      <c r="K667" s="2">
        <v>14300.000000000002</v>
      </c>
      <c r="L667" s="2" t="str">
        <f>_xlfn.XLOOKUP(Data_Nhập[[#This Row],[Main SKU]],MD_Main_SKU[Main SKU],MD_Main_SKU[SKU name_gom])</f>
        <v>WSS01</v>
      </c>
      <c r="M667" s="2" t="str">
        <f>_xlfn.XLOOKUP(Data_Nhập[[#This Row],[Material-Nhập]],MD_Main_SKU[Main SKU],MD_Main_SKU[SKU name_gom])</f>
        <v>WSS03</v>
      </c>
    </row>
    <row r="668" spans="1:13" x14ac:dyDescent="0.35">
      <c r="A668">
        <v>2025</v>
      </c>
      <c r="B668">
        <v>4</v>
      </c>
      <c r="C668" t="s">
        <v>16</v>
      </c>
      <c r="D668" t="s">
        <v>17</v>
      </c>
      <c r="E668" t="s">
        <v>40</v>
      </c>
      <c r="F668" t="s">
        <v>41</v>
      </c>
      <c r="G668" s="2">
        <v>0</v>
      </c>
      <c r="H668" s="2">
        <v>6600.0000000000009</v>
      </c>
      <c r="I668" s="2">
        <v>6600.0000000000009</v>
      </c>
      <c r="J668" s="2">
        <v>0</v>
      </c>
      <c r="K668" s="2">
        <v>6600.0000000000009</v>
      </c>
      <c r="L668" s="2" t="str">
        <f>_xlfn.XLOOKUP(Data_Nhập[[#This Row],[Main SKU]],MD_Main_SKU[Main SKU],MD_Main_SKU[SKU name_gom])</f>
        <v>WSS01</v>
      </c>
      <c r="M668" s="2" t="str">
        <f>_xlfn.XLOOKUP(Data_Nhập[[#This Row],[Material-Nhập]],MD_Main_SKU[Main SKU],MD_Main_SKU[SKU name_gom])</f>
        <v>WSS01-PL</v>
      </c>
    </row>
    <row r="669" spans="1:13" x14ac:dyDescent="0.35">
      <c r="A669">
        <v>2025</v>
      </c>
      <c r="B669">
        <v>4</v>
      </c>
      <c r="C669" t="s">
        <v>16</v>
      </c>
      <c r="D669" t="s">
        <v>17</v>
      </c>
      <c r="E669" t="s">
        <v>34</v>
      </c>
      <c r="F669" t="s">
        <v>35</v>
      </c>
      <c r="G669" s="2">
        <v>0</v>
      </c>
      <c r="H669" s="2">
        <v>11000</v>
      </c>
      <c r="I669" s="2">
        <v>11000</v>
      </c>
      <c r="J669" s="2">
        <v>0</v>
      </c>
      <c r="K669" s="2">
        <v>11000</v>
      </c>
      <c r="L669" s="2" t="str">
        <f>_xlfn.XLOOKUP(Data_Nhập[[#This Row],[Main SKU]],MD_Main_SKU[Main SKU],MD_Main_SKU[SKU name_gom])</f>
        <v>WSS01</v>
      </c>
      <c r="M669" s="2" t="str">
        <f>_xlfn.XLOOKUP(Data_Nhập[[#This Row],[Material-Nhập]],MD_Main_SKU[Main SKU],MD_Main_SKU[SKU name_gom])</f>
        <v>WSS03-PL</v>
      </c>
    </row>
    <row r="670" spans="1:13" x14ac:dyDescent="0.35">
      <c r="A670">
        <v>2025</v>
      </c>
      <c r="B670">
        <v>4</v>
      </c>
      <c r="C670" t="s">
        <v>16</v>
      </c>
      <c r="D670" t="s">
        <v>17</v>
      </c>
      <c r="E670" t="s">
        <v>87</v>
      </c>
      <c r="F670" t="s">
        <v>88</v>
      </c>
      <c r="G670" s="2">
        <v>0</v>
      </c>
      <c r="H670" s="2">
        <v>0</v>
      </c>
      <c r="I670" s="2">
        <v>0</v>
      </c>
      <c r="J670" s="2">
        <v>57865.000000000015</v>
      </c>
      <c r="K670" s="2">
        <v>57865.000000000015</v>
      </c>
      <c r="L670" s="2" t="str">
        <f>_xlfn.XLOOKUP(Data_Nhập[[#This Row],[Main SKU]],MD_Main_SKU[Main SKU],MD_Main_SKU[SKU name_gom])</f>
        <v>WSS01</v>
      </c>
      <c r="M670" s="2" t="str">
        <f>_xlfn.XLOOKUP(Data_Nhập[[#This Row],[Material-Nhập]],MD_Main_SKU[Main SKU],MD_Main_SKU[SKU name_gom])</f>
        <v>Phó sản</v>
      </c>
    </row>
    <row r="671" spans="1:13" x14ac:dyDescent="0.35">
      <c r="A671">
        <v>2025</v>
      </c>
      <c r="B671">
        <v>4</v>
      </c>
      <c r="C671" t="s">
        <v>16</v>
      </c>
      <c r="D671" t="s">
        <v>17</v>
      </c>
      <c r="E671" t="s">
        <v>89</v>
      </c>
      <c r="F671" t="s">
        <v>90</v>
      </c>
      <c r="G671" s="2">
        <v>0</v>
      </c>
      <c r="H671" s="2">
        <v>0</v>
      </c>
      <c r="I671" s="2">
        <v>0</v>
      </c>
      <c r="J671" s="2">
        <v>47587.000000000007</v>
      </c>
      <c r="K671" s="2">
        <v>47587.000000000007</v>
      </c>
      <c r="L671" s="2" t="str">
        <f>_xlfn.XLOOKUP(Data_Nhập[[#This Row],[Main SKU]],MD_Main_SKU[Main SKU],MD_Main_SKU[SKU name_gom])</f>
        <v>WSS01</v>
      </c>
      <c r="M671" s="2" t="str">
        <f>_xlfn.XLOOKUP(Data_Nhập[[#This Row],[Material-Nhập]],MD_Main_SKU[Main SKU],MD_Main_SKU[SKU name_gom])</f>
        <v>Phó sản</v>
      </c>
    </row>
    <row r="672" spans="1:13" x14ac:dyDescent="0.35">
      <c r="A672">
        <v>2025</v>
      </c>
      <c r="B672">
        <v>4</v>
      </c>
      <c r="C672" t="s">
        <v>16</v>
      </c>
      <c r="D672" t="s">
        <v>17</v>
      </c>
      <c r="E672" t="s">
        <v>91</v>
      </c>
      <c r="F672" t="s">
        <v>92</v>
      </c>
      <c r="G672" s="2">
        <v>0</v>
      </c>
      <c r="H672" s="2">
        <v>0</v>
      </c>
      <c r="I672" s="2">
        <v>0</v>
      </c>
      <c r="J672" s="2">
        <v>1100</v>
      </c>
      <c r="K672" s="2">
        <v>1100</v>
      </c>
      <c r="L672" s="2" t="str">
        <f>_xlfn.XLOOKUP(Data_Nhập[[#This Row],[Main SKU]],MD_Main_SKU[Main SKU],MD_Main_SKU[SKU name_gom])</f>
        <v>WSS01</v>
      </c>
      <c r="M672" s="2" t="str">
        <f>_xlfn.XLOOKUP(Data_Nhập[[#This Row],[Material-Nhập]],MD_Main_SKU[Main SKU],MD_Main_SKU[SKU name_gom])</f>
        <v>Phó sản</v>
      </c>
    </row>
    <row r="673" spans="1:13" x14ac:dyDescent="0.35">
      <c r="A673">
        <v>2025</v>
      </c>
      <c r="B673">
        <v>4</v>
      </c>
      <c r="C673" t="s">
        <v>16</v>
      </c>
      <c r="D673" t="s">
        <v>17</v>
      </c>
      <c r="E673" t="s">
        <v>93</v>
      </c>
      <c r="F673" t="s">
        <v>94</v>
      </c>
      <c r="G673" s="2">
        <v>0</v>
      </c>
      <c r="H673" s="2">
        <v>0</v>
      </c>
      <c r="I673" s="2">
        <v>0</v>
      </c>
      <c r="J673" s="2">
        <v>606.99999999999977</v>
      </c>
      <c r="K673" s="2">
        <v>606.99999999999977</v>
      </c>
      <c r="L673" s="2" t="str">
        <f>_xlfn.XLOOKUP(Data_Nhập[[#This Row],[Main SKU]],MD_Main_SKU[Main SKU],MD_Main_SKU[SKU name_gom])</f>
        <v>WSS01</v>
      </c>
      <c r="M673" s="2" t="str">
        <f>_xlfn.XLOOKUP(Data_Nhập[[#This Row],[Material-Nhập]],MD_Main_SKU[Main SKU],MD_Main_SKU[SKU name_gom])</f>
        <v>Phó sản</v>
      </c>
    </row>
    <row r="674" spans="1:13" x14ac:dyDescent="0.35">
      <c r="A674">
        <v>2025</v>
      </c>
      <c r="B674">
        <v>4</v>
      </c>
      <c r="C674" t="s">
        <v>16</v>
      </c>
      <c r="D674" t="s">
        <v>17</v>
      </c>
      <c r="E674" t="s">
        <v>117</v>
      </c>
      <c r="F674" t="s">
        <v>86</v>
      </c>
      <c r="G674" s="2">
        <v>0</v>
      </c>
      <c r="H674" s="2">
        <v>0</v>
      </c>
      <c r="I674" s="2">
        <v>0</v>
      </c>
      <c r="J674" s="2">
        <v>31919.000000000004</v>
      </c>
      <c r="K674" s="2">
        <v>31919.000000000004</v>
      </c>
      <c r="L674" s="2" t="str">
        <f>_xlfn.XLOOKUP(Data_Nhập[[#This Row],[Main SKU]],MD_Main_SKU[Main SKU],MD_Main_SKU[SKU name_gom])</f>
        <v>WSS01</v>
      </c>
      <c r="M674" s="2" t="str">
        <f>_xlfn.XLOOKUP(Data_Nhập[[#This Row],[Material-Nhập]],MD_Main_SKU[Main SKU],MD_Main_SKU[SKU name_gom])</f>
        <v>Phó sản</v>
      </c>
    </row>
    <row r="675" spans="1:13" x14ac:dyDescent="0.35">
      <c r="A675">
        <v>2025</v>
      </c>
      <c r="B675">
        <v>4</v>
      </c>
      <c r="C675" t="s">
        <v>18</v>
      </c>
      <c r="D675" t="s">
        <v>19</v>
      </c>
      <c r="E675" t="s">
        <v>16</v>
      </c>
      <c r="F675" t="s">
        <v>17</v>
      </c>
      <c r="G675" s="2">
        <v>0</v>
      </c>
      <c r="H675" s="2">
        <v>27499.999999999996</v>
      </c>
      <c r="I675" s="2">
        <v>27499.999999999996</v>
      </c>
      <c r="J675" s="2">
        <v>0</v>
      </c>
      <c r="K675" s="2">
        <v>27499.999999999996</v>
      </c>
      <c r="L675" s="2" t="str">
        <f>_xlfn.XLOOKUP(Data_Nhập[[#This Row],[Main SKU]],MD_Main_SKU[Main SKU],MD_Main_SKU[SKU name_gom])</f>
        <v>iSS01</v>
      </c>
      <c r="M675" s="2" t="str">
        <f>_xlfn.XLOOKUP(Data_Nhập[[#This Row],[Material-Nhập]],MD_Main_SKU[Main SKU],MD_Main_SKU[SKU name_gom])</f>
        <v>WSS01</v>
      </c>
    </row>
    <row r="676" spans="1:13" x14ac:dyDescent="0.35">
      <c r="A676">
        <v>2025</v>
      </c>
      <c r="B676">
        <v>4</v>
      </c>
      <c r="C676" t="s">
        <v>18</v>
      </c>
      <c r="D676" t="s">
        <v>19</v>
      </c>
      <c r="E676" t="s">
        <v>18</v>
      </c>
      <c r="F676" t="s">
        <v>19</v>
      </c>
      <c r="G676" s="2">
        <v>504136.00000000006</v>
      </c>
      <c r="H676" s="2">
        <v>0</v>
      </c>
      <c r="I676" s="2">
        <v>504136.00000000006</v>
      </c>
      <c r="J676" s="2">
        <v>0</v>
      </c>
      <c r="K676" s="2">
        <v>504136.00000000006</v>
      </c>
      <c r="L676" s="2" t="str">
        <f>_xlfn.XLOOKUP(Data_Nhập[[#This Row],[Main SKU]],MD_Main_SKU[Main SKU],MD_Main_SKU[SKU name_gom])</f>
        <v>iSS01</v>
      </c>
      <c r="M676" s="2" t="str">
        <f>_xlfn.XLOOKUP(Data_Nhập[[#This Row],[Material-Nhập]],MD_Main_SKU[Main SKU],MD_Main_SKU[SKU name_gom])</f>
        <v>iSS01</v>
      </c>
    </row>
    <row r="677" spans="1:13" x14ac:dyDescent="0.35">
      <c r="A677">
        <v>2025</v>
      </c>
      <c r="B677">
        <v>4</v>
      </c>
      <c r="C677" t="s">
        <v>18</v>
      </c>
      <c r="D677" t="s">
        <v>19</v>
      </c>
      <c r="E677" t="s">
        <v>22</v>
      </c>
      <c r="F677" t="s">
        <v>23</v>
      </c>
      <c r="G677" s="2">
        <v>0</v>
      </c>
      <c r="H677" s="2">
        <v>10494.999999999996</v>
      </c>
      <c r="I677" s="2">
        <v>10494.999999999996</v>
      </c>
      <c r="J677" s="2">
        <v>0</v>
      </c>
      <c r="K677" s="2">
        <v>10494.999999999996</v>
      </c>
      <c r="L677" s="2" t="str">
        <f>_xlfn.XLOOKUP(Data_Nhập[[#This Row],[Main SKU]],MD_Main_SKU[Main SKU],MD_Main_SKU[SKU name_gom])</f>
        <v>iSS01</v>
      </c>
      <c r="M677" s="2" t="str">
        <f>_xlfn.XLOOKUP(Data_Nhập[[#This Row],[Material-Nhập]],MD_Main_SKU[Main SKU],MD_Main_SKU[SKU name_gom])</f>
        <v>WSS03</v>
      </c>
    </row>
    <row r="678" spans="1:13" x14ac:dyDescent="0.35">
      <c r="A678">
        <v>2025</v>
      </c>
      <c r="B678">
        <v>4</v>
      </c>
      <c r="C678" t="s">
        <v>18</v>
      </c>
      <c r="D678" t="s">
        <v>19</v>
      </c>
      <c r="E678" t="s">
        <v>40</v>
      </c>
      <c r="F678" t="s">
        <v>41</v>
      </c>
      <c r="G678" s="2">
        <v>0</v>
      </c>
      <c r="H678" s="2">
        <v>7700</v>
      </c>
      <c r="I678" s="2">
        <v>7700</v>
      </c>
      <c r="J678" s="2">
        <v>0</v>
      </c>
      <c r="K678" s="2">
        <v>7700</v>
      </c>
      <c r="L678" s="2" t="str">
        <f>_xlfn.XLOOKUP(Data_Nhập[[#This Row],[Main SKU]],MD_Main_SKU[Main SKU],MD_Main_SKU[SKU name_gom])</f>
        <v>iSS01</v>
      </c>
      <c r="M678" s="2" t="str">
        <f>_xlfn.XLOOKUP(Data_Nhập[[#This Row],[Material-Nhập]],MD_Main_SKU[Main SKU],MD_Main_SKU[SKU name_gom])</f>
        <v>WSS01-PL</v>
      </c>
    </row>
    <row r="679" spans="1:13" x14ac:dyDescent="0.35">
      <c r="A679">
        <v>2025</v>
      </c>
      <c r="B679">
        <v>4</v>
      </c>
      <c r="C679" t="s">
        <v>18</v>
      </c>
      <c r="D679" t="s">
        <v>19</v>
      </c>
      <c r="E679" t="s">
        <v>87</v>
      </c>
      <c r="F679" t="s">
        <v>88</v>
      </c>
      <c r="G679" s="2">
        <v>0</v>
      </c>
      <c r="H679" s="2">
        <v>0</v>
      </c>
      <c r="I679" s="2">
        <v>0</v>
      </c>
      <c r="J679" s="2">
        <v>16211</v>
      </c>
      <c r="K679" s="2">
        <v>16211</v>
      </c>
      <c r="L679" s="2" t="str">
        <f>_xlfn.XLOOKUP(Data_Nhập[[#This Row],[Main SKU]],MD_Main_SKU[Main SKU],MD_Main_SKU[SKU name_gom])</f>
        <v>iSS01</v>
      </c>
      <c r="M679" s="2" t="str">
        <f>_xlfn.XLOOKUP(Data_Nhập[[#This Row],[Material-Nhập]],MD_Main_SKU[Main SKU],MD_Main_SKU[SKU name_gom])</f>
        <v>Phó sản</v>
      </c>
    </row>
    <row r="680" spans="1:13" x14ac:dyDescent="0.35">
      <c r="A680">
        <v>2025</v>
      </c>
      <c r="B680">
        <v>4</v>
      </c>
      <c r="C680" t="s">
        <v>18</v>
      </c>
      <c r="D680" t="s">
        <v>19</v>
      </c>
      <c r="E680" t="s">
        <v>89</v>
      </c>
      <c r="F680" t="s">
        <v>90</v>
      </c>
      <c r="G680" s="2">
        <v>0</v>
      </c>
      <c r="H680" s="2">
        <v>0</v>
      </c>
      <c r="I680" s="2">
        <v>0</v>
      </c>
      <c r="J680" s="2">
        <v>5298.9999999999991</v>
      </c>
      <c r="K680" s="2">
        <v>5298.9999999999991</v>
      </c>
      <c r="L680" s="2" t="str">
        <f>_xlfn.XLOOKUP(Data_Nhập[[#This Row],[Main SKU]],MD_Main_SKU[Main SKU],MD_Main_SKU[SKU name_gom])</f>
        <v>iSS01</v>
      </c>
      <c r="M680" s="2" t="str">
        <f>_xlfn.XLOOKUP(Data_Nhập[[#This Row],[Material-Nhập]],MD_Main_SKU[Main SKU],MD_Main_SKU[SKU name_gom])</f>
        <v>Phó sản</v>
      </c>
    </row>
    <row r="681" spans="1:13" x14ac:dyDescent="0.35">
      <c r="A681">
        <v>2025</v>
      </c>
      <c r="B681">
        <v>4</v>
      </c>
      <c r="C681" t="s">
        <v>18</v>
      </c>
      <c r="D681" t="s">
        <v>19</v>
      </c>
      <c r="E681" t="s">
        <v>91</v>
      </c>
      <c r="F681" t="s">
        <v>92</v>
      </c>
      <c r="G681" s="2">
        <v>0</v>
      </c>
      <c r="H681" s="2">
        <v>0</v>
      </c>
      <c r="I681" s="2">
        <v>0</v>
      </c>
      <c r="J681" s="2">
        <v>2540</v>
      </c>
      <c r="K681" s="2">
        <v>2540</v>
      </c>
      <c r="L681" s="2" t="str">
        <f>_xlfn.XLOOKUP(Data_Nhập[[#This Row],[Main SKU]],MD_Main_SKU[Main SKU],MD_Main_SKU[SKU name_gom])</f>
        <v>iSS01</v>
      </c>
      <c r="M681" s="2" t="str">
        <f>_xlfn.XLOOKUP(Data_Nhập[[#This Row],[Material-Nhập]],MD_Main_SKU[Main SKU],MD_Main_SKU[SKU name_gom])</f>
        <v>Phó sản</v>
      </c>
    </row>
    <row r="682" spans="1:13" x14ac:dyDescent="0.35">
      <c r="A682">
        <v>2025</v>
      </c>
      <c r="B682">
        <v>4</v>
      </c>
      <c r="C682" t="s">
        <v>18</v>
      </c>
      <c r="D682" t="s">
        <v>19</v>
      </c>
      <c r="E682" t="s">
        <v>93</v>
      </c>
      <c r="F682" t="s">
        <v>94</v>
      </c>
      <c r="G682" s="2">
        <v>0</v>
      </c>
      <c r="H682" s="2">
        <v>0</v>
      </c>
      <c r="I682" s="2">
        <v>0</v>
      </c>
      <c r="J682" s="2">
        <v>1368</v>
      </c>
      <c r="K682" s="2">
        <v>1368</v>
      </c>
      <c r="L682" s="2" t="str">
        <f>_xlfn.XLOOKUP(Data_Nhập[[#This Row],[Main SKU]],MD_Main_SKU[Main SKU],MD_Main_SKU[SKU name_gom])</f>
        <v>iSS01</v>
      </c>
      <c r="M682" s="2" t="str">
        <f>_xlfn.XLOOKUP(Data_Nhập[[#This Row],[Material-Nhập]],MD_Main_SKU[Main SKU],MD_Main_SKU[SKU name_gom])</f>
        <v>Phó sản</v>
      </c>
    </row>
    <row r="683" spans="1:13" x14ac:dyDescent="0.35">
      <c r="A683">
        <v>2025</v>
      </c>
      <c r="B683">
        <v>4</v>
      </c>
      <c r="C683" t="s">
        <v>18</v>
      </c>
      <c r="D683" t="s">
        <v>19</v>
      </c>
      <c r="E683" t="s">
        <v>117</v>
      </c>
      <c r="F683" t="s">
        <v>86</v>
      </c>
      <c r="G683" s="2">
        <v>0</v>
      </c>
      <c r="H683" s="2">
        <v>0</v>
      </c>
      <c r="I683" s="2">
        <v>0</v>
      </c>
      <c r="J683" s="2">
        <v>8392</v>
      </c>
      <c r="K683" s="2">
        <v>8392</v>
      </c>
      <c r="L683" s="2" t="str">
        <f>_xlfn.XLOOKUP(Data_Nhập[[#This Row],[Main SKU]],MD_Main_SKU[Main SKU],MD_Main_SKU[SKU name_gom])</f>
        <v>iSS01</v>
      </c>
      <c r="M683" s="2" t="str">
        <f>_xlfn.XLOOKUP(Data_Nhập[[#This Row],[Material-Nhập]],MD_Main_SKU[Main SKU],MD_Main_SKU[SKU name_gom])</f>
        <v>Phó sản</v>
      </c>
    </row>
    <row r="684" spans="1:13" x14ac:dyDescent="0.35">
      <c r="A684">
        <v>2025</v>
      </c>
      <c r="B684">
        <v>4</v>
      </c>
      <c r="C684" t="s">
        <v>22</v>
      </c>
      <c r="D684" t="s">
        <v>23</v>
      </c>
      <c r="E684" t="s">
        <v>22</v>
      </c>
      <c r="F684" t="s">
        <v>23</v>
      </c>
      <c r="G684" s="2">
        <v>106700</v>
      </c>
      <c r="H684" s="2">
        <v>0</v>
      </c>
      <c r="I684" s="2">
        <v>106700</v>
      </c>
      <c r="J684" s="2">
        <v>0</v>
      </c>
      <c r="K684" s="2">
        <v>106700</v>
      </c>
      <c r="L684" s="2" t="str">
        <f>_xlfn.XLOOKUP(Data_Nhập[[#This Row],[Main SKU]],MD_Main_SKU[Main SKU],MD_Main_SKU[SKU name_gom])</f>
        <v>WSS03</v>
      </c>
      <c r="M684" s="2" t="str">
        <f>_xlfn.XLOOKUP(Data_Nhập[[#This Row],[Material-Nhập]],MD_Main_SKU[Main SKU],MD_Main_SKU[SKU name_gom])</f>
        <v>WSS03</v>
      </c>
    </row>
    <row r="685" spans="1:13" x14ac:dyDescent="0.35">
      <c r="A685">
        <v>2025</v>
      </c>
      <c r="B685">
        <v>4</v>
      </c>
      <c r="C685" t="s">
        <v>22</v>
      </c>
      <c r="D685" t="s">
        <v>23</v>
      </c>
      <c r="E685" t="s">
        <v>87</v>
      </c>
      <c r="F685" t="s">
        <v>88</v>
      </c>
      <c r="G685" s="2">
        <v>0</v>
      </c>
      <c r="H685" s="2">
        <v>0</v>
      </c>
      <c r="I685" s="2">
        <v>0</v>
      </c>
      <c r="J685" s="2">
        <v>4200</v>
      </c>
      <c r="K685" s="2">
        <v>4200</v>
      </c>
      <c r="L685" s="2" t="str">
        <f>_xlfn.XLOOKUP(Data_Nhập[[#This Row],[Main SKU]],MD_Main_SKU[Main SKU],MD_Main_SKU[SKU name_gom])</f>
        <v>WSS03</v>
      </c>
      <c r="M685" s="2" t="str">
        <f>_xlfn.XLOOKUP(Data_Nhập[[#This Row],[Material-Nhập]],MD_Main_SKU[Main SKU],MD_Main_SKU[SKU name_gom])</f>
        <v>Phó sản</v>
      </c>
    </row>
    <row r="686" spans="1:13" x14ac:dyDescent="0.35">
      <c r="A686">
        <v>2025</v>
      </c>
      <c r="B686">
        <v>4</v>
      </c>
      <c r="C686" t="s">
        <v>22</v>
      </c>
      <c r="D686" t="s">
        <v>23</v>
      </c>
      <c r="E686" t="s">
        <v>89</v>
      </c>
      <c r="F686" t="s">
        <v>90</v>
      </c>
      <c r="G686" s="2">
        <v>0</v>
      </c>
      <c r="H686" s="2">
        <v>0</v>
      </c>
      <c r="I686" s="2">
        <v>0</v>
      </c>
      <c r="J686" s="2">
        <v>540</v>
      </c>
      <c r="K686" s="2">
        <v>540</v>
      </c>
      <c r="L686" s="2" t="str">
        <f>_xlfn.XLOOKUP(Data_Nhập[[#This Row],[Main SKU]],MD_Main_SKU[Main SKU],MD_Main_SKU[SKU name_gom])</f>
        <v>WSS03</v>
      </c>
      <c r="M686" s="2" t="str">
        <f>_xlfn.XLOOKUP(Data_Nhập[[#This Row],[Material-Nhập]],MD_Main_SKU[Main SKU],MD_Main_SKU[SKU name_gom])</f>
        <v>Phó sản</v>
      </c>
    </row>
    <row r="687" spans="1:13" x14ac:dyDescent="0.35">
      <c r="A687">
        <v>2025</v>
      </c>
      <c r="B687">
        <v>4</v>
      </c>
      <c r="C687" t="s">
        <v>22</v>
      </c>
      <c r="D687" t="s">
        <v>23</v>
      </c>
      <c r="E687" t="s">
        <v>93</v>
      </c>
      <c r="F687" t="s">
        <v>94</v>
      </c>
      <c r="G687" s="2">
        <v>0</v>
      </c>
      <c r="H687" s="2">
        <v>0</v>
      </c>
      <c r="I687" s="2">
        <v>0</v>
      </c>
      <c r="J687" s="2">
        <v>350</v>
      </c>
      <c r="K687" s="2">
        <v>350</v>
      </c>
      <c r="L687" s="2" t="str">
        <f>_xlfn.XLOOKUP(Data_Nhập[[#This Row],[Main SKU]],MD_Main_SKU[Main SKU],MD_Main_SKU[SKU name_gom])</f>
        <v>WSS03</v>
      </c>
      <c r="M687" s="2" t="str">
        <f>_xlfn.XLOOKUP(Data_Nhập[[#This Row],[Material-Nhập]],MD_Main_SKU[Main SKU],MD_Main_SKU[SKU name_gom])</f>
        <v>Phó sản</v>
      </c>
    </row>
    <row r="688" spans="1:13" x14ac:dyDescent="0.35">
      <c r="A688">
        <v>2025</v>
      </c>
      <c r="B688">
        <v>4</v>
      </c>
      <c r="C688" t="s">
        <v>22</v>
      </c>
      <c r="D688" t="s">
        <v>23</v>
      </c>
      <c r="E688" t="s">
        <v>117</v>
      </c>
      <c r="F688" t="s">
        <v>86</v>
      </c>
      <c r="G688" s="2">
        <v>0</v>
      </c>
      <c r="H688" s="2">
        <v>0</v>
      </c>
      <c r="I688" s="2">
        <v>0</v>
      </c>
      <c r="J688" s="2">
        <v>2730</v>
      </c>
      <c r="K688" s="2">
        <v>2730</v>
      </c>
      <c r="L688" s="2" t="str">
        <f>_xlfn.XLOOKUP(Data_Nhập[[#This Row],[Main SKU]],MD_Main_SKU[Main SKU],MD_Main_SKU[SKU name_gom])</f>
        <v>WSS03</v>
      </c>
      <c r="M688" s="2" t="str">
        <f>_xlfn.XLOOKUP(Data_Nhập[[#This Row],[Material-Nhập]],MD_Main_SKU[Main SKU],MD_Main_SKU[SKU name_gom])</f>
        <v>Phó sản</v>
      </c>
    </row>
    <row r="689" spans="1:13" x14ac:dyDescent="0.35">
      <c r="A689">
        <v>2025</v>
      </c>
      <c r="B689">
        <v>4</v>
      </c>
      <c r="C689" t="s">
        <v>52</v>
      </c>
      <c r="D689" t="s">
        <v>53</v>
      </c>
      <c r="E689" t="s">
        <v>52</v>
      </c>
      <c r="F689" t="s">
        <v>53</v>
      </c>
      <c r="G689" s="2">
        <v>4400</v>
      </c>
      <c r="H689" s="2">
        <v>0</v>
      </c>
      <c r="I689" s="2">
        <v>4400</v>
      </c>
      <c r="J689" s="2">
        <v>0</v>
      </c>
      <c r="K689" s="2">
        <v>4400</v>
      </c>
      <c r="L689" s="2" t="str">
        <f>_xlfn.XLOOKUP(Data_Nhập[[#This Row],[Main SKU]],MD_Main_SKU[Main SKU],MD_Main_SKU[SKU name_gom])</f>
        <v>iSS01</v>
      </c>
      <c r="M689" s="2" t="str">
        <f>_xlfn.XLOOKUP(Data_Nhập[[#This Row],[Material-Nhập]],MD_Main_SKU[Main SKU],MD_Main_SKU[SKU name_gom])</f>
        <v>iSS01</v>
      </c>
    </row>
    <row r="690" spans="1:13" x14ac:dyDescent="0.35">
      <c r="A690">
        <v>2025</v>
      </c>
      <c r="B690">
        <v>4</v>
      </c>
      <c r="C690" t="s">
        <v>52</v>
      </c>
      <c r="D690" t="s">
        <v>53</v>
      </c>
      <c r="E690" t="s">
        <v>93</v>
      </c>
      <c r="F690" t="s">
        <v>94</v>
      </c>
      <c r="G690" s="2">
        <v>0</v>
      </c>
      <c r="H690" s="2">
        <v>0</v>
      </c>
      <c r="I690" s="2">
        <v>0</v>
      </c>
      <c r="J690" s="2">
        <v>20</v>
      </c>
      <c r="K690" s="2">
        <v>20</v>
      </c>
      <c r="L690" s="2" t="str">
        <f>_xlfn.XLOOKUP(Data_Nhập[[#This Row],[Main SKU]],MD_Main_SKU[Main SKU],MD_Main_SKU[SKU name_gom])</f>
        <v>iSS01</v>
      </c>
      <c r="M690" s="2" t="str">
        <f>_xlfn.XLOOKUP(Data_Nhập[[#This Row],[Material-Nhập]],MD_Main_SKU[Main SKU],MD_Main_SKU[SKU name_gom])</f>
        <v>Phó sản</v>
      </c>
    </row>
    <row r="691" spans="1:13" x14ac:dyDescent="0.35">
      <c r="A691">
        <v>2025</v>
      </c>
      <c r="B691">
        <v>4</v>
      </c>
      <c r="C691" t="s">
        <v>52</v>
      </c>
      <c r="D691" t="s">
        <v>53</v>
      </c>
      <c r="E691" t="s">
        <v>117</v>
      </c>
      <c r="F691" t="s">
        <v>86</v>
      </c>
      <c r="G691" s="2">
        <v>0</v>
      </c>
      <c r="H691" s="2">
        <v>0</v>
      </c>
      <c r="I691" s="2">
        <v>0</v>
      </c>
      <c r="J691" s="2">
        <v>560</v>
      </c>
      <c r="K691" s="2">
        <v>560</v>
      </c>
      <c r="L691" s="2" t="str">
        <f>_xlfn.XLOOKUP(Data_Nhập[[#This Row],[Main SKU]],MD_Main_SKU[Main SKU],MD_Main_SKU[SKU name_gom])</f>
        <v>iSS01</v>
      </c>
      <c r="M691" s="2" t="str">
        <f>_xlfn.XLOOKUP(Data_Nhập[[#This Row],[Material-Nhập]],MD_Main_SKU[Main SKU],MD_Main_SKU[SKU name_gom])</f>
        <v>Phó sản</v>
      </c>
    </row>
    <row r="692" spans="1:13" x14ac:dyDescent="0.35">
      <c r="A692">
        <v>2025</v>
      </c>
      <c r="B692">
        <v>4</v>
      </c>
      <c r="C692" t="s">
        <v>26</v>
      </c>
      <c r="D692" t="s">
        <v>27</v>
      </c>
      <c r="E692" t="s">
        <v>22</v>
      </c>
      <c r="F692" t="s">
        <v>23</v>
      </c>
      <c r="G692" s="2">
        <v>0</v>
      </c>
      <c r="H692" s="2">
        <v>2250</v>
      </c>
      <c r="I692" s="2">
        <v>2250</v>
      </c>
      <c r="J692" s="2">
        <v>0</v>
      </c>
      <c r="K692" s="2">
        <v>2250</v>
      </c>
      <c r="L692" s="2" t="str">
        <f>_xlfn.XLOOKUP(Data_Nhập[[#This Row],[Main SKU]],MD_Main_SKU[Main SKU],MD_Main_SKU[SKU name_gom])</f>
        <v>iSS01</v>
      </c>
      <c r="M692" s="2" t="str">
        <f>_xlfn.XLOOKUP(Data_Nhập[[#This Row],[Material-Nhập]],MD_Main_SKU[Main SKU],MD_Main_SKU[SKU name_gom])</f>
        <v>WSS03</v>
      </c>
    </row>
    <row r="693" spans="1:13" x14ac:dyDescent="0.35">
      <c r="A693">
        <v>2025</v>
      </c>
      <c r="B693">
        <v>4</v>
      </c>
      <c r="C693" t="s">
        <v>26</v>
      </c>
      <c r="D693" t="s">
        <v>27</v>
      </c>
      <c r="E693" t="s">
        <v>24</v>
      </c>
      <c r="F693" t="s">
        <v>25</v>
      </c>
      <c r="G693" s="2">
        <v>0</v>
      </c>
      <c r="H693" s="2">
        <v>12100</v>
      </c>
      <c r="I693" s="2">
        <v>12100</v>
      </c>
      <c r="J693" s="2">
        <v>0</v>
      </c>
      <c r="K693" s="2">
        <v>12100</v>
      </c>
      <c r="L693" s="2" t="str">
        <f>_xlfn.XLOOKUP(Data_Nhập[[#This Row],[Main SKU]],MD_Main_SKU[Main SKU],MD_Main_SKU[SKU name_gom])</f>
        <v>iSS01</v>
      </c>
      <c r="M693" s="2" t="str">
        <f>_xlfn.XLOOKUP(Data_Nhập[[#This Row],[Material-Nhập]],MD_Main_SKU[Main SKU],MD_Main_SKU[SKU name_gom])</f>
        <v>WSS01</v>
      </c>
    </row>
    <row r="694" spans="1:13" x14ac:dyDescent="0.35">
      <c r="A694">
        <v>2025</v>
      </c>
      <c r="B694">
        <v>4</v>
      </c>
      <c r="C694" t="s">
        <v>26</v>
      </c>
      <c r="D694" t="s">
        <v>27</v>
      </c>
      <c r="E694" t="s">
        <v>26</v>
      </c>
      <c r="F694" t="s">
        <v>27</v>
      </c>
      <c r="G694" s="2">
        <v>931700</v>
      </c>
      <c r="H694" s="2">
        <v>0</v>
      </c>
      <c r="I694" s="2">
        <v>931700</v>
      </c>
      <c r="J694" s="2">
        <v>0</v>
      </c>
      <c r="K694" s="2">
        <v>931700</v>
      </c>
      <c r="L694" s="2" t="str">
        <f>_xlfn.XLOOKUP(Data_Nhập[[#This Row],[Main SKU]],MD_Main_SKU[Main SKU],MD_Main_SKU[SKU name_gom])</f>
        <v>iSS01</v>
      </c>
      <c r="M694" s="2" t="str">
        <f>_xlfn.XLOOKUP(Data_Nhập[[#This Row],[Material-Nhập]],MD_Main_SKU[Main SKU],MD_Main_SKU[SKU name_gom])</f>
        <v>iSS01</v>
      </c>
    </row>
    <row r="695" spans="1:13" x14ac:dyDescent="0.35">
      <c r="A695">
        <v>2025</v>
      </c>
      <c r="B695">
        <v>4</v>
      </c>
      <c r="C695" t="s">
        <v>26</v>
      </c>
      <c r="D695" t="s">
        <v>27</v>
      </c>
      <c r="E695" t="s">
        <v>50</v>
      </c>
      <c r="F695" t="s">
        <v>51</v>
      </c>
      <c r="G695" s="2">
        <v>0</v>
      </c>
      <c r="H695" s="2">
        <v>31900.000000000011</v>
      </c>
      <c r="I695" s="2">
        <v>31900.000000000011</v>
      </c>
      <c r="J695" s="2">
        <v>0</v>
      </c>
      <c r="K695" s="2">
        <v>31900.000000000011</v>
      </c>
      <c r="L695" s="2" t="str">
        <f>_xlfn.XLOOKUP(Data_Nhập[[#This Row],[Main SKU]],MD_Main_SKU[Main SKU],MD_Main_SKU[SKU name_gom])</f>
        <v>iSS01</v>
      </c>
      <c r="M695" s="2" t="str">
        <f>_xlfn.XLOOKUP(Data_Nhập[[#This Row],[Material-Nhập]],MD_Main_SKU[Main SKU],MD_Main_SKU[SKU name_gom])</f>
        <v>iSS01-PL</v>
      </c>
    </row>
    <row r="696" spans="1:13" x14ac:dyDescent="0.35">
      <c r="A696">
        <v>2025</v>
      </c>
      <c r="B696">
        <v>4</v>
      </c>
      <c r="C696" t="s">
        <v>26</v>
      </c>
      <c r="D696" t="s">
        <v>27</v>
      </c>
      <c r="E696" t="s">
        <v>34</v>
      </c>
      <c r="F696" t="s">
        <v>35</v>
      </c>
      <c r="G696" s="2">
        <v>0</v>
      </c>
      <c r="H696" s="2">
        <v>11050.000000000002</v>
      </c>
      <c r="I696" s="2">
        <v>11050.000000000002</v>
      </c>
      <c r="J696" s="2">
        <v>0</v>
      </c>
      <c r="K696" s="2">
        <v>11050.000000000002</v>
      </c>
      <c r="L696" s="2" t="str">
        <f>_xlfn.XLOOKUP(Data_Nhập[[#This Row],[Main SKU]],MD_Main_SKU[Main SKU],MD_Main_SKU[SKU name_gom])</f>
        <v>iSS01</v>
      </c>
      <c r="M696" s="2" t="str">
        <f>_xlfn.XLOOKUP(Data_Nhập[[#This Row],[Material-Nhập]],MD_Main_SKU[Main SKU],MD_Main_SKU[SKU name_gom])</f>
        <v>WSS03-PL</v>
      </c>
    </row>
    <row r="697" spans="1:13" x14ac:dyDescent="0.35">
      <c r="A697">
        <v>2025</v>
      </c>
      <c r="B697">
        <v>4</v>
      </c>
      <c r="C697" t="s">
        <v>26</v>
      </c>
      <c r="D697" t="s">
        <v>27</v>
      </c>
      <c r="E697" t="s">
        <v>87</v>
      </c>
      <c r="F697" t="s">
        <v>88</v>
      </c>
      <c r="G697" s="2">
        <v>0</v>
      </c>
      <c r="H697" s="2">
        <v>0</v>
      </c>
      <c r="I697" s="2">
        <v>0</v>
      </c>
      <c r="J697" s="2">
        <v>57850.000000000015</v>
      </c>
      <c r="K697" s="2">
        <v>57850.000000000015</v>
      </c>
      <c r="L697" s="2" t="str">
        <f>_xlfn.XLOOKUP(Data_Nhập[[#This Row],[Main SKU]],MD_Main_SKU[Main SKU],MD_Main_SKU[SKU name_gom])</f>
        <v>iSS01</v>
      </c>
      <c r="M697" s="2" t="str">
        <f>_xlfn.XLOOKUP(Data_Nhập[[#This Row],[Material-Nhập]],MD_Main_SKU[Main SKU],MD_Main_SKU[SKU name_gom])</f>
        <v>Phó sản</v>
      </c>
    </row>
    <row r="698" spans="1:13" x14ac:dyDescent="0.35">
      <c r="A698">
        <v>2025</v>
      </c>
      <c r="B698">
        <v>4</v>
      </c>
      <c r="C698" t="s">
        <v>26</v>
      </c>
      <c r="D698" t="s">
        <v>27</v>
      </c>
      <c r="E698" t="s">
        <v>89</v>
      </c>
      <c r="F698" t="s">
        <v>90</v>
      </c>
      <c r="G698" s="2">
        <v>0</v>
      </c>
      <c r="H698" s="2">
        <v>0</v>
      </c>
      <c r="I698" s="2">
        <v>0</v>
      </c>
      <c r="J698" s="2">
        <v>7429</v>
      </c>
      <c r="K698" s="2">
        <v>7429</v>
      </c>
      <c r="L698" s="2" t="str">
        <f>_xlfn.XLOOKUP(Data_Nhập[[#This Row],[Main SKU]],MD_Main_SKU[Main SKU],MD_Main_SKU[SKU name_gom])</f>
        <v>iSS01</v>
      </c>
      <c r="M698" s="2" t="str">
        <f>_xlfn.XLOOKUP(Data_Nhập[[#This Row],[Material-Nhập]],MD_Main_SKU[Main SKU],MD_Main_SKU[SKU name_gom])</f>
        <v>Phó sản</v>
      </c>
    </row>
    <row r="699" spans="1:13" x14ac:dyDescent="0.35">
      <c r="A699">
        <v>2025</v>
      </c>
      <c r="B699">
        <v>4</v>
      </c>
      <c r="C699" t="s">
        <v>26</v>
      </c>
      <c r="D699" t="s">
        <v>27</v>
      </c>
      <c r="E699" t="s">
        <v>117</v>
      </c>
      <c r="F699" t="s">
        <v>86</v>
      </c>
      <c r="G699" s="2">
        <v>0</v>
      </c>
      <c r="H699" s="2">
        <v>0</v>
      </c>
      <c r="I699" s="2">
        <v>0</v>
      </c>
      <c r="J699" s="2">
        <v>15760.000000000004</v>
      </c>
      <c r="K699" s="2">
        <v>15760.000000000004</v>
      </c>
      <c r="L699" s="2" t="str">
        <f>_xlfn.XLOOKUP(Data_Nhập[[#This Row],[Main SKU]],MD_Main_SKU[Main SKU],MD_Main_SKU[SKU name_gom])</f>
        <v>iSS01</v>
      </c>
      <c r="M699" s="2" t="str">
        <f>_xlfn.XLOOKUP(Data_Nhập[[#This Row],[Material-Nhập]],MD_Main_SKU[Main SKU],MD_Main_SKU[SKU name_gom])</f>
        <v>Phó sản</v>
      </c>
    </row>
    <row r="700" spans="1:13" x14ac:dyDescent="0.35">
      <c r="A700">
        <v>2025</v>
      </c>
      <c r="B700">
        <v>4</v>
      </c>
      <c r="C700" t="s">
        <v>115</v>
      </c>
      <c r="D700" t="s">
        <v>116</v>
      </c>
      <c r="E700" t="s">
        <v>115</v>
      </c>
      <c r="F700" t="s">
        <v>116</v>
      </c>
      <c r="G700" s="2">
        <v>121028</v>
      </c>
      <c r="H700" s="2">
        <v>0</v>
      </c>
      <c r="I700" s="2">
        <v>121028</v>
      </c>
      <c r="J700" s="2">
        <v>0</v>
      </c>
      <c r="K700" s="2">
        <v>121028</v>
      </c>
      <c r="L700" s="2" t="str">
        <f>_xlfn.XLOOKUP(Data_Nhập[[#This Row],[Main SKU]],MD_Main_SKU[Main SKU],MD_Main_SKU[SKU name_gom])</f>
        <v>WSS05</v>
      </c>
      <c r="M700" s="2" t="str">
        <f>_xlfn.XLOOKUP(Data_Nhập[[#This Row],[Material-Nhập]],MD_Main_SKU[Main SKU],MD_Main_SKU[SKU name_gom])</f>
        <v>WSS05</v>
      </c>
    </row>
    <row r="701" spans="1:13" x14ac:dyDescent="0.35">
      <c r="A701">
        <v>2025</v>
      </c>
      <c r="B701">
        <v>4</v>
      </c>
      <c r="C701" t="s">
        <v>115</v>
      </c>
      <c r="D701" t="s">
        <v>116</v>
      </c>
      <c r="E701" t="s">
        <v>124</v>
      </c>
      <c r="F701" t="s">
        <v>125</v>
      </c>
      <c r="G701" s="2">
        <v>0</v>
      </c>
      <c r="H701" s="2">
        <v>3150</v>
      </c>
      <c r="I701" s="2">
        <v>3150</v>
      </c>
      <c r="J701" s="2">
        <v>0</v>
      </c>
      <c r="K701" s="2">
        <v>3150</v>
      </c>
      <c r="L701" s="2" t="str">
        <f>_xlfn.XLOOKUP(Data_Nhập[[#This Row],[Main SKU]],MD_Main_SKU[Main SKU],MD_Main_SKU[SKU name_gom])</f>
        <v>WSS05</v>
      </c>
      <c r="M701" s="2" t="str">
        <f>_xlfn.XLOOKUP(Data_Nhập[[#This Row],[Material-Nhập]],MD_Main_SKU[Main SKU],MD_Main_SKU[SKU name_gom])</f>
        <v>WSS06</v>
      </c>
    </row>
    <row r="702" spans="1:13" x14ac:dyDescent="0.35">
      <c r="A702">
        <v>2025</v>
      </c>
      <c r="B702">
        <v>4</v>
      </c>
      <c r="C702" t="s">
        <v>115</v>
      </c>
      <c r="D702" t="s">
        <v>116</v>
      </c>
      <c r="E702" t="s">
        <v>118</v>
      </c>
      <c r="F702" t="s">
        <v>119</v>
      </c>
      <c r="G702" s="2">
        <v>0</v>
      </c>
      <c r="H702" s="2">
        <v>15750</v>
      </c>
      <c r="I702" s="2">
        <v>15750</v>
      </c>
      <c r="J702" s="2">
        <v>0</v>
      </c>
      <c r="K702" s="2">
        <v>15750</v>
      </c>
      <c r="L702" s="2" t="str">
        <f>_xlfn.XLOOKUP(Data_Nhập[[#This Row],[Main SKU]],MD_Main_SKU[Main SKU],MD_Main_SKU[SKU name_gom])</f>
        <v>WSS05</v>
      </c>
      <c r="M702" s="2" t="str">
        <f>_xlfn.XLOOKUP(Data_Nhập[[#This Row],[Material-Nhập]],MD_Main_SKU[Main SKU],MD_Main_SKU[SKU name_gom])</f>
        <v>WSS05</v>
      </c>
    </row>
    <row r="703" spans="1:13" x14ac:dyDescent="0.35">
      <c r="A703">
        <v>2025</v>
      </c>
      <c r="B703">
        <v>4</v>
      </c>
      <c r="C703" t="s">
        <v>115</v>
      </c>
      <c r="D703" t="s">
        <v>116</v>
      </c>
      <c r="E703" t="s">
        <v>87</v>
      </c>
      <c r="F703" t="s">
        <v>88</v>
      </c>
      <c r="G703" s="2">
        <v>0</v>
      </c>
      <c r="H703" s="2">
        <v>0</v>
      </c>
      <c r="I703" s="2">
        <v>0</v>
      </c>
      <c r="J703" s="2">
        <v>6070</v>
      </c>
      <c r="K703" s="2">
        <v>6070</v>
      </c>
      <c r="L703" s="2" t="str">
        <f>_xlfn.XLOOKUP(Data_Nhập[[#This Row],[Main SKU]],MD_Main_SKU[Main SKU],MD_Main_SKU[SKU name_gom])</f>
        <v>WSS05</v>
      </c>
      <c r="M703" s="2" t="str">
        <f>_xlfn.XLOOKUP(Data_Nhập[[#This Row],[Material-Nhập]],MD_Main_SKU[Main SKU],MD_Main_SKU[SKU name_gom])</f>
        <v>Phó sản</v>
      </c>
    </row>
    <row r="704" spans="1:13" x14ac:dyDescent="0.35">
      <c r="A704">
        <v>2025</v>
      </c>
      <c r="B704">
        <v>4</v>
      </c>
      <c r="C704" t="s">
        <v>115</v>
      </c>
      <c r="D704" t="s">
        <v>116</v>
      </c>
      <c r="E704" t="s">
        <v>117</v>
      </c>
      <c r="F704" t="s">
        <v>86</v>
      </c>
      <c r="G704" s="2">
        <v>0</v>
      </c>
      <c r="H704" s="2">
        <v>0</v>
      </c>
      <c r="I704" s="2">
        <v>0</v>
      </c>
      <c r="J704" s="2">
        <v>4310</v>
      </c>
      <c r="K704" s="2">
        <v>4310</v>
      </c>
      <c r="L704" s="2" t="str">
        <f>_xlfn.XLOOKUP(Data_Nhập[[#This Row],[Main SKU]],MD_Main_SKU[Main SKU],MD_Main_SKU[SKU name_gom])</f>
        <v>WSS05</v>
      </c>
      <c r="M704" s="2" t="str">
        <f>_xlfn.XLOOKUP(Data_Nhập[[#This Row],[Material-Nhập]],MD_Main_SKU[Main SKU],MD_Main_SKU[SKU name_gom])</f>
        <v>Phó sản</v>
      </c>
    </row>
    <row r="705" spans="1:13" x14ac:dyDescent="0.35">
      <c r="A705">
        <v>2025</v>
      </c>
      <c r="B705">
        <v>4</v>
      </c>
      <c r="C705" t="s">
        <v>118</v>
      </c>
      <c r="D705" t="s">
        <v>119</v>
      </c>
      <c r="E705" t="s">
        <v>118</v>
      </c>
      <c r="F705" t="s">
        <v>119</v>
      </c>
      <c r="G705" s="2">
        <v>3850</v>
      </c>
      <c r="H705" s="2">
        <v>0</v>
      </c>
      <c r="I705" s="2">
        <v>3850</v>
      </c>
      <c r="J705" s="2">
        <v>0</v>
      </c>
      <c r="K705" s="2">
        <v>3850</v>
      </c>
      <c r="L705" s="2" t="str">
        <f>_xlfn.XLOOKUP(Data_Nhập[[#This Row],[Main SKU]],MD_Main_SKU[Main SKU],MD_Main_SKU[SKU name_gom])</f>
        <v>WSS05</v>
      </c>
      <c r="M705" s="2" t="str">
        <f>_xlfn.XLOOKUP(Data_Nhập[[#This Row],[Material-Nhập]],MD_Main_SKU[Main SKU],MD_Main_SKU[SKU name_gom])</f>
        <v>WSS05</v>
      </c>
    </row>
    <row r="706" spans="1:13" x14ac:dyDescent="0.35">
      <c r="A706">
        <v>2025</v>
      </c>
      <c r="B706">
        <v>4</v>
      </c>
      <c r="C706" t="s">
        <v>118</v>
      </c>
      <c r="D706" t="s">
        <v>119</v>
      </c>
      <c r="E706" t="s">
        <v>87</v>
      </c>
      <c r="F706" t="s">
        <v>88</v>
      </c>
      <c r="G706" s="2">
        <v>0</v>
      </c>
      <c r="H706" s="2">
        <v>0</v>
      </c>
      <c r="I706" s="2">
        <v>0</v>
      </c>
      <c r="J706" s="2">
        <v>200</v>
      </c>
      <c r="K706" s="2">
        <v>200</v>
      </c>
      <c r="L706" s="2" t="str">
        <f>_xlfn.XLOOKUP(Data_Nhập[[#This Row],[Main SKU]],MD_Main_SKU[Main SKU],MD_Main_SKU[SKU name_gom])</f>
        <v>WSS05</v>
      </c>
      <c r="M706" s="2" t="str">
        <f>_xlfn.XLOOKUP(Data_Nhập[[#This Row],[Material-Nhập]],MD_Main_SKU[Main SKU],MD_Main_SKU[SKU name_gom])</f>
        <v>Phó sản</v>
      </c>
    </row>
    <row r="707" spans="1:13" x14ac:dyDescent="0.35">
      <c r="A707">
        <v>2025</v>
      </c>
      <c r="B707">
        <v>4</v>
      </c>
      <c r="C707" t="s">
        <v>44</v>
      </c>
      <c r="D707" t="s">
        <v>45</v>
      </c>
      <c r="E707" t="s">
        <v>18</v>
      </c>
      <c r="F707" t="s">
        <v>19</v>
      </c>
      <c r="G707" s="2">
        <v>0</v>
      </c>
      <c r="H707" s="2">
        <v>1100</v>
      </c>
      <c r="I707" s="2">
        <v>1100</v>
      </c>
      <c r="J707" s="2">
        <v>0</v>
      </c>
      <c r="K707" s="2">
        <v>1100</v>
      </c>
      <c r="L707" s="2" t="str">
        <f>_xlfn.XLOOKUP(Data_Nhập[[#This Row],[Main SKU]],MD_Main_SKU[Main SKU],MD_Main_SKU[SKU name_gom])</f>
        <v>iSS01</v>
      </c>
      <c r="M707" s="2" t="str">
        <f>_xlfn.XLOOKUP(Data_Nhập[[#This Row],[Material-Nhập]],MD_Main_SKU[Main SKU],MD_Main_SKU[SKU name_gom])</f>
        <v>iSS01</v>
      </c>
    </row>
    <row r="708" spans="1:13" x14ac:dyDescent="0.35">
      <c r="A708">
        <v>2025</v>
      </c>
      <c r="B708">
        <v>4</v>
      </c>
      <c r="C708" t="s">
        <v>44</v>
      </c>
      <c r="D708" t="s">
        <v>45</v>
      </c>
      <c r="E708" t="s">
        <v>44</v>
      </c>
      <c r="F708" t="s">
        <v>45</v>
      </c>
      <c r="G708" s="2">
        <v>61600</v>
      </c>
      <c r="H708" s="2">
        <v>0</v>
      </c>
      <c r="I708" s="2">
        <v>61600</v>
      </c>
      <c r="J708" s="2">
        <v>0</v>
      </c>
      <c r="K708" s="2">
        <v>61600</v>
      </c>
      <c r="L708" s="2" t="str">
        <f>_xlfn.XLOOKUP(Data_Nhập[[#This Row],[Main SKU]],MD_Main_SKU[Main SKU],MD_Main_SKU[SKU name_gom])</f>
        <v>iSS01</v>
      </c>
      <c r="M708" s="2" t="str">
        <f>_xlfn.XLOOKUP(Data_Nhập[[#This Row],[Material-Nhập]],MD_Main_SKU[Main SKU],MD_Main_SKU[SKU name_gom])</f>
        <v>iSS01</v>
      </c>
    </row>
    <row r="709" spans="1:13" x14ac:dyDescent="0.35">
      <c r="A709">
        <v>2025</v>
      </c>
      <c r="B709">
        <v>4</v>
      </c>
      <c r="C709" t="s">
        <v>44</v>
      </c>
      <c r="D709" t="s">
        <v>45</v>
      </c>
      <c r="E709" t="s">
        <v>46</v>
      </c>
      <c r="F709" t="s">
        <v>47</v>
      </c>
      <c r="G709" s="2">
        <v>0</v>
      </c>
      <c r="H709" s="2">
        <v>1100</v>
      </c>
      <c r="I709" s="2">
        <v>1100</v>
      </c>
      <c r="J709" s="2">
        <v>0</v>
      </c>
      <c r="K709" s="2">
        <v>1100</v>
      </c>
      <c r="L709" s="2" t="str">
        <f>_xlfn.XLOOKUP(Data_Nhập[[#This Row],[Main SKU]],MD_Main_SKU[Main SKU],MD_Main_SKU[SKU name_gom])</f>
        <v>iSS01</v>
      </c>
      <c r="M709" s="2" t="str">
        <f>_xlfn.XLOOKUP(Data_Nhập[[#This Row],[Material-Nhập]],MD_Main_SKU[Main SKU],MD_Main_SKU[SKU name_gom])</f>
        <v>iSS01-PL</v>
      </c>
    </row>
    <row r="710" spans="1:13" x14ac:dyDescent="0.35">
      <c r="A710">
        <v>2025</v>
      </c>
      <c r="B710">
        <v>4</v>
      </c>
      <c r="C710" t="s">
        <v>44</v>
      </c>
      <c r="D710" t="s">
        <v>45</v>
      </c>
      <c r="E710" t="s">
        <v>34</v>
      </c>
      <c r="F710" t="s">
        <v>35</v>
      </c>
      <c r="G710" s="2">
        <v>0</v>
      </c>
      <c r="H710" s="2">
        <v>1100</v>
      </c>
      <c r="I710" s="2">
        <v>1100</v>
      </c>
      <c r="J710" s="2">
        <v>0</v>
      </c>
      <c r="K710" s="2">
        <v>1100</v>
      </c>
      <c r="L710" s="2" t="str">
        <f>_xlfn.XLOOKUP(Data_Nhập[[#This Row],[Main SKU]],MD_Main_SKU[Main SKU],MD_Main_SKU[SKU name_gom])</f>
        <v>iSS01</v>
      </c>
      <c r="M710" s="2" t="str">
        <f>_xlfn.XLOOKUP(Data_Nhập[[#This Row],[Material-Nhập]],MD_Main_SKU[Main SKU],MD_Main_SKU[SKU name_gom])</f>
        <v>WSS03-PL</v>
      </c>
    </row>
    <row r="711" spans="1:13" x14ac:dyDescent="0.35">
      <c r="A711">
        <v>2025</v>
      </c>
      <c r="B711">
        <v>4</v>
      </c>
      <c r="C711" t="s">
        <v>44</v>
      </c>
      <c r="D711" t="s">
        <v>45</v>
      </c>
      <c r="E711" t="s">
        <v>87</v>
      </c>
      <c r="F711" t="s">
        <v>88</v>
      </c>
      <c r="G711" s="2">
        <v>0</v>
      </c>
      <c r="H711" s="2">
        <v>0</v>
      </c>
      <c r="I711" s="2">
        <v>0</v>
      </c>
      <c r="J711" s="2">
        <v>2100</v>
      </c>
      <c r="K711" s="2">
        <v>2100</v>
      </c>
      <c r="L711" s="2" t="str">
        <f>_xlfn.XLOOKUP(Data_Nhập[[#This Row],[Main SKU]],MD_Main_SKU[Main SKU],MD_Main_SKU[SKU name_gom])</f>
        <v>iSS01</v>
      </c>
      <c r="M711" s="2" t="str">
        <f>_xlfn.XLOOKUP(Data_Nhập[[#This Row],[Material-Nhập]],MD_Main_SKU[Main SKU],MD_Main_SKU[SKU name_gom])</f>
        <v>Phó sản</v>
      </c>
    </row>
    <row r="712" spans="1:13" x14ac:dyDescent="0.35">
      <c r="A712">
        <v>2025</v>
      </c>
      <c r="B712">
        <v>4</v>
      </c>
      <c r="C712" t="s">
        <v>44</v>
      </c>
      <c r="D712" t="s">
        <v>45</v>
      </c>
      <c r="E712" t="s">
        <v>89</v>
      </c>
      <c r="F712" t="s">
        <v>90</v>
      </c>
      <c r="G712" s="2">
        <v>0</v>
      </c>
      <c r="H712" s="2">
        <v>0</v>
      </c>
      <c r="I712" s="2">
        <v>0</v>
      </c>
      <c r="J712" s="2">
        <v>164</v>
      </c>
      <c r="K712" s="2">
        <v>164</v>
      </c>
      <c r="L712" s="2" t="str">
        <f>_xlfn.XLOOKUP(Data_Nhập[[#This Row],[Main SKU]],MD_Main_SKU[Main SKU],MD_Main_SKU[SKU name_gom])</f>
        <v>iSS01</v>
      </c>
      <c r="M712" s="2" t="str">
        <f>_xlfn.XLOOKUP(Data_Nhập[[#This Row],[Material-Nhập]],MD_Main_SKU[Main SKU],MD_Main_SKU[SKU name_gom])</f>
        <v>Phó sản</v>
      </c>
    </row>
    <row r="713" spans="1:13" x14ac:dyDescent="0.35">
      <c r="A713">
        <v>2025</v>
      </c>
      <c r="B713">
        <v>4</v>
      </c>
      <c r="C713" t="s">
        <v>44</v>
      </c>
      <c r="D713" t="s">
        <v>45</v>
      </c>
      <c r="E713" t="s">
        <v>117</v>
      </c>
      <c r="F713" t="s">
        <v>86</v>
      </c>
      <c r="G713" s="2">
        <v>0</v>
      </c>
      <c r="H713" s="2">
        <v>0</v>
      </c>
      <c r="I713" s="2">
        <v>0</v>
      </c>
      <c r="J713" s="2">
        <v>1230</v>
      </c>
      <c r="K713" s="2">
        <v>1230</v>
      </c>
      <c r="L713" s="2" t="str">
        <f>_xlfn.XLOOKUP(Data_Nhập[[#This Row],[Main SKU]],MD_Main_SKU[Main SKU],MD_Main_SKU[SKU name_gom])</f>
        <v>iSS01</v>
      </c>
      <c r="M713" s="2" t="str">
        <f>_xlfn.XLOOKUP(Data_Nhập[[#This Row],[Material-Nhập]],MD_Main_SKU[Main SKU],MD_Main_SKU[SKU name_gom])</f>
        <v>Phó sản</v>
      </c>
    </row>
    <row r="714" spans="1:13" x14ac:dyDescent="0.35">
      <c r="A714">
        <v>2025</v>
      </c>
      <c r="B714">
        <v>4</v>
      </c>
      <c r="C714" t="s">
        <v>54</v>
      </c>
      <c r="D714" t="s">
        <v>55</v>
      </c>
      <c r="E714" t="s">
        <v>54</v>
      </c>
      <c r="F714" t="s">
        <v>55</v>
      </c>
      <c r="G714" s="2">
        <v>18700</v>
      </c>
      <c r="H714" s="2">
        <v>0</v>
      </c>
      <c r="I714" s="2">
        <v>18700</v>
      </c>
      <c r="J714" s="2">
        <v>0</v>
      </c>
      <c r="K714" s="2">
        <v>18700</v>
      </c>
      <c r="L714" s="2" t="str">
        <f>_xlfn.XLOOKUP(Data_Nhập[[#This Row],[Main SKU]],MD_Main_SKU[Main SKU],MD_Main_SKU[SKU name_gom])</f>
        <v>WSS01</v>
      </c>
      <c r="M714" s="2" t="str">
        <f>_xlfn.XLOOKUP(Data_Nhập[[#This Row],[Material-Nhập]],MD_Main_SKU[Main SKU],MD_Main_SKU[SKU name_gom])</f>
        <v>WSS01</v>
      </c>
    </row>
    <row r="715" spans="1:13" x14ac:dyDescent="0.35">
      <c r="A715">
        <v>2025</v>
      </c>
      <c r="B715">
        <v>4</v>
      </c>
      <c r="C715" t="s">
        <v>54</v>
      </c>
      <c r="D715" t="s">
        <v>55</v>
      </c>
      <c r="E715" t="s">
        <v>56</v>
      </c>
      <c r="F715" t="s">
        <v>57</v>
      </c>
      <c r="G715" s="2">
        <v>0</v>
      </c>
      <c r="H715" s="2">
        <v>5500</v>
      </c>
      <c r="I715" s="2">
        <v>5500</v>
      </c>
      <c r="J715" s="2">
        <v>0</v>
      </c>
      <c r="K715" s="2">
        <v>5500</v>
      </c>
      <c r="L715" s="2" t="str">
        <f>_xlfn.XLOOKUP(Data_Nhập[[#This Row],[Main SKU]],MD_Main_SKU[Main SKU],MD_Main_SKU[SKU name_gom])</f>
        <v>WSS01</v>
      </c>
      <c r="M715" s="2" t="str">
        <f>_xlfn.XLOOKUP(Data_Nhập[[#This Row],[Material-Nhập]],MD_Main_SKU[Main SKU],MD_Main_SKU[SKU name_gom])</f>
        <v>WSS01-PL</v>
      </c>
    </row>
    <row r="716" spans="1:13" x14ac:dyDescent="0.35">
      <c r="A716">
        <v>2025</v>
      </c>
      <c r="B716">
        <v>4</v>
      </c>
      <c r="C716" t="s">
        <v>54</v>
      </c>
      <c r="D716" t="s">
        <v>55</v>
      </c>
      <c r="E716" t="s">
        <v>87</v>
      </c>
      <c r="F716" t="s">
        <v>88</v>
      </c>
      <c r="G716" s="2">
        <v>0</v>
      </c>
      <c r="H716" s="2">
        <v>0</v>
      </c>
      <c r="I716" s="2">
        <v>0</v>
      </c>
      <c r="J716" s="2">
        <v>2780</v>
      </c>
      <c r="K716" s="2">
        <v>2780</v>
      </c>
      <c r="L716" s="2" t="str">
        <f>_xlfn.XLOOKUP(Data_Nhập[[#This Row],[Main SKU]],MD_Main_SKU[Main SKU],MD_Main_SKU[SKU name_gom])</f>
        <v>WSS01</v>
      </c>
      <c r="M716" s="2" t="str">
        <f>_xlfn.XLOOKUP(Data_Nhập[[#This Row],[Material-Nhập]],MD_Main_SKU[Main SKU],MD_Main_SKU[SKU name_gom])</f>
        <v>Phó sản</v>
      </c>
    </row>
    <row r="717" spans="1:13" x14ac:dyDescent="0.35">
      <c r="A717">
        <v>2025</v>
      </c>
      <c r="B717">
        <v>4</v>
      </c>
      <c r="C717" t="s">
        <v>54</v>
      </c>
      <c r="D717" t="s">
        <v>55</v>
      </c>
      <c r="E717" t="s">
        <v>93</v>
      </c>
      <c r="F717" t="s">
        <v>94</v>
      </c>
      <c r="G717" s="2">
        <v>0</v>
      </c>
      <c r="H717" s="2">
        <v>0</v>
      </c>
      <c r="I717" s="2">
        <v>0</v>
      </c>
      <c r="J717" s="2">
        <v>50</v>
      </c>
      <c r="K717" s="2">
        <v>50</v>
      </c>
      <c r="L717" s="2" t="str">
        <f>_xlfn.XLOOKUP(Data_Nhập[[#This Row],[Main SKU]],MD_Main_SKU[Main SKU],MD_Main_SKU[SKU name_gom])</f>
        <v>WSS01</v>
      </c>
      <c r="M717" s="2" t="str">
        <f>_xlfn.XLOOKUP(Data_Nhập[[#This Row],[Material-Nhập]],MD_Main_SKU[Main SKU],MD_Main_SKU[SKU name_gom])</f>
        <v>Phó sản</v>
      </c>
    </row>
    <row r="718" spans="1:13" x14ac:dyDescent="0.35">
      <c r="A718">
        <v>2025</v>
      </c>
      <c r="B718">
        <v>4</v>
      </c>
      <c r="C718" t="s">
        <v>54</v>
      </c>
      <c r="D718" t="s">
        <v>55</v>
      </c>
      <c r="E718" t="s">
        <v>117</v>
      </c>
      <c r="F718" t="s">
        <v>86</v>
      </c>
      <c r="G718" s="2">
        <v>0</v>
      </c>
      <c r="H718" s="2">
        <v>0</v>
      </c>
      <c r="I718" s="2">
        <v>0</v>
      </c>
      <c r="J718" s="2">
        <v>800</v>
      </c>
      <c r="K718" s="2">
        <v>800</v>
      </c>
      <c r="L718" s="2" t="str">
        <f>_xlfn.XLOOKUP(Data_Nhập[[#This Row],[Main SKU]],MD_Main_SKU[Main SKU],MD_Main_SKU[SKU name_gom])</f>
        <v>WSS01</v>
      </c>
      <c r="M718" s="2" t="str">
        <f>_xlfn.XLOOKUP(Data_Nhập[[#This Row],[Material-Nhập]],MD_Main_SKU[Main SKU],MD_Main_SKU[SKU name_gom])</f>
        <v>Phó sản</v>
      </c>
    </row>
    <row r="719" spans="1:13" x14ac:dyDescent="0.35">
      <c r="A719">
        <v>2025</v>
      </c>
      <c r="B719">
        <v>5</v>
      </c>
      <c r="C719" t="s">
        <v>14</v>
      </c>
      <c r="D719" t="s">
        <v>15</v>
      </c>
      <c r="E719" t="s">
        <v>14</v>
      </c>
      <c r="F719" t="s">
        <v>15</v>
      </c>
      <c r="G719" s="2">
        <v>329999.99999999994</v>
      </c>
      <c r="H719" s="2">
        <v>0</v>
      </c>
      <c r="I719" s="2">
        <v>329999.99999999994</v>
      </c>
      <c r="J719" s="2">
        <v>0</v>
      </c>
      <c r="K719" s="2">
        <v>329999.99999999994</v>
      </c>
      <c r="L719" s="2" t="str">
        <f>_xlfn.XLOOKUP(Data_Nhập[[#This Row],[Main SKU]],MD_Main_SKU[Main SKU],MD_Main_SKU[SKU name_gom])</f>
        <v>iSS01084</v>
      </c>
      <c r="M719" s="2" t="str">
        <f>_xlfn.XLOOKUP(Data_Nhập[[#This Row],[Material-Nhập]],MD_Main_SKU[Main SKU],MD_Main_SKU[SKU name_gom])</f>
        <v>iSS01084</v>
      </c>
    </row>
    <row r="720" spans="1:13" x14ac:dyDescent="0.35">
      <c r="A720">
        <v>2025</v>
      </c>
      <c r="B720">
        <v>5</v>
      </c>
      <c r="C720" t="s">
        <v>14</v>
      </c>
      <c r="D720" t="s">
        <v>15</v>
      </c>
      <c r="E720" t="s">
        <v>18</v>
      </c>
      <c r="F720" t="s">
        <v>19</v>
      </c>
      <c r="G720" s="2">
        <v>0</v>
      </c>
      <c r="H720" s="2">
        <v>86900</v>
      </c>
      <c r="I720" s="2">
        <v>86900</v>
      </c>
      <c r="J720" s="2">
        <v>0</v>
      </c>
      <c r="K720" s="2">
        <v>86900</v>
      </c>
      <c r="L720" s="2" t="str">
        <f>_xlfn.XLOOKUP(Data_Nhập[[#This Row],[Main SKU]],MD_Main_SKU[Main SKU],MD_Main_SKU[SKU name_gom])</f>
        <v>iSS01084</v>
      </c>
      <c r="M720" s="2" t="str">
        <f>_xlfn.XLOOKUP(Data_Nhập[[#This Row],[Material-Nhập]],MD_Main_SKU[Main SKU],MD_Main_SKU[SKU name_gom])</f>
        <v>iSS01</v>
      </c>
    </row>
    <row r="721" spans="1:13" x14ac:dyDescent="0.35">
      <c r="A721">
        <v>2025</v>
      </c>
      <c r="B721">
        <v>5</v>
      </c>
      <c r="C721" t="s">
        <v>14</v>
      </c>
      <c r="D721" t="s">
        <v>15</v>
      </c>
      <c r="E721" t="s">
        <v>22</v>
      </c>
      <c r="F721" t="s">
        <v>23</v>
      </c>
      <c r="G721" s="2">
        <v>0</v>
      </c>
      <c r="H721" s="2">
        <v>12100</v>
      </c>
      <c r="I721" s="2">
        <v>12100</v>
      </c>
      <c r="J721" s="2">
        <v>0</v>
      </c>
      <c r="K721" s="2">
        <v>12100</v>
      </c>
      <c r="L721" s="2" t="str">
        <f>_xlfn.XLOOKUP(Data_Nhập[[#This Row],[Main SKU]],MD_Main_SKU[Main SKU],MD_Main_SKU[SKU name_gom])</f>
        <v>iSS01084</v>
      </c>
      <c r="M721" s="2" t="str">
        <f>_xlfn.XLOOKUP(Data_Nhập[[#This Row],[Material-Nhập]],MD_Main_SKU[Main SKU],MD_Main_SKU[SKU name_gom])</f>
        <v>WSS03</v>
      </c>
    </row>
    <row r="722" spans="1:13" x14ac:dyDescent="0.35">
      <c r="A722">
        <v>2025</v>
      </c>
      <c r="B722">
        <v>5</v>
      </c>
      <c r="C722" t="s">
        <v>14</v>
      </c>
      <c r="D722" t="s">
        <v>15</v>
      </c>
      <c r="E722" t="s">
        <v>40</v>
      </c>
      <c r="F722" t="s">
        <v>41</v>
      </c>
      <c r="G722" s="2">
        <v>0</v>
      </c>
      <c r="H722" s="2">
        <v>14300</v>
      </c>
      <c r="I722" s="2">
        <v>14300</v>
      </c>
      <c r="J722" s="2">
        <v>0</v>
      </c>
      <c r="K722" s="2">
        <v>14300</v>
      </c>
      <c r="L722" s="2" t="str">
        <f>_xlfn.XLOOKUP(Data_Nhập[[#This Row],[Main SKU]],MD_Main_SKU[Main SKU],MD_Main_SKU[SKU name_gom])</f>
        <v>iSS01084</v>
      </c>
      <c r="M722" s="2" t="str">
        <f>_xlfn.XLOOKUP(Data_Nhập[[#This Row],[Material-Nhập]],MD_Main_SKU[Main SKU],MD_Main_SKU[SKU name_gom])</f>
        <v>WSS01-PL</v>
      </c>
    </row>
    <row r="723" spans="1:13" x14ac:dyDescent="0.35">
      <c r="A723">
        <v>2025</v>
      </c>
      <c r="B723">
        <v>5</v>
      </c>
      <c r="C723" t="s">
        <v>14</v>
      </c>
      <c r="D723" t="s">
        <v>15</v>
      </c>
      <c r="E723" t="s">
        <v>38</v>
      </c>
      <c r="F723" t="s">
        <v>39</v>
      </c>
      <c r="G723" s="2">
        <v>0</v>
      </c>
      <c r="H723" s="2">
        <v>1100</v>
      </c>
      <c r="I723" s="2">
        <v>1100</v>
      </c>
      <c r="J723" s="2">
        <v>0</v>
      </c>
      <c r="K723" s="2">
        <v>1100</v>
      </c>
      <c r="L723" s="2" t="str">
        <f>_xlfn.XLOOKUP(Data_Nhập[[#This Row],[Main SKU]],MD_Main_SKU[Main SKU],MD_Main_SKU[SKU name_gom])</f>
        <v>iSS01084</v>
      </c>
      <c r="M723" s="2" t="str">
        <f>_xlfn.XLOOKUP(Data_Nhập[[#This Row],[Material-Nhập]],MD_Main_SKU[Main SKU],MD_Main_SKU[SKU name_gom])</f>
        <v>iSS01084-PL</v>
      </c>
    </row>
    <row r="724" spans="1:13" x14ac:dyDescent="0.35">
      <c r="A724">
        <v>2025</v>
      </c>
      <c r="B724">
        <v>5</v>
      </c>
      <c r="C724" t="s">
        <v>14</v>
      </c>
      <c r="D724" t="s">
        <v>15</v>
      </c>
      <c r="E724" t="s">
        <v>87</v>
      </c>
      <c r="F724" t="s">
        <v>88</v>
      </c>
      <c r="G724" s="2">
        <v>0</v>
      </c>
      <c r="H724" s="2">
        <v>0</v>
      </c>
      <c r="I724" s="2">
        <v>0</v>
      </c>
      <c r="J724" s="2">
        <v>9600</v>
      </c>
      <c r="K724" s="2">
        <v>9600</v>
      </c>
      <c r="L724" s="2" t="str">
        <f>_xlfn.XLOOKUP(Data_Nhập[[#This Row],[Main SKU]],MD_Main_SKU[Main SKU],MD_Main_SKU[SKU name_gom])</f>
        <v>iSS01084</v>
      </c>
      <c r="M724" s="2" t="str">
        <f>_xlfn.XLOOKUP(Data_Nhập[[#This Row],[Material-Nhập]],MD_Main_SKU[Main SKU],MD_Main_SKU[SKU name_gom])</f>
        <v>Phó sản</v>
      </c>
    </row>
    <row r="725" spans="1:13" x14ac:dyDescent="0.35">
      <c r="A725">
        <v>2025</v>
      </c>
      <c r="B725">
        <v>5</v>
      </c>
      <c r="C725" t="s">
        <v>14</v>
      </c>
      <c r="D725" t="s">
        <v>15</v>
      </c>
      <c r="E725" t="s">
        <v>89</v>
      </c>
      <c r="F725" t="s">
        <v>90</v>
      </c>
      <c r="G725" s="2">
        <v>0</v>
      </c>
      <c r="H725" s="2">
        <v>0</v>
      </c>
      <c r="I725" s="2">
        <v>0</v>
      </c>
      <c r="J725" s="2">
        <v>7365</v>
      </c>
      <c r="K725" s="2">
        <v>7365</v>
      </c>
      <c r="L725" s="2" t="str">
        <f>_xlfn.XLOOKUP(Data_Nhập[[#This Row],[Main SKU]],MD_Main_SKU[Main SKU],MD_Main_SKU[SKU name_gom])</f>
        <v>iSS01084</v>
      </c>
      <c r="M725" s="2" t="str">
        <f>_xlfn.XLOOKUP(Data_Nhập[[#This Row],[Material-Nhập]],MD_Main_SKU[Main SKU],MD_Main_SKU[SKU name_gom])</f>
        <v>Phó sản</v>
      </c>
    </row>
    <row r="726" spans="1:13" x14ac:dyDescent="0.35">
      <c r="A726">
        <v>2025</v>
      </c>
      <c r="B726">
        <v>5</v>
      </c>
      <c r="C726" t="s">
        <v>14</v>
      </c>
      <c r="D726" t="s">
        <v>15</v>
      </c>
      <c r="E726" t="s">
        <v>93</v>
      </c>
      <c r="F726" t="s">
        <v>94</v>
      </c>
      <c r="G726" s="2">
        <v>0</v>
      </c>
      <c r="H726" s="2">
        <v>0</v>
      </c>
      <c r="I726" s="2">
        <v>0</v>
      </c>
      <c r="J726" s="2">
        <v>240.00000000000003</v>
      </c>
      <c r="K726" s="2">
        <v>240.00000000000003</v>
      </c>
      <c r="L726" s="2" t="str">
        <f>_xlfn.XLOOKUP(Data_Nhập[[#This Row],[Main SKU]],MD_Main_SKU[Main SKU],MD_Main_SKU[SKU name_gom])</f>
        <v>iSS01084</v>
      </c>
      <c r="M726" s="2" t="str">
        <f>_xlfn.XLOOKUP(Data_Nhập[[#This Row],[Material-Nhập]],MD_Main_SKU[Main SKU],MD_Main_SKU[SKU name_gom])</f>
        <v>Phó sản</v>
      </c>
    </row>
    <row r="727" spans="1:13" x14ac:dyDescent="0.35">
      <c r="A727">
        <v>2025</v>
      </c>
      <c r="B727">
        <v>5</v>
      </c>
      <c r="C727" t="s">
        <v>14</v>
      </c>
      <c r="D727" t="s">
        <v>15</v>
      </c>
      <c r="E727" t="s">
        <v>117</v>
      </c>
      <c r="F727" t="s">
        <v>86</v>
      </c>
      <c r="G727" s="2">
        <v>0</v>
      </c>
      <c r="H727" s="2">
        <v>0</v>
      </c>
      <c r="I727" s="2">
        <v>0</v>
      </c>
      <c r="J727" s="2">
        <v>6015</v>
      </c>
      <c r="K727" s="2">
        <v>6015</v>
      </c>
      <c r="L727" s="2" t="str">
        <f>_xlfn.XLOOKUP(Data_Nhập[[#This Row],[Main SKU]],MD_Main_SKU[Main SKU],MD_Main_SKU[SKU name_gom])</f>
        <v>iSS01084</v>
      </c>
      <c r="M727" s="2" t="str">
        <f>_xlfn.XLOOKUP(Data_Nhập[[#This Row],[Material-Nhập]],MD_Main_SKU[Main SKU],MD_Main_SKU[SKU name_gom])</f>
        <v>Phó sản</v>
      </c>
    </row>
    <row r="728" spans="1:13" x14ac:dyDescent="0.35">
      <c r="A728">
        <v>2025</v>
      </c>
      <c r="B728">
        <v>5</v>
      </c>
      <c r="C728" t="s">
        <v>16</v>
      </c>
      <c r="D728" t="s">
        <v>17</v>
      </c>
      <c r="E728" t="s">
        <v>16</v>
      </c>
      <c r="F728" t="s">
        <v>17</v>
      </c>
      <c r="G728" s="2">
        <v>1454200</v>
      </c>
      <c r="H728" s="2">
        <v>0</v>
      </c>
      <c r="I728" s="2">
        <v>1454200</v>
      </c>
      <c r="J728" s="2">
        <v>0</v>
      </c>
      <c r="K728" s="2">
        <v>1454200</v>
      </c>
      <c r="L728" s="2" t="str">
        <f>_xlfn.XLOOKUP(Data_Nhập[[#This Row],[Main SKU]],MD_Main_SKU[Main SKU],MD_Main_SKU[SKU name_gom])</f>
        <v>WSS01</v>
      </c>
      <c r="M728" s="2" t="str">
        <f>_xlfn.XLOOKUP(Data_Nhập[[#This Row],[Material-Nhập]],MD_Main_SKU[Main SKU],MD_Main_SKU[SKU name_gom])</f>
        <v>WSS01</v>
      </c>
    </row>
    <row r="729" spans="1:13" x14ac:dyDescent="0.35">
      <c r="A729">
        <v>2025</v>
      </c>
      <c r="B729">
        <v>5</v>
      </c>
      <c r="C729" t="s">
        <v>16</v>
      </c>
      <c r="D729" t="s">
        <v>17</v>
      </c>
      <c r="E729" t="s">
        <v>18</v>
      </c>
      <c r="F729" t="s">
        <v>19</v>
      </c>
      <c r="G729" s="2">
        <v>0</v>
      </c>
      <c r="H729" s="2">
        <v>153999.99999999997</v>
      </c>
      <c r="I729" s="2">
        <v>153999.99999999997</v>
      </c>
      <c r="J729" s="2">
        <v>0</v>
      </c>
      <c r="K729" s="2">
        <v>153999.99999999997</v>
      </c>
      <c r="L729" s="2" t="str">
        <f>_xlfn.XLOOKUP(Data_Nhập[[#This Row],[Main SKU]],MD_Main_SKU[Main SKU],MD_Main_SKU[SKU name_gom])</f>
        <v>WSS01</v>
      </c>
      <c r="M729" s="2" t="str">
        <f>_xlfn.XLOOKUP(Data_Nhập[[#This Row],[Material-Nhập]],MD_Main_SKU[Main SKU],MD_Main_SKU[SKU name_gom])</f>
        <v>iSS01</v>
      </c>
    </row>
    <row r="730" spans="1:13" x14ac:dyDescent="0.35">
      <c r="A730">
        <v>2025</v>
      </c>
      <c r="B730">
        <v>5</v>
      </c>
      <c r="C730" t="s">
        <v>16</v>
      </c>
      <c r="D730" t="s">
        <v>17</v>
      </c>
      <c r="E730" t="s">
        <v>22</v>
      </c>
      <c r="F730" t="s">
        <v>23</v>
      </c>
      <c r="G730" s="2">
        <v>0</v>
      </c>
      <c r="H730" s="2">
        <v>11000.000000000002</v>
      </c>
      <c r="I730" s="2">
        <v>11000.000000000002</v>
      </c>
      <c r="J730" s="2">
        <v>0</v>
      </c>
      <c r="K730" s="2">
        <v>11000.000000000002</v>
      </c>
      <c r="L730" s="2" t="str">
        <f>_xlfn.XLOOKUP(Data_Nhập[[#This Row],[Main SKU]],MD_Main_SKU[Main SKU],MD_Main_SKU[SKU name_gom])</f>
        <v>WSS01</v>
      </c>
      <c r="M730" s="2" t="str">
        <f>_xlfn.XLOOKUP(Data_Nhập[[#This Row],[Material-Nhập]],MD_Main_SKU[Main SKU],MD_Main_SKU[SKU name_gom])</f>
        <v>WSS03</v>
      </c>
    </row>
    <row r="731" spans="1:13" x14ac:dyDescent="0.35">
      <c r="A731">
        <v>2025</v>
      </c>
      <c r="B731">
        <v>5</v>
      </c>
      <c r="C731" t="s">
        <v>16</v>
      </c>
      <c r="D731" t="s">
        <v>17</v>
      </c>
      <c r="E731" t="s">
        <v>40</v>
      </c>
      <c r="F731" t="s">
        <v>41</v>
      </c>
      <c r="G731" s="2">
        <v>0</v>
      </c>
      <c r="H731" s="2">
        <v>18700</v>
      </c>
      <c r="I731" s="2">
        <v>18700</v>
      </c>
      <c r="J731" s="2">
        <v>0</v>
      </c>
      <c r="K731" s="2">
        <v>18700</v>
      </c>
      <c r="L731" s="2" t="str">
        <f>_xlfn.XLOOKUP(Data_Nhập[[#This Row],[Main SKU]],MD_Main_SKU[Main SKU],MD_Main_SKU[SKU name_gom])</f>
        <v>WSS01</v>
      </c>
      <c r="M731" s="2" t="str">
        <f>_xlfn.XLOOKUP(Data_Nhập[[#This Row],[Material-Nhập]],MD_Main_SKU[Main SKU],MD_Main_SKU[SKU name_gom])</f>
        <v>WSS01-PL</v>
      </c>
    </row>
    <row r="732" spans="1:13" x14ac:dyDescent="0.35">
      <c r="A732">
        <v>2025</v>
      </c>
      <c r="B732">
        <v>5</v>
      </c>
      <c r="C732" t="s">
        <v>16</v>
      </c>
      <c r="D732" t="s">
        <v>17</v>
      </c>
      <c r="E732" t="s">
        <v>34</v>
      </c>
      <c r="F732" t="s">
        <v>35</v>
      </c>
      <c r="G732" s="2">
        <v>0</v>
      </c>
      <c r="H732" s="2">
        <v>6599.9999999999991</v>
      </c>
      <c r="I732" s="2">
        <v>6599.9999999999991</v>
      </c>
      <c r="J732" s="2">
        <v>0</v>
      </c>
      <c r="K732" s="2">
        <v>6599.9999999999991</v>
      </c>
      <c r="L732" s="2" t="str">
        <f>_xlfn.XLOOKUP(Data_Nhập[[#This Row],[Main SKU]],MD_Main_SKU[Main SKU],MD_Main_SKU[SKU name_gom])</f>
        <v>WSS01</v>
      </c>
      <c r="M732" s="2" t="str">
        <f>_xlfn.XLOOKUP(Data_Nhập[[#This Row],[Material-Nhập]],MD_Main_SKU[Main SKU],MD_Main_SKU[SKU name_gom])</f>
        <v>WSS03-PL</v>
      </c>
    </row>
    <row r="733" spans="1:13" x14ac:dyDescent="0.35">
      <c r="A733">
        <v>2025</v>
      </c>
      <c r="B733">
        <v>5</v>
      </c>
      <c r="C733" t="s">
        <v>16</v>
      </c>
      <c r="D733" t="s">
        <v>17</v>
      </c>
      <c r="E733" t="s">
        <v>87</v>
      </c>
      <c r="F733" t="s">
        <v>88</v>
      </c>
      <c r="G733" s="2">
        <v>0</v>
      </c>
      <c r="H733" s="2">
        <v>0</v>
      </c>
      <c r="I733" s="2">
        <v>0</v>
      </c>
      <c r="J733" s="2">
        <v>32754.000000000004</v>
      </c>
      <c r="K733" s="2">
        <v>32754.000000000004</v>
      </c>
      <c r="L733" s="2" t="str">
        <f>_xlfn.XLOOKUP(Data_Nhập[[#This Row],[Main SKU]],MD_Main_SKU[Main SKU],MD_Main_SKU[SKU name_gom])</f>
        <v>WSS01</v>
      </c>
      <c r="M733" s="2" t="str">
        <f>_xlfn.XLOOKUP(Data_Nhập[[#This Row],[Material-Nhập]],MD_Main_SKU[Main SKU],MD_Main_SKU[SKU name_gom])</f>
        <v>Phó sản</v>
      </c>
    </row>
    <row r="734" spans="1:13" x14ac:dyDescent="0.35">
      <c r="A734">
        <v>2025</v>
      </c>
      <c r="B734">
        <v>5</v>
      </c>
      <c r="C734" t="s">
        <v>16</v>
      </c>
      <c r="D734" t="s">
        <v>17</v>
      </c>
      <c r="E734" t="s">
        <v>89</v>
      </c>
      <c r="F734" t="s">
        <v>90</v>
      </c>
      <c r="G734" s="2">
        <v>0</v>
      </c>
      <c r="H734" s="2">
        <v>0</v>
      </c>
      <c r="I734" s="2">
        <v>0</v>
      </c>
      <c r="J734" s="2">
        <v>32440.000000000004</v>
      </c>
      <c r="K734" s="2">
        <v>32440.000000000004</v>
      </c>
      <c r="L734" s="2" t="str">
        <f>_xlfn.XLOOKUP(Data_Nhập[[#This Row],[Main SKU]],MD_Main_SKU[Main SKU],MD_Main_SKU[SKU name_gom])</f>
        <v>WSS01</v>
      </c>
      <c r="M734" s="2" t="str">
        <f>_xlfn.XLOOKUP(Data_Nhập[[#This Row],[Material-Nhập]],MD_Main_SKU[Main SKU],MD_Main_SKU[SKU name_gom])</f>
        <v>Phó sản</v>
      </c>
    </row>
    <row r="735" spans="1:13" x14ac:dyDescent="0.35">
      <c r="A735">
        <v>2025</v>
      </c>
      <c r="B735">
        <v>5</v>
      </c>
      <c r="C735" t="s">
        <v>16</v>
      </c>
      <c r="D735" t="s">
        <v>17</v>
      </c>
      <c r="E735" t="s">
        <v>91</v>
      </c>
      <c r="F735" t="s">
        <v>92</v>
      </c>
      <c r="G735" s="2">
        <v>0</v>
      </c>
      <c r="H735" s="2">
        <v>0</v>
      </c>
      <c r="I735" s="2">
        <v>0</v>
      </c>
      <c r="J735" s="2">
        <v>2750</v>
      </c>
      <c r="K735" s="2">
        <v>2750</v>
      </c>
      <c r="L735" s="2" t="str">
        <f>_xlfn.XLOOKUP(Data_Nhập[[#This Row],[Main SKU]],MD_Main_SKU[Main SKU],MD_Main_SKU[SKU name_gom])</f>
        <v>WSS01</v>
      </c>
      <c r="M735" s="2" t="str">
        <f>_xlfn.XLOOKUP(Data_Nhập[[#This Row],[Material-Nhập]],MD_Main_SKU[Main SKU],MD_Main_SKU[SKU name_gom])</f>
        <v>Phó sản</v>
      </c>
    </row>
    <row r="736" spans="1:13" x14ac:dyDescent="0.35">
      <c r="A736">
        <v>2025</v>
      </c>
      <c r="B736">
        <v>5</v>
      </c>
      <c r="C736" t="s">
        <v>16</v>
      </c>
      <c r="D736" t="s">
        <v>17</v>
      </c>
      <c r="E736" t="s">
        <v>117</v>
      </c>
      <c r="F736" t="s">
        <v>86</v>
      </c>
      <c r="G736" s="2">
        <v>0</v>
      </c>
      <c r="H736" s="2">
        <v>0</v>
      </c>
      <c r="I736" s="2">
        <v>0</v>
      </c>
      <c r="J736" s="2">
        <v>14496.999999999998</v>
      </c>
      <c r="K736" s="2">
        <v>14496.999999999998</v>
      </c>
      <c r="L736" s="2" t="str">
        <f>_xlfn.XLOOKUP(Data_Nhập[[#This Row],[Main SKU]],MD_Main_SKU[Main SKU],MD_Main_SKU[SKU name_gom])</f>
        <v>WSS01</v>
      </c>
      <c r="M736" s="2" t="str">
        <f>_xlfn.XLOOKUP(Data_Nhập[[#This Row],[Material-Nhập]],MD_Main_SKU[Main SKU],MD_Main_SKU[SKU name_gom])</f>
        <v>Phó sản</v>
      </c>
    </row>
    <row r="737" spans="1:13" x14ac:dyDescent="0.35">
      <c r="A737">
        <v>2025</v>
      </c>
      <c r="B737">
        <v>5</v>
      </c>
      <c r="C737" t="s">
        <v>18</v>
      </c>
      <c r="D737" t="s">
        <v>19</v>
      </c>
      <c r="E737" t="s">
        <v>14</v>
      </c>
      <c r="F737" t="s">
        <v>15</v>
      </c>
      <c r="G737" s="2">
        <v>0</v>
      </c>
      <c r="H737" s="2">
        <v>2200</v>
      </c>
      <c r="I737" s="2">
        <v>2200</v>
      </c>
      <c r="J737" s="2">
        <v>0</v>
      </c>
      <c r="K737" s="2">
        <v>2200</v>
      </c>
      <c r="L737" s="2" t="str">
        <f>_xlfn.XLOOKUP(Data_Nhập[[#This Row],[Main SKU]],MD_Main_SKU[Main SKU],MD_Main_SKU[SKU name_gom])</f>
        <v>iSS01</v>
      </c>
      <c r="M737" s="2" t="str">
        <f>_xlfn.XLOOKUP(Data_Nhập[[#This Row],[Material-Nhập]],MD_Main_SKU[Main SKU],MD_Main_SKU[SKU name_gom])</f>
        <v>iSS01084</v>
      </c>
    </row>
    <row r="738" spans="1:13" x14ac:dyDescent="0.35">
      <c r="A738">
        <v>2025</v>
      </c>
      <c r="B738">
        <v>5</v>
      </c>
      <c r="C738" t="s">
        <v>18</v>
      </c>
      <c r="D738" t="s">
        <v>19</v>
      </c>
      <c r="E738" t="s">
        <v>16</v>
      </c>
      <c r="F738" t="s">
        <v>17</v>
      </c>
      <c r="G738" s="2">
        <v>0</v>
      </c>
      <c r="H738" s="2">
        <v>7700</v>
      </c>
      <c r="I738" s="2">
        <v>7700</v>
      </c>
      <c r="J738" s="2">
        <v>0</v>
      </c>
      <c r="K738" s="2">
        <v>7700</v>
      </c>
      <c r="L738" s="2" t="str">
        <f>_xlfn.XLOOKUP(Data_Nhập[[#This Row],[Main SKU]],MD_Main_SKU[Main SKU],MD_Main_SKU[SKU name_gom])</f>
        <v>iSS01</v>
      </c>
      <c r="M738" s="2" t="str">
        <f>_xlfn.XLOOKUP(Data_Nhập[[#This Row],[Material-Nhập]],MD_Main_SKU[Main SKU],MD_Main_SKU[SKU name_gom])</f>
        <v>WSS01</v>
      </c>
    </row>
    <row r="739" spans="1:13" x14ac:dyDescent="0.35">
      <c r="A739">
        <v>2025</v>
      </c>
      <c r="B739">
        <v>5</v>
      </c>
      <c r="C739" t="s">
        <v>18</v>
      </c>
      <c r="D739" t="s">
        <v>19</v>
      </c>
      <c r="E739" t="s">
        <v>18</v>
      </c>
      <c r="F739" t="s">
        <v>19</v>
      </c>
      <c r="G739" s="2">
        <v>520300.00000000006</v>
      </c>
      <c r="H739" s="2">
        <v>0</v>
      </c>
      <c r="I739" s="2">
        <v>520300.00000000006</v>
      </c>
      <c r="J739" s="2">
        <v>0</v>
      </c>
      <c r="K739" s="2">
        <v>520300.00000000006</v>
      </c>
      <c r="L739" s="2" t="str">
        <f>_xlfn.XLOOKUP(Data_Nhập[[#This Row],[Main SKU]],MD_Main_SKU[Main SKU],MD_Main_SKU[SKU name_gom])</f>
        <v>iSS01</v>
      </c>
      <c r="M739" s="2" t="str">
        <f>_xlfn.XLOOKUP(Data_Nhập[[#This Row],[Material-Nhập]],MD_Main_SKU[Main SKU],MD_Main_SKU[SKU name_gom])</f>
        <v>iSS01</v>
      </c>
    </row>
    <row r="740" spans="1:13" x14ac:dyDescent="0.35">
      <c r="A740">
        <v>2025</v>
      </c>
      <c r="B740">
        <v>5</v>
      </c>
      <c r="C740" t="s">
        <v>18</v>
      </c>
      <c r="D740" t="s">
        <v>19</v>
      </c>
      <c r="E740" t="s">
        <v>22</v>
      </c>
      <c r="F740" t="s">
        <v>23</v>
      </c>
      <c r="G740" s="2">
        <v>0</v>
      </c>
      <c r="H740" s="2">
        <v>17600</v>
      </c>
      <c r="I740" s="2">
        <v>17600</v>
      </c>
      <c r="J740" s="2">
        <v>0</v>
      </c>
      <c r="K740" s="2">
        <v>17600</v>
      </c>
      <c r="L740" s="2" t="str">
        <f>_xlfn.XLOOKUP(Data_Nhập[[#This Row],[Main SKU]],MD_Main_SKU[Main SKU],MD_Main_SKU[SKU name_gom])</f>
        <v>iSS01</v>
      </c>
      <c r="M740" s="2" t="str">
        <f>_xlfn.XLOOKUP(Data_Nhập[[#This Row],[Material-Nhập]],MD_Main_SKU[Main SKU],MD_Main_SKU[SKU name_gom])</f>
        <v>WSS03</v>
      </c>
    </row>
    <row r="741" spans="1:13" x14ac:dyDescent="0.35">
      <c r="A741">
        <v>2025</v>
      </c>
      <c r="B741">
        <v>5</v>
      </c>
      <c r="C741" t="s">
        <v>18</v>
      </c>
      <c r="D741" t="s">
        <v>19</v>
      </c>
      <c r="E741" t="s">
        <v>40</v>
      </c>
      <c r="F741" t="s">
        <v>41</v>
      </c>
      <c r="G741" s="2">
        <v>0</v>
      </c>
      <c r="H741" s="2">
        <v>2200</v>
      </c>
      <c r="I741" s="2">
        <v>2200</v>
      </c>
      <c r="J741" s="2">
        <v>0</v>
      </c>
      <c r="K741" s="2">
        <v>2200</v>
      </c>
      <c r="L741" s="2" t="str">
        <f>_xlfn.XLOOKUP(Data_Nhập[[#This Row],[Main SKU]],MD_Main_SKU[Main SKU],MD_Main_SKU[SKU name_gom])</f>
        <v>iSS01</v>
      </c>
      <c r="M741" s="2" t="str">
        <f>_xlfn.XLOOKUP(Data_Nhập[[#This Row],[Material-Nhập]],MD_Main_SKU[Main SKU],MD_Main_SKU[SKU name_gom])</f>
        <v>WSS01-PL</v>
      </c>
    </row>
    <row r="742" spans="1:13" x14ac:dyDescent="0.35">
      <c r="A742">
        <v>2025</v>
      </c>
      <c r="B742">
        <v>5</v>
      </c>
      <c r="C742" t="s">
        <v>18</v>
      </c>
      <c r="D742" t="s">
        <v>19</v>
      </c>
      <c r="E742" t="s">
        <v>42</v>
      </c>
      <c r="F742" t="s">
        <v>43</v>
      </c>
      <c r="G742" s="2">
        <v>0</v>
      </c>
      <c r="H742" s="2">
        <v>4400</v>
      </c>
      <c r="I742" s="2">
        <v>4400</v>
      </c>
      <c r="J742" s="2">
        <v>0</v>
      </c>
      <c r="K742" s="2">
        <v>4400</v>
      </c>
      <c r="L742" s="2" t="str">
        <f>_xlfn.XLOOKUP(Data_Nhập[[#This Row],[Main SKU]],MD_Main_SKU[Main SKU],MD_Main_SKU[SKU name_gom])</f>
        <v>iSS01</v>
      </c>
      <c r="M742" s="2" t="str">
        <f>_xlfn.XLOOKUP(Data_Nhập[[#This Row],[Material-Nhập]],MD_Main_SKU[Main SKU],MD_Main_SKU[SKU name_gom])</f>
        <v>iSS01-PL</v>
      </c>
    </row>
    <row r="743" spans="1:13" x14ac:dyDescent="0.35">
      <c r="A743">
        <v>2025</v>
      </c>
      <c r="B743">
        <v>5</v>
      </c>
      <c r="C743" t="s">
        <v>18</v>
      </c>
      <c r="D743" t="s">
        <v>19</v>
      </c>
      <c r="E743" t="s">
        <v>34</v>
      </c>
      <c r="F743" t="s">
        <v>35</v>
      </c>
      <c r="G743" s="2">
        <v>0</v>
      </c>
      <c r="H743" s="2">
        <v>1100</v>
      </c>
      <c r="I743" s="2">
        <v>1100</v>
      </c>
      <c r="J743" s="2">
        <v>0</v>
      </c>
      <c r="K743" s="2">
        <v>1100</v>
      </c>
      <c r="L743" s="2" t="str">
        <f>_xlfn.XLOOKUP(Data_Nhập[[#This Row],[Main SKU]],MD_Main_SKU[Main SKU],MD_Main_SKU[SKU name_gom])</f>
        <v>iSS01</v>
      </c>
      <c r="M743" s="2" t="str">
        <f>_xlfn.XLOOKUP(Data_Nhập[[#This Row],[Material-Nhập]],MD_Main_SKU[Main SKU],MD_Main_SKU[SKU name_gom])</f>
        <v>WSS03-PL</v>
      </c>
    </row>
    <row r="744" spans="1:13" x14ac:dyDescent="0.35">
      <c r="A744">
        <v>2025</v>
      </c>
      <c r="B744">
        <v>5</v>
      </c>
      <c r="C744" t="s">
        <v>18</v>
      </c>
      <c r="D744" t="s">
        <v>19</v>
      </c>
      <c r="E744" t="s">
        <v>87</v>
      </c>
      <c r="F744" t="s">
        <v>88</v>
      </c>
      <c r="G744" s="2">
        <v>0</v>
      </c>
      <c r="H744" s="2">
        <v>0</v>
      </c>
      <c r="I744" s="2">
        <v>0</v>
      </c>
      <c r="J744" s="2">
        <v>9074.9999999999982</v>
      </c>
      <c r="K744" s="2">
        <v>9074.9999999999982</v>
      </c>
      <c r="L744" s="2" t="str">
        <f>_xlfn.XLOOKUP(Data_Nhập[[#This Row],[Main SKU]],MD_Main_SKU[Main SKU],MD_Main_SKU[SKU name_gom])</f>
        <v>iSS01</v>
      </c>
      <c r="M744" s="2" t="str">
        <f>_xlfn.XLOOKUP(Data_Nhập[[#This Row],[Material-Nhập]],MD_Main_SKU[Main SKU],MD_Main_SKU[SKU name_gom])</f>
        <v>Phó sản</v>
      </c>
    </row>
    <row r="745" spans="1:13" x14ac:dyDescent="0.35">
      <c r="A745">
        <v>2025</v>
      </c>
      <c r="B745">
        <v>5</v>
      </c>
      <c r="C745" t="s">
        <v>18</v>
      </c>
      <c r="D745" t="s">
        <v>19</v>
      </c>
      <c r="E745" t="s">
        <v>89</v>
      </c>
      <c r="F745" t="s">
        <v>90</v>
      </c>
      <c r="G745" s="2">
        <v>0</v>
      </c>
      <c r="H745" s="2">
        <v>0</v>
      </c>
      <c r="I745" s="2">
        <v>0</v>
      </c>
      <c r="J745" s="2">
        <v>13200</v>
      </c>
      <c r="K745" s="2">
        <v>13200</v>
      </c>
      <c r="L745" s="2" t="str">
        <f>_xlfn.XLOOKUP(Data_Nhập[[#This Row],[Main SKU]],MD_Main_SKU[Main SKU],MD_Main_SKU[SKU name_gom])</f>
        <v>iSS01</v>
      </c>
      <c r="M745" s="2" t="str">
        <f>_xlfn.XLOOKUP(Data_Nhập[[#This Row],[Material-Nhập]],MD_Main_SKU[Main SKU],MD_Main_SKU[SKU name_gom])</f>
        <v>Phó sản</v>
      </c>
    </row>
    <row r="746" spans="1:13" x14ac:dyDescent="0.35">
      <c r="A746">
        <v>2025</v>
      </c>
      <c r="B746">
        <v>5</v>
      </c>
      <c r="C746" t="s">
        <v>18</v>
      </c>
      <c r="D746" t="s">
        <v>19</v>
      </c>
      <c r="E746" t="s">
        <v>117</v>
      </c>
      <c r="F746" t="s">
        <v>86</v>
      </c>
      <c r="G746" s="2">
        <v>0</v>
      </c>
      <c r="H746" s="2">
        <v>0</v>
      </c>
      <c r="I746" s="2">
        <v>0</v>
      </c>
      <c r="J746" s="2">
        <v>3856</v>
      </c>
      <c r="K746" s="2">
        <v>3856</v>
      </c>
      <c r="L746" s="2" t="str">
        <f>_xlfn.XLOOKUP(Data_Nhập[[#This Row],[Main SKU]],MD_Main_SKU[Main SKU],MD_Main_SKU[SKU name_gom])</f>
        <v>iSS01</v>
      </c>
      <c r="M746" s="2" t="str">
        <f>_xlfn.XLOOKUP(Data_Nhập[[#This Row],[Material-Nhập]],MD_Main_SKU[Main SKU],MD_Main_SKU[SKU name_gom])</f>
        <v>Phó sản</v>
      </c>
    </row>
    <row r="747" spans="1:13" x14ac:dyDescent="0.35">
      <c r="A747">
        <v>2025</v>
      </c>
      <c r="B747">
        <v>5</v>
      </c>
      <c r="C747" t="s">
        <v>26</v>
      </c>
      <c r="D747" t="s">
        <v>27</v>
      </c>
      <c r="E747" t="s">
        <v>22</v>
      </c>
      <c r="F747" t="s">
        <v>23</v>
      </c>
      <c r="G747" s="2">
        <v>0</v>
      </c>
      <c r="H747" s="2">
        <v>1100</v>
      </c>
      <c r="I747" s="2">
        <v>1100</v>
      </c>
      <c r="J747" s="2">
        <v>0</v>
      </c>
      <c r="K747" s="2">
        <v>1100</v>
      </c>
      <c r="L747" s="2" t="str">
        <f>_xlfn.XLOOKUP(Data_Nhập[[#This Row],[Main SKU]],MD_Main_SKU[Main SKU],MD_Main_SKU[SKU name_gom])</f>
        <v>iSS01</v>
      </c>
      <c r="M747" s="2" t="str">
        <f>_xlfn.XLOOKUP(Data_Nhập[[#This Row],[Material-Nhập]],MD_Main_SKU[Main SKU],MD_Main_SKU[SKU name_gom])</f>
        <v>WSS03</v>
      </c>
    </row>
    <row r="748" spans="1:13" x14ac:dyDescent="0.35">
      <c r="A748">
        <v>2025</v>
      </c>
      <c r="B748">
        <v>5</v>
      </c>
      <c r="C748" t="s">
        <v>26</v>
      </c>
      <c r="D748" t="s">
        <v>27</v>
      </c>
      <c r="E748" t="s">
        <v>24</v>
      </c>
      <c r="F748" t="s">
        <v>25</v>
      </c>
      <c r="G748" s="2">
        <v>0</v>
      </c>
      <c r="H748" s="2">
        <v>15400</v>
      </c>
      <c r="I748" s="2">
        <v>15400</v>
      </c>
      <c r="J748" s="2">
        <v>0</v>
      </c>
      <c r="K748" s="2">
        <v>15400</v>
      </c>
      <c r="L748" s="2" t="str">
        <f>_xlfn.XLOOKUP(Data_Nhập[[#This Row],[Main SKU]],MD_Main_SKU[Main SKU],MD_Main_SKU[SKU name_gom])</f>
        <v>iSS01</v>
      </c>
      <c r="M748" s="2" t="str">
        <f>_xlfn.XLOOKUP(Data_Nhập[[#This Row],[Material-Nhập]],MD_Main_SKU[Main SKU],MD_Main_SKU[SKU name_gom])</f>
        <v>WSS01</v>
      </c>
    </row>
    <row r="749" spans="1:13" x14ac:dyDescent="0.35">
      <c r="A749">
        <v>2025</v>
      </c>
      <c r="B749">
        <v>5</v>
      </c>
      <c r="C749" t="s">
        <v>26</v>
      </c>
      <c r="D749" t="s">
        <v>27</v>
      </c>
      <c r="E749" t="s">
        <v>26</v>
      </c>
      <c r="F749" t="s">
        <v>27</v>
      </c>
      <c r="G749" s="2">
        <v>793100</v>
      </c>
      <c r="H749" s="2">
        <v>0</v>
      </c>
      <c r="I749" s="2">
        <v>793100</v>
      </c>
      <c r="J749" s="2">
        <v>0</v>
      </c>
      <c r="K749" s="2">
        <v>793100</v>
      </c>
      <c r="L749" s="2" t="str">
        <f>_xlfn.XLOOKUP(Data_Nhập[[#This Row],[Main SKU]],MD_Main_SKU[Main SKU],MD_Main_SKU[SKU name_gom])</f>
        <v>iSS01</v>
      </c>
      <c r="M749" s="2" t="str">
        <f>_xlfn.XLOOKUP(Data_Nhập[[#This Row],[Material-Nhập]],MD_Main_SKU[Main SKU],MD_Main_SKU[SKU name_gom])</f>
        <v>iSS01</v>
      </c>
    </row>
    <row r="750" spans="1:13" x14ac:dyDescent="0.35">
      <c r="A750">
        <v>2025</v>
      </c>
      <c r="B750">
        <v>5</v>
      </c>
      <c r="C750" t="s">
        <v>26</v>
      </c>
      <c r="D750" t="s">
        <v>27</v>
      </c>
      <c r="E750" t="s">
        <v>50</v>
      </c>
      <c r="F750" t="s">
        <v>51</v>
      </c>
      <c r="G750" s="2">
        <v>0</v>
      </c>
      <c r="H750" s="2">
        <v>6600</v>
      </c>
      <c r="I750" s="2">
        <v>6600</v>
      </c>
      <c r="J750" s="2">
        <v>0</v>
      </c>
      <c r="K750" s="2">
        <v>6600</v>
      </c>
      <c r="L750" s="2" t="str">
        <f>_xlfn.XLOOKUP(Data_Nhập[[#This Row],[Main SKU]],MD_Main_SKU[Main SKU],MD_Main_SKU[SKU name_gom])</f>
        <v>iSS01</v>
      </c>
      <c r="M750" s="2" t="str">
        <f>_xlfn.XLOOKUP(Data_Nhập[[#This Row],[Material-Nhập]],MD_Main_SKU[Main SKU],MD_Main_SKU[SKU name_gom])</f>
        <v>iSS01-PL</v>
      </c>
    </row>
    <row r="751" spans="1:13" x14ac:dyDescent="0.35">
      <c r="A751">
        <v>2025</v>
      </c>
      <c r="B751">
        <v>5</v>
      </c>
      <c r="C751" t="s">
        <v>26</v>
      </c>
      <c r="D751" t="s">
        <v>27</v>
      </c>
      <c r="E751" t="s">
        <v>87</v>
      </c>
      <c r="F751" t="s">
        <v>88</v>
      </c>
      <c r="G751" s="2">
        <v>0</v>
      </c>
      <c r="H751" s="2">
        <v>0</v>
      </c>
      <c r="I751" s="2">
        <v>0</v>
      </c>
      <c r="J751" s="2">
        <v>19725</v>
      </c>
      <c r="K751" s="2">
        <v>19725</v>
      </c>
      <c r="L751" s="2" t="str">
        <f>_xlfn.XLOOKUP(Data_Nhập[[#This Row],[Main SKU]],MD_Main_SKU[Main SKU],MD_Main_SKU[SKU name_gom])</f>
        <v>iSS01</v>
      </c>
      <c r="M751" s="2" t="str">
        <f>_xlfn.XLOOKUP(Data_Nhập[[#This Row],[Material-Nhập]],MD_Main_SKU[Main SKU],MD_Main_SKU[SKU name_gom])</f>
        <v>Phó sản</v>
      </c>
    </row>
    <row r="752" spans="1:13" x14ac:dyDescent="0.35">
      <c r="A752">
        <v>2025</v>
      </c>
      <c r="B752">
        <v>5</v>
      </c>
      <c r="C752" t="s">
        <v>26</v>
      </c>
      <c r="D752" t="s">
        <v>27</v>
      </c>
      <c r="E752" t="s">
        <v>89</v>
      </c>
      <c r="F752" t="s">
        <v>90</v>
      </c>
      <c r="G752" s="2">
        <v>0</v>
      </c>
      <c r="H752" s="2">
        <v>0</v>
      </c>
      <c r="I752" s="2">
        <v>0</v>
      </c>
      <c r="J752" s="2">
        <v>2200</v>
      </c>
      <c r="K752" s="2">
        <v>2200</v>
      </c>
      <c r="L752" s="2" t="str">
        <f>_xlfn.XLOOKUP(Data_Nhập[[#This Row],[Main SKU]],MD_Main_SKU[Main SKU],MD_Main_SKU[SKU name_gom])</f>
        <v>iSS01</v>
      </c>
      <c r="M752" s="2" t="str">
        <f>_xlfn.XLOOKUP(Data_Nhập[[#This Row],[Material-Nhập]],MD_Main_SKU[Main SKU],MD_Main_SKU[SKU name_gom])</f>
        <v>Phó sản</v>
      </c>
    </row>
    <row r="753" spans="1:13" x14ac:dyDescent="0.35">
      <c r="A753">
        <v>2025</v>
      </c>
      <c r="B753">
        <v>5</v>
      </c>
      <c r="C753" t="s">
        <v>26</v>
      </c>
      <c r="D753" t="s">
        <v>27</v>
      </c>
      <c r="E753" t="s">
        <v>117</v>
      </c>
      <c r="F753" t="s">
        <v>86</v>
      </c>
      <c r="G753" s="2">
        <v>0</v>
      </c>
      <c r="H753" s="2">
        <v>0</v>
      </c>
      <c r="I753" s="2">
        <v>0</v>
      </c>
      <c r="J753" s="2">
        <v>9410</v>
      </c>
      <c r="K753" s="2">
        <v>9410</v>
      </c>
      <c r="L753" s="2" t="str">
        <f>_xlfn.XLOOKUP(Data_Nhập[[#This Row],[Main SKU]],MD_Main_SKU[Main SKU],MD_Main_SKU[SKU name_gom])</f>
        <v>iSS01</v>
      </c>
      <c r="M753" s="2" t="str">
        <f>_xlfn.XLOOKUP(Data_Nhập[[#This Row],[Material-Nhập]],MD_Main_SKU[Main SKU],MD_Main_SKU[SKU name_gom])</f>
        <v>Phó sản</v>
      </c>
    </row>
    <row r="754" spans="1:13" x14ac:dyDescent="0.35">
      <c r="A754">
        <v>2025</v>
      </c>
      <c r="B754">
        <v>5</v>
      </c>
      <c r="C754" t="s">
        <v>115</v>
      </c>
      <c r="D754" t="s">
        <v>116</v>
      </c>
      <c r="E754" t="s">
        <v>115</v>
      </c>
      <c r="F754" t="s">
        <v>116</v>
      </c>
      <c r="G754" s="2">
        <v>64650</v>
      </c>
      <c r="H754" s="2">
        <v>0</v>
      </c>
      <c r="I754" s="2">
        <v>64650</v>
      </c>
      <c r="J754" s="2">
        <v>0</v>
      </c>
      <c r="K754" s="2">
        <v>64650</v>
      </c>
      <c r="L754" s="2" t="str">
        <f>_xlfn.XLOOKUP(Data_Nhập[[#This Row],[Main SKU]],MD_Main_SKU[Main SKU],MD_Main_SKU[SKU name_gom])</f>
        <v>WSS05</v>
      </c>
      <c r="M754" s="2" t="str">
        <f>_xlfn.XLOOKUP(Data_Nhập[[#This Row],[Material-Nhập]],MD_Main_SKU[Main SKU],MD_Main_SKU[SKU name_gom])</f>
        <v>WSS05</v>
      </c>
    </row>
    <row r="755" spans="1:13" x14ac:dyDescent="0.35">
      <c r="A755">
        <v>2025</v>
      </c>
      <c r="B755">
        <v>5</v>
      </c>
      <c r="C755" t="s">
        <v>115</v>
      </c>
      <c r="D755" t="s">
        <v>116</v>
      </c>
      <c r="E755" t="s">
        <v>124</v>
      </c>
      <c r="F755" t="s">
        <v>125</v>
      </c>
      <c r="G755" s="2">
        <v>0</v>
      </c>
      <c r="H755" s="2">
        <v>1050</v>
      </c>
      <c r="I755" s="2">
        <v>1050</v>
      </c>
      <c r="J755" s="2">
        <v>0</v>
      </c>
      <c r="K755" s="2">
        <v>1050</v>
      </c>
      <c r="L755" s="2" t="str">
        <f>_xlfn.XLOOKUP(Data_Nhập[[#This Row],[Main SKU]],MD_Main_SKU[Main SKU],MD_Main_SKU[SKU name_gom])</f>
        <v>WSS05</v>
      </c>
      <c r="M755" s="2" t="str">
        <f>_xlfn.XLOOKUP(Data_Nhập[[#This Row],[Material-Nhập]],MD_Main_SKU[Main SKU],MD_Main_SKU[SKU name_gom])</f>
        <v>WSS06</v>
      </c>
    </row>
    <row r="756" spans="1:13" x14ac:dyDescent="0.35">
      <c r="A756">
        <v>2025</v>
      </c>
      <c r="B756">
        <v>5</v>
      </c>
      <c r="C756" t="s">
        <v>115</v>
      </c>
      <c r="D756" t="s">
        <v>116</v>
      </c>
      <c r="E756" t="s">
        <v>118</v>
      </c>
      <c r="F756" t="s">
        <v>119</v>
      </c>
      <c r="G756" s="2">
        <v>0</v>
      </c>
      <c r="H756" s="2">
        <v>10500</v>
      </c>
      <c r="I756" s="2">
        <v>10500</v>
      </c>
      <c r="J756" s="2">
        <v>0</v>
      </c>
      <c r="K756" s="2">
        <v>10500</v>
      </c>
      <c r="L756" s="2" t="str">
        <f>_xlfn.XLOOKUP(Data_Nhập[[#This Row],[Main SKU]],MD_Main_SKU[Main SKU],MD_Main_SKU[SKU name_gom])</f>
        <v>WSS05</v>
      </c>
      <c r="M756" s="2" t="str">
        <f>_xlfn.XLOOKUP(Data_Nhập[[#This Row],[Material-Nhập]],MD_Main_SKU[Main SKU],MD_Main_SKU[SKU name_gom])</f>
        <v>WSS05</v>
      </c>
    </row>
    <row r="757" spans="1:13" x14ac:dyDescent="0.35">
      <c r="A757">
        <v>2025</v>
      </c>
      <c r="B757">
        <v>5</v>
      </c>
      <c r="C757" t="s">
        <v>115</v>
      </c>
      <c r="D757" t="s">
        <v>116</v>
      </c>
      <c r="E757" t="s">
        <v>87</v>
      </c>
      <c r="F757" t="s">
        <v>88</v>
      </c>
      <c r="G757" s="2">
        <v>0</v>
      </c>
      <c r="H757" s="2">
        <v>0</v>
      </c>
      <c r="I757" s="2">
        <v>0</v>
      </c>
      <c r="J757" s="2">
        <v>7858</v>
      </c>
      <c r="K757" s="2">
        <v>7858</v>
      </c>
      <c r="L757" s="2" t="str">
        <f>_xlfn.XLOOKUP(Data_Nhập[[#This Row],[Main SKU]],MD_Main_SKU[Main SKU],MD_Main_SKU[SKU name_gom])</f>
        <v>WSS05</v>
      </c>
      <c r="M757" s="2" t="str">
        <f>_xlfn.XLOOKUP(Data_Nhập[[#This Row],[Material-Nhập]],MD_Main_SKU[Main SKU],MD_Main_SKU[SKU name_gom])</f>
        <v>Phó sản</v>
      </c>
    </row>
    <row r="758" spans="1:13" x14ac:dyDescent="0.35">
      <c r="A758">
        <v>2025</v>
      </c>
      <c r="B758">
        <v>5</v>
      </c>
      <c r="C758" t="s">
        <v>115</v>
      </c>
      <c r="D758" t="s">
        <v>116</v>
      </c>
      <c r="E758" t="s">
        <v>117</v>
      </c>
      <c r="F758" t="s">
        <v>86</v>
      </c>
      <c r="G758" s="2">
        <v>0</v>
      </c>
      <c r="H758" s="2">
        <v>0</v>
      </c>
      <c r="I758" s="2">
        <v>0</v>
      </c>
      <c r="J758" s="2">
        <v>2046</v>
      </c>
      <c r="K758" s="2">
        <v>2046</v>
      </c>
      <c r="L758" s="2" t="str">
        <f>_xlfn.XLOOKUP(Data_Nhập[[#This Row],[Main SKU]],MD_Main_SKU[Main SKU],MD_Main_SKU[SKU name_gom])</f>
        <v>WSS05</v>
      </c>
      <c r="M758" s="2" t="str">
        <f>_xlfn.XLOOKUP(Data_Nhập[[#This Row],[Material-Nhập]],MD_Main_SKU[Main SKU],MD_Main_SKU[SKU name_gom])</f>
        <v>Phó sản</v>
      </c>
    </row>
    <row r="759" spans="1:13" x14ac:dyDescent="0.35">
      <c r="A759">
        <v>2025</v>
      </c>
      <c r="B759">
        <v>5</v>
      </c>
      <c r="C759" t="s">
        <v>44</v>
      </c>
      <c r="D759" t="s">
        <v>45</v>
      </c>
      <c r="E759" t="s">
        <v>44</v>
      </c>
      <c r="F759" t="s">
        <v>45</v>
      </c>
      <c r="G759" s="2">
        <v>8800</v>
      </c>
      <c r="H759" s="2">
        <v>0</v>
      </c>
      <c r="I759" s="2">
        <v>8800</v>
      </c>
      <c r="J759" s="2">
        <v>0</v>
      </c>
      <c r="K759" s="2">
        <v>8800</v>
      </c>
      <c r="L759" s="2" t="str">
        <f>_xlfn.XLOOKUP(Data_Nhập[[#This Row],[Main SKU]],MD_Main_SKU[Main SKU],MD_Main_SKU[SKU name_gom])</f>
        <v>iSS01</v>
      </c>
      <c r="M759" s="2" t="str">
        <f>_xlfn.XLOOKUP(Data_Nhập[[#This Row],[Material-Nhập]],MD_Main_SKU[Main SKU],MD_Main_SKU[SKU name_gom])</f>
        <v>iSS01</v>
      </c>
    </row>
    <row r="760" spans="1:13" x14ac:dyDescent="0.35">
      <c r="A760">
        <v>2025</v>
      </c>
      <c r="B760">
        <v>5</v>
      </c>
      <c r="C760" t="s">
        <v>44</v>
      </c>
      <c r="D760" t="s">
        <v>45</v>
      </c>
      <c r="E760" t="s">
        <v>87</v>
      </c>
      <c r="F760" t="s">
        <v>88</v>
      </c>
      <c r="G760" s="2">
        <v>0</v>
      </c>
      <c r="H760" s="2">
        <v>0</v>
      </c>
      <c r="I760" s="2">
        <v>0</v>
      </c>
      <c r="J760" s="2">
        <v>350</v>
      </c>
      <c r="K760" s="2">
        <v>350</v>
      </c>
      <c r="L760" s="2" t="str">
        <f>_xlfn.XLOOKUP(Data_Nhập[[#This Row],[Main SKU]],MD_Main_SKU[Main SKU],MD_Main_SKU[SKU name_gom])</f>
        <v>iSS01</v>
      </c>
      <c r="M760" s="2" t="str">
        <f>_xlfn.XLOOKUP(Data_Nhập[[#This Row],[Material-Nhập]],MD_Main_SKU[Main SKU],MD_Main_SKU[SKU name_gom])</f>
        <v>Phó sản</v>
      </c>
    </row>
    <row r="761" spans="1:13" x14ac:dyDescent="0.35">
      <c r="A761">
        <v>2025</v>
      </c>
      <c r="B761">
        <v>5</v>
      </c>
      <c r="C761" t="s">
        <v>44</v>
      </c>
      <c r="D761" t="s">
        <v>45</v>
      </c>
      <c r="E761" t="s">
        <v>117</v>
      </c>
      <c r="F761" t="s">
        <v>86</v>
      </c>
      <c r="G761" s="2">
        <v>0</v>
      </c>
      <c r="H761" s="2">
        <v>0</v>
      </c>
      <c r="I761" s="2">
        <v>0</v>
      </c>
      <c r="J761" s="2">
        <v>585</v>
      </c>
      <c r="K761" s="2">
        <v>585</v>
      </c>
      <c r="L761" s="2" t="str">
        <f>_xlfn.XLOOKUP(Data_Nhập[[#This Row],[Main SKU]],MD_Main_SKU[Main SKU],MD_Main_SKU[SKU name_gom])</f>
        <v>iSS01</v>
      </c>
      <c r="M761" s="2" t="str">
        <f>_xlfn.XLOOKUP(Data_Nhập[[#This Row],[Material-Nhập]],MD_Main_SKU[Main SKU],MD_Main_SKU[SKU name_gom])</f>
        <v>Phó sản</v>
      </c>
    </row>
    <row r="762" spans="1:13" x14ac:dyDescent="0.35">
      <c r="A762">
        <v>2025</v>
      </c>
      <c r="B762">
        <v>5</v>
      </c>
      <c r="C762" t="s">
        <v>54</v>
      </c>
      <c r="D762" t="s">
        <v>55</v>
      </c>
      <c r="E762" t="s">
        <v>54</v>
      </c>
      <c r="F762" t="s">
        <v>55</v>
      </c>
      <c r="G762" s="2">
        <v>27500</v>
      </c>
      <c r="H762" s="2">
        <v>0</v>
      </c>
      <c r="I762" s="2">
        <v>27500</v>
      </c>
      <c r="J762" s="2">
        <v>0</v>
      </c>
      <c r="K762" s="2">
        <v>27500</v>
      </c>
      <c r="L762" s="2" t="str">
        <f>_xlfn.XLOOKUP(Data_Nhập[[#This Row],[Main SKU]],MD_Main_SKU[Main SKU],MD_Main_SKU[SKU name_gom])</f>
        <v>WSS01</v>
      </c>
      <c r="M762" s="2" t="str">
        <f>_xlfn.XLOOKUP(Data_Nhập[[#This Row],[Material-Nhập]],MD_Main_SKU[Main SKU],MD_Main_SKU[SKU name_gom])</f>
        <v>WSS01</v>
      </c>
    </row>
    <row r="763" spans="1:13" x14ac:dyDescent="0.35">
      <c r="A763">
        <v>2025</v>
      </c>
      <c r="B763">
        <v>5</v>
      </c>
      <c r="C763" t="s">
        <v>54</v>
      </c>
      <c r="D763" t="s">
        <v>55</v>
      </c>
      <c r="E763" t="s">
        <v>87</v>
      </c>
      <c r="F763" t="s">
        <v>88</v>
      </c>
      <c r="G763" s="2">
        <v>0</v>
      </c>
      <c r="H763" s="2">
        <v>0</v>
      </c>
      <c r="I763" s="2">
        <v>0</v>
      </c>
      <c r="J763" s="2">
        <v>350</v>
      </c>
      <c r="K763" s="2">
        <v>350</v>
      </c>
      <c r="L763" s="2" t="str">
        <f>_xlfn.XLOOKUP(Data_Nhập[[#This Row],[Main SKU]],MD_Main_SKU[Main SKU],MD_Main_SKU[SKU name_gom])</f>
        <v>WSS01</v>
      </c>
      <c r="M763" s="2" t="str">
        <f>_xlfn.XLOOKUP(Data_Nhập[[#This Row],[Material-Nhập]],MD_Main_SKU[Main SKU],MD_Main_SKU[SKU name_gom])</f>
        <v>Phó sản</v>
      </c>
    </row>
    <row r="764" spans="1:13" x14ac:dyDescent="0.35">
      <c r="A764">
        <v>2025</v>
      </c>
      <c r="B764">
        <v>5</v>
      </c>
      <c r="C764" t="s">
        <v>54</v>
      </c>
      <c r="D764" t="s">
        <v>55</v>
      </c>
      <c r="E764" t="s">
        <v>89</v>
      </c>
      <c r="F764" t="s">
        <v>90</v>
      </c>
      <c r="G764" s="2">
        <v>0</v>
      </c>
      <c r="H764" s="2">
        <v>0</v>
      </c>
      <c r="I764" s="2">
        <v>0</v>
      </c>
      <c r="J764" s="2">
        <v>1600</v>
      </c>
      <c r="K764" s="2">
        <v>1600</v>
      </c>
      <c r="L764" s="2" t="str">
        <f>_xlfn.XLOOKUP(Data_Nhập[[#This Row],[Main SKU]],MD_Main_SKU[Main SKU],MD_Main_SKU[SKU name_gom])</f>
        <v>WSS01</v>
      </c>
      <c r="M764" s="2" t="str">
        <f>_xlfn.XLOOKUP(Data_Nhập[[#This Row],[Material-Nhập]],MD_Main_SKU[Main SKU],MD_Main_SKU[SKU name_gom])</f>
        <v>Phó sản</v>
      </c>
    </row>
    <row r="765" spans="1:13" x14ac:dyDescent="0.35">
      <c r="A765">
        <v>2025</v>
      </c>
      <c r="B765">
        <v>5</v>
      </c>
      <c r="C765" t="s">
        <v>54</v>
      </c>
      <c r="D765" t="s">
        <v>55</v>
      </c>
      <c r="E765" t="s">
        <v>117</v>
      </c>
      <c r="F765" t="s">
        <v>86</v>
      </c>
      <c r="G765" s="2">
        <v>0</v>
      </c>
      <c r="H765" s="2">
        <v>0</v>
      </c>
      <c r="I765" s="2">
        <v>0</v>
      </c>
      <c r="J765" s="2">
        <v>550</v>
      </c>
      <c r="K765" s="2">
        <v>550</v>
      </c>
      <c r="L765" s="2" t="str">
        <f>_xlfn.XLOOKUP(Data_Nhập[[#This Row],[Main SKU]],MD_Main_SKU[Main SKU],MD_Main_SKU[SKU name_gom])</f>
        <v>WSS01</v>
      </c>
      <c r="M765" s="2" t="str">
        <f>_xlfn.XLOOKUP(Data_Nhập[[#This Row],[Material-Nhập]],MD_Main_SKU[Main SKU],MD_Main_SKU[SKU name_gom])</f>
        <v>Phó sản</v>
      </c>
    </row>
    <row r="766" spans="1:13" x14ac:dyDescent="0.35">
      <c r="A766">
        <v>2025</v>
      </c>
      <c r="B766">
        <v>6</v>
      </c>
      <c r="C766" t="s">
        <v>8</v>
      </c>
      <c r="D766" t="s">
        <v>9</v>
      </c>
      <c r="E766" t="s">
        <v>8</v>
      </c>
      <c r="F766" t="s">
        <v>9</v>
      </c>
      <c r="G766" s="2">
        <v>70400</v>
      </c>
      <c r="H766" s="2">
        <v>0</v>
      </c>
      <c r="I766" s="2">
        <v>70400</v>
      </c>
      <c r="J766" s="2">
        <v>0</v>
      </c>
      <c r="K766" s="2">
        <v>70400</v>
      </c>
      <c r="L766" s="2" t="str">
        <f>_xlfn.XLOOKUP(Data_Nhập[[#This Row],[Main SKU]],MD_Main_SKU[Main SKU],MD_Main_SKU[SKU name_gom])</f>
        <v>WSS01</v>
      </c>
      <c r="M766" s="2" t="str">
        <f>_xlfn.XLOOKUP(Data_Nhập[[#This Row],[Material-Nhập]],MD_Main_SKU[Main SKU],MD_Main_SKU[SKU name_gom])</f>
        <v>WSS01</v>
      </c>
    </row>
    <row r="767" spans="1:13" x14ac:dyDescent="0.35">
      <c r="A767">
        <v>2025</v>
      </c>
      <c r="B767">
        <v>6</v>
      </c>
      <c r="C767" t="s">
        <v>8</v>
      </c>
      <c r="D767" t="s">
        <v>9</v>
      </c>
      <c r="E767" t="s">
        <v>22</v>
      </c>
      <c r="F767" t="s">
        <v>23</v>
      </c>
      <c r="G767" s="2">
        <v>0</v>
      </c>
      <c r="H767" s="2">
        <v>1100</v>
      </c>
      <c r="I767" s="2">
        <v>1100</v>
      </c>
      <c r="J767" s="2">
        <v>0</v>
      </c>
      <c r="K767" s="2">
        <v>1100</v>
      </c>
      <c r="L767" s="2" t="str">
        <f>_xlfn.XLOOKUP(Data_Nhập[[#This Row],[Main SKU]],MD_Main_SKU[Main SKU],MD_Main_SKU[SKU name_gom])</f>
        <v>WSS01</v>
      </c>
      <c r="M767" s="2" t="str">
        <f>_xlfn.XLOOKUP(Data_Nhập[[#This Row],[Material-Nhập]],MD_Main_SKU[Main SKU],MD_Main_SKU[SKU name_gom])</f>
        <v>WSS03</v>
      </c>
    </row>
    <row r="768" spans="1:13" x14ac:dyDescent="0.35">
      <c r="A768">
        <v>2025</v>
      </c>
      <c r="B768">
        <v>6</v>
      </c>
      <c r="C768" t="s">
        <v>8</v>
      </c>
      <c r="D768" t="s">
        <v>9</v>
      </c>
      <c r="E768" t="s">
        <v>87</v>
      </c>
      <c r="F768" t="s">
        <v>88</v>
      </c>
      <c r="G768" s="2">
        <v>0</v>
      </c>
      <c r="H768" s="2">
        <v>0</v>
      </c>
      <c r="I768" s="2">
        <v>0</v>
      </c>
      <c r="J768" s="2">
        <v>350</v>
      </c>
      <c r="K768" s="2">
        <v>350</v>
      </c>
      <c r="L768" s="2" t="str">
        <f>_xlfn.XLOOKUP(Data_Nhập[[#This Row],[Main SKU]],MD_Main_SKU[Main SKU],MD_Main_SKU[SKU name_gom])</f>
        <v>WSS01</v>
      </c>
      <c r="M768" s="2" t="str">
        <f>_xlfn.XLOOKUP(Data_Nhập[[#This Row],[Material-Nhập]],MD_Main_SKU[Main SKU],MD_Main_SKU[SKU name_gom])</f>
        <v>Phó sản</v>
      </c>
    </row>
    <row r="769" spans="1:13" x14ac:dyDescent="0.35">
      <c r="A769">
        <v>2025</v>
      </c>
      <c r="B769">
        <v>6</v>
      </c>
      <c r="C769" t="s">
        <v>14</v>
      </c>
      <c r="D769" t="s">
        <v>15</v>
      </c>
      <c r="E769" t="s">
        <v>14</v>
      </c>
      <c r="F769" t="s">
        <v>15</v>
      </c>
      <c r="G769" s="2">
        <v>461999.99999999994</v>
      </c>
      <c r="H769" s="2">
        <v>0</v>
      </c>
      <c r="I769" s="2">
        <v>461999.99999999994</v>
      </c>
      <c r="J769" s="2">
        <v>0</v>
      </c>
      <c r="K769" s="2">
        <v>461999.99999999994</v>
      </c>
      <c r="L769" s="2" t="str">
        <f>_xlfn.XLOOKUP(Data_Nhập[[#This Row],[Main SKU]],MD_Main_SKU[Main SKU],MD_Main_SKU[SKU name_gom])</f>
        <v>iSS01084</v>
      </c>
      <c r="M769" s="2" t="str">
        <f>_xlfn.XLOOKUP(Data_Nhập[[#This Row],[Material-Nhập]],MD_Main_SKU[Main SKU],MD_Main_SKU[SKU name_gom])</f>
        <v>iSS01084</v>
      </c>
    </row>
    <row r="770" spans="1:13" x14ac:dyDescent="0.35">
      <c r="A770">
        <v>2025</v>
      </c>
      <c r="B770">
        <v>6</v>
      </c>
      <c r="C770" t="s">
        <v>14</v>
      </c>
      <c r="D770" t="s">
        <v>15</v>
      </c>
      <c r="E770" t="s">
        <v>18</v>
      </c>
      <c r="F770" t="s">
        <v>19</v>
      </c>
      <c r="G770" s="2">
        <v>0</v>
      </c>
      <c r="H770" s="2">
        <v>8800</v>
      </c>
      <c r="I770" s="2">
        <v>8800</v>
      </c>
      <c r="J770" s="2">
        <v>0</v>
      </c>
      <c r="K770" s="2">
        <v>8800</v>
      </c>
      <c r="L770" s="2" t="str">
        <f>_xlfn.XLOOKUP(Data_Nhập[[#This Row],[Main SKU]],MD_Main_SKU[Main SKU],MD_Main_SKU[SKU name_gom])</f>
        <v>iSS01084</v>
      </c>
      <c r="M770" s="2" t="str">
        <f>_xlfn.XLOOKUP(Data_Nhập[[#This Row],[Material-Nhập]],MD_Main_SKU[Main SKU],MD_Main_SKU[SKU name_gom])</f>
        <v>iSS01</v>
      </c>
    </row>
    <row r="771" spans="1:13" x14ac:dyDescent="0.35">
      <c r="A771">
        <v>2025</v>
      </c>
      <c r="B771">
        <v>6</v>
      </c>
      <c r="C771" t="s">
        <v>14</v>
      </c>
      <c r="D771" t="s">
        <v>15</v>
      </c>
      <c r="E771" t="s">
        <v>22</v>
      </c>
      <c r="F771" t="s">
        <v>23</v>
      </c>
      <c r="G771" s="2">
        <v>0</v>
      </c>
      <c r="H771" s="2">
        <v>6600</v>
      </c>
      <c r="I771" s="2">
        <v>6600</v>
      </c>
      <c r="J771" s="2">
        <v>0</v>
      </c>
      <c r="K771" s="2">
        <v>6600</v>
      </c>
      <c r="L771" s="2" t="str">
        <f>_xlfn.XLOOKUP(Data_Nhập[[#This Row],[Main SKU]],MD_Main_SKU[Main SKU],MD_Main_SKU[SKU name_gom])</f>
        <v>iSS01084</v>
      </c>
      <c r="M771" s="2" t="str">
        <f>_xlfn.XLOOKUP(Data_Nhập[[#This Row],[Material-Nhập]],MD_Main_SKU[Main SKU],MD_Main_SKU[SKU name_gom])</f>
        <v>WSS03</v>
      </c>
    </row>
    <row r="772" spans="1:13" x14ac:dyDescent="0.35">
      <c r="A772">
        <v>2025</v>
      </c>
      <c r="B772">
        <v>6</v>
      </c>
      <c r="C772" t="s">
        <v>14</v>
      </c>
      <c r="D772" t="s">
        <v>15</v>
      </c>
      <c r="E772" t="s">
        <v>40</v>
      </c>
      <c r="F772" t="s">
        <v>41</v>
      </c>
      <c r="G772" s="2">
        <v>0</v>
      </c>
      <c r="H772" s="2">
        <v>2200</v>
      </c>
      <c r="I772" s="2">
        <v>2200</v>
      </c>
      <c r="J772" s="2">
        <v>0</v>
      </c>
      <c r="K772" s="2">
        <v>2200</v>
      </c>
      <c r="L772" s="2" t="str">
        <f>_xlfn.XLOOKUP(Data_Nhập[[#This Row],[Main SKU]],MD_Main_SKU[Main SKU],MD_Main_SKU[SKU name_gom])</f>
        <v>iSS01084</v>
      </c>
      <c r="M772" s="2" t="str">
        <f>_xlfn.XLOOKUP(Data_Nhập[[#This Row],[Material-Nhập]],MD_Main_SKU[Main SKU],MD_Main_SKU[SKU name_gom])</f>
        <v>WSS01-PL</v>
      </c>
    </row>
    <row r="773" spans="1:13" x14ac:dyDescent="0.35">
      <c r="A773">
        <v>2025</v>
      </c>
      <c r="B773">
        <v>6</v>
      </c>
      <c r="C773" t="s">
        <v>14</v>
      </c>
      <c r="D773" t="s">
        <v>15</v>
      </c>
      <c r="E773" t="s">
        <v>42</v>
      </c>
      <c r="F773" t="s">
        <v>43</v>
      </c>
      <c r="G773" s="2">
        <v>0</v>
      </c>
      <c r="H773" s="2">
        <v>4400</v>
      </c>
      <c r="I773" s="2">
        <v>4400</v>
      </c>
      <c r="J773" s="2">
        <v>0</v>
      </c>
      <c r="K773" s="2">
        <v>4400</v>
      </c>
      <c r="L773" s="2" t="str">
        <f>_xlfn.XLOOKUP(Data_Nhập[[#This Row],[Main SKU]],MD_Main_SKU[Main SKU],MD_Main_SKU[SKU name_gom])</f>
        <v>iSS01084</v>
      </c>
      <c r="M773" s="2" t="str">
        <f>_xlfn.XLOOKUP(Data_Nhập[[#This Row],[Material-Nhập]],MD_Main_SKU[Main SKU],MD_Main_SKU[SKU name_gom])</f>
        <v>iSS01-PL</v>
      </c>
    </row>
    <row r="774" spans="1:13" x14ac:dyDescent="0.35">
      <c r="A774">
        <v>2025</v>
      </c>
      <c r="B774">
        <v>6</v>
      </c>
      <c r="C774" t="s">
        <v>14</v>
      </c>
      <c r="D774" t="s">
        <v>15</v>
      </c>
      <c r="E774" t="s">
        <v>38</v>
      </c>
      <c r="F774" t="s">
        <v>39</v>
      </c>
      <c r="G774" s="2">
        <v>0</v>
      </c>
      <c r="H774" s="2">
        <v>6600</v>
      </c>
      <c r="I774" s="2">
        <v>6600</v>
      </c>
      <c r="J774" s="2">
        <v>0</v>
      </c>
      <c r="K774" s="2">
        <v>6600</v>
      </c>
      <c r="L774" s="2" t="str">
        <f>_xlfn.XLOOKUP(Data_Nhập[[#This Row],[Main SKU]],MD_Main_SKU[Main SKU],MD_Main_SKU[SKU name_gom])</f>
        <v>iSS01084</v>
      </c>
      <c r="M774" s="2" t="str">
        <f>_xlfn.XLOOKUP(Data_Nhập[[#This Row],[Material-Nhập]],MD_Main_SKU[Main SKU],MD_Main_SKU[SKU name_gom])</f>
        <v>iSS01084-PL</v>
      </c>
    </row>
    <row r="775" spans="1:13" x14ac:dyDescent="0.35">
      <c r="A775">
        <v>2025</v>
      </c>
      <c r="B775">
        <v>6</v>
      </c>
      <c r="C775" t="s">
        <v>14</v>
      </c>
      <c r="D775" t="s">
        <v>15</v>
      </c>
      <c r="E775" t="s">
        <v>34</v>
      </c>
      <c r="F775" t="s">
        <v>35</v>
      </c>
      <c r="G775" s="2">
        <v>0</v>
      </c>
      <c r="H775" s="2">
        <v>6600</v>
      </c>
      <c r="I775" s="2">
        <v>6600</v>
      </c>
      <c r="J775" s="2">
        <v>0</v>
      </c>
      <c r="K775" s="2">
        <v>6600</v>
      </c>
      <c r="L775" s="2" t="str">
        <f>_xlfn.XLOOKUP(Data_Nhập[[#This Row],[Main SKU]],MD_Main_SKU[Main SKU],MD_Main_SKU[SKU name_gom])</f>
        <v>iSS01084</v>
      </c>
      <c r="M775" s="2" t="str">
        <f>_xlfn.XLOOKUP(Data_Nhập[[#This Row],[Material-Nhập]],MD_Main_SKU[Main SKU],MD_Main_SKU[SKU name_gom])</f>
        <v>WSS03-PL</v>
      </c>
    </row>
    <row r="776" spans="1:13" x14ac:dyDescent="0.35">
      <c r="A776">
        <v>2025</v>
      </c>
      <c r="B776">
        <v>6</v>
      </c>
      <c r="C776" t="s">
        <v>14</v>
      </c>
      <c r="D776" t="s">
        <v>15</v>
      </c>
      <c r="E776" t="s">
        <v>87</v>
      </c>
      <c r="F776" t="s">
        <v>88</v>
      </c>
      <c r="G776" s="2">
        <v>0</v>
      </c>
      <c r="H776" s="2">
        <v>0</v>
      </c>
      <c r="I776" s="2">
        <v>0</v>
      </c>
      <c r="J776" s="2">
        <v>7150.0000000000009</v>
      </c>
      <c r="K776" s="2">
        <v>7150.0000000000009</v>
      </c>
      <c r="L776" s="2" t="str">
        <f>_xlfn.XLOOKUP(Data_Nhập[[#This Row],[Main SKU]],MD_Main_SKU[Main SKU],MD_Main_SKU[SKU name_gom])</f>
        <v>iSS01084</v>
      </c>
      <c r="M776" s="2" t="str">
        <f>_xlfn.XLOOKUP(Data_Nhập[[#This Row],[Material-Nhập]],MD_Main_SKU[Main SKU],MD_Main_SKU[SKU name_gom])</f>
        <v>Phó sản</v>
      </c>
    </row>
    <row r="777" spans="1:13" x14ac:dyDescent="0.35">
      <c r="A777">
        <v>2025</v>
      </c>
      <c r="B777">
        <v>6</v>
      </c>
      <c r="C777" t="s">
        <v>14</v>
      </c>
      <c r="D777" t="s">
        <v>15</v>
      </c>
      <c r="E777" t="s">
        <v>89</v>
      </c>
      <c r="F777" t="s">
        <v>90</v>
      </c>
      <c r="G777" s="2">
        <v>0</v>
      </c>
      <c r="H777" s="2">
        <v>0</v>
      </c>
      <c r="I777" s="2">
        <v>0</v>
      </c>
      <c r="J777" s="2">
        <v>1100</v>
      </c>
      <c r="K777" s="2">
        <v>1100</v>
      </c>
      <c r="L777" s="2" t="str">
        <f>_xlfn.XLOOKUP(Data_Nhập[[#This Row],[Main SKU]],MD_Main_SKU[Main SKU],MD_Main_SKU[SKU name_gom])</f>
        <v>iSS01084</v>
      </c>
      <c r="M777" s="2" t="str">
        <f>_xlfn.XLOOKUP(Data_Nhập[[#This Row],[Material-Nhập]],MD_Main_SKU[Main SKU],MD_Main_SKU[SKU name_gom])</f>
        <v>Phó sản</v>
      </c>
    </row>
    <row r="778" spans="1:13" x14ac:dyDescent="0.35">
      <c r="A778">
        <v>2025</v>
      </c>
      <c r="B778">
        <v>6</v>
      </c>
      <c r="C778" t="s">
        <v>14</v>
      </c>
      <c r="D778" t="s">
        <v>15</v>
      </c>
      <c r="E778" t="s">
        <v>117</v>
      </c>
      <c r="F778" t="s">
        <v>86</v>
      </c>
      <c r="G778" s="2">
        <v>0</v>
      </c>
      <c r="H778" s="2">
        <v>0</v>
      </c>
      <c r="I778" s="2">
        <v>0</v>
      </c>
      <c r="J778" s="2">
        <v>5885</v>
      </c>
      <c r="K778" s="2">
        <v>5885</v>
      </c>
      <c r="L778" s="2" t="str">
        <f>_xlfn.XLOOKUP(Data_Nhập[[#This Row],[Main SKU]],MD_Main_SKU[Main SKU],MD_Main_SKU[SKU name_gom])</f>
        <v>iSS01084</v>
      </c>
      <c r="M778" s="2" t="str">
        <f>_xlfn.XLOOKUP(Data_Nhập[[#This Row],[Material-Nhập]],MD_Main_SKU[Main SKU],MD_Main_SKU[SKU name_gom])</f>
        <v>Phó sản</v>
      </c>
    </row>
    <row r="779" spans="1:13" x14ac:dyDescent="0.35">
      <c r="A779">
        <v>2025</v>
      </c>
      <c r="B779">
        <v>6</v>
      </c>
      <c r="C779" t="s">
        <v>14</v>
      </c>
      <c r="D779" t="s">
        <v>15</v>
      </c>
      <c r="E779" t="s">
        <v>126</v>
      </c>
      <c r="F779" t="s">
        <v>127</v>
      </c>
      <c r="G779" s="2">
        <v>0</v>
      </c>
      <c r="H779" s="2">
        <v>0</v>
      </c>
      <c r="I779" s="2">
        <v>0</v>
      </c>
      <c r="J779" s="2">
        <v>2200</v>
      </c>
      <c r="K779" s="2">
        <v>2200</v>
      </c>
      <c r="L779" s="2" t="str">
        <f>_xlfn.XLOOKUP(Data_Nhập[[#This Row],[Main SKU]],MD_Main_SKU[Main SKU],MD_Main_SKU[SKU name_gom])</f>
        <v>iSS01084</v>
      </c>
      <c r="M779" s="2" t="str">
        <f>_xlfn.XLOOKUP(Data_Nhập[[#This Row],[Material-Nhập]],MD_Main_SKU[Main SKU],MD_Main_SKU[SKU name_gom])</f>
        <v>Phó sản</v>
      </c>
    </row>
    <row r="780" spans="1:13" x14ac:dyDescent="0.35">
      <c r="A780">
        <v>2025</v>
      </c>
      <c r="B780">
        <v>6</v>
      </c>
      <c r="C780" t="s">
        <v>16</v>
      </c>
      <c r="D780" t="s">
        <v>17</v>
      </c>
      <c r="E780" t="s">
        <v>14</v>
      </c>
      <c r="F780" t="s">
        <v>15</v>
      </c>
      <c r="G780" s="2">
        <v>0</v>
      </c>
      <c r="H780" s="2">
        <v>16500.000000000004</v>
      </c>
      <c r="I780" s="2">
        <v>16500.000000000004</v>
      </c>
      <c r="J780" s="2">
        <v>0</v>
      </c>
      <c r="K780" s="2">
        <v>16500.000000000004</v>
      </c>
      <c r="L780" s="2" t="str">
        <f>_xlfn.XLOOKUP(Data_Nhập[[#This Row],[Main SKU]],MD_Main_SKU[Main SKU],MD_Main_SKU[SKU name_gom])</f>
        <v>WSS01</v>
      </c>
      <c r="M780" s="2" t="str">
        <f>_xlfn.XLOOKUP(Data_Nhập[[#This Row],[Material-Nhập]],MD_Main_SKU[Main SKU],MD_Main_SKU[SKU name_gom])</f>
        <v>iSS01084</v>
      </c>
    </row>
    <row r="781" spans="1:13" x14ac:dyDescent="0.35">
      <c r="A781">
        <v>2025</v>
      </c>
      <c r="B781">
        <v>6</v>
      </c>
      <c r="C781" t="s">
        <v>16</v>
      </c>
      <c r="D781" t="s">
        <v>17</v>
      </c>
      <c r="E781" t="s">
        <v>16</v>
      </c>
      <c r="F781" t="s">
        <v>17</v>
      </c>
      <c r="G781" s="2">
        <v>1256199.9999999998</v>
      </c>
      <c r="H781" s="2">
        <v>0</v>
      </c>
      <c r="I781" s="2">
        <v>1256199.9999999998</v>
      </c>
      <c r="J781" s="2">
        <v>0</v>
      </c>
      <c r="K781" s="2">
        <v>1256199.9999999998</v>
      </c>
      <c r="L781" s="2" t="str">
        <f>_xlfn.XLOOKUP(Data_Nhập[[#This Row],[Main SKU]],MD_Main_SKU[Main SKU],MD_Main_SKU[SKU name_gom])</f>
        <v>WSS01</v>
      </c>
      <c r="M781" s="2" t="str">
        <f>_xlfn.XLOOKUP(Data_Nhập[[#This Row],[Material-Nhập]],MD_Main_SKU[Main SKU],MD_Main_SKU[SKU name_gom])</f>
        <v>WSS01</v>
      </c>
    </row>
    <row r="782" spans="1:13" x14ac:dyDescent="0.35">
      <c r="A782">
        <v>2025</v>
      </c>
      <c r="B782">
        <v>6</v>
      </c>
      <c r="C782" t="s">
        <v>16</v>
      </c>
      <c r="D782" t="s">
        <v>17</v>
      </c>
      <c r="E782" t="s">
        <v>18</v>
      </c>
      <c r="F782" t="s">
        <v>19</v>
      </c>
      <c r="G782" s="2">
        <v>0</v>
      </c>
      <c r="H782" s="2">
        <v>91300</v>
      </c>
      <c r="I782" s="2">
        <v>91300</v>
      </c>
      <c r="J782" s="2">
        <v>0</v>
      </c>
      <c r="K782" s="2">
        <v>91300</v>
      </c>
      <c r="L782" s="2" t="str">
        <f>_xlfn.XLOOKUP(Data_Nhập[[#This Row],[Main SKU]],MD_Main_SKU[Main SKU],MD_Main_SKU[SKU name_gom])</f>
        <v>WSS01</v>
      </c>
      <c r="M782" s="2" t="str">
        <f>_xlfn.XLOOKUP(Data_Nhập[[#This Row],[Material-Nhập]],MD_Main_SKU[Main SKU],MD_Main_SKU[SKU name_gom])</f>
        <v>iSS01</v>
      </c>
    </row>
    <row r="783" spans="1:13" x14ac:dyDescent="0.35">
      <c r="A783">
        <v>2025</v>
      </c>
      <c r="B783">
        <v>6</v>
      </c>
      <c r="C783" t="s">
        <v>16</v>
      </c>
      <c r="D783" t="s">
        <v>17</v>
      </c>
      <c r="E783" t="s">
        <v>22</v>
      </c>
      <c r="F783" t="s">
        <v>23</v>
      </c>
      <c r="G783" s="2">
        <v>0</v>
      </c>
      <c r="H783" s="2">
        <v>11000.000000000002</v>
      </c>
      <c r="I783" s="2">
        <v>11000.000000000002</v>
      </c>
      <c r="J783" s="2">
        <v>0</v>
      </c>
      <c r="K783" s="2">
        <v>11000.000000000002</v>
      </c>
      <c r="L783" s="2" t="str">
        <f>_xlfn.XLOOKUP(Data_Nhập[[#This Row],[Main SKU]],MD_Main_SKU[Main SKU],MD_Main_SKU[SKU name_gom])</f>
        <v>WSS01</v>
      </c>
      <c r="M783" s="2" t="str">
        <f>_xlfn.XLOOKUP(Data_Nhập[[#This Row],[Material-Nhập]],MD_Main_SKU[Main SKU],MD_Main_SKU[SKU name_gom])</f>
        <v>WSS03</v>
      </c>
    </row>
    <row r="784" spans="1:13" x14ac:dyDescent="0.35">
      <c r="A784">
        <v>2025</v>
      </c>
      <c r="B784">
        <v>6</v>
      </c>
      <c r="C784" t="s">
        <v>16</v>
      </c>
      <c r="D784" t="s">
        <v>17</v>
      </c>
      <c r="E784" t="s">
        <v>40</v>
      </c>
      <c r="F784" t="s">
        <v>41</v>
      </c>
      <c r="G784" s="2">
        <v>0</v>
      </c>
      <c r="H784" s="2">
        <v>27500.000000000004</v>
      </c>
      <c r="I784" s="2">
        <v>27500.000000000004</v>
      </c>
      <c r="J784" s="2">
        <v>0</v>
      </c>
      <c r="K784" s="2">
        <v>27500.000000000004</v>
      </c>
      <c r="L784" s="2" t="str">
        <f>_xlfn.XLOOKUP(Data_Nhập[[#This Row],[Main SKU]],MD_Main_SKU[Main SKU],MD_Main_SKU[SKU name_gom])</f>
        <v>WSS01</v>
      </c>
      <c r="M784" s="2" t="str">
        <f>_xlfn.XLOOKUP(Data_Nhập[[#This Row],[Material-Nhập]],MD_Main_SKU[Main SKU],MD_Main_SKU[SKU name_gom])</f>
        <v>WSS01-PL</v>
      </c>
    </row>
    <row r="785" spans="1:13" x14ac:dyDescent="0.35">
      <c r="A785">
        <v>2025</v>
      </c>
      <c r="B785">
        <v>6</v>
      </c>
      <c r="C785" t="s">
        <v>16</v>
      </c>
      <c r="D785" t="s">
        <v>17</v>
      </c>
      <c r="E785" t="s">
        <v>38</v>
      </c>
      <c r="F785" t="s">
        <v>39</v>
      </c>
      <c r="G785" s="2">
        <v>0</v>
      </c>
      <c r="H785" s="2">
        <v>2199.9999999999995</v>
      </c>
      <c r="I785" s="2">
        <v>2199.9999999999995</v>
      </c>
      <c r="J785" s="2">
        <v>0</v>
      </c>
      <c r="K785" s="2">
        <v>2199.9999999999995</v>
      </c>
      <c r="L785" s="2" t="str">
        <f>_xlfn.XLOOKUP(Data_Nhập[[#This Row],[Main SKU]],MD_Main_SKU[Main SKU],MD_Main_SKU[SKU name_gom])</f>
        <v>WSS01</v>
      </c>
      <c r="M785" s="2" t="str">
        <f>_xlfn.XLOOKUP(Data_Nhập[[#This Row],[Material-Nhập]],MD_Main_SKU[Main SKU],MD_Main_SKU[SKU name_gom])</f>
        <v>iSS01084-PL</v>
      </c>
    </row>
    <row r="786" spans="1:13" x14ac:dyDescent="0.35">
      <c r="A786">
        <v>2025</v>
      </c>
      <c r="B786">
        <v>6</v>
      </c>
      <c r="C786" t="s">
        <v>16</v>
      </c>
      <c r="D786" t="s">
        <v>17</v>
      </c>
      <c r="E786" t="s">
        <v>34</v>
      </c>
      <c r="F786" t="s">
        <v>35</v>
      </c>
      <c r="G786" s="2">
        <v>0</v>
      </c>
      <c r="H786" s="2">
        <v>7700.0000000000018</v>
      </c>
      <c r="I786" s="2">
        <v>7700.0000000000018</v>
      </c>
      <c r="J786" s="2">
        <v>0</v>
      </c>
      <c r="K786" s="2">
        <v>7700.0000000000018</v>
      </c>
      <c r="L786" s="2" t="str">
        <f>_xlfn.XLOOKUP(Data_Nhập[[#This Row],[Main SKU]],MD_Main_SKU[Main SKU],MD_Main_SKU[SKU name_gom])</f>
        <v>WSS01</v>
      </c>
      <c r="M786" s="2" t="str">
        <f>_xlfn.XLOOKUP(Data_Nhập[[#This Row],[Material-Nhập]],MD_Main_SKU[Main SKU],MD_Main_SKU[SKU name_gom])</f>
        <v>WSS03-PL</v>
      </c>
    </row>
    <row r="787" spans="1:13" x14ac:dyDescent="0.35">
      <c r="A787">
        <v>2025</v>
      </c>
      <c r="B787">
        <v>6</v>
      </c>
      <c r="C787" t="s">
        <v>16</v>
      </c>
      <c r="D787" t="s">
        <v>17</v>
      </c>
      <c r="E787" t="s">
        <v>87</v>
      </c>
      <c r="F787" t="s">
        <v>88</v>
      </c>
      <c r="G787" s="2">
        <v>0</v>
      </c>
      <c r="H787" s="2">
        <v>0</v>
      </c>
      <c r="I787" s="2">
        <v>0</v>
      </c>
      <c r="J787" s="2">
        <v>43891</v>
      </c>
      <c r="K787" s="2">
        <v>43891</v>
      </c>
      <c r="L787" s="2" t="str">
        <f>_xlfn.XLOOKUP(Data_Nhập[[#This Row],[Main SKU]],MD_Main_SKU[Main SKU],MD_Main_SKU[SKU name_gom])</f>
        <v>WSS01</v>
      </c>
      <c r="M787" s="2" t="str">
        <f>_xlfn.XLOOKUP(Data_Nhập[[#This Row],[Material-Nhập]],MD_Main_SKU[Main SKU],MD_Main_SKU[SKU name_gom])</f>
        <v>Phó sản</v>
      </c>
    </row>
    <row r="788" spans="1:13" x14ac:dyDescent="0.35">
      <c r="A788">
        <v>2025</v>
      </c>
      <c r="B788">
        <v>6</v>
      </c>
      <c r="C788" t="s">
        <v>16</v>
      </c>
      <c r="D788" t="s">
        <v>17</v>
      </c>
      <c r="E788" t="s">
        <v>89</v>
      </c>
      <c r="F788" t="s">
        <v>90</v>
      </c>
      <c r="G788" s="2">
        <v>0</v>
      </c>
      <c r="H788" s="2">
        <v>0</v>
      </c>
      <c r="I788" s="2">
        <v>0</v>
      </c>
      <c r="J788" s="2">
        <v>2200</v>
      </c>
      <c r="K788" s="2">
        <v>2200</v>
      </c>
      <c r="L788" s="2" t="str">
        <f>_xlfn.XLOOKUP(Data_Nhập[[#This Row],[Main SKU]],MD_Main_SKU[Main SKU],MD_Main_SKU[SKU name_gom])</f>
        <v>WSS01</v>
      </c>
      <c r="M788" s="2" t="str">
        <f>_xlfn.XLOOKUP(Data_Nhập[[#This Row],[Material-Nhập]],MD_Main_SKU[Main SKU],MD_Main_SKU[SKU name_gom])</f>
        <v>Phó sản</v>
      </c>
    </row>
    <row r="789" spans="1:13" x14ac:dyDescent="0.35">
      <c r="A789">
        <v>2025</v>
      </c>
      <c r="B789">
        <v>6</v>
      </c>
      <c r="C789" t="s">
        <v>16</v>
      </c>
      <c r="D789" t="s">
        <v>17</v>
      </c>
      <c r="E789" t="s">
        <v>91</v>
      </c>
      <c r="F789" t="s">
        <v>92</v>
      </c>
      <c r="G789" s="2">
        <v>0</v>
      </c>
      <c r="H789" s="2">
        <v>0</v>
      </c>
      <c r="I789" s="2">
        <v>0</v>
      </c>
      <c r="J789" s="2">
        <v>2200</v>
      </c>
      <c r="K789" s="2">
        <v>2200</v>
      </c>
      <c r="L789" s="2" t="str">
        <f>_xlfn.XLOOKUP(Data_Nhập[[#This Row],[Main SKU]],MD_Main_SKU[Main SKU],MD_Main_SKU[SKU name_gom])</f>
        <v>WSS01</v>
      </c>
      <c r="M789" s="2" t="str">
        <f>_xlfn.XLOOKUP(Data_Nhập[[#This Row],[Material-Nhập]],MD_Main_SKU[Main SKU],MD_Main_SKU[SKU name_gom])</f>
        <v>Phó sản</v>
      </c>
    </row>
    <row r="790" spans="1:13" x14ac:dyDescent="0.35">
      <c r="A790">
        <v>2025</v>
      </c>
      <c r="B790">
        <v>6</v>
      </c>
      <c r="C790" t="s">
        <v>16</v>
      </c>
      <c r="D790" t="s">
        <v>17</v>
      </c>
      <c r="E790" t="s">
        <v>93</v>
      </c>
      <c r="F790" t="s">
        <v>94</v>
      </c>
      <c r="G790" s="2">
        <v>0</v>
      </c>
      <c r="H790" s="2">
        <v>0</v>
      </c>
      <c r="I790" s="2">
        <v>0</v>
      </c>
      <c r="J790" s="2">
        <v>265</v>
      </c>
      <c r="K790" s="2">
        <v>265</v>
      </c>
      <c r="L790" s="2" t="str">
        <f>_xlfn.XLOOKUP(Data_Nhập[[#This Row],[Main SKU]],MD_Main_SKU[Main SKU],MD_Main_SKU[SKU name_gom])</f>
        <v>WSS01</v>
      </c>
      <c r="M790" s="2" t="str">
        <f>_xlfn.XLOOKUP(Data_Nhập[[#This Row],[Material-Nhập]],MD_Main_SKU[Main SKU],MD_Main_SKU[SKU name_gom])</f>
        <v>Phó sản</v>
      </c>
    </row>
    <row r="791" spans="1:13" x14ac:dyDescent="0.35">
      <c r="A791">
        <v>2025</v>
      </c>
      <c r="B791">
        <v>6</v>
      </c>
      <c r="C791" t="s">
        <v>16</v>
      </c>
      <c r="D791" t="s">
        <v>17</v>
      </c>
      <c r="E791" t="s">
        <v>117</v>
      </c>
      <c r="F791" t="s">
        <v>86</v>
      </c>
      <c r="G791" s="2">
        <v>0</v>
      </c>
      <c r="H791" s="2">
        <v>0</v>
      </c>
      <c r="I791" s="2">
        <v>0</v>
      </c>
      <c r="J791" s="2">
        <v>26252.000000000007</v>
      </c>
      <c r="K791" s="2">
        <v>26252.000000000007</v>
      </c>
      <c r="L791" s="2" t="str">
        <f>_xlfn.XLOOKUP(Data_Nhập[[#This Row],[Main SKU]],MD_Main_SKU[Main SKU],MD_Main_SKU[SKU name_gom])</f>
        <v>WSS01</v>
      </c>
      <c r="M791" s="2" t="str">
        <f>_xlfn.XLOOKUP(Data_Nhập[[#This Row],[Material-Nhập]],MD_Main_SKU[Main SKU],MD_Main_SKU[SKU name_gom])</f>
        <v>Phó sản</v>
      </c>
    </row>
    <row r="792" spans="1:13" x14ac:dyDescent="0.35">
      <c r="A792">
        <v>2025</v>
      </c>
      <c r="B792">
        <v>6</v>
      </c>
      <c r="C792" t="s">
        <v>16</v>
      </c>
      <c r="D792" t="s">
        <v>17</v>
      </c>
      <c r="E792" t="s">
        <v>128</v>
      </c>
      <c r="F792" t="s">
        <v>129</v>
      </c>
      <c r="G792" s="2">
        <v>0</v>
      </c>
      <c r="H792" s="2">
        <v>0</v>
      </c>
      <c r="I792" s="2">
        <v>0</v>
      </c>
      <c r="J792" s="2">
        <v>12099.999999999998</v>
      </c>
      <c r="K792" s="2">
        <v>12099.999999999998</v>
      </c>
      <c r="L792" s="2" t="str">
        <f>_xlfn.XLOOKUP(Data_Nhập[[#This Row],[Main SKU]],MD_Main_SKU[Main SKU],MD_Main_SKU[SKU name_gom])</f>
        <v>WSS01</v>
      </c>
      <c r="M792" s="2" t="str">
        <f>_xlfn.XLOOKUP(Data_Nhập[[#This Row],[Material-Nhập]],MD_Main_SKU[Main SKU],MD_Main_SKU[SKU name_gom])</f>
        <v>Phó sản</v>
      </c>
    </row>
    <row r="793" spans="1:13" x14ac:dyDescent="0.35">
      <c r="A793">
        <v>2025</v>
      </c>
      <c r="B793">
        <v>6</v>
      </c>
      <c r="C793" t="s">
        <v>16</v>
      </c>
      <c r="D793" t="s">
        <v>17</v>
      </c>
      <c r="E793" t="s">
        <v>126</v>
      </c>
      <c r="F793" t="s">
        <v>127</v>
      </c>
      <c r="G793" s="2">
        <v>0</v>
      </c>
      <c r="H793" s="2">
        <v>0</v>
      </c>
      <c r="I793" s="2">
        <v>0</v>
      </c>
      <c r="J793" s="2">
        <v>3300</v>
      </c>
      <c r="K793" s="2">
        <v>3300</v>
      </c>
      <c r="L793" s="2" t="str">
        <f>_xlfn.XLOOKUP(Data_Nhập[[#This Row],[Main SKU]],MD_Main_SKU[Main SKU],MD_Main_SKU[SKU name_gom])</f>
        <v>WSS01</v>
      </c>
      <c r="M793" s="2" t="str">
        <f>_xlfn.XLOOKUP(Data_Nhập[[#This Row],[Material-Nhập]],MD_Main_SKU[Main SKU],MD_Main_SKU[SKU name_gom])</f>
        <v>Phó sản</v>
      </c>
    </row>
    <row r="794" spans="1:13" x14ac:dyDescent="0.35">
      <c r="A794">
        <v>2025</v>
      </c>
      <c r="B794">
        <v>6</v>
      </c>
      <c r="C794" t="s">
        <v>18</v>
      </c>
      <c r="D794" t="s">
        <v>19</v>
      </c>
      <c r="E794" t="s">
        <v>14</v>
      </c>
      <c r="F794" t="s">
        <v>15</v>
      </c>
      <c r="G794" s="2">
        <v>0</v>
      </c>
      <c r="H794" s="2">
        <v>37400</v>
      </c>
      <c r="I794" s="2">
        <v>37400</v>
      </c>
      <c r="J794" s="2">
        <v>0</v>
      </c>
      <c r="K794" s="2">
        <v>37400</v>
      </c>
      <c r="L794" s="2" t="str">
        <f>_xlfn.XLOOKUP(Data_Nhập[[#This Row],[Main SKU]],MD_Main_SKU[Main SKU],MD_Main_SKU[SKU name_gom])</f>
        <v>iSS01</v>
      </c>
      <c r="M794" s="2" t="str">
        <f>_xlfn.XLOOKUP(Data_Nhập[[#This Row],[Material-Nhập]],MD_Main_SKU[Main SKU],MD_Main_SKU[SKU name_gom])</f>
        <v>iSS01084</v>
      </c>
    </row>
    <row r="795" spans="1:13" x14ac:dyDescent="0.35">
      <c r="A795">
        <v>2025</v>
      </c>
      <c r="B795">
        <v>6</v>
      </c>
      <c r="C795" t="s">
        <v>18</v>
      </c>
      <c r="D795" t="s">
        <v>19</v>
      </c>
      <c r="E795" t="s">
        <v>16</v>
      </c>
      <c r="F795" t="s">
        <v>17</v>
      </c>
      <c r="G795" s="2">
        <v>0</v>
      </c>
      <c r="H795" s="2">
        <v>6600</v>
      </c>
      <c r="I795" s="2">
        <v>6600</v>
      </c>
      <c r="J795" s="2">
        <v>0</v>
      </c>
      <c r="K795" s="2">
        <v>6600</v>
      </c>
      <c r="L795" s="2" t="str">
        <f>_xlfn.XLOOKUP(Data_Nhập[[#This Row],[Main SKU]],MD_Main_SKU[Main SKU],MD_Main_SKU[SKU name_gom])</f>
        <v>iSS01</v>
      </c>
      <c r="M795" s="2" t="str">
        <f>_xlfn.XLOOKUP(Data_Nhập[[#This Row],[Material-Nhập]],MD_Main_SKU[Main SKU],MD_Main_SKU[SKU name_gom])</f>
        <v>WSS01</v>
      </c>
    </row>
    <row r="796" spans="1:13" x14ac:dyDescent="0.35">
      <c r="A796">
        <v>2025</v>
      </c>
      <c r="B796">
        <v>6</v>
      </c>
      <c r="C796" t="s">
        <v>18</v>
      </c>
      <c r="D796" t="s">
        <v>19</v>
      </c>
      <c r="E796" t="s">
        <v>18</v>
      </c>
      <c r="F796" t="s">
        <v>19</v>
      </c>
      <c r="G796" s="2">
        <v>730400</v>
      </c>
      <c r="H796" s="2">
        <v>0</v>
      </c>
      <c r="I796" s="2">
        <v>730400</v>
      </c>
      <c r="J796" s="2">
        <v>0</v>
      </c>
      <c r="K796" s="2">
        <v>730400</v>
      </c>
      <c r="L796" s="2" t="str">
        <f>_xlfn.XLOOKUP(Data_Nhập[[#This Row],[Main SKU]],MD_Main_SKU[Main SKU],MD_Main_SKU[SKU name_gom])</f>
        <v>iSS01</v>
      </c>
      <c r="M796" s="2" t="str">
        <f>_xlfn.XLOOKUP(Data_Nhập[[#This Row],[Material-Nhập]],MD_Main_SKU[Main SKU],MD_Main_SKU[SKU name_gom])</f>
        <v>iSS01</v>
      </c>
    </row>
    <row r="797" spans="1:13" x14ac:dyDescent="0.35">
      <c r="A797">
        <v>2025</v>
      </c>
      <c r="B797">
        <v>6</v>
      </c>
      <c r="C797" t="s">
        <v>18</v>
      </c>
      <c r="D797" t="s">
        <v>19</v>
      </c>
      <c r="E797" t="s">
        <v>22</v>
      </c>
      <c r="F797" t="s">
        <v>23</v>
      </c>
      <c r="G797" s="2">
        <v>0</v>
      </c>
      <c r="H797" s="2">
        <v>3300</v>
      </c>
      <c r="I797" s="2">
        <v>3300</v>
      </c>
      <c r="J797" s="2">
        <v>0</v>
      </c>
      <c r="K797" s="2">
        <v>3300</v>
      </c>
      <c r="L797" s="2" t="str">
        <f>_xlfn.XLOOKUP(Data_Nhập[[#This Row],[Main SKU]],MD_Main_SKU[Main SKU],MD_Main_SKU[SKU name_gom])</f>
        <v>iSS01</v>
      </c>
      <c r="M797" s="2" t="str">
        <f>_xlfn.XLOOKUP(Data_Nhập[[#This Row],[Material-Nhập]],MD_Main_SKU[Main SKU],MD_Main_SKU[SKU name_gom])</f>
        <v>WSS03</v>
      </c>
    </row>
    <row r="798" spans="1:13" x14ac:dyDescent="0.35">
      <c r="A798">
        <v>2025</v>
      </c>
      <c r="B798">
        <v>6</v>
      </c>
      <c r="C798" t="s">
        <v>18</v>
      </c>
      <c r="D798" t="s">
        <v>19</v>
      </c>
      <c r="E798" t="s">
        <v>34</v>
      </c>
      <c r="F798" t="s">
        <v>35</v>
      </c>
      <c r="G798" s="2">
        <v>0</v>
      </c>
      <c r="H798" s="2">
        <v>1100</v>
      </c>
      <c r="I798" s="2">
        <v>1100</v>
      </c>
      <c r="J798" s="2">
        <v>0</v>
      </c>
      <c r="K798" s="2">
        <v>1100</v>
      </c>
      <c r="L798" s="2" t="str">
        <f>_xlfn.XLOOKUP(Data_Nhập[[#This Row],[Main SKU]],MD_Main_SKU[Main SKU],MD_Main_SKU[SKU name_gom])</f>
        <v>iSS01</v>
      </c>
      <c r="M798" s="2" t="str">
        <f>_xlfn.XLOOKUP(Data_Nhập[[#This Row],[Material-Nhập]],MD_Main_SKU[Main SKU],MD_Main_SKU[SKU name_gom])</f>
        <v>WSS03-PL</v>
      </c>
    </row>
    <row r="799" spans="1:13" x14ac:dyDescent="0.35">
      <c r="A799">
        <v>2025</v>
      </c>
      <c r="B799">
        <v>6</v>
      </c>
      <c r="C799" t="s">
        <v>18</v>
      </c>
      <c r="D799" t="s">
        <v>19</v>
      </c>
      <c r="E799" t="s">
        <v>87</v>
      </c>
      <c r="F799" t="s">
        <v>88</v>
      </c>
      <c r="G799" s="2">
        <v>0</v>
      </c>
      <c r="H799" s="2">
        <v>0</v>
      </c>
      <c r="I799" s="2">
        <v>0</v>
      </c>
      <c r="J799" s="2">
        <v>10500</v>
      </c>
      <c r="K799" s="2">
        <v>10500</v>
      </c>
      <c r="L799" s="2" t="str">
        <f>_xlfn.XLOOKUP(Data_Nhập[[#This Row],[Main SKU]],MD_Main_SKU[Main SKU],MD_Main_SKU[SKU name_gom])</f>
        <v>iSS01</v>
      </c>
      <c r="M799" s="2" t="str">
        <f>_xlfn.XLOOKUP(Data_Nhập[[#This Row],[Material-Nhập]],MD_Main_SKU[Main SKU],MD_Main_SKU[SKU name_gom])</f>
        <v>Phó sản</v>
      </c>
    </row>
    <row r="800" spans="1:13" x14ac:dyDescent="0.35">
      <c r="A800">
        <v>2025</v>
      </c>
      <c r="B800">
        <v>6</v>
      </c>
      <c r="C800" t="s">
        <v>18</v>
      </c>
      <c r="D800" t="s">
        <v>19</v>
      </c>
      <c r="E800" t="s">
        <v>93</v>
      </c>
      <c r="F800" t="s">
        <v>94</v>
      </c>
      <c r="G800" s="2">
        <v>0</v>
      </c>
      <c r="H800" s="2">
        <v>0</v>
      </c>
      <c r="I800" s="2">
        <v>0</v>
      </c>
      <c r="J800" s="2">
        <v>250.00000000000003</v>
      </c>
      <c r="K800" s="2">
        <v>250.00000000000003</v>
      </c>
      <c r="L800" s="2" t="str">
        <f>_xlfn.XLOOKUP(Data_Nhập[[#This Row],[Main SKU]],MD_Main_SKU[Main SKU],MD_Main_SKU[SKU name_gom])</f>
        <v>iSS01</v>
      </c>
      <c r="M800" s="2" t="str">
        <f>_xlfn.XLOOKUP(Data_Nhập[[#This Row],[Material-Nhập]],MD_Main_SKU[Main SKU],MD_Main_SKU[SKU name_gom])</f>
        <v>Phó sản</v>
      </c>
    </row>
    <row r="801" spans="1:13" x14ac:dyDescent="0.35">
      <c r="A801">
        <v>2025</v>
      </c>
      <c r="B801">
        <v>6</v>
      </c>
      <c r="C801" t="s">
        <v>18</v>
      </c>
      <c r="D801" t="s">
        <v>19</v>
      </c>
      <c r="E801" t="s">
        <v>117</v>
      </c>
      <c r="F801" t="s">
        <v>86</v>
      </c>
      <c r="G801" s="2">
        <v>0</v>
      </c>
      <c r="H801" s="2">
        <v>0</v>
      </c>
      <c r="I801" s="2">
        <v>0</v>
      </c>
      <c r="J801" s="2">
        <v>7885</v>
      </c>
      <c r="K801" s="2">
        <v>7885</v>
      </c>
      <c r="L801" s="2" t="str">
        <f>_xlfn.XLOOKUP(Data_Nhập[[#This Row],[Main SKU]],MD_Main_SKU[Main SKU],MD_Main_SKU[SKU name_gom])</f>
        <v>iSS01</v>
      </c>
      <c r="M801" s="2" t="str">
        <f>_xlfn.XLOOKUP(Data_Nhập[[#This Row],[Material-Nhập]],MD_Main_SKU[Main SKU],MD_Main_SKU[SKU name_gom])</f>
        <v>Phó sản</v>
      </c>
    </row>
    <row r="802" spans="1:13" x14ac:dyDescent="0.35">
      <c r="A802">
        <v>2025</v>
      </c>
      <c r="B802">
        <v>6</v>
      </c>
      <c r="C802" t="s">
        <v>18</v>
      </c>
      <c r="D802" t="s">
        <v>19</v>
      </c>
      <c r="E802" t="s">
        <v>130</v>
      </c>
      <c r="F802" t="s">
        <v>131</v>
      </c>
      <c r="G802" s="2">
        <v>0</v>
      </c>
      <c r="H802" s="2">
        <v>0</v>
      </c>
      <c r="I802" s="2">
        <v>0</v>
      </c>
      <c r="J802" s="2">
        <v>6600</v>
      </c>
      <c r="K802" s="2">
        <v>6600</v>
      </c>
      <c r="L802" s="2" t="str">
        <f>_xlfn.XLOOKUP(Data_Nhập[[#This Row],[Main SKU]],MD_Main_SKU[Main SKU],MD_Main_SKU[SKU name_gom])</f>
        <v>iSS01</v>
      </c>
      <c r="M802" s="2" t="str">
        <f>_xlfn.XLOOKUP(Data_Nhập[[#This Row],[Material-Nhập]],MD_Main_SKU[Main SKU],MD_Main_SKU[SKU name_gom])</f>
        <v>Phó sản</v>
      </c>
    </row>
    <row r="803" spans="1:13" x14ac:dyDescent="0.35">
      <c r="A803">
        <v>2025</v>
      </c>
      <c r="B803">
        <v>6</v>
      </c>
      <c r="C803" t="s">
        <v>22</v>
      </c>
      <c r="D803" t="s">
        <v>23</v>
      </c>
      <c r="E803" t="s">
        <v>22</v>
      </c>
      <c r="F803" t="s">
        <v>23</v>
      </c>
      <c r="G803" s="2">
        <v>300</v>
      </c>
      <c r="H803" s="2">
        <v>0</v>
      </c>
      <c r="I803" s="2">
        <v>300</v>
      </c>
      <c r="J803" s="2">
        <v>0</v>
      </c>
      <c r="K803" s="2">
        <v>300</v>
      </c>
      <c r="L803" s="2" t="str">
        <f>_xlfn.XLOOKUP(Data_Nhập[[#This Row],[Main SKU]],MD_Main_SKU[Main SKU],MD_Main_SKU[SKU name_gom])</f>
        <v>WSS03</v>
      </c>
      <c r="M803" s="2" t="str">
        <f>_xlfn.XLOOKUP(Data_Nhập[[#This Row],[Material-Nhập]],MD_Main_SKU[Main SKU],MD_Main_SKU[SKU name_gom])</f>
        <v>WSS03</v>
      </c>
    </row>
    <row r="804" spans="1:13" x14ac:dyDescent="0.35">
      <c r="A804">
        <v>2025</v>
      </c>
      <c r="B804">
        <v>6</v>
      </c>
      <c r="C804" t="s">
        <v>26</v>
      </c>
      <c r="D804" t="s">
        <v>27</v>
      </c>
      <c r="E804" t="s">
        <v>22</v>
      </c>
      <c r="F804" t="s">
        <v>23</v>
      </c>
      <c r="G804" s="2">
        <v>0</v>
      </c>
      <c r="H804" s="2">
        <v>1100</v>
      </c>
      <c r="I804" s="2">
        <v>1100</v>
      </c>
      <c r="J804" s="2">
        <v>0</v>
      </c>
      <c r="K804" s="2">
        <v>1100</v>
      </c>
      <c r="L804" s="2" t="str">
        <f>_xlfn.XLOOKUP(Data_Nhập[[#This Row],[Main SKU]],MD_Main_SKU[Main SKU],MD_Main_SKU[SKU name_gom])</f>
        <v>iSS01</v>
      </c>
      <c r="M804" s="2" t="str">
        <f>_xlfn.XLOOKUP(Data_Nhập[[#This Row],[Material-Nhập]],MD_Main_SKU[Main SKU],MD_Main_SKU[SKU name_gom])</f>
        <v>WSS03</v>
      </c>
    </row>
    <row r="805" spans="1:13" x14ac:dyDescent="0.35">
      <c r="A805">
        <v>2025</v>
      </c>
      <c r="B805">
        <v>6</v>
      </c>
      <c r="C805" t="s">
        <v>26</v>
      </c>
      <c r="D805" t="s">
        <v>27</v>
      </c>
      <c r="E805" t="s">
        <v>24</v>
      </c>
      <c r="F805" t="s">
        <v>25</v>
      </c>
      <c r="G805" s="2">
        <v>0</v>
      </c>
      <c r="H805" s="2">
        <v>20900</v>
      </c>
      <c r="I805" s="2">
        <v>20900</v>
      </c>
      <c r="J805" s="2">
        <v>0</v>
      </c>
      <c r="K805" s="2">
        <v>20900</v>
      </c>
      <c r="L805" s="2" t="str">
        <f>_xlfn.XLOOKUP(Data_Nhập[[#This Row],[Main SKU]],MD_Main_SKU[Main SKU],MD_Main_SKU[SKU name_gom])</f>
        <v>iSS01</v>
      </c>
      <c r="M805" s="2" t="str">
        <f>_xlfn.XLOOKUP(Data_Nhập[[#This Row],[Material-Nhập]],MD_Main_SKU[Main SKU],MD_Main_SKU[SKU name_gom])</f>
        <v>WSS01</v>
      </c>
    </row>
    <row r="806" spans="1:13" x14ac:dyDescent="0.35">
      <c r="A806">
        <v>2025</v>
      </c>
      <c r="B806">
        <v>6</v>
      </c>
      <c r="C806" t="s">
        <v>26</v>
      </c>
      <c r="D806" t="s">
        <v>27</v>
      </c>
      <c r="E806" t="s">
        <v>26</v>
      </c>
      <c r="F806" t="s">
        <v>27</v>
      </c>
      <c r="G806" s="2">
        <v>1174800</v>
      </c>
      <c r="H806" s="2">
        <v>0</v>
      </c>
      <c r="I806" s="2">
        <v>1174800</v>
      </c>
      <c r="J806" s="2">
        <v>0</v>
      </c>
      <c r="K806" s="2">
        <v>1174800</v>
      </c>
      <c r="L806" s="2" t="str">
        <f>_xlfn.XLOOKUP(Data_Nhập[[#This Row],[Main SKU]],MD_Main_SKU[Main SKU],MD_Main_SKU[SKU name_gom])</f>
        <v>iSS01</v>
      </c>
      <c r="M806" s="2" t="str">
        <f>_xlfn.XLOOKUP(Data_Nhập[[#This Row],[Material-Nhập]],MD_Main_SKU[Main SKU],MD_Main_SKU[SKU name_gom])</f>
        <v>iSS01</v>
      </c>
    </row>
    <row r="807" spans="1:13" x14ac:dyDescent="0.35">
      <c r="A807">
        <v>2025</v>
      </c>
      <c r="B807">
        <v>6</v>
      </c>
      <c r="C807" t="s">
        <v>26</v>
      </c>
      <c r="D807" t="s">
        <v>27</v>
      </c>
      <c r="E807" t="s">
        <v>58</v>
      </c>
      <c r="F807" t="s">
        <v>59</v>
      </c>
      <c r="G807" s="2">
        <v>0</v>
      </c>
      <c r="H807" s="2">
        <v>2200</v>
      </c>
      <c r="I807" s="2">
        <v>2200</v>
      </c>
      <c r="J807" s="2">
        <v>0</v>
      </c>
      <c r="K807" s="2">
        <v>2200</v>
      </c>
      <c r="L807" s="2" t="str">
        <f>_xlfn.XLOOKUP(Data_Nhập[[#This Row],[Main SKU]],MD_Main_SKU[Main SKU],MD_Main_SKU[SKU name_gom])</f>
        <v>iSS01</v>
      </c>
      <c r="M807" s="2" t="str">
        <f>_xlfn.XLOOKUP(Data_Nhập[[#This Row],[Material-Nhập]],MD_Main_SKU[Main SKU],MD_Main_SKU[SKU name_gom])</f>
        <v>WSS01-PL</v>
      </c>
    </row>
    <row r="808" spans="1:13" x14ac:dyDescent="0.35">
      <c r="A808">
        <v>2025</v>
      </c>
      <c r="B808">
        <v>6</v>
      </c>
      <c r="C808" t="s">
        <v>26</v>
      </c>
      <c r="D808" t="s">
        <v>27</v>
      </c>
      <c r="E808" t="s">
        <v>50</v>
      </c>
      <c r="F808" t="s">
        <v>51</v>
      </c>
      <c r="G808" s="2">
        <v>0</v>
      </c>
      <c r="H808" s="2">
        <v>12100</v>
      </c>
      <c r="I808" s="2">
        <v>12100</v>
      </c>
      <c r="J808" s="2">
        <v>0</v>
      </c>
      <c r="K808" s="2">
        <v>12100</v>
      </c>
      <c r="L808" s="2" t="str">
        <f>_xlfn.XLOOKUP(Data_Nhập[[#This Row],[Main SKU]],MD_Main_SKU[Main SKU],MD_Main_SKU[SKU name_gom])</f>
        <v>iSS01</v>
      </c>
      <c r="M808" s="2" t="str">
        <f>_xlfn.XLOOKUP(Data_Nhập[[#This Row],[Material-Nhập]],MD_Main_SKU[Main SKU],MD_Main_SKU[SKU name_gom])</f>
        <v>iSS01-PL</v>
      </c>
    </row>
    <row r="809" spans="1:13" x14ac:dyDescent="0.35">
      <c r="A809">
        <v>2025</v>
      </c>
      <c r="B809">
        <v>6</v>
      </c>
      <c r="C809" t="s">
        <v>26</v>
      </c>
      <c r="D809" t="s">
        <v>27</v>
      </c>
      <c r="E809" t="s">
        <v>34</v>
      </c>
      <c r="F809" t="s">
        <v>35</v>
      </c>
      <c r="G809" s="2">
        <v>0</v>
      </c>
      <c r="H809" s="2">
        <v>3300</v>
      </c>
      <c r="I809" s="2">
        <v>3300</v>
      </c>
      <c r="J809" s="2">
        <v>0</v>
      </c>
      <c r="K809" s="2">
        <v>3300</v>
      </c>
      <c r="L809" s="2" t="str">
        <f>_xlfn.XLOOKUP(Data_Nhập[[#This Row],[Main SKU]],MD_Main_SKU[Main SKU],MD_Main_SKU[SKU name_gom])</f>
        <v>iSS01</v>
      </c>
      <c r="M809" s="2" t="str">
        <f>_xlfn.XLOOKUP(Data_Nhập[[#This Row],[Material-Nhập]],MD_Main_SKU[Main SKU],MD_Main_SKU[SKU name_gom])</f>
        <v>WSS03-PL</v>
      </c>
    </row>
    <row r="810" spans="1:13" x14ac:dyDescent="0.35">
      <c r="A810">
        <v>2025</v>
      </c>
      <c r="B810">
        <v>6</v>
      </c>
      <c r="C810" t="s">
        <v>26</v>
      </c>
      <c r="D810" t="s">
        <v>27</v>
      </c>
      <c r="E810" t="s">
        <v>87</v>
      </c>
      <c r="F810" t="s">
        <v>88</v>
      </c>
      <c r="G810" s="2">
        <v>0</v>
      </c>
      <c r="H810" s="2">
        <v>0</v>
      </c>
      <c r="I810" s="2">
        <v>0</v>
      </c>
      <c r="J810" s="2">
        <v>39350</v>
      </c>
      <c r="K810" s="2">
        <v>39350</v>
      </c>
      <c r="L810" s="2" t="str">
        <f>_xlfn.XLOOKUP(Data_Nhập[[#This Row],[Main SKU]],MD_Main_SKU[Main SKU],MD_Main_SKU[SKU name_gom])</f>
        <v>iSS01</v>
      </c>
      <c r="M810" s="2" t="str">
        <f>_xlfn.XLOOKUP(Data_Nhập[[#This Row],[Material-Nhập]],MD_Main_SKU[Main SKU],MD_Main_SKU[SKU name_gom])</f>
        <v>Phó sản</v>
      </c>
    </row>
    <row r="811" spans="1:13" x14ac:dyDescent="0.35">
      <c r="A811">
        <v>2025</v>
      </c>
      <c r="B811">
        <v>6</v>
      </c>
      <c r="C811" t="s">
        <v>26</v>
      </c>
      <c r="D811" t="s">
        <v>27</v>
      </c>
      <c r="E811" t="s">
        <v>89</v>
      </c>
      <c r="F811" t="s">
        <v>90</v>
      </c>
      <c r="G811" s="2">
        <v>0</v>
      </c>
      <c r="H811" s="2">
        <v>0</v>
      </c>
      <c r="I811" s="2">
        <v>0</v>
      </c>
      <c r="J811" s="2">
        <v>2200</v>
      </c>
      <c r="K811" s="2">
        <v>2200</v>
      </c>
      <c r="L811" s="2" t="str">
        <f>_xlfn.XLOOKUP(Data_Nhập[[#This Row],[Main SKU]],MD_Main_SKU[Main SKU],MD_Main_SKU[SKU name_gom])</f>
        <v>iSS01</v>
      </c>
      <c r="M811" s="2" t="str">
        <f>_xlfn.XLOOKUP(Data_Nhập[[#This Row],[Material-Nhập]],MD_Main_SKU[Main SKU],MD_Main_SKU[SKU name_gom])</f>
        <v>Phó sản</v>
      </c>
    </row>
    <row r="812" spans="1:13" x14ac:dyDescent="0.35">
      <c r="A812">
        <v>2025</v>
      </c>
      <c r="B812">
        <v>6</v>
      </c>
      <c r="C812" t="s">
        <v>26</v>
      </c>
      <c r="D812" t="s">
        <v>27</v>
      </c>
      <c r="E812" t="s">
        <v>91</v>
      </c>
      <c r="F812" t="s">
        <v>92</v>
      </c>
      <c r="G812" s="2">
        <v>0</v>
      </c>
      <c r="H812" s="2">
        <v>0</v>
      </c>
      <c r="I812" s="2">
        <v>0</v>
      </c>
      <c r="J812" s="2">
        <v>1100</v>
      </c>
      <c r="K812" s="2">
        <v>1100</v>
      </c>
      <c r="L812" s="2" t="str">
        <f>_xlfn.XLOOKUP(Data_Nhập[[#This Row],[Main SKU]],MD_Main_SKU[Main SKU],MD_Main_SKU[SKU name_gom])</f>
        <v>iSS01</v>
      </c>
      <c r="M812" s="2" t="str">
        <f>_xlfn.XLOOKUP(Data_Nhập[[#This Row],[Material-Nhập]],MD_Main_SKU[Main SKU],MD_Main_SKU[SKU name_gom])</f>
        <v>Phó sản</v>
      </c>
    </row>
    <row r="813" spans="1:13" x14ac:dyDescent="0.35">
      <c r="A813">
        <v>2025</v>
      </c>
      <c r="B813">
        <v>6</v>
      </c>
      <c r="C813" t="s">
        <v>26</v>
      </c>
      <c r="D813" t="s">
        <v>27</v>
      </c>
      <c r="E813" t="s">
        <v>117</v>
      </c>
      <c r="F813" t="s">
        <v>86</v>
      </c>
      <c r="G813" s="2">
        <v>0</v>
      </c>
      <c r="H813" s="2">
        <v>0</v>
      </c>
      <c r="I813" s="2">
        <v>0</v>
      </c>
      <c r="J813" s="2">
        <v>18888</v>
      </c>
      <c r="K813" s="2">
        <v>18888</v>
      </c>
      <c r="L813" s="2" t="str">
        <f>_xlfn.XLOOKUP(Data_Nhập[[#This Row],[Main SKU]],MD_Main_SKU[Main SKU],MD_Main_SKU[SKU name_gom])</f>
        <v>iSS01</v>
      </c>
      <c r="M813" s="2" t="str">
        <f>_xlfn.XLOOKUP(Data_Nhập[[#This Row],[Material-Nhập]],MD_Main_SKU[Main SKU],MD_Main_SKU[SKU name_gom])</f>
        <v>Phó sản</v>
      </c>
    </row>
    <row r="814" spans="1:13" x14ac:dyDescent="0.35">
      <c r="A814">
        <v>2025</v>
      </c>
      <c r="B814">
        <v>6</v>
      </c>
      <c r="C814" t="s">
        <v>26</v>
      </c>
      <c r="D814" t="s">
        <v>27</v>
      </c>
      <c r="E814" t="s">
        <v>132</v>
      </c>
      <c r="F814" t="s">
        <v>133</v>
      </c>
      <c r="G814" s="2">
        <v>0</v>
      </c>
      <c r="H814" s="2">
        <v>0</v>
      </c>
      <c r="I814" s="2">
        <v>0</v>
      </c>
      <c r="J814" s="2">
        <v>4399.9999999999991</v>
      </c>
      <c r="K814" s="2">
        <v>4399.9999999999991</v>
      </c>
      <c r="L814" s="2" t="str">
        <f>_xlfn.XLOOKUP(Data_Nhập[[#This Row],[Main SKU]],MD_Main_SKU[Main SKU],MD_Main_SKU[SKU name_gom])</f>
        <v>iSS01</v>
      </c>
      <c r="M814" s="2" t="str">
        <f>_xlfn.XLOOKUP(Data_Nhập[[#This Row],[Material-Nhập]],MD_Main_SKU[Main SKU],MD_Main_SKU[SKU name_gom])</f>
        <v>Phó sản</v>
      </c>
    </row>
    <row r="815" spans="1:13" x14ac:dyDescent="0.35">
      <c r="A815">
        <v>2025</v>
      </c>
      <c r="B815">
        <v>6</v>
      </c>
      <c r="C815" t="s">
        <v>115</v>
      </c>
      <c r="D815" t="s">
        <v>116</v>
      </c>
      <c r="E815" t="s">
        <v>115</v>
      </c>
      <c r="F815" t="s">
        <v>116</v>
      </c>
      <c r="G815" s="2">
        <v>64408</v>
      </c>
      <c r="H815" s="2">
        <v>0</v>
      </c>
      <c r="I815" s="2">
        <v>64408</v>
      </c>
      <c r="J815" s="2">
        <v>0</v>
      </c>
      <c r="K815" s="2">
        <v>64408</v>
      </c>
      <c r="L815" s="2" t="str">
        <f>_xlfn.XLOOKUP(Data_Nhập[[#This Row],[Main SKU]],MD_Main_SKU[Main SKU],MD_Main_SKU[SKU name_gom])</f>
        <v>WSS05</v>
      </c>
      <c r="M815" s="2" t="str">
        <f>_xlfn.XLOOKUP(Data_Nhập[[#This Row],[Material-Nhập]],MD_Main_SKU[Main SKU],MD_Main_SKU[SKU name_gom])</f>
        <v>WSS05</v>
      </c>
    </row>
    <row r="816" spans="1:13" x14ac:dyDescent="0.35">
      <c r="A816">
        <v>2025</v>
      </c>
      <c r="B816">
        <v>6</v>
      </c>
      <c r="C816" t="s">
        <v>115</v>
      </c>
      <c r="D816" t="s">
        <v>116</v>
      </c>
      <c r="E816" t="s">
        <v>87</v>
      </c>
      <c r="F816" t="s">
        <v>88</v>
      </c>
      <c r="G816" s="2">
        <v>0</v>
      </c>
      <c r="H816" s="2">
        <v>0</v>
      </c>
      <c r="I816" s="2">
        <v>0</v>
      </c>
      <c r="J816" s="2">
        <v>2150</v>
      </c>
      <c r="K816" s="2">
        <v>2150</v>
      </c>
      <c r="L816" s="2" t="str">
        <f>_xlfn.XLOOKUP(Data_Nhập[[#This Row],[Main SKU]],MD_Main_SKU[Main SKU],MD_Main_SKU[SKU name_gom])</f>
        <v>WSS05</v>
      </c>
      <c r="M816" s="2" t="str">
        <f>_xlfn.XLOOKUP(Data_Nhập[[#This Row],[Material-Nhập]],MD_Main_SKU[Main SKU],MD_Main_SKU[SKU name_gom])</f>
        <v>Phó sản</v>
      </c>
    </row>
    <row r="817" spans="1:13" x14ac:dyDescent="0.35">
      <c r="A817">
        <v>2025</v>
      </c>
      <c r="B817">
        <v>6</v>
      </c>
      <c r="C817" t="s">
        <v>115</v>
      </c>
      <c r="D817" t="s">
        <v>116</v>
      </c>
      <c r="E817" t="s">
        <v>117</v>
      </c>
      <c r="F817" t="s">
        <v>86</v>
      </c>
      <c r="G817" s="2">
        <v>0</v>
      </c>
      <c r="H817" s="2">
        <v>0</v>
      </c>
      <c r="I817" s="2">
        <v>0</v>
      </c>
      <c r="J817" s="2">
        <v>1560</v>
      </c>
      <c r="K817" s="2">
        <v>1560</v>
      </c>
      <c r="L817" s="2" t="str">
        <f>_xlfn.XLOOKUP(Data_Nhập[[#This Row],[Main SKU]],MD_Main_SKU[Main SKU],MD_Main_SKU[SKU name_gom])</f>
        <v>WSS05</v>
      </c>
      <c r="M817" s="2" t="str">
        <f>_xlfn.XLOOKUP(Data_Nhập[[#This Row],[Material-Nhập]],MD_Main_SKU[Main SKU],MD_Main_SKU[SKU name_gom])</f>
        <v>Phó sản</v>
      </c>
    </row>
    <row r="818" spans="1:13" x14ac:dyDescent="0.35">
      <c r="A818">
        <v>2025</v>
      </c>
      <c r="B818">
        <v>7</v>
      </c>
      <c r="C818" t="s">
        <v>8</v>
      </c>
      <c r="D818" t="s">
        <v>9</v>
      </c>
      <c r="E818" t="s">
        <v>8</v>
      </c>
      <c r="F818" t="s">
        <v>9</v>
      </c>
      <c r="G818" s="2">
        <v>306900</v>
      </c>
      <c r="H818" s="2">
        <v>0</v>
      </c>
      <c r="I818" s="2">
        <v>306900</v>
      </c>
      <c r="J818" s="2">
        <v>0</v>
      </c>
      <c r="K818" s="2">
        <v>306900</v>
      </c>
      <c r="L818" s="2" t="str">
        <f>_xlfn.XLOOKUP(Data_Nhập[[#This Row],[Main SKU]],MD_Main_SKU[Main SKU],MD_Main_SKU[SKU name_gom])</f>
        <v>WSS01</v>
      </c>
      <c r="M818" s="2" t="str">
        <f>_xlfn.XLOOKUP(Data_Nhập[[#This Row],[Material-Nhập]],MD_Main_SKU[Main SKU],MD_Main_SKU[SKU name_gom])</f>
        <v>WSS01</v>
      </c>
    </row>
    <row r="819" spans="1:13" x14ac:dyDescent="0.35">
      <c r="A819">
        <v>2025</v>
      </c>
      <c r="B819">
        <v>7</v>
      </c>
      <c r="C819" t="s">
        <v>8</v>
      </c>
      <c r="D819" t="s">
        <v>9</v>
      </c>
      <c r="E819" t="s">
        <v>36</v>
      </c>
      <c r="F819" t="s">
        <v>37</v>
      </c>
      <c r="G819" s="2">
        <v>0</v>
      </c>
      <c r="H819" s="2">
        <v>8800</v>
      </c>
      <c r="I819" s="2">
        <v>8800</v>
      </c>
      <c r="J819" s="2">
        <v>0</v>
      </c>
      <c r="K819" s="2">
        <v>8800</v>
      </c>
      <c r="L819" s="2" t="str">
        <f>_xlfn.XLOOKUP(Data_Nhập[[#This Row],[Main SKU]],MD_Main_SKU[Main SKU],MD_Main_SKU[SKU name_gom])</f>
        <v>WSS01</v>
      </c>
      <c r="M819" s="2" t="str">
        <f>_xlfn.XLOOKUP(Data_Nhập[[#This Row],[Material-Nhập]],MD_Main_SKU[Main SKU],MD_Main_SKU[SKU name_gom])</f>
        <v>WSS01-PL</v>
      </c>
    </row>
    <row r="820" spans="1:13" x14ac:dyDescent="0.35">
      <c r="A820">
        <v>2025</v>
      </c>
      <c r="B820">
        <v>7</v>
      </c>
      <c r="C820" t="s">
        <v>8</v>
      </c>
      <c r="D820" t="s">
        <v>9</v>
      </c>
      <c r="E820" t="s">
        <v>87</v>
      </c>
      <c r="F820" t="s">
        <v>88</v>
      </c>
      <c r="G820" s="2">
        <v>0</v>
      </c>
      <c r="H820" s="2">
        <v>0</v>
      </c>
      <c r="I820" s="2">
        <v>0</v>
      </c>
      <c r="J820" s="2">
        <v>2850</v>
      </c>
      <c r="K820" s="2">
        <v>2850</v>
      </c>
      <c r="L820" s="2" t="str">
        <f>_xlfn.XLOOKUP(Data_Nhập[[#This Row],[Main SKU]],MD_Main_SKU[Main SKU],MD_Main_SKU[SKU name_gom])</f>
        <v>WSS01</v>
      </c>
      <c r="M820" s="2" t="str">
        <f>_xlfn.XLOOKUP(Data_Nhập[[#This Row],[Material-Nhập]],MD_Main_SKU[Main SKU],MD_Main_SKU[SKU name_gom])</f>
        <v>Phó sản</v>
      </c>
    </row>
    <row r="821" spans="1:13" x14ac:dyDescent="0.35">
      <c r="A821">
        <v>2025</v>
      </c>
      <c r="B821">
        <v>7</v>
      </c>
      <c r="C821" t="s">
        <v>8</v>
      </c>
      <c r="D821" t="s">
        <v>9</v>
      </c>
      <c r="E821" t="s">
        <v>93</v>
      </c>
      <c r="F821" t="s">
        <v>94</v>
      </c>
      <c r="G821" s="2">
        <v>0</v>
      </c>
      <c r="H821" s="2">
        <v>0</v>
      </c>
      <c r="I821" s="2">
        <v>0</v>
      </c>
      <c r="J821" s="2">
        <v>200</v>
      </c>
      <c r="K821" s="2">
        <v>200</v>
      </c>
      <c r="L821" s="2" t="str">
        <f>_xlfn.XLOOKUP(Data_Nhập[[#This Row],[Main SKU]],MD_Main_SKU[Main SKU],MD_Main_SKU[SKU name_gom])</f>
        <v>WSS01</v>
      </c>
      <c r="M821" s="2" t="str">
        <f>_xlfn.XLOOKUP(Data_Nhập[[#This Row],[Material-Nhập]],MD_Main_SKU[Main SKU],MD_Main_SKU[SKU name_gom])</f>
        <v>Phó sản</v>
      </c>
    </row>
    <row r="822" spans="1:13" x14ac:dyDescent="0.35">
      <c r="A822">
        <v>2025</v>
      </c>
      <c r="B822">
        <v>7</v>
      </c>
      <c r="C822" t="s">
        <v>8</v>
      </c>
      <c r="D822" t="s">
        <v>9</v>
      </c>
      <c r="E822" t="s">
        <v>117</v>
      </c>
      <c r="F822" t="s">
        <v>86</v>
      </c>
      <c r="G822" s="2">
        <v>0</v>
      </c>
      <c r="H822" s="2">
        <v>0</v>
      </c>
      <c r="I822" s="2">
        <v>0</v>
      </c>
      <c r="J822" s="2">
        <v>6880</v>
      </c>
      <c r="K822" s="2">
        <v>6880</v>
      </c>
      <c r="L822" s="2" t="str">
        <f>_xlfn.XLOOKUP(Data_Nhập[[#This Row],[Main SKU]],MD_Main_SKU[Main SKU],MD_Main_SKU[SKU name_gom])</f>
        <v>WSS01</v>
      </c>
      <c r="M822" s="2" t="str">
        <f>_xlfn.XLOOKUP(Data_Nhập[[#This Row],[Material-Nhập]],MD_Main_SKU[Main SKU],MD_Main_SKU[SKU name_gom])</f>
        <v>Phó sản</v>
      </c>
    </row>
    <row r="823" spans="1:13" x14ac:dyDescent="0.35">
      <c r="A823">
        <v>2025</v>
      </c>
      <c r="B823">
        <v>7</v>
      </c>
      <c r="C823" t="s">
        <v>8</v>
      </c>
      <c r="D823" t="s">
        <v>9</v>
      </c>
      <c r="E823" t="s">
        <v>134</v>
      </c>
      <c r="F823" t="s">
        <v>135</v>
      </c>
      <c r="G823" s="2">
        <v>0</v>
      </c>
      <c r="H823" s="2">
        <v>0</v>
      </c>
      <c r="I823" s="2">
        <v>0</v>
      </c>
      <c r="J823" s="2">
        <v>1100</v>
      </c>
      <c r="K823" s="2">
        <v>1100</v>
      </c>
      <c r="L823" s="2" t="str">
        <f>_xlfn.XLOOKUP(Data_Nhập[[#This Row],[Main SKU]],MD_Main_SKU[Main SKU],MD_Main_SKU[SKU name_gom])</f>
        <v>WSS01</v>
      </c>
      <c r="M823" s="2" t="str">
        <f>_xlfn.XLOOKUP(Data_Nhập[[#This Row],[Material-Nhập]],MD_Main_SKU[Main SKU],MD_Main_SKU[SKU name_gom])</f>
        <v>Phó sản</v>
      </c>
    </row>
    <row r="824" spans="1:13" x14ac:dyDescent="0.35">
      <c r="A824">
        <v>2025</v>
      </c>
      <c r="B824">
        <v>7</v>
      </c>
      <c r="C824" t="s">
        <v>14</v>
      </c>
      <c r="D824" t="s">
        <v>15</v>
      </c>
      <c r="E824" t="s">
        <v>14</v>
      </c>
      <c r="F824" t="s">
        <v>15</v>
      </c>
      <c r="G824" s="2">
        <v>323400</v>
      </c>
      <c r="H824" s="2">
        <v>0</v>
      </c>
      <c r="I824" s="2">
        <v>323400</v>
      </c>
      <c r="J824" s="2">
        <v>0</v>
      </c>
      <c r="K824" s="2">
        <v>323400</v>
      </c>
      <c r="L824" s="2" t="str">
        <f>_xlfn.XLOOKUP(Data_Nhập[[#This Row],[Main SKU]],MD_Main_SKU[Main SKU],MD_Main_SKU[SKU name_gom])</f>
        <v>iSS01084</v>
      </c>
      <c r="M824" s="2" t="str">
        <f>_xlfn.XLOOKUP(Data_Nhập[[#This Row],[Material-Nhập]],MD_Main_SKU[Main SKU],MD_Main_SKU[SKU name_gom])</f>
        <v>iSS01084</v>
      </c>
    </row>
    <row r="825" spans="1:13" x14ac:dyDescent="0.35">
      <c r="A825">
        <v>2025</v>
      </c>
      <c r="B825">
        <v>7</v>
      </c>
      <c r="C825" t="s">
        <v>14</v>
      </c>
      <c r="D825" t="s">
        <v>15</v>
      </c>
      <c r="E825" t="s">
        <v>22</v>
      </c>
      <c r="F825" t="s">
        <v>23</v>
      </c>
      <c r="G825" s="2">
        <v>0</v>
      </c>
      <c r="H825" s="2">
        <v>24200</v>
      </c>
      <c r="I825" s="2">
        <v>24200</v>
      </c>
      <c r="J825" s="2">
        <v>0</v>
      </c>
      <c r="K825" s="2">
        <v>24200</v>
      </c>
      <c r="L825" s="2" t="str">
        <f>_xlfn.XLOOKUP(Data_Nhập[[#This Row],[Main SKU]],MD_Main_SKU[Main SKU],MD_Main_SKU[SKU name_gom])</f>
        <v>iSS01084</v>
      </c>
      <c r="M825" s="2" t="str">
        <f>_xlfn.XLOOKUP(Data_Nhập[[#This Row],[Material-Nhập]],MD_Main_SKU[Main SKU],MD_Main_SKU[SKU name_gom])</f>
        <v>WSS03</v>
      </c>
    </row>
    <row r="826" spans="1:13" x14ac:dyDescent="0.35">
      <c r="A826">
        <v>2025</v>
      </c>
      <c r="B826">
        <v>7</v>
      </c>
      <c r="C826" t="s">
        <v>14</v>
      </c>
      <c r="D826" t="s">
        <v>15</v>
      </c>
      <c r="E826" t="s">
        <v>38</v>
      </c>
      <c r="F826" t="s">
        <v>39</v>
      </c>
      <c r="G826" s="2">
        <v>0</v>
      </c>
      <c r="H826" s="2">
        <v>11000</v>
      </c>
      <c r="I826" s="2">
        <v>11000</v>
      </c>
      <c r="J826" s="2">
        <v>0</v>
      </c>
      <c r="K826" s="2">
        <v>11000</v>
      </c>
      <c r="L826" s="2" t="str">
        <f>_xlfn.XLOOKUP(Data_Nhập[[#This Row],[Main SKU]],MD_Main_SKU[Main SKU],MD_Main_SKU[SKU name_gom])</f>
        <v>iSS01084</v>
      </c>
      <c r="M826" s="2" t="str">
        <f>_xlfn.XLOOKUP(Data_Nhập[[#This Row],[Material-Nhập]],MD_Main_SKU[Main SKU],MD_Main_SKU[SKU name_gom])</f>
        <v>iSS01084-PL</v>
      </c>
    </row>
    <row r="827" spans="1:13" x14ac:dyDescent="0.35">
      <c r="A827">
        <v>2025</v>
      </c>
      <c r="B827">
        <v>7</v>
      </c>
      <c r="C827" t="s">
        <v>14</v>
      </c>
      <c r="D827" t="s">
        <v>15</v>
      </c>
      <c r="E827" t="s">
        <v>34</v>
      </c>
      <c r="F827" t="s">
        <v>35</v>
      </c>
      <c r="G827" s="2">
        <v>0</v>
      </c>
      <c r="H827" s="2">
        <v>6599.9999999999991</v>
      </c>
      <c r="I827" s="2">
        <v>6599.9999999999991</v>
      </c>
      <c r="J827" s="2">
        <v>0</v>
      </c>
      <c r="K827" s="2">
        <v>6599.9999999999991</v>
      </c>
      <c r="L827" s="2" t="str">
        <f>_xlfn.XLOOKUP(Data_Nhập[[#This Row],[Main SKU]],MD_Main_SKU[Main SKU],MD_Main_SKU[SKU name_gom])</f>
        <v>iSS01084</v>
      </c>
      <c r="M827" s="2" t="str">
        <f>_xlfn.XLOOKUP(Data_Nhập[[#This Row],[Material-Nhập]],MD_Main_SKU[Main SKU],MD_Main_SKU[SKU name_gom])</f>
        <v>WSS03-PL</v>
      </c>
    </row>
    <row r="828" spans="1:13" x14ac:dyDescent="0.35">
      <c r="A828">
        <v>2025</v>
      </c>
      <c r="B828">
        <v>7</v>
      </c>
      <c r="C828" t="s">
        <v>14</v>
      </c>
      <c r="D828" t="s">
        <v>15</v>
      </c>
      <c r="E828" t="s">
        <v>87</v>
      </c>
      <c r="F828" t="s">
        <v>88</v>
      </c>
      <c r="G828" s="2">
        <v>0</v>
      </c>
      <c r="H828" s="2">
        <v>0</v>
      </c>
      <c r="I828" s="2">
        <v>0</v>
      </c>
      <c r="J828" s="2">
        <v>5250</v>
      </c>
      <c r="K828" s="2">
        <v>5250</v>
      </c>
      <c r="L828" s="2" t="str">
        <f>_xlfn.XLOOKUP(Data_Nhập[[#This Row],[Main SKU]],MD_Main_SKU[Main SKU],MD_Main_SKU[SKU name_gom])</f>
        <v>iSS01084</v>
      </c>
      <c r="M828" s="2" t="str">
        <f>_xlfn.XLOOKUP(Data_Nhập[[#This Row],[Material-Nhập]],MD_Main_SKU[Main SKU],MD_Main_SKU[SKU name_gom])</f>
        <v>Phó sản</v>
      </c>
    </row>
    <row r="829" spans="1:13" x14ac:dyDescent="0.35">
      <c r="A829">
        <v>2025</v>
      </c>
      <c r="B829">
        <v>7</v>
      </c>
      <c r="C829" t="s">
        <v>14</v>
      </c>
      <c r="D829" t="s">
        <v>15</v>
      </c>
      <c r="E829" t="s">
        <v>117</v>
      </c>
      <c r="F829" t="s">
        <v>86</v>
      </c>
      <c r="G829" s="2">
        <v>0</v>
      </c>
      <c r="H829" s="2">
        <v>0</v>
      </c>
      <c r="I829" s="2">
        <v>0</v>
      </c>
      <c r="J829" s="2">
        <v>7657</v>
      </c>
      <c r="K829" s="2">
        <v>7657</v>
      </c>
      <c r="L829" s="2" t="str">
        <f>_xlfn.XLOOKUP(Data_Nhập[[#This Row],[Main SKU]],MD_Main_SKU[Main SKU],MD_Main_SKU[SKU name_gom])</f>
        <v>iSS01084</v>
      </c>
      <c r="M829" s="2" t="str">
        <f>_xlfn.XLOOKUP(Data_Nhập[[#This Row],[Material-Nhập]],MD_Main_SKU[Main SKU],MD_Main_SKU[SKU name_gom])</f>
        <v>Phó sản</v>
      </c>
    </row>
    <row r="830" spans="1:13" x14ac:dyDescent="0.35">
      <c r="A830">
        <v>2025</v>
      </c>
      <c r="B830">
        <v>7</v>
      </c>
      <c r="C830" t="s">
        <v>14</v>
      </c>
      <c r="D830" t="s">
        <v>15</v>
      </c>
      <c r="E830" t="s">
        <v>126</v>
      </c>
      <c r="F830" t="s">
        <v>127</v>
      </c>
      <c r="G830" s="2">
        <v>0</v>
      </c>
      <c r="H830" s="2">
        <v>0</v>
      </c>
      <c r="I830" s="2">
        <v>0</v>
      </c>
      <c r="J830" s="2">
        <v>3300</v>
      </c>
      <c r="K830" s="2">
        <v>3300</v>
      </c>
      <c r="L830" s="2" t="str">
        <f>_xlfn.XLOOKUP(Data_Nhập[[#This Row],[Main SKU]],MD_Main_SKU[Main SKU],MD_Main_SKU[SKU name_gom])</f>
        <v>iSS01084</v>
      </c>
      <c r="M830" s="2" t="str">
        <f>_xlfn.XLOOKUP(Data_Nhập[[#This Row],[Material-Nhập]],MD_Main_SKU[Main SKU],MD_Main_SKU[SKU name_gom])</f>
        <v>Phó sản</v>
      </c>
    </row>
    <row r="831" spans="1:13" x14ac:dyDescent="0.35">
      <c r="A831">
        <v>2025</v>
      </c>
      <c r="B831">
        <v>7</v>
      </c>
      <c r="C831" t="s">
        <v>16</v>
      </c>
      <c r="D831" t="s">
        <v>17</v>
      </c>
      <c r="E831" t="s">
        <v>14</v>
      </c>
      <c r="F831" t="s">
        <v>15</v>
      </c>
      <c r="G831" s="2">
        <v>0</v>
      </c>
      <c r="H831" s="2">
        <v>1100</v>
      </c>
      <c r="I831" s="2">
        <v>1100</v>
      </c>
      <c r="J831" s="2">
        <v>0</v>
      </c>
      <c r="K831" s="2">
        <v>1100</v>
      </c>
      <c r="L831" s="2" t="str">
        <f>_xlfn.XLOOKUP(Data_Nhập[[#This Row],[Main SKU]],MD_Main_SKU[Main SKU],MD_Main_SKU[SKU name_gom])</f>
        <v>WSS01</v>
      </c>
      <c r="M831" s="2" t="str">
        <f>_xlfn.XLOOKUP(Data_Nhập[[#This Row],[Material-Nhập]],MD_Main_SKU[Main SKU],MD_Main_SKU[SKU name_gom])</f>
        <v>iSS01084</v>
      </c>
    </row>
    <row r="832" spans="1:13" x14ac:dyDescent="0.35">
      <c r="A832">
        <v>2025</v>
      </c>
      <c r="B832">
        <v>7</v>
      </c>
      <c r="C832" t="s">
        <v>16</v>
      </c>
      <c r="D832" t="s">
        <v>17</v>
      </c>
      <c r="E832" t="s">
        <v>16</v>
      </c>
      <c r="F832" t="s">
        <v>17</v>
      </c>
      <c r="G832" s="2">
        <v>1524700</v>
      </c>
      <c r="H832" s="2">
        <v>0</v>
      </c>
      <c r="I832" s="2">
        <v>1524700</v>
      </c>
      <c r="J832" s="2">
        <v>0</v>
      </c>
      <c r="K832" s="2">
        <v>1524700</v>
      </c>
      <c r="L832" s="2" t="str">
        <f>_xlfn.XLOOKUP(Data_Nhập[[#This Row],[Main SKU]],MD_Main_SKU[Main SKU],MD_Main_SKU[SKU name_gom])</f>
        <v>WSS01</v>
      </c>
      <c r="M832" s="2" t="str">
        <f>_xlfn.XLOOKUP(Data_Nhập[[#This Row],[Material-Nhập]],MD_Main_SKU[Main SKU],MD_Main_SKU[SKU name_gom])</f>
        <v>WSS01</v>
      </c>
    </row>
    <row r="833" spans="1:13" x14ac:dyDescent="0.35">
      <c r="A833">
        <v>2025</v>
      </c>
      <c r="B833">
        <v>7</v>
      </c>
      <c r="C833" t="s">
        <v>16</v>
      </c>
      <c r="D833" t="s">
        <v>17</v>
      </c>
      <c r="E833" t="s">
        <v>18</v>
      </c>
      <c r="F833" t="s">
        <v>19</v>
      </c>
      <c r="G833" s="2">
        <v>0</v>
      </c>
      <c r="H833" s="2">
        <v>78100.000000000015</v>
      </c>
      <c r="I833" s="2">
        <v>78100.000000000015</v>
      </c>
      <c r="J833" s="2">
        <v>0</v>
      </c>
      <c r="K833" s="2">
        <v>78100.000000000015</v>
      </c>
      <c r="L833" s="2" t="str">
        <f>_xlfn.XLOOKUP(Data_Nhập[[#This Row],[Main SKU]],MD_Main_SKU[Main SKU],MD_Main_SKU[SKU name_gom])</f>
        <v>WSS01</v>
      </c>
      <c r="M833" s="2" t="str">
        <f>_xlfn.XLOOKUP(Data_Nhập[[#This Row],[Material-Nhập]],MD_Main_SKU[Main SKU],MD_Main_SKU[SKU name_gom])</f>
        <v>iSS01</v>
      </c>
    </row>
    <row r="834" spans="1:13" x14ac:dyDescent="0.35">
      <c r="A834">
        <v>2025</v>
      </c>
      <c r="B834">
        <v>7</v>
      </c>
      <c r="C834" t="s">
        <v>16</v>
      </c>
      <c r="D834" t="s">
        <v>17</v>
      </c>
      <c r="E834" t="s">
        <v>22</v>
      </c>
      <c r="F834" t="s">
        <v>23</v>
      </c>
      <c r="G834" s="2">
        <v>0</v>
      </c>
      <c r="H834" s="2">
        <v>2200</v>
      </c>
      <c r="I834" s="2">
        <v>2200</v>
      </c>
      <c r="J834" s="2">
        <v>0</v>
      </c>
      <c r="K834" s="2">
        <v>2200</v>
      </c>
      <c r="L834" s="2" t="str">
        <f>_xlfn.XLOOKUP(Data_Nhập[[#This Row],[Main SKU]],MD_Main_SKU[Main SKU],MD_Main_SKU[SKU name_gom])</f>
        <v>WSS01</v>
      </c>
      <c r="M834" s="2" t="str">
        <f>_xlfn.XLOOKUP(Data_Nhập[[#This Row],[Material-Nhập]],MD_Main_SKU[Main SKU],MD_Main_SKU[SKU name_gom])</f>
        <v>WSS03</v>
      </c>
    </row>
    <row r="835" spans="1:13" x14ac:dyDescent="0.35">
      <c r="A835">
        <v>2025</v>
      </c>
      <c r="B835">
        <v>7</v>
      </c>
      <c r="C835" t="s">
        <v>16</v>
      </c>
      <c r="D835" t="s">
        <v>17</v>
      </c>
      <c r="E835" t="s">
        <v>40</v>
      </c>
      <c r="F835" t="s">
        <v>41</v>
      </c>
      <c r="G835" s="2">
        <v>0</v>
      </c>
      <c r="H835" s="2">
        <v>104500.00000000001</v>
      </c>
      <c r="I835" s="2">
        <v>104500.00000000001</v>
      </c>
      <c r="J835" s="2">
        <v>0</v>
      </c>
      <c r="K835" s="2">
        <v>104500.00000000001</v>
      </c>
      <c r="L835" s="2" t="str">
        <f>_xlfn.XLOOKUP(Data_Nhập[[#This Row],[Main SKU]],MD_Main_SKU[Main SKU],MD_Main_SKU[SKU name_gom])</f>
        <v>WSS01</v>
      </c>
      <c r="M835" s="2" t="str">
        <f>_xlfn.XLOOKUP(Data_Nhập[[#This Row],[Material-Nhập]],MD_Main_SKU[Main SKU],MD_Main_SKU[SKU name_gom])</f>
        <v>WSS01-PL</v>
      </c>
    </row>
    <row r="836" spans="1:13" x14ac:dyDescent="0.35">
      <c r="A836">
        <v>2025</v>
      </c>
      <c r="B836">
        <v>7</v>
      </c>
      <c r="C836" t="s">
        <v>16</v>
      </c>
      <c r="D836" t="s">
        <v>17</v>
      </c>
      <c r="E836" t="s">
        <v>34</v>
      </c>
      <c r="F836" t="s">
        <v>35</v>
      </c>
      <c r="G836" s="2">
        <v>0</v>
      </c>
      <c r="H836" s="2">
        <v>9900</v>
      </c>
      <c r="I836" s="2">
        <v>9900</v>
      </c>
      <c r="J836" s="2">
        <v>0</v>
      </c>
      <c r="K836" s="2">
        <v>9900</v>
      </c>
      <c r="L836" s="2" t="str">
        <f>_xlfn.XLOOKUP(Data_Nhập[[#This Row],[Main SKU]],MD_Main_SKU[Main SKU],MD_Main_SKU[SKU name_gom])</f>
        <v>WSS01</v>
      </c>
      <c r="M836" s="2" t="str">
        <f>_xlfn.XLOOKUP(Data_Nhập[[#This Row],[Material-Nhập]],MD_Main_SKU[Main SKU],MD_Main_SKU[SKU name_gom])</f>
        <v>WSS03-PL</v>
      </c>
    </row>
    <row r="837" spans="1:13" x14ac:dyDescent="0.35">
      <c r="A837">
        <v>2025</v>
      </c>
      <c r="B837">
        <v>7</v>
      </c>
      <c r="C837" t="s">
        <v>16</v>
      </c>
      <c r="D837" t="s">
        <v>17</v>
      </c>
      <c r="E837" t="s">
        <v>87</v>
      </c>
      <c r="F837" t="s">
        <v>88</v>
      </c>
      <c r="G837" s="2">
        <v>0</v>
      </c>
      <c r="H837" s="2">
        <v>0</v>
      </c>
      <c r="I837" s="2">
        <v>0</v>
      </c>
      <c r="J837" s="2">
        <v>28449.999999999996</v>
      </c>
      <c r="K837" s="2">
        <v>28449.999999999996</v>
      </c>
      <c r="L837" s="2" t="str">
        <f>_xlfn.XLOOKUP(Data_Nhập[[#This Row],[Main SKU]],MD_Main_SKU[Main SKU],MD_Main_SKU[SKU name_gom])</f>
        <v>WSS01</v>
      </c>
      <c r="M837" s="2" t="str">
        <f>_xlfn.XLOOKUP(Data_Nhập[[#This Row],[Material-Nhập]],MD_Main_SKU[Main SKU],MD_Main_SKU[SKU name_gom])</f>
        <v>Phó sản</v>
      </c>
    </row>
    <row r="838" spans="1:13" x14ac:dyDescent="0.35">
      <c r="A838">
        <v>2025</v>
      </c>
      <c r="B838">
        <v>7</v>
      </c>
      <c r="C838" t="s">
        <v>16</v>
      </c>
      <c r="D838" t="s">
        <v>17</v>
      </c>
      <c r="E838" t="s">
        <v>91</v>
      </c>
      <c r="F838" t="s">
        <v>92</v>
      </c>
      <c r="G838" s="2">
        <v>0</v>
      </c>
      <c r="H838" s="2">
        <v>0</v>
      </c>
      <c r="I838" s="2">
        <v>0</v>
      </c>
      <c r="J838" s="2">
        <v>4300</v>
      </c>
      <c r="K838" s="2">
        <v>4300</v>
      </c>
      <c r="L838" s="2" t="str">
        <f>_xlfn.XLOOKUP(Data_Nhập[[#This Row],[Main SKU]],MD_Main_SKU[Main SKU],MD_Main_SKU[SKU name_gom])</f>
        <v>WSS01</v>
      </c>
      <c r="M838" s="2" t="str">
        <f>_xlfn.XLOOKUP(Data_Nhập[[#This Row],[Material-Nhập]],MD_Main_SKU[Main SKU],MD_Main_SKU[SKU name_gom])</f>
        <v>Phó sản</v>
      </c>
    </row>
    <row r="839" spans="1:13" x14ac:dyDescent="0.35">
      <c r="A839">
        <v>2025</v>
      </c>
      <c r="B839">
        <v>7</v>
      </c>
      <c r="C839" t="s">
        <v>16</v>
      </c>
      <c r="D839" t="s">
        <v>17</v>
      </c>
      <c r="E839" t="s">
        <v>117</v>
      </c>
      <c r="F839" t="s">
        <v>86</v>
      </c>
      <c r="G839" s="2">
        <v>0</v>
      </c>
      <c r="H839" s="2">
        <v>0</v>
      </c>
      <c r="I839" s="2">
        <v>0</v>
      </c>
      <c r="J839" s="2">
        <v>26127.000000000004</v>
      </c>
      <c r="K839" s="2">
        <v>26127.000000000004</v>
      </c>
      <c r="L839" s="2" t="str">
        <f>_xlfn.XLOOKUP(Data_Nhập[[#This Row],[Main SKU]],MD_Main_SKU[Main SKU],MD_Main_SKU[SKU name_gom])</f>
        <v>WSS01</v>
      </c>
      <c r="M839" s="2" t="str">
        <f>_xlfn.XLOOKUP(Data_Nhập[[#This Row],[Material-Nhập]],MD_Main_SKU[Main SKU],MD_Main_SKU[SKU name_gom])</f>
        <v>Phó sản</v>
      </c>
    </row>
    <row r="840" spans="1:13" x14ac:dyDescent="0.35">
      <c r="A840">
        <v>2025</v>
      </c>
      <c r="B840">
        <v>7</v>
      </c>
      <c r="C840" t="s">
        <v>16</v>
      </c>
      <c r="D840" t="s">
        <v>17</v>
      </c>
      <c r="E840" t="s">
        <v>128</v>
      </c>
      <c r="F840" t="s">
        <v>129</v>
      </c>
      <c r="G840" s="2">
        <v>0</v>
      </c>
      <c r="H840" s="2">
        <v>0</v>
      </c>
      <c r="I840" s="2">
        <v>0</v>
      </c>
      <c r="J840" s="2">
        <v>32999.999999999993</v>
      </c>
      <c r="K840" s="2">
        <v>32999.999999999993</v>
      </c>
      <c r="L840" s="2" t="str">
        <f>_xlfn.XLOOKUP(Data_Nhập[[#This Row],[Main SKU]],MD_Main_SKU[Main SKU],MD_Main_SKU[SKU name_gom])</f>
        <v>WSS01</v>
      </c>
      <c r="M840" s="2" t="str">
        <f>_xlfn.XLOOKUP(Data_Nhập[[#This Row],[Material-Nhập]],MD_Main_SKU[Main SKU],MD_Main_SKU[SKU name_gom])</f>
        <v>Phó sản</v>
      </c>
    </row>
    <row r="841" spans="1:13" x14ac:dyDescent="0.35">
      <c r="A841">
        <v>2025</v>
      </c>
      <c r="B841">
        <v>7</v>
      </c>
      <c r="C841" t="s">
        <v>18</v>
      </c>
      <c r="D841" t="s">
        <v>19</v>
      </c>
      <c r="E841" t="s">
        <v>16</v>
      </c>
      <c r="F841" t="s">
        <v>17</v>
      </c>
      <c r="G841" s="2">
        <v>0</v>
      </c>
      <c r="H841" s="2">
        <v>9900</v>
      </c>
      <c r="I841" s="2">
        <v>9900</v>
      </c>
      <c r="J841" s="2">
        <v>0</v>
      </c>
      <c r="K841" s="2">
        <v>9900</v>
      </c>
      <c r="L841" s="2" t="str">
        <f>_xlfn.XLOOKUP(Data_Nhập[[#This Row],[Main SKU]],MD_Main_SKU[Main SKU],MD_Main_SKU[SKU name_gom])</f>
        <v>iSS01</v>
      </c>
      <c r="M841" s="2" t="str">
        <f>_xlfn.XLOOKUP(Data_Nhập[[#This Row],[Material-Nhập]],MD_Main_SKU[Main SKU],MD_Main_SKU[SKU name_gom])</f>
        <v>WSS01</v>
      </c>
    </row>
    <row r="842" spans="1:13" x14ac:dyDescent="0.35">
      <c r="A842">
        <v>2025</v>
      </c>
      <c r="B842">
        <v>7</v>
      </c>
      <c r="C842" t="s">
        <v>18</v>
      </c>
      <c r="D842" t="s">
        <v>19</v>
      </c>
      <c r="E842" t="s">
        <v>18</v>
      </c>
      <c r="F842" t="s">
        <v>19</v>
      </c>
      <c r="G842" s="2">
        <v>23100</v>
      </c>
      <c r="H842" s="2">
        <v>0</v>
      </c>
      <c r="I842" s="2">
        <v>23100</v>
      </c>
      <c r="J842" s="2">
        <v>0</v>
      </c>
      <c r="K842" s="2">
        <v>23100</v>
      </c>
      <c r="L842" s="2" t="str">
        <f>_xlfn.XLOOKUP(Data_Nhập[[#This Row],[Main SKU]],MD_Main_SKU[Main SKU],MD_Main_SKU[SKU name_gom])</f>
        <v>iSS01</v>
      </c>
      <c r="M842" s="2" t="str">
        <f>_xlfn.XLOOKUP(Data_Nhập[[#This Row],[Material-Nhập]],MD_Main_SKU[Main SKU],MD_Main_SKU[SKU name_gom])</f>
        <v>iSS01</v>
      </c>
    </row>
    <row r="843" spans="1:13" x14ac:dyDescent="0.35">
      <c r="A843">
        <v>2025</v>
      </c>
      <c r="B843">
        <v>7</v>
      </c>
      <c r="C843" t="s">
        <v>18</v>
      </c>
      <c r="D843" t="s">
        <v>19</v>
      </c>
      <c r="E843" t="s">
        <v>87</v>
      </c>
      <c r="F843" t="s">
        <v>88</v>
      </c>
      <c r="G843" s="2">
        <v>0</v>
      </c>
      <c r="H843" s="2">
        <v>0</v>
      </c>
      <c r="I843" s="2">
        <v>0</v>
      </c>
      <c r="J843" s="2">
        <v>350</v>
      </c>
      <c r="K843" s="2">
        <v>350</v>
      </c>
      <c r="L843" s="2" t="str">
        <f>_xlfn.XLOOKUP(Data_Nhập[[#This Row],[Main SKU]],MD_Main_SKU[Main SKU],MD_Main_SKU[SKU name_gom])</f>
        <v>iSS01</v>
      </c>
      <c r="M843" s="2" t="str">
        <f>_xlfn.XLOOKUP(Data_Nhập[[#This Row],[Material-Nhập]],MD_Main_SKU[Main SKU],MD_Main_SKU[SKU name_gom])</f>
        <v>Phó sản</v>
      </c>
    </row>
    <row r="844" spans="1:13" x14ac:dyDescent="0.35">
      <c r="A844">
        <v>2025</v>
      </c>
      <c r="B844">
        <v>7</v>
      </c>
      <c r="C844" t="s">
        <v>18</v>
      </c>
      <c r="D844" t="s">
        <v>19</v>
      </c>
      <c r="E844" t="s">
        <v>117</v>
      </c>
      <c r="F844" t="s">
        <v>86</v>
      </c>
      <c r="G844" s="2">
        <v>0</v>
      </c>
      <c r="H844" s="2">
        <v>0</v>
      </c>
      <c r="I844" s="2">
        <v>0</v>
      </c>
      <c r="J844" s="2">
        <v>2032</v>
      </c>
      <c r="K844" s="2">
        <v>2032</v>
      </c>
      <c r="L844" s="2" t="str">
        <f>_xlfn.XLOOKUP(Data_Nhập[[#This Row],[Main SKU]],MD_Main_SKU[Main SKU],MD_Main_SKU[SKU name_gom])</f>
        <v>iSS01</v>
      </c>
      <c r="M844" s="2" t="str">
        <f>_xlfn.XLOOKUP(Data_Nhập[[#This Row],[Material-Nhập]],MD_Main_SKU[Main SKU],MD_Main_SKU[SKU name_gom])</f>
        <v>Phó sản</v>
      </c>
    </row>
    <row r="845" spans="1:13" x14ac:dyDescent="0.35">
      <c r="A845">
        <v>2025</v>
      </c>
      <c r="B845">
        <v>7</v>
      </c>
      <c r="C845" t="s">
        <v>26</v>
      </c>
      <c r="D845" t="s">
        <v>27</v>
      </c>
      <c r="E845" t="s">
        <v>22</v>
      </c>
      <c r="F845" t="s">
        <v>23</v>
      </c>
      <c r="G845" s="2">
        <v>0</v>
      </c>
      <c r="H845" s="2">
        <v>19800.000000000007</v>
      </c>
      <c r="I845" s="2">
        <v>19800.000000000007</v>
      </c>
      <c r="J845" s="2">
        <v>0</v>
      </c>
      <c r="K845" s="2">
        <v>19800.000000000007</v>
      </c>
      <c r="L845" s="2" t="str">
        <f>_xlfn.XLOOKUP(Data_Nhập[[#This Row],[Main SKU]],MD_Main_SKU[Main SKU],MD_Main_SKU[SKU name_gom])</f>
        <v>iSS01</v>
      </c>
      <c r="M845" s="2" t="str">
        <f>_xlfn.XLOOKUP(Data_Nhập[[#This Row],[Material-Nhập]],MD_Main_SKU[Main SKU],MD_Main_SKU[SKU name_gom])</f>
        <v>WSS03</v>
      </c>
    </row>
    <row r="846" spans="1:13" x14ac:dyDescent="0.35">
      <c r="A846">
        <v>2025</v>
      </c>
      <c r="B846">
        <v>7</v>
      </c>
      <c r="C846" t="s">
        <v>26</v>
      </c>
      <c r="D846" t="s">
        <v>27</v>
      </c>
      <c r="E846" t="s">
        <v>24</v>
      </c>
      <c r="F846" t="s">
        <v>25</v>
      </c>
      <c r="G846" s="2">
        <v>0</v>
      </c>
      <c r="H846" s="2">
        <v>58300</v>
      </c>
      <c r="I846" s="2">
        <v>58300</v>
      </c>
      <c r="J846" s="2">
        <v>0</v>
      </c>
      <c r="K846" s="2">
        <v>58300</v>
      </c>
      <c r="L846" s="2" t="str">
        <f>_xlfn.XLOOKUP(Data_Nhập[[#This Row],[Main SKU]],MD_Main_SKU[Main SKU],MD_Main_SKU[SKU name_gom])</f>
        <v>iSS01</v>
      </c>
      <c r="M846" s="2" t="str">
        <f>_xlfn.XLOOKUP(Data_Nhập[[#This Row],[Material-Nhập]],MD_Main_SKU[Main SKU],MD_Main_SKU[SKU name_gom])</f>
        <v>WSS01</v>
      </c>
    </row>
    <row r="847" spans="1:13" x14ac:dyDescent="0.35">
      <c r="A847">
        <v>2025</v>
      </c>
      <c r="B847">
        <v>7</v>
      </c>
      <c r="C847" t="s">
        <v>26</v>
      </c>
      <c r="D847" t="s">
        <v>27</v>
      </c>
      <c r="E847" t="s">
        <v>26</v>
      </c>
      <c r="F847" t="s">
        <v>27</v>
      </c>
      <c r="G847" s="2">
        <v>1068100</v>
      </c>
      <c r="H847" s="2">
        <v>0</v>
      </c>
      <c r="I847" s="2">
        <v>1068100</v>
      </c>
      <c r="J847" s="2">
        <v>0</v>
      </c>
      <c r="K847" s="2">
        <v>1068100</v>
      </c>
      <c r="L847" s="2" t="str">
        <f>_xlfn.XLOOKUP(Data_Nhập[[#This Row],[Main SKU]],MD_Main_SKU[Main SKU],MD_Main_SKU[SKU name_gom])</f>
        <v>iSS01</v>
      </c>
      <c r="M847" s="2" t="str">
        <f>_xlfn.XLOOKUP(Data_Nhập[[#This Row],[Material-Nhập]],MD_Main_SKU[Main SKU],MD_Main_SKU[SKU name_gom])</f>
        <v>iSS01</v>
      </c>
    </row>
    <row r="848" spans="1:13" x14ac:dyDescent="0.35">
      <c r="A848">
        <v>2025</v>
      </c>
      <c r="B848">
        <v>7</v>
      </c>
      <c r="C848" t="s">
        <v>26</v>
      </c>
      <c r="D848" t="s">
        <v>27</v>
      </c>
      <c r="E848" t="s">
        <v>50</v>
      </c>
      <c r="F848" t="s">
        <v>51</v>
      </c>
      <c r="G848" s="2">
        <v>0</v>
      </c>
      <c r="H848" s="2">
        <v>12100</v>
      </c>
      <c r="I848" s="2">
        <v>12100</v>
      </c>
      <c r="J848" s="2">
        <v>0</v>
      </c>
      <c r="K848" s="2">
        <v>12100</v>
      </c>
      <c r="L848" s="2" t="str">
        <f>_xlfn.XLOOKUP(Data_Nhập[[#This Row],[Main SKU]],MD_Main_SKU[Main SKU],MD_Main_SKU[SKU name_gom])</f>
        <v>iSS01</v>
      </c>
      <c r="M848" s="2" t="str">
        <f>_xlfn.XLOOKUP(Data_Nhập[[#This Row],[Material-Nhập]],MD_Main_SKU[Main SKU],MD_Main_SKU[SKU name_gom])</f>
        <v>iSS01-PL</v>
      </c>
    </row>
    <row r="849" spans="1:13" x14ac:dyDescent="0.35">
      <c r="A849">
        <v>2025</v>
      </c>
      <c r="B849">
        <v>7</v>
      </c>
      <c r="C849" t="s">
        <v>26</v>
      </c>
      <c r="D849" t="s">
        <v>27</v>
      </c>
      <c r="E849" t="s">
        <v>87</v>
      </c>
      <c r="F849" t="s">
        <v>88</v>
      </c>
      <c r="G849" s="2">
        <v>0</v>
      </c>
      <c r="H849" s="2">
        <v>0</v>
      </c>
      <c r="I849" s="2">
        <v>0</v>
      </c>
      <c r="J849" s="2">
        <v>34100</v>
      </c>
      <c r="K849" s="2">
        <v>34100</v>
      </c>
      <c r="L849" s="2" t="str">
        <f>_xlfn.XLOOKUP(Data_Nhập[[#This Row],[Main SKU]],MD_Main_SKU[Main SKU],MD_Main_SKU[SKU name_gom])</f>
        <v>iSS01</v>
      </c>
      <c r="M849" s="2" t="str">
        <f>_xlfn.XLOOKUP(Data_Nhập[[#This Row],[Material-Nhập]],MD_Main_SKU[Main SKU],MD_Main_SKU[SKU name_gom])</f>
        <v>Phó sản</v>
      </c>
    </row>
    <row r="850" spans="1:13" x14ac:dyDescent="0.35">
      <c r="A850">
        <v>2025</v>
      </c>
      <c r="B850">
        <v>7</v>
      </c>
      <c r="C850" t="s">
        <v>26</v>
      </c>
      <c r="D850" t="s">
        <v>27</v>
      </c>
      <c r="E850" t="s">
        <v>117</v>
      </c>
      <c r="F850" t="s">
        <v>86</v>
      </c>
      <c r="G850" s="2">
        <v>0</v>
      </c>
      <c r="H850" s="2">
        <v>0</v>
      </c>
      <c r="I850" s="2">
        <v>0</v>
      </c>
      <c r="J850" s="2">
        <v>12744.999999999998</v>
      </c>
      <c r="K850" s="2">
        <v>12744.999999999998</v>
      </c>
      <c r="L850" s="2" t="str">
        <f>_xlfn.XLOOKUP(Data_Nhập[[#This Row],[Main SKU]],MD_Main_SKU[Main SKU],MD_Main_SKU[SKU name_gom])</f>
        <v>iSS01</v>
      </c>
      <c r="M850" s="2" t="str">
        <f>_xlfn.XLOOKUP(Data_Nhập[[#This Row],[Material-Nhập]],MD_Main_SKU[Main SKU],MD_Main_SKU[SKU name_gom])</f>
        <v>Phó sản</v>
      </c>
    </row>
    <row r="851" spans="1:13" x14ac:dyDescent="0.35">
      <c r="A851">
        <v>2025</v>
      </c>
      <c r="B851">
        <v>7</v>
      </c>
      <c r="C851" t="s">
        <v>26</v>
      </c>
      <c r="D851" t="s">
        <v>27</v>
      </c>
      <c r="E851" t="s">
        <v>132</v>
      </c>
      <c r="F851" t="s">
        <v>133</v>
      </c>
      <c r="G851" s="2">
        <v>0</v>
      </c>
      <c r="H851" s="2">
        <v>0</v>
      </c>
      <c r="I851" s="2">
        <v>0</v>
      </c>
      <c r="J851" s="2">
        <v>6600</v>
      </c>
      <c r="K851" s="2">
        <v>6600</v>
      </c>
      <c r="L851" s="2" t="str">
        <f>_xlfn.XLOOKUP(Data_Nhập[[#This Row],[Main SKU]],MD_Main_SKU[Main SKU],MD_Main_SKU[SKU name_gom])</f>
        <v>iSS01</v>
      </c>
      <c r="M851" s="2" t="str">
        <f>_xlfn.XLOOKUP(Data_Nhập[[#This Row],[Material-Nhập]],MD_Main_SKU[Main SKU],MD_Main_SKU[SKU name_gom])</f>
        <v>Phó sản</v>
      </c>
    </row>
    <row r="852" spans="1:13" x14ac:dyDescent="0.35">
      <c r="A852">
        <v>2025</v>
      </c>
      <c r="B852">
        <v>7</v>
      </c>
      <c r="C852" t="s">
        <v>115</v>
      </c>
      <c r="D852" t="s">
        <v>116</v>
      </c>
      <c r="E852" t="s">
        <v>115</v>
      </c>
      <c r="F852" t="s">
        <v>116</v>
      </c>
      <c r="G852" s="2">
        <v>135900</v>
      </c>
      <c r="H852" s="2">
        <v>0</v>
      </c>
      <c r="I852" s="2">
        <v>135900</v>
      </c>
      <c r="J852" s="2">
        <v>0</v>
      </c>
      <c r="K852" s="2">
        <v>135900</v>
      </c>
      <c r="L852" s="2" t="str">
        <f>_xlfn.XLOOKUP(Data_Nhập[[#This Row],[Main SKU]],MD_Main_SKU[Main SKU],MD_Main_SKU[SKU name_gom])</f>
        <v>WSS05</v>
      </c>
      <c r="M852" s="2" t="str">
        <f>_xlfn.XLOOKUP(Data_Nhập[[#This Row],[Material-Nhập]],MD_Main_SKU[Main SKU],MD_Main_SKU[SKU name_gom])</f>
        <v>WSS05</v>
      </c>
    </row>
    <row r="853" spans="1:13" x14ac:dyDescent="0.35">
      <c r="A853">
        <v>2025</v>
      </c>
      <c r="B853">
        <v>7</v>
      </c>
      <c r="C853" t="s">
        <v>115</v>
      </c>
      <c r="D853" t="s">
        <v>116</v>
      </c>
      <c r="E853" t="s">
        <v>87</v>
      </c>
      <c r="F853" t="s">
        <v>88</v>
      </c>
      <c r="G853" s="2">
        <v>0</v>
      </c>
      <c r="H853" s="2">
        <v>0</v>
      </c>
      <c r="I853" s="2">
        <v>0</v>
      </c>
      <c r="J853" s="2">
        <v>15003</v>
      </c>
      <c r="K853" s="2">
        <v>15003</v>
      </c>
      <c r="L853" s="2" t="str">
        <f>_xlfn.XLOOKUP(Data_Nhập[[#This Row],[Main SKU]],MD_Main_SKU[Main SKU],MD_Main_SKU[SKU name_gom])</f>
        <v>WSS05</v>
      </c>
      <c r="M853" s="2" t="str">
        <f>_xlfn.XLOOKUP(Data_Nhập[[#This Row],[Material-Nhập]],MD_Main_SKU[Main SKU],MD_Main_SKU[SKU name_gom])</f>
        <v>Phó sản</v>
      </c>
    </row>
    <row r="854" spans="1:13" x14ac:dyDescent="0.35">
      <c r="A854">
        <v>2025</v>
      </c>
      <c r="B854">
        <v>7</v>
      </c>
      <c r="C854" t="s">
        <v>115</v>
      </c>
      <c r="D854" t="s">
        <v>116</v>
      </c>
      <c r="E854" t="s">
        <v>117</v>
      </c>
      <c r="F854" t="s">
        <v>86</v>
      </c>
      <c r="G854" s="2">
        <v>0</v>
      </c>
      <c r="H854" s="2">
        <v>0</v>
      </c>
      <c r="I854" s="2">
        <v>0</v>
      </c>
      <c r="J854" s="2">
        <v>3807</v>
      </c>
      <c r="K854" s="2">
        <v>3807</v>
      </c>
      <c r="L854" s="2" t="str">
        <f>_xlfn.XLOOKUP(Data_Nhập[[#This Row],[Main SKU]],MD_Main_SKU[Main SKU],MD_Main_SKU[SKU name_gom])</f>
        <v>WSS05</v>
      </c>
      <c r="M854" s="2" t="str">
        <f>_xlfn.XLOOKUP(Data_Nhập[[#This Row],[Material-Nhập]],MD_Main_SKU[Main SKU],MD_Main_SKU[SKU name_gom])</f>
        <v>Phó sản</v>
      </c>
    </row>
    <row r="855" spans="1:13" x14ac:dyDescent="0.35">
      <c r="A855">
        <v>2025</v>
      </c>
      <c r="B855">
        <v>7</v>
      </c>
      <c r="C855" t="s">
        <v>118</v>
      </c>
      <c r="D855" t="s">
        <v>119</v>
      </c>
      <c r="E855" t="s">
        <v>115</v>
      </c>
      <c r="F855" t="s">
        <v>116</v>
      </c>
      <c r="G855" s="2">
        <v>0</v>
      </c>
      <c r="H855" s="2">
        <v>27300</v>
      </c>
      <c r="I855" s="2">
        <v>27300</v>
      </c>
      <c r="J855" s="2">
        <v>0</v>
      </c>
      <c r="K855" s="2">
        <v>27300</v>
      </c>
      <c r="L855" s="2" t="str">
        <f>_xlfn.XLOOKUP(Data_Nhập[[#This Row],[Main SKU]],MD_Main_SKU[Main SKU],MD_Main_SKU[SKU name_gom])</f>
        <v>WSS05</v>
      </c>
      <c r="M855" s="2" t="str">
        <f>_xlfn.XLOOKUP(Data_Nhập[[#This Row],[Material-Nhập]],MD_Main_SKU[Main SKU],MD_Main_SKU[SKU name_gom])</f>
        <v>WSS05</v>
      </c>
    </row>
    <row r="856" spans="1:13" x14ac:dyDescent="0.35">
      <c r="A856">
        <v>2025</v>
      </c>
      <c r="B856">
        <v>7</v>
      </c>
      <c r="C856" t="s">
        <v>118</v>
      </c>
      <c r="D856" t="s">
        <v>119</v>
      </c>
      <c r="E856" t="s">
        <v>124</v>
      </c>
      <c r="F856" t="s">
        <v>125</v>
      </c>
      <c r="G856" s="2">
        <v>0</v>
      </c>
      <c r="H856" s="2">
        <v>17850</v>
      </c>
      <c r="I856" s="2">
        <v>17850</v>
      </c>
      <c r="J856" s="2">
        <v>0</v>
      </c>
      <c r="K856" s="2">
        <v>17850</v>
      </c>
      <c r="L856" s="2" t="str">
        <f>_xlfn.XLOOKUP(Data_Nhập[[#This Row],[Main SKU]],MD_Main_SKU[Main SKU],MD_Main_SKU[SKU name_gom])</f>
        <v>WSS05</v>
      </c>
      <c r="M856" s="2" t="str">
        <f>_xlfn.XLOOKUP(Data_Nhập[[#This Row],[Material-Nhập]],MD_Main_SKU[Main SKU],MD_Main_SKU[SKU name_gom])</f>
        <v>WSS06</v>
      </c>
    </row>
    <row r="857" spans="1:13" x14ac:dyDescent="0.35">
      <c r="A857">
        <v>2025</v>
      </c>
      <c r="B857">
        <v>7</v>
      </c>
      <c r="C857" t="s">
        <v>118</v>
      </c>
      <c r="D857" t="s">
        <v>119</v>
      </c>
      <c r="E857" t="s">
        <v>118</v>
      </c>
      <c r="F857" t="s">
        <v>119</v>
      </c>
      <c r="G857" s="2">
        <v>31500</v>
      </c>
      <c r="H857" s="2">
        <v>0</v>
      </c>
      <c r="I857" s="2">
        <v>31500</v>
      </c>
      <c r="J857" s="2">
        <v>0</v>
      </c>
      <c r="K857" s="2">
        <v>31500</v>
      </c>
      <c r="L857" s="2" t="str">
        <f>_xlfn.XLOOKUP(Data_Nhập[[#This Row],[Main SKU]],MD_Main_SKU[Main SKU],MD_Main_SKU[SKU name_gom])</f>
        <v>WSS05</v>
      </c>
      <c r="M857" s="2" t="str">
        <f>_xlfn.XLOOKUP(Data_Nhập[[#This Row],[Material-Nhập]],MD_Main_SKU[Main SKU],MD_Main_SKU[SKU name_gom])</f>
        <v>WSS05</v>
      </c>
    </row>
    <row r="858" spans="1:13" x14ac:dyDescent="0.35">
      <c r="A858">
        <v>2025</v>
      </c>
      <c r="B858">
        <v>7</v>
      </c>
      <c r="C858" t="s">
        <v>118</v>
      </c>
      <c r="D858" t="s">
        <v>119</v>
      </c>
      <c r="E858" t="s">
        <v>87</v>
      </c>
      <c r="F858" t="s">
        <v>88</v>
      </c>
      <c r="G858" s="2">
        <v>0</v>
      </c>
      <c r="H858" s="2">
        <v>0</v>
      </c>
      <c r="I858" s="2">
        <v>0</v>
      </c>
      <c r="J858" s="2">
        <v>7640</v>
      </c>
      <c r="K858" s="2">
        <v>7640</v>
      </c>
      <c r="L858" s="2" t="str">
        <f>_xlfn.XLOOKUP(Data_Nhập[[#This Row],[Main SKU]],MD_Main_SKU[Main SKU],MD_Main_SKU[SKU name_gom])</f>
        <v>WSS05</v>
      </c>
      <c r="M858" s="2" t="str">
        <f>_xlfn.XLOOKUP(Data_Nhập[[#This Row],[Material-Nhập]],MD_Main_SKU[Main SKU],MD_Main_SKU[SKU name_gom])</f>
        <v>Phó sản</v>
      </c>
    </row>
    <row r="859" spans="1:13" x14ac:dyDescent="0.35">
      <c r="A859">
        <v>2025</v>
      </c>
      <c r="B859">
        <v>7</v>
      </c>
      <c r="C859" t="s">
        <v>118</v>
      </c>
      <c r="D859" t="s">
        <v>119</v>
      </c>
      <c r="E859" t="s">
        <v>117</v>
      </c>
      <c r="F859" t="s">
        <v>86</v>
      </c>
      <c r="G859" s="2">
        <v>0</v>
      </c>
      <c r="H859" s="2">
        <v>0</v>
      </c>
      <c r="I859" s="2">
        <v>0</v>
      </c>
      <c r="J859" s="2">
        <v>1340</v>
      </c>
      <c r="K859" s="2">
        <v>1340</v>
      </c>
      <c r="L859" s="2" t="str">
        <f>_xlfn.XLOOKUP(Data_Nhập[[#This Row],[Main SKU]],MD_Main_SKU[Main SKU],MD_Main_SKU[SKU name_gom])</f>
        <v>WSS05</v>
      </c>
      <c r="M859" s="2" t="str">
        <f>_xlfn.XLOOKUP(Data_Nhập[[#This Row],[Material-Nhập]],MD_Main_SKU[Main SKU],MD_Main_SKU[SKU name_gom])</f>
        <v>Phó sản</v>
      </c>
    </row>
    <row r="860" spans="1:13" x14ac:dyDescent="0.35">
      <c r="A860">
        <v>2025</v>
      </c>
      <c r="B860">
        <v>7</v>
      </c>
      <c r="C860" t="s">
        <v>48</v>
      </c>
      <c r="D860" t="s">
        <v>49</v>
      </c>
      <c r="E860" t="s">
        <v>22</v>
      </c>
      <c r="F860" t="s">
        <v>23</v>
      </c>
      <c r="G860" s="2">
        <v>0</v>
      </c>
      <c r="H860" s="2">
        <v>2200</v>
      </c>
      <c r="I860" s="2">
        <v>2200</v>
      </c>
      <c r="J860" s="2">
        <v>0</v>
      </c>
      <c r="K860" s="2">
        <v>2200</v>
      </c>
      <c r="L860" s="2" t="str">
        <f>_xlfn.XLOOKUP(Data_Nhập[[#This Row],[Main SKU]],MD_Main_SKU[Main SKU],MD_Main_SKU[SKU name_gom])</f>
        <v>WSS01</v>
      </c>
      <c r="M860" s="2" t="str">
        <f>_xlfn.XLOOKUP(Data_Nhập[[#This Row],[Material-Nhập]],MD_Main_SKU[Main SKU],MD_Main_SKU[SKU name_gom])</f>
        <v>WSS03</v>
      </c>
    </row>
    <row r="861" spans="1:13" x14ac:dyDescent="0.35">
      <c r="A861">
        <v>2025</v>
      </c>
      <c r="B861">
        <v>7</v>
      </c>
      <c r="C861" t="s">
        <v>48</v>
      </c>
      <c r="D861" t="s">
        <v>49</v>
      </c>
      <c r="E861" t="s">
        <v>48</v>
      </c>
      <c r="F861" t="s">
        <v>49</v>
      </c>
      <c r="G861" s="2">
        <v>167200</v>
      </c>
      <c r="H861" s="2">
        <v>0</v>
      </c>
      <c r="I861" s="2">
        <v>167200</v>
      </c>
      <c r="J861" s="2">
        <v>0</v>
      </c>
      <c r="K861" s="2">
        <v>167200</v>
      </c>
      <c r="L861" s="2" t="str">
        <f>_xlfn.XLOOKUP(Data_Nhập[[#This Row],[Main SKU]],MD_Main_SKU[Main SKU],MD_Main_SKU[SKU name_gom])</f>
        <v>WSS01</v>
      </c>
      <c r="M861" s="2" t="str">
        <f>_xlfn.XLOOKUP(Data_Nhập[[#This Row],[Material-Nhập]],MD_Main_SKU[Main SKU],MD_Main_SKU[SKU name_gom])</f>
        <v>WSS01</v>
      </c>
    </row>
    <row r="862" spans="1:13" x14ac:dyDescent="0.35">
      <c r="A862">
        <v>2025</v>
      </c>
      <c r="B862">
        <v>7</v>
      </c>
      <c r="C862" t="s">
        <v>48</v>
      </c>
      <c r="D862" t="s">
        <v>49</v>
      </c>
      <c r="E862" t="s">
        <v>87</v>
      </c>
      <c r="F862" t="s">
        <v>88</v>
      </c>
      <c r="G862" s="2">
        <v>0</v>
      </c>
      <c r="H862" s="2">
        <v>0</v>
      </c>
      <c r="I862" s="2">
        <v>0</v>
      </c>
      <c r="J862" s="2">
        <v>2100</v>
      </c>
      <c r="K862" s="2">
        <v>2100</v>
      </c>
      <c r="L862" s="2" t="str">
        <f>_xlfn.XLOOKUP(Data_Nhập[[#This Row],[Main SKU]],MD_Main_SKU[Main SKU],MD_Main_SKU[SKU name_gom])</f>
        <v>WSS01</v>
      </c>
      <c r="M862" s="2" t="str">
        <f>_xlfn.XLOOKUP(Data_Nhập[[#This Row],[Material-Nhập]],MD_Main_SKU[Main SKU],MD_Main_SKU[SKU name_gom])</f>
        <v>Phó sản</v>
      </c>
    </row>
    <row r="863" spans="1:13" x14ac:dyDescent="0.35">
      <c r="A863">
        <v>2025</v>
      </c>
      <c r="B863">
        <v>7</v>
      </c>
      <c r="C863" t="s">
        <v>48</v>
      </c>
      <c r="D863" t="s">
        <v>49</v>
      </c>
      <c r="E863" t="s">
        <v>91</v>
      </c>
      <c r="F863" t="s">
        <v>92</v>
      </c>
      <c r="G863" s="2">
        <v>0</v>
      </c>
      <c r="H863" s="2">
        <v>0</v>
      </c>
      <c r="I863" s="2">
        <v>0</v>
      </c>
      <c r="J863" s="2">
        <v>1100</v>
      </c>
      <c r="K863" s="2">
        <v>1100</v>
      </c>
      <c r="L863" s="2" t="str">
        <f>_xlfn.XLOOKUP(Data_Nhập[[#This Row],[Main SKU]],MD_Main_SKU[Main SKU],MD_Main_SKU[SKU name_gom])</f>
        <v>WSS01</v>
      </c>
      <c r="M863" s="2" t="str">
        <f>_xlfn.XLOOKUP(Data_Nhập[[#This Row],[Material-Nhập]],MD_Main_SKU[Main SKU],MD_Main_SKU[SKU name_gom])</f>
        <v>Phó sản</v>
      </c>
    </row>
    <row r="864" spans="1:13" x14ac:dyDescent="0.35">
      <c r="A864">
        <v>2025</v>
      </c>
      <c r="B864">
        <v>7</v>
      </c>
      <c r="C864" t="s">
        <v>48</v>
      </c>
      <c r="D864" t="s">
        <v>49</v>
      </c>
      <c r="E864" t="s">
        <v>117</v>
      </c>
      <c r="F864" t="s">
        <v>86</v>
      </c>
      <c r="G864" s="2">
        <v>0</v>
      </c>
      <c r="H864" s="2">
        <v>0</v>
      </c>
      <c r="I864" s="2">
        <v>0</v>
      </c>
      <c r="J864" s="2">
        <v>3968</v>
      </c>
      <c r="K864" s="2">
        <v>3968</v>
      </c>
      <c r="L864" s="2" t="str">
        <f>_xlfn.XLOOKUP(Data_Nhập[[#This Row],[Main SKU]],MD_Main_SKU[Main SKU],MD_Main_SKU[SKU name_gom])</f>
        <v>WSS01</v>
      </c>
      <c r="M864" s="2" t="str">
        <f>_xlfn.XLOOKUP(Data_Nhập[[#This Row],[Material-Nhập]],MD_Main_SKU[Main SKU],MD_Main_SKU[SKU name_gom])</f>
        <v>Phó sản</v>
      </c>
    </row>
    <row r="865" spans="1:13" x14ac:dyDescent="0.35">
      <c r="A865">
        <v>2025</v>
      </c>
      <c r="B865">
        <v>8</v>
      </c>
      <c r="C865" t="s">
        <v>8</v>
      </c>
      <c r="D865" t="s">
        <v>9</v>
      </c>
      <c r="E865" t="s">
        <v>8</v>
      </c>
      <c r="F865" t="s">
        <v>9</v>
      </c>
      <c r="G865" s="2">
        <v>178200</v>
      </c>
      <c r="H865" s="2">
        <v>0</v>
      </c>
      <c r="I865" s="2">
        <v>178200</v>
      </c>
      <c r="J865" s="2">
        <v>0</v>
      </c>
      <c r="K865" s="2">
        <v>178200</v>
      </c>
      <c r="L865" s="2" t="str">
        <f>_xlfn.XLOOKUP(Data_Nhập[[#This Row],[Main SKU]],MD_Main_SKU[Main SKU],MD_Main_SKU[SKU name_gom])</f>
        <v>WSS01</v>
      </c>
      <c r="M865" s="2" t="str">
        <f>_xlfn.XLOOKUP(Data_Nhập[[#This Row],[Material-Nhập]],MD_Main_SKU[Main SKU],MD_Main_SKU[SKU name_gom])</f>
        <v>WSS01</v>
      </c>
    </row>
    <row r="866" spans="1:13" x14ac:dyDescent="0.35">
      <c r="A866">
        <v>2025</v>
      </c>
      <c r="B866">
        <v>8</v>
      </c>
      <c r="C866" t="s">
        <v>8</v>
      </c>
      <c r="D866" t="s">
        <v>9</v>
      </c>
      <c r="E866" t="s">
        <v>22</v>
      </c>
      <c r="F866" t="s">
        <v>23</v>
      </c>
      <c r="G866" s="2">
        <v>0</v>
      </c>
      <c r="H866" s="2">
        <v>6600</v>
      </c>
      <c r="I866" s="2">
        <v>6600</v>
      </c>
      <c r="J866" s="2">
        <v>0</v>
      </c>
      <c r="K866" s="2">
        <v>6600</v>
      </c>
      <c r="L866" s="2" t="str">
        <f>_xlfn.XLOOKUP(Data_Nhập[[#This Row],[Main SKU]],MD_Main_SKU[Main SKU],MD_Main_SKU[SKU name_gom])</f>
        <v>WSS01</v>
      </c>
      <c r="M866" s="2" t="str">
        <f>_xlfn.XLOOKUP(Data_Nhập[[#This Row],[Material-Nhập]],MD_Main_SKU[Main SKU],MD_Main_SKU[SKU name_gom])</f>
        <v>WSS03</v>
      </c>
    </row>
    <row r="867" spans="1:13" x14ac:dyDescent="0.35">
      <c r="A867">
        <v>2025</v>
      </c>
      <c r="B867">
        <v>8</v>
      </c>
      <c r="C867" t="s">
        <v>8</v>
      </c>
      <c r="D867" t="s">
        <v>9</v>
      </c>
      <c r="E867" t="s">
        <v>36</v>
      </c>
      <c r="F867" t="s">
        <v>37</v>
      </c>
      <c r="G867" s="2">
        <v>0</v>
      </c>
      <c r="H867" s="2">
        <v>2200</v>
      </c>
      <c r="I867" s="2">
        <v>2200</v>
      </c>
      <c r="J867" s="2">
        <v>0</v>
      </c>
      <c r="K867" s="2">
        <v>2200</v>
      </c>
      <c r="L867" s="2" t="str">
        <f>_xlfn.XLOOKUP(Data_Nhập[[#This Row],[Main SKU]],MD_Main_SKU[Main SKU],MD_Main_SKU[SKU name_gom])</f>
        <v>WSS01</v>
      </c>
      <c r="M867" s="2" t="str">
        <f>_xlfn.XLOOKUP(Data_Nhập[[#This Row],[Material-Nhập]],MD_Main_SKU[Main SKU],MD_Main_SKU[SKU name_gom])</f>
        <v>WSS01-PL</v>
      </c>
    </row>
    <row r="868" spans="1:13" x14ac:dyDescent="0.35">
      <c r="A868">
        <v>2025</v>
      </c>
      <c r="B868">
        <v>8</v>
      </c>
      <c r="C868" t="s">
        <v>8</v>
      </c>
      <c r="D868" t="s">
        <v>9</v>
      </c>
      <c r="E868" t="s">
        <v>87</v>
      </c>
      <c r="F868" t="s">
        <v>88</v>
      </c>
      <c r="G868" s="2">
        <v>0</v>
      </c>
      <c r="H868" s="2">
        <v>0</v>
      </c>
      <c r="I868" s="2">
        <v>0</v>
      </c>
      <c r="J868" s="2">
        <v>3151</v>
      </c>
      <c r="K868" s="2">
        <v>3151</v>
      </c>
      <c r="L868" s="2" t="str">
        <f>_xlfn.XLOOKUP(Data_Nhập[[#This Row],[Main SKU]],MD_Main_SKU[Main SKU],MD_Main_SKU[SKU name_gom])</f>
        <v>WSS01</v>
      </c>
      <c r="M868" s="2" t="str">
        <f>_xlfn.XLOOKUP(Data_Nhập[[#This Row],[Material-Nhập]],MD_Main_SKU[Main SKU],MD_Main_SKU[SKU name_gom])</f>
        <v>Phó sản</v>
      </c>
    </row>
    <row r="869" spans="1:13" x14ac:dyDescent="0.35">
      <c r="A869">
        <v>2025</v>
      </c>
      <c r="B869">
        <v>8</v>
      </c>
      <c r="C869" t="s">
        <v>8</v>
      </c>
      <c r="D869" t="s">
        <v>9</v>
      </c>
      <c r="E869" t="s">
        <v>117</v>
      </c>
      <c r="F869" t="s">
        <v>86</v>
      </c>
      <c r="G869" s="2">
        <v>0</v>
      </c>
      <c r="H869" s="2">
        <v>0</v>
      </c>
      <c r="I869" s="2">
        <v>0</v>
      </c>
      <c r="J869" s="2">
        <v>4283</v>
      </c>
      <c r="K869" s="2">
        <v>4283</v>
      </c>
      <c r="L869" s="2" t="str">
        <f>_xlfn.XLOOKUP(Data_Nhập[[#This Row],[Main SKU]],MD_Main_SKU[Main SKU],MD_Main_SKU[SKU name_gom])</f>
        <v>WSS01</v>
      </c>
      <c r="M869" s="2" t="str">
        <f>_xlfn.XLOOKUP(Data_Nhập[[#This Row],[Material-Nhập]],MD_Main_SKU[Main SKU],MD_Main_SKU[SKU name_gom])</f>
        <v>Phó sản</v>
      </c>
    </row>
    <row r="870" spans="1:13" x14ac:dyDescent="0.35">
      <c r="A870">
        <v>2025</v>
      </c>
      <c r="B870">
        <v>8</v>
      </c>
      <c r="C870" t="s">
        <v>14</v>
      </c>
      <c r="D870" t="s">
        <v>15</v>
      </c>
      <c r="E870" t="s">
        <v>14</v>
      </c>
      <c r="F870" t="s">
        <v>15</v>
      </c>
      <c r="G870" s="2">
        <v>624800</v>
      </c>
      <c r="H870" s="2">
        <v>0</v>
      </c>
      <c r="I870" s="2">
        <v>624800</v>
      </c>
      <c r="J870" s="2">
        <v>0</v>
      </c>
      <c r="K870" s="2">
        <v>624800</v>
      </c>
      <c r="L870" s="2" t="str">
        <f>_xlfn.XLOOKUP(Data_Nhập[[#This Row],[Main SKU]],MD_Main_SKU[Main SKU],MD_Main_SKU[SKU name_gom])</f>
        <v>iSS01084</v>
      </c>
      <c r="M870" s="2" t="str">
        <f>_xlfn.XLOOKUP(Data_Nhập[[#This Row],[Material-Nhập]],MD_Main_SKU[Main SKU],MD_Main_SKU[SKU name_gom])</f>
        <v>iSS01084</v>
      </c>
    </row>
    <row r="871" spans="1:13" x14ac:dyDescent="0.35">
      <c r="A871">
        <v>2025</v>
      </c>
      <c r="B871">
        <v>8</v>
      </c>
      <c r="C871" t="s">
        <v>14</v>
      </c>
      <c r="D871" t="s">
        <v>15</v>
      </c>
      <c r="E871" t="s">
        <v>16</v>
      </c>
      <c r="F871" t="s">
        <v>17</v>
      </c>
      <c r="G871" s="2">
        <v>0</v>
      </c>
      <c r="H871" s="2">
        <v>1100</v>
      </c>
      <c r="I871" s="2">
        <v>1100</v>
      </c>
      <c r="J871" s="2">
        <v>0</v>
      </c>
      <c r="K871" s="2">
        <v>1100</v>
      </c>
      <c r="L871" s="2" t="str">
        <f>_xlfn.XLOOKUP(Data_Nhập[[#This Row],[Main SKU]],MD_Main_SKU[Main SKU],MD_Main_SKU[SKU name_gom])</f>
        <v>iSS01084</v>
      </c>
      <c r="M871" s="2" t="str">
        <f>_xlfn.XLOOKUP(Data_Nhập[[#This Row],[Material-Nhập]],MD_Main_SKU[Main SKU],MD_Main_SKU[SKU name_gom])</f>
        <v>WSS01</v>
      </c>
    </row>
    <row r="872" spans="1:13" x14ac:dyDescent="0.35">
      <c r="A872">
        <v>2025</v>
      </c>
      <c r="B872">
        <v>8</v>
      </c>
      <c r="C872" t="s">
        <v>14</v>
      </c>
      <c r="D872" t="s">
        <v>15</v>
      </c>
      <c r="E872" t="s">
        <v>18</v>
      </c>
      <c r="F872" t="s">
        <v>19</v>
      </c>
      <c r="G872" s="2">
        <v>0</v>
      </c>
      <c r="H872" s="2">
        <v>29700</v>
      </c>
      <c r="I872" s="2">
        <v>29700</v>
      </c>
      <c r="J872" s="2">
        <v>0</v>
      </c>
      <c r="K872" s="2">
        <v>29700</v>
      </c>
      <c r="L872" s="2" t="str">
        <f>_xlfn.XLOOKUP(Data_Nhập[[#This Row],[Main SKU]],MD_Main_SKU[Main SKU],MD_Main_SKU[SKU name_gom])</f>
        <v>iSS01084</v>
      </c>
      <c r="M872" s="2" t="str">
        <f>_xlfn.XLOOKUP(Data_Nhập[[#This Row],[Material-Nhập]],MD_Main_SKU[Main SKU],MD_Main_SKU[SKU name_gom])</f>
        <v>iSS01</v>
      </c>
    </row>
    <row r="873" spans="1:13" x14ac:dyDescent="0.35">
      <c r="A873">
        <v>2025</v>
      </c>
      <c r="B873">
        <v>8</v>
      </c>
      <c r="C873" t="s">
        <v>14</v>
      </c>
      <c r="D873" t="s">
        <v>15</v>
      </c>
      <c r="E873" t="s">
        <v>22</v>
      </c>
      <c r="F873" t="s">
        <v>23</v>
      </c>
      <c r="G873" s="2">
        <v>0</v>
      </c>
      <c r="H873" s="2">
        <v>40699.999999999993</v>
      </c>
      <c r="I873" s="2">
        <v>40699.999999999993</v>
      </c>
      <c r="J873" s="2">
        <v>0</v>
      </c>
      <c r="K873" s="2">
        <v>40699.999999999993</v>
      </c>
      <c r="L873" s="2" t="str">
        <f>_xlfn.XLOOKUP(Data_Nhập[[#This Row],[Main SKU]],MD_Main_SKU[Main SKU],MD_Main_SKU[SKU name_gom])</f>
        <v>iSS01084</v>
      </c>
      <c r="M873" s="2" t="str">
        <f>_xlfn.XLOOKUP(Data_Nhập[[#This Row],[Material-Nhập]],MD_Main_SKU[Main SKU],MD_Main_SKU[SKU name_gom])</f>
        <v>WSS03</v>
      </c>
    </row>
    <row r="874" spans="1:13" x14ac:dyDescent="0.35">
      <c r="A874">
        <v>2025</v>
      </c>
      <c r="B874">
        <v>8</v>
      </c>
      <c r="C874" t="s">
        <v>14</v>
      </c>
      <c r="D874" t="s">
        <v>15</v>
      </c>
      <c r="E874" t="s">
        <v>40</v>
      </c>
      <c r="F874" t="s">
        <v>41</v>
      </c>
      <c r="G874" s="2">
        <v>0</v>
      </c>
      <c r="H874" s="2">
        <v>6599.9999999999991</v>
      </c>
      <c r="I874" s="2">
        <v>6599.9999999999991</v>
      </c>
      <c r="J874" s="2">
        <v>0</v>
      </c>
      <c r="K874" s="2">
        <v>6599.9999999999991</v>
      </c>
      <c r="L874" s="2" t="str">
        <f>_xlfn.XLOOKUP(Data_Nhập[[#This Row],[Main SKU]],MD_Main_SKU[Main SKU],MD_Main_SKU[SKU name_gom])</f>
        <v>iSS01084</v>
      </c>
      <c r="M874" s="2" t="str">
        <f>_xlfn.XLOOKUP(Data_Nhập[[#This Row],[Material-Nhập]],MD_Main_SKU[Main SKU],MD_Main_SKU[SKU name_gom])</f>
        <v>WSS01-PL</v>
      </c>
    </row>
    <row r="875" spans="1:13" x14ac:dyDescent="0.35">
      <c r="A875">
        <v>2025</v>
      </c>
      <c r="B875">
        <v>8</v>
      </c>
      <c r="C875" t="s">
        <v>14</v>
      </c>
      <c r="D875" t="s">
        <v>15</v>
      </c>
      <c r="E875" t="s">
        <v>42</v>
      </c>
      <c r="F875" t="s">
        <v>43</v>
      </c>
      <c r="G875" s="2">
        <v>0</v>
      </c>
      <c r="H875" s="2">
        <v>1100</v>
      </c>
      <c r="I875" s="2">
        <v>1100</v>
      </c>
      <c r="J875" s="2">
        <v>0</v>
      </c>
      <c r="K875" s="2">
        <v>1100</v>
      </c>
      <c r="L875" s="2" t="str">
        <f>_xlfn.XLOOKUP(Data_Nhập[[#This Row],[Main SKU]],MD_Main_SKU[Main SKU],MD_Main_SKU[SKU name_gom])</f>
        <v>iSS01084</v>
      </c>
      <c r="M875" s="2" t="str">
        <f>_xlfn.XLOOKUP(Data_Nhập[[#This Row],[Material-Nhập]],MD_Main_SKU[Main SKU],MD_Main_SKU[SKU name_gom])</f>
        <v>iSS01-PL</v>
      </c>
    </row>
    <row r="876" spans="1:13" x14ac:dyDescent="0.35">
      <c r="A876">
        <v>2025</v>
      </c>
      <c r="B876">
        <v>8</v>
      </c>
      <c r="C876" t="s">
        <v>14</v>
      </c>
      <c r="D876" t="s">
        <v>15</v>
      </c>
      <c r="E876" t="s">
        <v>34</v>
      </c>
      <c r="F876" t="s">
        <v>35</v>
      </c>
      <c r="G876" s="2">
        <v>0</v>
      </c>
      <c r="H876" s="2">
        <v>10400</v>
      </c>
      <c r="I876" s="2">
        <v>10400</v>
      </c>
      <c r="J876" s="2">
        <v>0</v>
      </c>
      <c r="K876" s="2">
        <v>10400</v>
      </c>
      <c r="L876" s="2" t="str">
        <f>_xlfn.XLOOKUP(Data_Nhập[[#This Row],[Main SKU]],MD_Main_SKU[Main SKU],MD_Main_SKU[SKU name_gom])</f>
        <v>iSS01084</v>
      </c>
      <c r="M876" s="2" t="str">
        <f>_xlfn.XLOOKUP(Data_Nhập[[#This Row],[Material-Nhập]],MD_Main_SKU[Main SKU],MD_Main_SKU[SKU name_gom])</f>
        <v>WSS03-PL</v>
      </c>
    </row>
    <row r="877" spans="1:13" x14ac:dyDescent="0.35">
      <c r="A877">
        <v>2025</v>
      </c>
      <c r="B877">
        <v>8</v>
      </c>
      <c r="C877" t="s">
        <v>14</v>
      </c>
      <c r="D877" t="s">
        <v>15</v>
      </c>
      <c r="E877" t="s">
        <v>87</v>
      </c>
      <c r="F877" t="s">
        <v>88</v>
      </c>
      <c r="G877" s="2">
        <v>0</v>
      </c>
      <c r="H877" s="2">
        <v>0</v>
      </c>
      <c r="I877" s="2">
        <v>0</v>
      </c>
      <c r="J877" s="2">
        <v>5949.9999999999991</v>
      </c>
      <c r="K877" s="2">
        <v>5949.9999999999991</v>
      </c>
      <c r="L877" s="2" t="str">
        <f>_xlfn.XLOOKUP(Data_Nhập[[#This Row],[Main SKU]],MD_Main_SKU[Main SKU],MD_Main_SKU[SKU name_gom])</f>
        <v>iSS01084</v>
      </c>
      <c r="M877" s="2" t="str">
        <f>_xlfn.XLOOKUP(Data_Nhập[[#This Row],[Material-Nhập]],MD_Main_SKU[Main SKU],MD_Main_SKU[SKU name_gom])</f>
        <v>Phó sản</v>
      </c>
    </row>
    <row r="878" spans="1:13" x14ac:dyDescent="0.35">
      <c r="A878">
        <v>2025</v>
      </c>
      <c r="B878">
        <v>8</v>
      </c>
      <c r="C878" t="s">
        <v>14</v>
      </c>
      <c r="D878" t="s">
        <v>15</v>
      </c>
      <c r="E878" t="s">
        <v>91</v>
      </c>
      <c r="F878" t="s">
        <v>92</v>
      </c>
      <c r="G878" s="2">
        <v>0</v>
      </c>
      <c r="H878" s="2">
        <v>0</v>
      </c>
      <c r="I878" s="2">
        <v>0</v>
      </c>
      <c r="J878" s="2">
        <v>3300</v>
      </c>
      <c r="K878" s="2">
        <v>3300</v>
      </c>
      <c r="L878" s="2" t="str">
        <f>_xlfn.XLOOKUP(Data_Nhập[[#This Row],[Main SKU]],MD_Main_SKU[Main SKU],MD_Main_SKU[SKU name_gom])</f>
        <v>iSS01084</v>
      </c>
      <c r="M878" s="2" t="str">
        <f>_xlfn.XLOOKUP(Data_Nhập[[#This Row],[Material-Nhập]],MD_Main_SKU[Main SKU],MD_Main_SKU[SKU name_gom])</f>
        <v>Phó sản</v>
      </c>
    </row>
    <row r="879" spans="1:13" x14ac:dyDescent="0.35">
      <c r="A879">
        <v>2025</v>
      </c>
      <c r="B879">
        <v>8</v>
      </c>
      <c r="C879" t="s">
        <v>14</v>
      </c>
      <c r="D879" t="s">
        <v>15</v>
      </c>
      <c r="E879" t="s">
        <v>117</v>
      </c>
      <c r="F879" t="s">
        <v>86</v>
      </c>
      <c r="G879" s="2">
        <v>0</v>
      </c>
      <c r="H879" s="2">
        <v>0</v>
      </c>
      <c r="I879" s="2">
        <v>0</v>
      </c>
      <c r="J879" s="2">
        <v>13916.000000000002</v>
      </c>
      <c r="K879" s="2">
        <v>13916.000000000002</v>
      </c>
      <c r="L879" s="2" t="str">
        <f>_xlfn.XLOOKUP(Data_Nhập[[#This Row],[Main SKU]],MD_Main_SKU[Main SKU],MD_Main_SKU[SKU name_gom])</f>
        <v>iSS01084</v>
      </c>
      <c r="M879" s="2" t="str">
        <f>_xlfn.XLOOKUP(Data_Nhập[[#This Row],[Material-Nhập]],MD_Main_SKU[Main SKU],MD_Main_SKU[SKU name_gom])</f>
        <v>Phó sản</v>
      </c>
    </row>
    <row r="880" spans="1:13" x14ac:dyDescent="0.35">
      <c r="A880">
        <v>2025</v>
      </c>
      <c r="B880">
        <v>8</v>
      </c>
      <c r="C880" t="s">
        <v>14</v>
      </c>
      <c r="D880" t="s">
        <v>15</v>
      </c>
      <c r="E880" t="s">
        <v>126</v>
      </c>
      <c r="F880" t="s">
        <v>127</v>
      </c>
      <c r="G880" s="2">
        <v>0</v>
      </c>
      <c r="H880" s="2">
        <v>0</v>
      </c>
      <c r="I880" s="2">
        <v>0</v>
      </c>
      <c r="J880" s="2">
        <v>4400</v>
      </c>
      <c r="K880" s="2">
        <v>4400</v>
      </c>
      <c r="L880" s="2" t="str">
        <f>_xlfn.XLOOKUP(Data_Nhập[[#This Row],[Main SKU]],MD_Main_SKU[Main SKU],MD_Main_SKU[SKU name_gom])</f>
        <v>iSS01084</v>
      </c>
      <c r="M880" s="2" t="str">
        <f>_xlfn.XLOOKUP(Data_Nhập[[#This Row],[Material-Nhập]],MD_Main_SKU[Main SKU],MD_Main_SKU[SKU name_gom])</f>
        <v>Phó sản</v>
      </c>
    </row>
    <row r="881" spans="1:13" x14ac:dyDescent="0.35">
      <c r="A881">
        <v>2025</v>
      </c>
      <c r="B881">
        <v>8</v>
      </c>
      <c r="C881" t="s">
        <v>16</v>
      </c>
      <c r="D881" t="s">
        <v>17</v>
      </c>
      <c r="E881" t="s">
        <v>14</v>
      </c>
      <c r="F881" t="s">
        <v>15</v>
      </c>
      <c r="G881" s="2">
        <v>0</v>
      </c>
      <c r="H881" s="2">
        <v>2200</v>
      </c>
      <c r="I881" s="2">
        <v>2200</v>
      </c>
      <c r="J881" s="2">
        <v>0</v>
      </c>
      <c r="K881" s="2">
        <v>2200</v>
      </c>
      <c r="L881" s="2" t="str">
        <f>_xlfn.XLOOKUP(Data_Nhập[[#This Row],[Main SKU]],MD_Main_SKU[Main SKU],MD_Main_SKU[SKU name_gom])</f>
        <v>WSS01</v>
      </c>
      <c r="M881" s="2" t="str">
        <f>_xlfn.XLOOKUP(Data_Nhập[[#This Row],[Material-Nhập]],MD_Main_SKU[Main SKU],MD_Main_SKU[SKU name_gom])</f>
        <v>iSS01084</v>
      </c>
    </row>
    <row r="882" spans="1:13" x14ac:dyDescent="0.35">
      <c r="A882">
        <v>2025</v>
      </c>
      <c r="B882">
        <v>8</v>
      </c>
      <c r="C882" t="s">
        <v>16</v>
      </c>
      <c r="D882" t="s">
        <v>17</v>
      </c>
      <c r="E882" t="s">
        <v>16</v>
      </c>
      <c r="F882" t="s">
        <v>17</v>
      </c>
      <c r="G882" s="2">
        <v>1624699.9999999998</v>
      </c>
      <c r="H882" s="2">
        <v>0</v>
      </c>
      <c r="I882" s="2">
        <v>1624699.9999999998</v>
      </c>
      <c r="J882" s="2">
        <v>0</v>
      </c>
      <c r="K882" s="2">
        <v>1624699.9999999998</v>
      </c>
      <c r="L882" s="2" t="str">
        <f>_xlfn.XLOOKUP(Data_Nhập[[#This Row],[Main SKU]],MD_Main_SKU[Main SKU],MD_Main_SKU[SKU name_gom])</f>
        <v>WSS01</v>
      </c>
      <c r="M882" s="2" t="str">
        <f>_xlfn.XLOOKUP(Data_Nhập[[#This Row],[Material-Nhập]],MD_Main_SKU[Main SKU],MD_Main_SKU[SKU name_gom])</f>
        <v>WSS01</v>
      </c>
    </row>
    <row r="883" spans="1:13" x14ac:dyDescent="0.35">
      <c r="A883">
        <v>2025</v>
      </c>
      <c r="B883">
        <v>8</v>
      </c>
      <c r="C883" t="s">
        <v>16</v>
      </c>
      <c r="D883" t="s">
        <v>17</v>
      </c>
      <c r="E883" t="s">
        <v>18</v>
      </c>
      <c r="F883" t="s">
        <v>19</v>
      </c>
      <c r="G883" s="2">
        <v>0</v>
      </c>
      <c r="H883" s="2">
        <v>192500</v>
      </c>
      <c r="I883" s="2">
        <v>192500</v>
      </c>
      <c r="J883" s="2">
        <v>0</v>
      </c>
      <c r="K883" s="2">
        <v>192500</v>
      </c>
      <c r="L883" s="2" t="str">
        <f>_xlfn.XLOOKUP(Data_Nhập[[#This Row],[Main SKU]],MD_Main_SKU[Main SKU],MD_Main_SKU[SKU name_gom])</f>
        <v>WSS01</v>
      </c>
      <c r="M883" s="2" t="str">
        <f>_xlfn.XLOOKUP(Data_Nhập[[#This Row],[Material-Nhập]],MD_Main_SKU[Main SKU],MD_Main_SKU[SKU name_gom])</f>
        <v>iSS01</v>
      </c>
    </row>
    <row r="884" spans="1:13" x14ac:dyDescent="0.35">
      <c r="A884">
        <v>2025</v>
      </c>
      <c r="B884">
        <v>8</v>
      </c>
      <c r="C884" t="s">
        <v>16</v>
      </c>
      <c r="D884" t="s">
        <v>17</v>
      </c>
      <c r="E884" t="s">
        <v>22</v>
      </c>
      <c r="F884" t="s">
        <v>23</v>
      </c>
      <c r="G884" s="2">
        <v>0</v>
      </c>
      <c r="H884" s="2">
        <v>8800</v>
      </c>
      <c r="I884" s="2">
        <v>8800</v>
      </c>
      <c r="J884" s="2">
        <v>0</v>
      </c>
      <c r="K884" s="2">
        <v>8800</v>
      </c>
      <c r="L884" s="2" t="str">
        <f>_xlfn.XLOOKUP(Data_Nhập[[#This Row],[Main SKU]],MD_Main_SKU[Main SKU],MD_Main_SKU[SKU name_gom])</f>
        <v>WSS01</v>
      </c>
      <c r="M884" s="2" t="str">
        <f>_xlfn.XLOOKUP(Data_Nhập[[#This Row],[Material-Nhập]],MD_Main_SKU[Main SKU],MD_Main_SKU[SKU name_gom])</f>
        <v>WSS03</v>
      </c>
    </row>
    <row r="885" spans="1:13" x14ac:dyDescent="0.35">
      <c r="A885">
        <v>2025</v>
      </c>
      <c r="B885">
        <v>8</v>
      </c>
      <c r="C885" t="s">
        <v>16</v>
      </c>
      <c r="D885" t="s">
        <v>17</v>
      </c>
      <c r="E885" t="s">
        <v>40</v>
      </c>
      <c r="F885" t="s">
        <v>41</v>
      </c>
      <c r="G885" s="2">
        <v>0</v>
      </c>
      <c r="H885" s="2">
        <v>92400.000000000015</v>
      </c>
      <c r="I885" s="2">
        <v>92400.000000000015</v>
      </c>
      <c r="J885" s="2">
        <v>0</v>
      </c>
      <c r="K885" s="2">
        <v>92400.000000000015</v>
      </c>
      <c r="L885" s="2" t="str">
        <f>_xlfn.XLOOKUP(Data_Nhập[[#This Row],[Main SKU]],MD_Main_SKU[Main SKU],MD_Main_SKU[SKU name_gom])</f>
        <v>WSS01</v>
      </c>
      <c r="M885" s="2" t="str">
        <f>_xlfn.XLOOKUP(Data_Nhập[[#This Row],[Material-Nhập]],MD_Main_SKU[Main SKU],MD_Main_SKU[SKU name_gom])</f>
        <v>WSS01-PL</v>
      </c>
    </row>
    <row r="886" spans="1:13" x14ac:dyDescent="0.35">
      <c r="A886">
        <v>2025</v>
      </c>
      <c r="B886">
        <v>8</v>
      </c>
      <c r="C886" t="s">
        <v>16</v>
      </c>
      <c r="D886" t="s">
        <v>17</v>
      </c>
      <c r="E886" t="s">
        <v>34</v>
      </c>
      <c r="F886" t="s">
        <v>35</v>
      </c>
      <c r="G886" s="2">
        <v>0</v>
      </c>
      <c r="H886" s="2">
        <v>15400</v>
      </c>
      <c r="I886" s="2">
        <v>15400</v>
      </c>
      <c r="J886" s="2">
        <v>0</v>
      </c>
      <c r="K886" s="2">
        <v>15400</v>
      </c>
      <c r="L886" s="2" t="str">
        <f>_xlfn.XLOOKUP(Data_Nhập[[#This Row],[Main SKU]],MD_Main_SKU[Main SKU],MD_Main_SKU[SKU name_gom])</f>
        <v>WSS01</v>
      </c>
      <c r="M886" s="2" t="str">
        <f>_xlfn.XLOOKUP(Data_Nhập[[#This Row],[Material-Nhập]],MD_Main_SKU[Main SKU],MD_Main_SKU[SKU name_gom])</f>
        <v>WSS03-PL</v>
      </c>
    </row>
    <row r="887" spans="1:13" x14ac:dyDescent="0.35">
      <c r="A887">
        <v>2025</v>
      </c>
      <c r="B887">
        <v>8</v>
      </c>
      <c r="C887" t="s">
        <v>16</v>
      </c>
      <c r="D887" t="s">
        <v>17</v>
      </c>
      <c r="E887" t="s">
        <v>87</v>
      </c>
      <c r="F887" t="s">
        <v>88</v>
      </c>
      <c r="G887" s="2">
        <v>0</v>
      </c>
      <c r="H887" s="2">
        <v>0</v>
      </c>
      <c r="I887" s="2">
        <v>0</v>
      </c>
      <c r="J887" s="2">
        <v>30419.999999999996</v>
      </c>
      <c r="K887" s="2">
        <v>30419.999999999996</v>
      </c>
      <c r="L887" s="2" t="str">
        <f>_xlfn.XLOOKUP(Data_Nhập[[#This Row],[Main SKU]],MD_Main_SKU[Main SKU],MD_Main_SKU[SKU name_gom])</f>
        <v>WSS01</v>
      </c>
      <c r="M887" s="2" t="str">
        <f>_xlfn.XLOOKUP(Data_Nhập[[#This Row],[Material-Nhập]],MD_Main_SKU[Main SKU],MD_Main_SKU[SKU name_gom])</f>
        <v>Phó sản</v>
      </c>
    </row>
    <row r="888" spans="1:13" x14ac:dyDescent="0.35">
      <c r="A888">
        <v>2025</v>
      </c>
      <c r="B888">
        <v>8</v>
      </c>
      <c r="C888" t="s">
        <v>16</v>
      </c>
      <c r="D888" t="s">
        <v>17</v>
      </c>
      <c r="E888" t="s">
        <v>91</v>
      </c>
      <c r="F888" t="s">
        <v>92</v>
      </c>
      <c r="G888" s="2">
        <v>0</v>
      </c>
      <c r="H888" s="2">
        <v>0</v>
      </c>
      <c r="I888" s="2">
        <v>0</v>
      </c>
      <c r="J888" s="2">
        <v>7700</v>
      </c>
      <c r="K888" s="2">
        <v>7700</v>
      </c>
      <c r="L888" s="2" t="str">
        <f>_xlfn.XLOOKUP(Data_Nhập[[#This Row],[Main SKU]],MD_Main_SKU[Main SKU],MD_Main_SKU[SKU name_gom])</f>
        <v>WSS01</v>
      </c>
      <c r="M888" s="2" t="str">
        <f>_xlfn.XLOOKUP(Data_Nhập[[#This Row],[Material-Nhập]],MD_Main_SKU[Main SKU],MD_Main_SKU[SKU name_gom])</f>
        <v>Phó sản</v>
      </c>
    </row>
    <row r="889" spans="1:13" x14ac:dyDescent="0.35">
      <c r="A889">
        <v>2025</v>
      </c>
      <c r="B889">
        <v>8</v>
      </c>
      <c r="C889" t="s">
        <v>16</v>
      </c>
      <c r="D889" t="s">
        <v>17</v>
      </c>
      <c r="E889" t="s">
        <v>93</v>
      </c>
      <c r="F889" t="s">
        <v>94</v>
      </c>
      <c r="G889" s="2">
        <v>0</v>
      </c>
      <c r="H889" s="2">
        <v>0</v>
      </c>
      <c r="I889" s="2">
        <v>0</v>
      </c>
      <c r="J889" s="2">
        <v>230</v>
      </c>
      <c r="K889" s="2">
        <v>230</v>
      </c>
      <c r="L889" s="2" t="str">
        <f>_xlfn.XLOOKUP(Data_Nhập[[#This Row],[Main SKU]],MD_Main_SKU[Main SKU],MD_Main_SKU[SKU name_gom])</f>
        <v>WSS01</v>
      </c>
      <c r="M889" s="2" t="str">
        <f>_xlfn.XLOOKUP(Data_Nhập[[#This Row],[Material-Nhập]],MD_Main_SKU[Main SKU],MD_Main_SKU[SKU name_gom])</f>
        <v>Phó sản</v>
      </c>
    </row>
    <row r="890" spans="1:13" x14ac:dyDescent="0.35">
      <c r="A890">
        <v>2025</v>
      </c>
      <c r="B890">
        <v>8</v>
      </c>
      <c r="C890" t="s">
        <v>16</v>
      </c>
      <c r="D890" t="s">
        <v>17</v>
      </c>
      <c r="E890" t="s">
        <v>117</v>
      </c>
      <c r="F890" t="s">
        <v>86</v>
      </c>
      <c r="G890" s="2">
        <v>0</v>
      </c>
      <c r="H890" s="2">
        <v>0</v>
      </c>
      <c r="I890" s="2">
        <v>0</v>
      </c>
      <c r="J890" s="2">
        <v>27696</v>
      </c>
      <c r="K890" s="2">
        <v>27696</v>
      </c>
      <c r="L890" s="2" t="str">
        <f>_xlfn.XLOOKUP(Data_Nhập[[#This Row],[Main SKU]],MD_Main_SKU[Main SKU],MD_Main_SKU[SKU name_gom])</f>
        <v>WSS01</v>
      </c>
      <c r="M890" s="2" t="str">
        <f>_xlfn.XLOOKUP(Data_Nhập[[#This Row],[Material-Nhập]],MD_Main_SKU[Main SKU],MD_Main_SKU[SKU name_gom])</f>
        <v>Phó sản</v>
      </c>
    </row>
    <row r="891" spans="1:13" x14ac:dyDescent="0.35">
      <c r="A891">
        <v>2025</v>
      </c>
      <c r="B891">
        <v>8</v>
      </c>
      <c r="C891" t="s">
        <v>16</v>
      </c>
      <c r="D891" t="s">
        <v>17</v>
      </c>
      <c r="E891" t="s">
        <v>128</v>
      </c>
      <c r="F891" t="s">
        <v>129</v>
      </c>
      <c r="G891" s="2">
        <v>0</v>
      </c>
      <c r="H891" s="2">
        <v>0</v>
      </c>
      <c r="I891" s="2">
        <v>0</v>
      </c>
      <c r="J891" s="2">
        <v>26400</v>
      </c>
      <c r="K891" s="2">
        <v>26400</v>
      </c>
      <c r="L891" s="2" t="str">
        <f>_xlfn.XLOOKUP(Data_Nhập[[#This Row],[Main SKU]],MD_Main_SKU[Main SKU],MD_Main_SKU[SKU name_gom])</f>
        <v>WSS01</v>
      </c>
      <c r="M891" s="2" t="str">
        <f>_xlfn.XLOOKUP(Data_Nhập[[#This Row],[Material-Nhập]],MD_Main_SKU[Main SKU],MD_Main_SKU[SKU name_gom])</f>
        <v>Phó sản</v>
      </c>
    </row>
    <row r="892" spans="1:13" x14ac:dyDescent="0.35">
      <c r="A892">
        <v>2025</v>
      </c>
      <c r="B892">
        <v>8</v>
      </c>
      <c r="C892" t="s">
        <v>26</v>
      </c>
      <c r="D892" t="s">
        <v>27</v>
      </c>
      <c r="E892" t="s">
        <v>22</v>
      </c>
      <c r="F892" t="s">
        <v>23</v>
      </c>
      <c r="G892" s="2">
        <v>0</v>
      </c>
      <c r="H892" s="2">
        <v>7699.9999999999991</v>
      </c>
      <c r="I892" s="2">
        <v>7699.9999999999991</v>
      </c>
      <c r="J892" s="2">
        <v>0</v>
      </c>
      <c r="K892" s="2">
        <v>7699.9999999999991</v>
      </c>
      <c r="L892" s="2" t="str">
        <f>_xlfn.XLOOKUP(Data_Nhập[[#This Row],[Main SKU]],MD_Main_SKU[Main SKU],MD_Main_SKU[SKU name_gom])</f>
        <v>iSS01</v>
      </c>
      <c r="M892" s="2" t="str">
        <f>_xlfn.XLOOKUP(Data_Nhập[[#This Row],[Material-Nhập]],MD_Main_SKU[Main SKU],MD_Main_SKU[SKU name_gom])</f>
        <v>WSS03</v>
      </c>
    </row>
    <row r="893" spans="1:13" x14ac:dyDescent="0.35">
      <c r="A893">
        <v>2025</v>
      </c>
      <c r="B893">
        <v>8</v>
      </c>
      <c r="C893" t="s">
        <v>26</v>
      </c>
      <c r="D893" t="s">
        <v>27</v>
      </c>
      <c r="E893" t="s">
        <v>24</v>
      </c>
      <c r="F893" t="s">
        <v>25</v>
      </c>
      <c r="G893" s="2">
        <v>0</v>
      </c>
      <c r="H893" s="2">
        <v>69300</v>
      </c>
      <c r="I893" s="2">
        <v>69300</v>
      </c>
      <c r="J893" s="2">
        <v>0</v>
      </c>
      <c r="K893" s="2">
        <v>69300</v>
      </c>
      <c r="L893" s="2" t="str">
        <f>_xlfn.XLOOKUP(Data_Nhập[[#This Row],[Main SKU]],MD_Main_SKU[Main SKU],MD_Main_SKU[SKU name_gom])</f>
        <v>iSS01</v>
      </c>
      <c r="M893" s="2" t="str">
        <f>_xlfn.XLOOKUP(Data_Nhập[[#This Row],[Material-Nhập]],MD_Main_SKU[Main SKU],MD_Main_SKU[SKU name_gom])</f>
        <v>WSS01</v>
      </c>
    </row>
    <row r="894" spans="1:13" x14ac:dyDescent="0.35">
      <c r="A894">
        <v>2025</v>
      </c>
      <c r="B894">
        <v>8</v>
      </c>
      <c r="C894" t="s">
        <v>26</v>
      </c>
      <c r="D894" t="s">
        <v>27</v>
      </c>
      <c r="E894" t="s">
        <v>26</v>
      </c>
      <c r="F894" t="s">
        <v>27</v>
      </c>
      <c r="G894" s="2">
        <v>1014200</v>
      </c>
      <c r="H894" s="2">
        <v>0</v>
      </c>
      <c r="I894" s="2">
        <v>1014200</v>
      </c>
      <c r="J894" s="2">
        <v>0</v>
      </c>
      <c r="K894" s="2">
        <v>1014200</v>
      </c>
      <c r="L894" s="2" t="str">
        <f>_xlfn.XLOOKUP(Data_Nhập[[#This Row],[Main SKU]],MD_Main_SKU[Main SKU],MD_Main_SKU[SKU name_gom])</f>
        <v>iSS01</v>
      </c>
      <c r="M894" s="2" t="str">
        <f>_xlfn.XLOOKUP(Data_Nhập[[#This Row],[Material-Nhập]],MD_Main_SKU[Main SKU],MD_Main_SKU[SKU name_gom])</f>
        <v>iSS01</v>
      </c>
    </row>
    <row r="895" spans="1:13" x14ac:dyDescent="0.35">
      <c r="A895">
        <v>2025</v>
      </c>
      <c r="B895">
        <v>8</v>
      </c>
      <c r="C895" t="s">
        <v>26</v>
      </c>
      <c r="D895" t="s">
        <v>27</v>
      </c>
      <c r="E895" t="s">
        <v>58</v>
      </c>
      <c r="F895" t="s">
        <v>59</v>
      </c>
      <c r="G895" s="2">
        <v>0</v>
      </c>
      <c r="H895" s="2">
        <v>3300</v>
      </c>
      <c r="I895" s="2">
        <v>3300</v>
      </c>
      <c r="J895" s="2">
        <v>0</v>
      </c>
      <c r="K895" s="2">
        <v>3300</v>
      </c>
      <c r="L895" s="2" t="str">
        <f>_xlfn.XLOOKUP(Data_Nhập[[#This Row],[Main SKU]],MD_Main_SKU[Main SKU],MD_Main_SKU[SKU name_gom])</f>
        <v>iSS01</v>
      </c>
      <c r="M895" s="2" t="str">
        <f>_xlfn.XLOOKUP(Data_Nhập[[#This Row],[Material-Nhập]],MD_Main_SKU[Main SKU],MD_Main_SKU[SKU name_gom])</f>
        <v>WSS01-PL</v>
      </c>
    </row>
    <row r="896" spans="1:13" x14ac:dyDescent="0.35">
      <c r="A896">
        <v>2025</v>
      </c>
      <c r="B896">
        <v>8</v>
      </c>
      <c r="C896" t="s">
        <v>26</v>
      </c>
      <c r="D896" t="s">
        <v>27</v>
      </c>
      <c r="E896" t="s">
        <v>50</v>
      </c>
      <c r="F896" t="s">
        <v>51</v>
      </c>
      <c r="G896" s="2">
        <v>0</v>
      </c>
      <c r="H896" s="2">
        <v>14299.999999999998</v>
      </c>
      <c r="I896" s="2">
        <v>14299.999999999998</v>
      </c>
      <c r="J896" s="2">
        <v>0</v>
      </c>
      <c r="K896" s="2">
        <v>14299.999999999998</v>
      </c>
      <c r="L896" s="2" t="str">
        <f>_xlfn.XLOOKUP(Data_Nhập[[#This Row],[Main SKU]],MD_Main_SKU[Main SKU],MD_Main_SKU[SKU name_gom])</f>
        <v>iSS01</v>
      </c>
      <c r="M896" s="2" t="str">
        <f>_xlfn.XLOOKUP(Data_Nhập[[#This Row],[Material-Nhập]],MD_Main_SKU[Main SKU],MD_Main_SKU[SKU name_gom])</f>
        <v>iSS01-PL</v>
      </c>
    </row>
    <row r="897" spans="1:13" x14ac:dyDescent="0.35">
      <c r="A897">
        <v>2025</v>
      </c>
      <c r="B897">
        <v>8</v>
      </c>
      <c r="C897" t="s">
        <v>26</v>
      </c>
      <c r="D897" t="s">
        <v>27</v>
      </c>
      <c r="E897" t="s">
        <v>34</v>
      </c>
      <c r="F897" t="s">
        <v>35</v>
      </c>
      <c r="G897" s="2">
        <v>0</v>
      </c>
      <c r="H897" s="2">
        <v>2200</v>
      </c>
      <c r="I897" s="2">
        <v>2200</v>
      </c>
      <c r="J897" s="2">
        <v>0</v>
      </c>
      <c r="K897" s="2">
        <v>2200</v>
      </c>
      <c r="L897" s="2" t="str">
        <f>_xlfn.XLOOKUP(Data_Nhập[[#This Row],[Main SKU]],MD_Main_SKU[Main SKU],MD_Main_SKU[SKU name_gom])</f>
        <v>iSS01</v>
      </c>
      <c r="M897" s="2" t="str">
        <f>_xlfn.XLOOKUP(Data_Nhập[[#This Row],[Material-Nhập]],MD_Main_SKU[Main SKU],MD_Main_SKU[SKU name_gom])</f>
        <v>WSS03-PL</v>
      </c>
    </row>
    <row r="898" spans="1:13" x14ac:dyDescent="0.35">
      <c r="A898">
        <v>2025</v>
      </c>
      <c r="B898">
        <v>8</v>
      </c>
      <c r="C898" t="s">
        <v>26</v>
      </c>
      <c r="D898" t="s">
        <v>27</v>
      </c>
      <c r="E898" t="s">
        <v>87</v>
      </c>
      <c r="F898" t="s">
        <v>88</v>
      </c>
      <c r="G898" s="2">
        <v>0</v>
      </c>
      <c r="H898" s="2">
        <v>0</v>
      </c>
      <c r="I898" s="2">
        <v>0</v>
      </c>
      <c r="J898" s="2">
        <v>34166</v>
      </c>
      <c r="K898" s="2">
        <v>34166</v>
      </c>
      <c r="L898" s="2" t="str">
        <f>_xlfn.XLOOKUP(Data_Nhập[[#This Row],[Main SKU]],MD_Main_SKU[Main SKU],MD_Main_SKU[SKU name_gom])</f>
        <v>iSS01</v>
      </c>
      <c r="M898" s="2" t="str">
        <f>_xlfn.XLOOKUP(Data_Nhập[[#This Row],[Material-Nhập]],MD_Main_SKU[Main SKU],MD_Main_SKU[SKU name_gom])</f>
        <v>Phó sản</v>
      </c>
    </row>
    <row r="899" spans="1:13" x14ac:dyDescent="0.35">
      <c r="A899">
        <v>2025</v>
      </c>
      <c r="B899">
        <v>8</v>
      </c>
      <c r="C899" t="s">
        <v>26</v>
      </c>
      <c r="D899" t="s">
        <v>27</v>
      </c>
      <c r="E899" t="s">
        <v>117</v>
      </c>
      <c r="F899" t="s">
        <v>86</v>
      </c>
      <c r="G899" s="2">
        <v>0</v>
      </c>
      <c r="H899" s="2">
        <v>0</v>
      </c>
      <c r="I899" s="2">
        <v>0</v>
      </c>
      <c r="J899" s="2">
        <v>16824.999999999996</v>
      </c>
      <c r="K899" s="2">
        <v>16824.999999999996</v>
      </c>
      <c r="L899" s="2" t="str">
        <f>_xlfn.XLOOKUP(Data_Nhập[[#This Row],[Main SKU]],MD_Main_SKU[Main SKU],MD_Main_SKU[SKU name_gom])</f>
        <v>iSS01</v>
      </c>
      <c r="M899" s="2" t="str">
        <f>_xlfn.XLOOKUP(Data_Nhập[[#This Row],[Material-Nhập]],MD_Main_SKU[Main SKU],MD_Main_SKU[SKU name_gom])</f>
        <v>Phó sản</v>
      </c>
    </row>
    <row r="900" spans="1:13" x14ac:dyDescent="0.35">
      <c r="A900">
        <v>2025</v>
      </c>
      <c r="B900">
        <v>8</v>
      </c>
      <c r="C900" t="s">
        <v>26</v>
      </c>
      <c r="D900" t="s">
        <v>27</v>
      </c>
      <c r="E900" t="s">
        <v>132</v>
      </c>
      <c r="F900" t="s">
        <v>133</v>
      </c>
      <c r="G900" s="2">
        <v>0</v>
      </c>
      <c r="H900" s="2">
        <v>0</v>
      </c>
      <c r="I900" s="2">
        <v>0</v>
      </c>
      <c r="J900" s="2">
        <v>5499.9999999999991</v>
      </c>
      <c r="K900" s="2">
        <v>5499.9999999999991</v>
      </c>
      <c r="L900" s="2" t="str">
        <f>_xlfn.XLOOKUP(Data_Nhập[[#This Row],[Main SKU]],MD_Main_SKU[Main SKU],MD_Main_SKU[SKU name_gom])</f>
        <v>iSS01</v>
      </c>
      <c r="M900" s="2" t="str">
        <f>_xlfn.XLOOKUP(Data_Nhập[[#This Row],[Material-Nhập]],MD_Main_SKU[Main SKU],MD_Main_SKU[SKU name_gom])</f>
        <v>Phó sản</v>
      </c>
    </row>
    <row r="901" spans="1:13" x14ac:dyDescent="0.35">
      <c r="A901">
        <v>2025</v>
      </c>
      <c r="B901">
        <v>8</v>
      </c>
      <c r="C901" t="s">
        <v>115</v>
      </c>
      <c r="D901" t="s">
        <v>116</v>
      </c>
      <c r="E901" t="s">
        <v>115</v>
      </c>
      <c r="F901" t="s">
        <v>116</v>
      </c>
      <c r="G901" s="2">
        <v>259850</v>
      </c>
      <c r="H901" s="2">
        <v>0</v>
      </c>
      <c r="I901" s="2">
        <v>259850</v>
      </c>
      <c r="J901" s="2">
        <v>0</v>
      </c>
      <c r="K901" s="2">
        <v>259850</v>
      </c>
      <c r="L901" s="2" t="str">
        <f>_xlfn.XLOOKUP(Data_Nhập[[#This Row],[Main SKU]],MD_Main_SKU[Main SKU],MD_Main_SKU[SKU name_gom])</f>
        <v>WSS05</v>
      </c>
      <c r="M901" s="2" t="str">
        <f>_xlfn.XLOOKUP(Data_Nhập[[#This Row],[Material-Nhập]],MD_Main_SKU[Main SKU],MD_Main_SKU[SKU name_gom])</f>
        <v>WSS05</v>
      </c>
    </row>
    <row r="902" spans="1:13" x14ac:dyDescent="0.35">
      <c r="A902">
        <v>2025</v>
      </c>
      <c r="B902">
        <v>8</v>
      </c>
      <c r="C902" t="s">
        <v>115</v>
      </c>
      <c r="D902" t="s">
        <v>116</v>
      </c>
      <c r="E902" t="s">
        <v>124</v>
      </c>
      <c r="F902" t="s">
        <v>125</v>
      </c>
      <c r="G902" s="2">
        <v>0</v>
      </c>
      <c r="H902" s="2">
        <v>2100</v>
      </c>
      <c r="I902" s="2">
        <v>2100</v>
      </c>
      <c r="J902" s="2">
        <v>0</v>
      </c>
      <c r="K902" s="2">
        <v>2100</v>
      </c>
      <c r="L902" s="2" t="str">
        <f>_xlfn.XLOOKUP(Data_Nhập[[#This Row],[Main SKU]],MD_Main_SKU[Main SKU],MD_Main_SKU[SKU name_gom])</f>
        <v>WSS05</v>
      </c>
      <c r="M902" s="2" t="str">
        <f>_xlfn.XLOOKUP(Data_Nhập[[#This Row],[Material-Nhập]],MD_Main_SKU[Main SKU],MD_Main_SKU[SKU name_gom])</f>
        <v>WSS06</v>
      </c>
    </row>
    <row r="903" spans="1:13" x14ac:dyDescent="0.35">
      <c r="A903">
        <v>2025</v>
      </c>
      <c r="B903">
        <v>8</v>
      </c>
      <c r="C903" t="s">
        <v>115</v>
      </c>
      <c r="D903" t="s">
        <v>116</v>
      </c>
      <c r="E903" t="s">
        <v>87</v>
      </c>
      <c r="F903" t="s">
        <v>88</v>
      </c>
      <c r="G903" s="2">
        <v>0</v>
      </c>
      <c r="H903" s="2">
        <v>0</v>
      </c>
      <c r="I903" s="2">
        <v>0</v>
      </c>
      <c r="J903" s="2">
        <v>19160</v>
      </c>
      <c r="K903" s="2">
        <v>19160</v>
      </c>
      <c r="L903" s="2" t="str">
        <f>_xlfn.XLOOKUP(Data_Nhập[[#This Row],[Main SKU]],MD_Main_SKU[Main SKU],MD_Main_SKU[SKU name_gom])</f>
        <v>WSS05</v>
      </c>
      <c r="M903" s="2" t="str">
        <f>_xlfn.XLOOKUP(Data_Nhập[[#This Row],[Material-Nhập]],MD_Main_SKU[Main SKU],MD_Main_SKU[SKU name_gom])</f>
        <v>Phó sản</v>
      </c>
    </row>
    <row r="904" spans="1:13" x14ac:dyDescent="0.35">
      <c r="A904">
        <v>2025</v>
      </c>
      <c r="B904">
        <v>8</v>
      </c>
      <c r="C904" t="s">
        <v>115</v>
      </c>
      <c r="D904" t="s">
        <v>116</v>
      </c>
      <c r="E904" t="s">
        <v>117</v>
      </c>
      <c r="F904" t="s">
        <v>86</v>
      </c>
      <c r="G904" s="2">
        <v>0</v>
      </c>
      <c r="H904" s="2">
        <v>0</v>
      </c>
      <c r="I904" s="2">
        <v>0</v>
      </c>
      <c r="J904" s="2">
        <v>5913</v>
      </c>
      <c r="K904" s="2">
        <v>5913</v>
      </c>
      <c r="L904" s="2" t="str">
        <f>_xlfn.XLOOKUP(Data_Nhập[[#This Row],[Main SKU]],MD_Main_SKU[Main SKU],MD_Main_SKU[SKU name_gom])</f>
        <v>WSS05</v>
      </c>
      <c r="M904" s="2" t="str">
        <f>_xlfn.XLOOKUP(Data_Nhập[[#This Row],[Material-Nhập]],MD_Main_SKU[Main SKU],MD_Main_SKU[SKU name_gom])</f>
        <v>Phó sản</v>
      </c>
    </row>
    <row r="905" spans="1:13" x14ac:dyDescent="0.35">
      <c r="A905">
        <v>2025</v>
      </c>
      <c r="B905">
        <v>9</v>
      </c>
      <c r="C905" t="s">
        <v>8</v>
      </c>
      <c r="D905" t="s">
        <v>9</v>
      </c>
      <c r="E905" t="s">
        <v>8</v>
      </c>
      <c r="F905" t="s">
        <v>9</v>
      </c>
      <c r="G905" s="2">
        <v>240900</v>
      </c>
      <c r="H905" s="2">
        <v>0</v>
      </c>
      <c r="I905" s="2">
        <v>240900</v>
      </c>
      <c r="J905" s="2">
        <v>0</v>
      </c>
      <c r="K905" s="2">
        <v>240900</v>
      </c>
      <c r="L905" s="2" t="str">
        <f>_xlfn.XLOOKUP(Data_Nhập[[#This Row],[Main SKU]],MD_Main_SKU[Main SKU],MD_Main_SKU[SKU name_gom])</f>
        <v>WSS01</v>
      </c>
      <c r="M905" s="2" t="str">
        <f>_xlfn.XLOOKUP(Data_Nhập[[#This Row],[Material-Nhập]],MD_Main_SKU[Main SKU],MD_Main_SKU[SKU name_gom])</f>
        <v>WSS01</v>
      </c>
    </row>
    <row r="906" spans="1:13" x14ac:dyDescent="0.35">
      <c r="A906">
        <v>2025</v>
      </c>
      <c r="B906">
        <v>9</v>
      </c>
      <c r="C906" t="s">
        <v>8</v>
      </c>
      <c r="D906" t="s">
        <v>9</v>
      </c>
      <c r="E906" t="s">
        <v>22</v>
      </c>
      <c r="F906" t="s">
        <v>23</v>
      </c>
      <c r="G906" s="2">
        <v>0</v>
      </c>
      <c r="H906" s="2">
        <v>4400</v>
      </c>
      <c r="I906" s="2">
        <v>4400</v>
      </c>
      <c r="J906" s="2">
        <v>0</v>
      </c>
      <c r="K906" s="2">
        <v>4400</v>
      </c>
      <c r="L906" s="2" t="str">
        <f>_xlfn.XLOOKUP(Data_Nhập[[#This Row],[Main SKU]],MD_Main_SKU[Main SKU],MD_Main_SKU[SKU name_gom])</f>
        <v>WSS01</v>
      </c>
      <c r="M906" s="2" t="str">
        <f>_xlfn.XLOOKUP(Data_Nhập[[#This Row],[Material-Nhập]],MD_Main_SKU[Main SKU],MD_Main_SKU[SKU name_gom])</f>
        <v>WSS03</v>
      </c>
    </row>
    <row r="907" spans="1:13" x14ac:dyDescent="0.35">
      <c r="A907">
        <v>2025</v>
      </c>
      <c r="B907">
        <v>9</v>
      </c>
      <c r="C907" t="s">
        <v>8</v>
      </c>
      <c r="D907" t="s">
        <v>9</v>
      </c>
      <c r="E907" t="s">
        <v>36</v>
      </c>
      <c r="F907" t="s">
        <v>37</v>
      </c>
      <c r="G907" s="2">
        <v>0</v>
      </c>
      <c r="H907" s="2">
        <v>4400</v>
      </c>
      <c r="I907" s="2">
        <v>4400</v>
      </c>
      <c r="J907" s="2">
        <v>0</v>
      </c>
      <c r="K907" s="2">
        <v>4400</v>
      </c>
      <c r="L907" s="2" t="str">
        <f>_xlfn.XLOOKUP(Data_Nhập[[#This Row],[Main SKU]],MD_Main_SKU[Main SKU],MD_Main_SKU[SKU name_gom])</f>
        <v>WSS01</v>
      </c>
      <c r="M907" s="2" t="str">
        <f>_xlfn.XLOOKUP(Data_Nhập[[#This Row],[Material-Nhập]],MD_Main_SKU[Main SKU],MD_Main_SKU[SKU name_gom])</f>
        <v>WSS01-PL</v>
      </c>
    </row>
    <row r="908" spans="1:13" x14ac:dyDescent="0.35">
      <c r="A908">
        <v>2025</v>
      </c>
      <c r="B908">
        <v>9</v>
      </c>
      <c r="C908" t="s">
        <v>8</v>
      </c>
      <c r="D908" t="s">
        <v>9</v>
      </c>
      <c r="E908" t="s">
        <v>87</v>
      </c>
      <c r="F908" t="s">
        <v>88</v>
      </c>
      <c r="G908" s="2">
        <v>0</v>
      </c>
      <c r="H908" s="2">
        <v>0</v>
      </c>
      <c r="I908" s="2">
        <v>0</v>
      </c>
      <c r="J908" s="2">
        <v>1800</v>
      </c>
      <c r="K908" s="2">
        <v>1800</v>
      </c>
      <c r="L908" s="2" t="str">
        <f>_xlfn.XLOOKUP(Data_Nhập[[#This Row],[Main SKU]],MD_Main_SKU[Main SKU],MD_Main_SKU[SKU name_gom])</f>
        <v>WSS01</v>
      </c>
      <c r="M908" s="2" t="str">
        <f>_xlfn.XLOOKUP(Data_Nhập[[#This Row],[Material-Nhập]],MD_Main_SKU[Main SKU],MD_Main_SKU[SKU name_gom])</f>
        <v>Phó sản</v>
      </c>
    </row>
    <row r="909" spans="1:13" x14ac:dyDescent="0.35">
      <c r="A909">
        <v>2025</v>
      </c>
      <c r="B909">
        <v>9</v>
      </c>
      <c r="C909" t="s">
        <v>8</v>
      </c>
      <c r="D909" t="s">
        <v>9</v>
      </c>
      <c r="E909" t="s">
        <v>91</v>
      </c>
      <c r="F909" t="s">
        <v>92</v>
      </c>
      <c r="G909" s="2">
        <v>0</v>
      </c>
      <c r="H909" s="2">
        <v>0</v>
      </c>
      <c r="I909" s="2">
        <v>0</v>
      </c>
      <c r="J909" s="2">
        <v>1100</v>
      </c>
      <c r="K909" s="2">
        <v>1100</v>
      </c>
      <c r="L909" s="2" t="str">
        <f>_xlfn.XLOOKUP(Data_Nhập[[#This Row],[Main SKU]],MD_Main_SKU[Main SKU],MD_Main_SKU[SKU name_gom])</f>
        <v>WSS01</v>
      </c>
      <c r="M909" s="2" t="str">
        <f>_xlfn.XLOOKUP(Data_Nhập[[#This Row],[Material-Nhập]],MD_Main_SKU[Main SKU],MD_Main_SKU[SKU name_gom])</f>
        <v>Phó sản</v>
      </c>
    </row>
    <row r="910" spans="1:13" x14ac:dyDescent="0.35">
      <c r="A910">
        <v>2025</v>
      </c>
      <c r="B910">
        <v>9</v>
      </c>
      <c r="C910" t="s">
        <v>8</v>
      </c>
      <c r="D910" t="s">
        <v>9</v>
      </c>
      <c r="E910" t="s">
        <v>117</v>
      </c>
      <c r="F910" t="s">
        <v>86</v>
      </c>
      <c r="G910" s="2">
        <v>0</v>
      </c>
      <c r="H910" s="2">
        <v>0</v>
      </c>
      <c r="I910" s="2">
        <v>0</v>
      </c>
      <c r="J910" s="2">
        <v>3899</v>
      </c>
      <c r="K910" s="2">
        <v>3899</v>
      </c>
      <c r="L910" s="2" t="str">
        <f>_xlfn.XLOOKUP(Data_Nhập[[#This Row],[Main SKU]],MD_Main_SKU[Main SKU],MD_Main_SKU[SKU name_gom])</f>
        <v>WSS01</v>
      </c>
      <c r="M910" s="2" t="str">
        <f>_xlfn.XLOOKUP(Data_Nhập[[#This Row],[Material-Nhập]],MD_Main_SKU[Main SKU],MD_Main_SKU[SKU name_gom])</f>
        <v>Phó sản</v>
      </c>
    </row>
    <row r="911" spans="1:13" x14ac:dyDescent="0.35">
      <c r="A911">
        <v>2025</v>
      </c>
      <c r="B911">
        <v>9</v>
      </c>
      <c r="C911" t="s">
        <v>14</v>
      </c>
      <c r="D911" t="s">
        <v>15</v>
      </c>
      <c r="E911" t="s">
        <v>14</v>
      </c>
      <c r="F911" t="s">
        <v>15</v>
      </c>
      <c r="G911" s="2">
        <v>358600</v>
      </c>
      <c r="H911" s="2">
        <v>0</v>
      </c>
      <c r="I911" s="2">
        <v>358600</v>
      </c>
      <c r="J911" s="2">
        <v>0</v>
      </c>
      <c r="K911" s="2">
        <v>358600</v>
      </c>
      <c r="L911" s="2" t="str">
        <f>_xlfn.XLOOKUP(Data_Nhập[[#This Row],[Main SKU]],MD_Main_SKU[Main SKU],MD_Main_SKU[SKU name_gom])</f>
        <v>iSS01084</v>
      </c>
      <c r="M911" s="2" t="str">
        <f>_xlfn.XLOOKUP(Data_Nhập[[#This Row],[Material-Nhập]],MD_Main_SKU[Main SKU],MD_Main_SKU[SKU name_gom])</f>
        <v>iSS01084</v>
      </c>
    </row>
    <row r="912" spans="1:13" x14ac:dyDescent="0.35">
      <c r="A912">
        <v>2025</v>
      </c>
      <c r="B912">
        <v>9</v>
      </c>
      <c r="C912" t="s">
        <v>14</v>
      </c>
      <c r="D912" t="s">
        <v>15</v>
      </c>
      <c r="E912" t="s">
        <v>16</v>
      </c>
      <c r="F912" t="s">
        <v>17</v>
      </c>
      <c r="G912" s="2">
        <v>0</v>
      </c>
      <c r="H912" s="2">
        <v>3300</v>
      </c>
      <c r="I912" s="2">
        <v>3300</v>
      </c>
      <c r="J912" s="2">
        <v>0</v>
      </c>
      <c r="K912" s="2">
        <v>3300</v>
      </c>
      <c r="L912" s="2" t="str">
        <f>_xlfn.XLOOKUP(Data_Nhập[[#This Row],[Main SKU]],MD_Main_SKU[Main SKU],MD_Main_SKU[SKU name_gom])</f>
        <v>iSS01084</v>
      </c>
      <c r="M912" s="2" t="str">
        <f>_xlfn.XLOOKUP(Data_Nhập[[#This Row],[Material-Nhập]],MD_Main_SKU[Main SKU],MD_Main_SKU[SKU name_gom])</f>
        <v>WSS01</v>
      </c>
    </row>
    <row r="913" spans="1:13" x14ac:dyDescent="0.35">
      <c r="A913">
        <v>2025</v>
      </c>
      <c r="B913">
        <v>9</v>
      </c>
      <c r="C913" t="s">
        <v>14</v>
      </c>
      <c r="D913" t="s">
        <v>15</v>
      </c>
      <c r="E913" t="s">
        <v>18</v>
      </c>
      <c r="F913" t="s">
        <v>19</v>
      </c>
      <c r="G913" s="2">
        <v>0</v>
      </c>
      <c r="H913" s="2">
        <v>3300</v>
      </c>
      <c r="I913" s="2">
        <v>3300</v>
      </c>
      <c r="J913" s="2">
        <v>0</v>
      </c>
      <c r="K913" s="2">
        <v>3300</v>
      </c>
      <c r="L913" s="2" t="str">
        <f>_xlfn.XLOOKUP(Data_Nhập[[#This Row],[Main SKU]],MD_Main_SKU[Main SKU],MD_Main_SKU[SKU name_gom])</f>
        <v>iSS01084</v>
      </c>
      <c r="M913" s="2" t="str">
        <f>_xlfn.XLOOKUP(Data_Nhập[[#This Row],[Material-Nhập]],MD_Main_SKU[Main SKU],MD_Main_SKU[SKU name_gom])</f>
        <v>iSS01</v>
      </c>
    </row>
    <row r="914" spans="1:13" x14ac:dyDescent="0.35">
      <c r="A914">
        <v>2025</v>
      </c>
      <c r="B914">
        <v>9</v>
      </c>
      <c r="C914" t="s">
        <v>14</v>
      </c>
      <c r="D914" t="s">
        <v>15</v>
      </c>
      <c r="E914" t="s">
        <v>22</v>
      </c>
      <c r="F914" t="s">
        <v>23</v>
      </c>
      <c r="G914" s="2">
        <v>0</v>
      </c>
      <c r="H914" s="2">
        <v>19800</v>
      </c>
      <c r="I914" s="2">
        <v>19800</v>
      </c>
      <c r="J914" s="2">
        <v>0</v>
      </c>
      <c r="K914" s="2">
        <v>19800</v>
      </c>
      <c r="L914" s="2" t="str">
        <f>_xlfn.XLOOKUP(Data_Nhập[[#This Row],[Main SKU]],MD_Main_SKU[Main SKU],MD_Main_SKU[SKU name_gom])</f>
        <v>iSS01084</v>
      </c>
      <c r="M914" s="2" t="str">
        <f>_xlfn.XLOOKUP(Data_Nhập[[#This Row],[Material-Nhập]],MD_Main_SKU[Main SKU],MD_Main_SKU[SKU name_gom])</f>
        <v>WSS03</v>
      </c>
    </row>
    <row r="915" spans="1:13" x14ac:dyDescent="0.35">
      <c r="A915">
        <v>2025</v>
      </c>
      <c r="B915">
        <v>9</v>
      </c>
      <c r="C915" t="s">
        <v>14</v>
      </c>
      <c r="D915" t="s">
        <v>15</v>
      </c>
      <c r="E915" t="s">
        <v>34</v>
      </c>
      <c r="F915" t="s">
        <v>35</v>
      </c>
      <c r="G915" s="2">
        <v>0</v>
      </c>
      <c r="H915" s="2">
        <v>1100</v>
      </c>
      <c r="I915" s="2">
        <v>1100</v>
      </c>
      <c r="J915" s="2">
        <v>0</v>
      </c>
      <c r="K915" s="2">
        <v>1100</v>
      </c>
      <c r="L915" s="2" t="str">
        <f>_xlfn.XLOOKUP(Data_Nhập[[#This Row],[Main SKU]],MD_Main_SKU[Main SKU],MD_Main_SKU[SKU name_gom])</f>
        <v>iSS01084</v>
      </c>
      <c r="M915" s="2" t="str">
        <f>_xlfn.XLOOKUP(Data_Nhập[[#This Row],[Material-Nhập]],MD_Main_SKU[Main SKU],MD_Main_SKU[SKU name_gom])</f>
        <v>WSS03-PL</v>
      </c>
    </row>
    <row r="916" spans="1:13" x14ac:dyDescent="0.35">
      <c r="A916">
        <v>2025</v>
      </c>
      <c r="B916">
        <v>9</v>
      </c>
      <c r="C916" t="s">
        <v>14</v>
      </c>
      <c r="D916" t="s">
        <v>15</v>
      </c>
      <c r="E916" t="s">
        <v>87</v>
      </c>
      <c r="F916" t="s">
        <v>88</v>
      </c>
      <c r="G916" s="2">
        <v>0</v>
      </c>
      <c r="H916" s="2">
        <v>0</v>
      </c>
      <c r="I916" s="2">
        <v>0</v>
      </c>
      <c r="J916" s="2">
        <v>3150</v>
      </c>
      <c r="K916" s="2">
        <v>3150</v>
      </c>
      <c r="L916" s="2" t="str">
        <f>_xlfn.XLOOKUP(Data_Nhập[[#This Row],[Main SKU]],MD_Main_SKU[Main SKU],MD_Main_SKU[SKU name_gom])</f>
        <v>iSS01084</v>
      </c>
      <c r="M916" s="2" t="str">
        <f>_xlfn.XLOOKUP(Data_Nhập[[#This Row],[Material-Nhập]],MD_Main_SKU[Main SKU],MD_Main_SKU[SKU name_gom])</f>
        <v>Phó sản</v>
      </c>
    </row>
    <row r="917" spans="1:13" x14ac:dyDescent="0.35">
      <c r="A917">
        <v>2025</v>
      </c>
      <c r="B917">
        <v>9</v>
      </c>
      <c r="C917" t="s">
        <v>14</v>
      </c>
      <c r="D917" t="s">
        <v>15</v>
      </c>
      <c r="E917" t="s">
        <v>117</v>
      </c>
      <c r="F917" t="s">
        <v>86</v>
      </c>
      <c r="G917" s="2">
        <v>0</v>
      </c>
      <c r="H917" s="2">
        <v>0</v>
      </c>
      <c r="I917" s="2">
        <v>0</v>
      </c>
      <c r="J917" s="2">
        <v>4663</v>
      </c>
      <c r="K917" s="2">
        <v>4663</v>
      </c>
      <c r="L917" s="2" t="str">
        <f>_xlfn.XLOOKUP(Data_Nhập[[#This Row],[Main SKU]],MD_Main_SKU[Main SKU],MD_Main_SKU[SKU name_gom])</f>
        <v>iSS01084</v>
      </c>
      <c r="M917" s="2" t="str">
        <f>_xlfn.XLOOKUP(Data_Nhập[[#This Row],[Material-Nhập]],MD_Main_SKU[Main SKU],MD_Main_SKU[SKU name_gom])</f>
        <v>Phó sản</v>
      </c>
    </row>
    <row r="918" spans="1:13" x14ac:dyDescent="0.35">
      <c r="A918">
        <v>2025</v>
      </c>
      <c r="B918">
        <v>9</v>
      </c>
      <c r="C918" t="s">
        <v>14</v>
      </c>
      <c r="D918" t="s">
        <v>15</v>
      </c>
      <c r="E918" t="s">
        <v>126</v>
      </c>
      <c r="F918" t="s">
        <v>127</v>
      </c>
      <c r="G918" s="2">
        <v>0</v>
      </c>
      <c r="H918" s="2">
        <v>0</v>
      </c>
      <c r="I918" s="2">
        <v>0</v>
      </c>
      <c r="J918" s="2">
        <v>3299.9999999999995</v>
      </c>
      <c r="K918" s="2">
        <v>3299.9999999999995</v>
      </c>
      <c r="L918" s="2" t="str">
        <f>_xlfn.XLOOKUP(Data_Nhập[[#This Row],[Main SKU]],MD_Main_SKU[Main SKU],MD_Main_SKU[SKU name_gom])</f>
        <v>iSS01084</v>
      </c>
      <c r="M918" s="2" t="str">
        <f>_xlfn.XLOOKUP(Data_Nhập[[#This Row],[Material-Nhập]],MD_Main_SKU[Main SKU],MD_Main_SKU[SKU name_gom])</f>
        <v>Phó sản</v>
      </c>
    </row>
    <row r="919" spans="1:13" x14ac:dyDescent="0.35">
      <c r="A919">
        <v>2025</v>
      </c>
      <c r="B919">
        <v>9</v>
      </c>
      <c r="C919" t="s">
        <v>16</v>
      </c>
      <c r="D919" t="s">
        <v>17</v>
      </c>
      <c r="E919" t="s">
        <v>14</v>
      </c>
      <c r="F919" t="s">
        <v>15</v>
      </c>
      <c r="G919" s="2">
        <v>0</v>
      </c>
      <c r="H919" s="2">
        <v>8800</v>
      </c>
      <c r="I919" s="2">
        <v>8800</v>
      </c>
      <c r="J919" s="2">
        <v>0</v>
      </c>
      <c r="K919" s="2">
        <v>8800</v>
      </c>
      <c r="L919" s="2" t="str">
        <f>_xlfn.XLOOKUP(Data_Nhập[[#This Row],[Main SKU]],MD_Main_SKU[Main SKU],MD_Main_SKU[SKU name_gom])</f>
        <v>WSS01</v>
      </c>
      <c r="M919" s="2" t="str">
        <f>_xlfn.XLOOKUP(Data_Nhập[[#This Row],[Material-Nhập]],MD_Main_SKU[Main SKU],MD_Main_SKU[SKU name_gom])</f>
        <v>iSS01084</v>
      </c>
    </row>
    <row r="920" spans="1:13" x14ac:dyDescent="0.35">
      <c r="A920">
        <v>2025</v>
      </c>
      <c r="B920">
        <v>9</v>
      </c>
      <c r="C920" t="s">
        <v>16</v>
      </c>
      <c r="D920" t="s">
        <v>17</v>
      </c>
      <c r="E920" t="s">
        <v>16</v>
      </c>
      <c r="F920" t="s">
        <v>17</v>
      </c>
      <c r="G920" s="2">
        <v>1272700</v>
      </c>
      <c r="H920" s="2">
        <v>0</v>
      </c>
      <c r="I920" s="2">
        <v>1272700</v>
      </c>
      <c r="J920" s="2">
        <v>0</v>
      </c>
      <c r="K920" s="2">
        <v>1272700</v>
      </c>
      <c r="L920" s="2" t="str">
        <f>_xlfn.XLOOKUP(Data_Nhập[[#This Row],[Main SKU]],MD_Main_SKU[Main SKU],MD_Main_SKU[SKU name_gom])</f>
        <v>WSS01</v>
      </c>
      <c r="M920" s="2" t="str">
        <f>_xlfn.XLOOKUP(Data_Nhập[[#This Row],[Material-Nhập]],MD_Main_SKU[Main SKU],MD_Main_SKU[SKU name_gom])</f>
        <v>WSS01</v>
      </c>
    </row>
    <row r="921" spans="1:13" x14ac:dyDescent="0.35">
      <c r="A921">
        <v>2025</v>
      </c>
      <c r="B921">
        <v>9</v>
      </c>
      <c r="C921" t="s">
        <v>16</v>
      </c>
      <c r="D921" t="s">
        <v>17</v>
      </c>
      <c r="E921" t="s">
        <v>18</v>
      </c>
      <c r="F921" t="s">
        <v>19</v>
      </c>
      <c r="G921" s="2">
        <v>0</v>
      </c>
      <c r="H921" s="2">
        <v>27500</v>
      </c>
      <c r="I921" s="2">
        <v>27500</v>
      </c>
      <c r="J921" s="2">
        <v>0</v>
      </c>
      <c r="K921" s="2">
        <v>27500</v>
      </c>
      <c r="L921" s="2" t="str">
        <f>_xlfn.XLOOKUP(Data_Nhập[[#This Row],[Main SKU]],MD_Main_SKU[Main SKU],MD_Main_SKU[SKU name_gom])</f>
        <v>WSS01</v>
      </c>
      <c r="M921" s="2" t="str">
        <f>_xlfn.XLOOKUP(Data_Nhập[[#This Row],[Material-Nhập]],MD_Main_SKU[Main SKU],MD_Main_SKU[SKU name_gom])</f>
        <v>iSS01</v>
      </c>
    </row>
    <row r="922" spans="1:13" x14ac:dyDescent="0.35">
      <c r="A922">
        <v>2025</v>
      </c>
      <c r="B922">
        <v>9</v>
      </c>
      <c r="C922" t="s">
        <v>16</v>
      </c>
      <c r="D922" t="s">
        <v>17</v>
      </c>
      <c r="E922" t="s">
        <v>22</v>
      </c>
      <c r="F922" t="s">
        <v>23</v>
      </c>
      <c r="G922" s="2">
        <v>0</v>
      </c>
      <c r="H922" s="2">
        <v>3300</v>
      </c>
      <c r="I922" s="2">
        <v>3300</v>
      </c>
      <c r="J922" s="2">
        <v>0</v>
      </c>
      <c r="K922" s="2">
        <v>3300</v>
      </c>
      <c r="L922" s="2" t="str">
        <f>_xlfn.XLOOKUP(Data_Nhập[[#This Row],[Main SKU]],MD_Main_SKU[Main SKU],MD_Main_SKU[SKU name_gom])</f>
        <v>WSS01</v>
      </c>
      <c r="M922" s="2" t="str">
        <f>_xlfn.XLOOKUP(Data_Nhập[[#This Row],[Material-Nhập]],MD_Main_SKU[Main SKU],MD_Main_SKU[SKU name_gom])</f>
        <v>WSS03</v>
      </c>
    </row>
    <row r="923" spans="1:13" x14ac:dyDescent="0.35">
      <c r="A923">
        <v>2025</v>
      </c>
      <c r="B923">
        <v>9</v>
      </c>
      <c r="C923" t="s">
        <v>16</v>
      </c>
      <c r="D923" t="s">
        <v>17</v>
      </c>
      <c r="E923" t="s">
        <v>40</v>
      </c>
      <c r="F923" t="s">
        <v>41</v>
      </c>
      <c r="G923" s="2">
        <v>0</v>
      </c>
      <c r="H923" s="2">
        <v>19800</v>
      </c>
      <c r="I923" s="2">
        <v>19800</v>
      </c>
      <c r="J923" s="2">
        <v>0</v>
      </c>
      <c r="K923" s="2">
        <v>19800</v>
      </c>
      <c r="L923" s="2" t="str">
        <f>_xlfn.XLOOKUP(Data_Nhập[[#This Row],[Main SKU]],MD_Main_SKU[Main SKU],MD_Main_SKU[SKU name_gom])</f>
        <v>WSS01</v>
      </c>
      <c r="M923" s="2" t="str">
        <f>_xlfn.XLOOKUP(Data_Nhập[[#This Row],[Material-Nhập]],MD_Main_SKU[Main SKU],MD_Main_SKU[SKU name_gom])</f>
        <v>WSS01-PL</v>
      </c>
    </row>
    <row r="924" spans="1:13" x14ac:dyDescent="0.35">
      <c r="A924">
        <v>2025</v>
      </c>
      <c r="B924">
        <v>9</v>
      </c>
      <c r="C924" t="s">
        <v>16</v>
      </c>
      <c r="D924" t="s">
        <v>17</v>
      </c>
      <c r="E924" t="s">
        <v>42</v>
      </c>
      <c r="F924" t="s">
        <v>43</v>
      </c>
      <c r="G924" s="2">
        <v>0</v>
      </c>
      <c r="H924" s="2">
        <v>1100</v>
      </c>
      <c r="I924" s="2">
        <v>1100</v>
      </c>
      <c r="J924" s="2">
        <v>0</v>
      </c>
      <c r="K924" s="2">
        <v>1100</v>
      </c>
      <c r="L924" s="2" t="str">
        <f>_xlfn.XLOOKUP(Data_Nhập[[#This Row],[Main SKU]],MD_Main_SKU[Main SKU],MD_Main_SKU[SKU name_gom])</f>
        <v>WSS01</v>
      </c>
      <c r="M924" s="2" t="str">
        <f>_xlfn.XLOOKUP(Data_Nhập[[#This Row],[Material-Nhập]],MD_Main_SKU[Main SKU],MD_Main_SKU[SKU name_gom])</f>
        <v>iSS01-PL</v>
      </c>
    </row>
    <row r="925" spans="1:13" x14ac:dyDescent="0.35">
      <c r="A925">
        <v>2025</v>
      </c>
      <c r="B925">
        <v>9</v>
      </c>
      <c r="C925" t="s">
        <v>16</v>
      </c>
      <c r="D925" t="s">
        <v>17</v>
      </c>
      <c r="E925" t="s">
        <v>34</v>
      </c>
      <c r="F925" t="s">
        <v>35</v>
      </c>
      <c r="G925" s="2">
        <v>0</v>
      </c>
      <c r="H925" s="2">
        <v>7700.0000000000009</v>
      </c>
      <c r="I925" s="2">
        <v>7700.0000000000009</v>
      </c>
      <c r="J925" s="2">
        <v>0</v>
      </c>
      <c r="K925" s="2">
        <v>7700.0000000000009</v>
      </c>
      <c r="L925" s="2" t="str">
        <f>_xlfn.XLOOKUP(Data_Nhập[[#This Row],[Main SKU]],MD_Main_SKU[Main SKU],MD_Main_SKU[SKU name_gom])</f>
        <v>WSS01</v>
      </c>
      <c r="M925" s="2" t="str">
        <f>_xlfn.XLOOKUP(Data_Nhập[[#This Row],[Material-Nhập]],MD_Main_SKU[Main SKU],MD_Main_SKU[SKU name_gom])</f>
        <v>WSS03-PL</v>
      </c>
    </row>
    <row r="926" spans="1:13" x14ac:dyDescent="0.35">
      <c r="A926">
        <v>2025</v>
      </c>
      <c r="B926">
        <v>9</v>
      </c>
      <c r="C926" t="s">
        <v>16</v>
      </c>
      <c r="D926" t="s">
        <v>17</v>
      </c>
      <c r="E926" t="s">
        <v>87</v>
      </c>
      <c r="F926" t="s">
        <v>88</v>
      </c>
      <c r="G926" s="2">
        <v>0</v>
      </c>
      <c r="H926" s="2">
        <v>0</v>
      </c>
      <c r="I926" s="2">
        <v>0</v>
      </c>
      <c r="J926" s="2">
        <v>21219.999999999996</v>
      </c>
      <c r="K926" s="2">
        <v>21219.999999999996</v>
      </c>
      <c r="L926" s="2" t="str">
        <f>_xlfn.XLOOKUP(Data_Nhập[[#This Row],[Main SKU]],MD_Main_SKU[Main SKU],MD_Main_SKU[SKU name_gom])</f>
        <v>WSS01</v>
      </c>
      <c r="M926" s="2" t="str">
        <f>_xlfn.XLOOKUP(Data_Nhập[[#This Row],[Material-Nhập]],MD_Main_SKU[Main SKU],MD_Main_SKU[SKU name_gom])</f>
        <v>Phó sản</v>
      </c>
    </row>
    <row r="927" spans="1:13" x14ac:dyDescent="0.35">
      <c r="A927">
        <v>2025</v>
      </c>
      <c r="B927">
        <v>9</v>
      </c>
      <c r="C927" t="s">
        <v>16</v>
      </c>
      <c r="D927" t="s">
        <v>17</v>
      </c>
      <c r="E927" t="s">
        <v>93</v>
      </c>
      <c r="F927" t="s">
        <v>94</v>
      </c>
      <c r="G927" s="2">
        <v>0</v>
      </c>
      <c r="H927" s="2">
        <v>0</v>
      </c>
      <c r="I927" s="2">
        <v>0</v>
      </c>
      <c r="J927" s="2">
        <v>520</v>
      </c>
      <c r="K927" s="2">
        <v>520</v>
      </c>
      <c r="L927" s="2" t="str">
        <f>_xlfn.XLOOKUP(Data_Nhập[[#This Row],[Main SKU]],MD_Main_SKU[Main SKU],MD_Main_SKU[SKU name_gom])</f>
        <v>WSS01</v>
      </c>
      <c r="M927" s="2" t="str">
        <f>_xlfn.XLOOKUP(Data_Nhập[[#This Row],[Material-Nhập]],MD_Main_SKU[Main SKU],MD_Main_SKU[SKU name_gom])</f>
        <v>Phó sản</v>
      </c>
    </row>
    <row r="928" spans="1:13" x14ac:dyDescent="0.35">
      <c r="A928">
        <v>2025</v>
      </c>
      <c r="B928">
        <v>9</v>
      </c>
      <c r="C928" t="s">
        <v>16</v>
      </c>
      <c r="D928" t="s">
        <v>17</v>
      </c>
      <c r="E928" t="s">
        <v>117</v>
      </c>
      <c r="F928" t="s">
        <v>86</v>
      </c>
      <c r="G928" s="2">
        <v>0</v>
      </c>
      <c r="H928" s="2">
        <v>0</v>
      </c>
      <c r="I928" s="2">
        <v>0</v>
      </c>
      <c r="J928" s="2">
        <v>25191.999999999996</v>
      </c>
      <c r="K928" s="2">
        <v>25191.999999999996</v>
      </c>
      <c r="L928" s="2" t="str">
        <f>_xlfn.XLOOKUP(Data_Nhập[[#This Row],[Main SKU]],MD_Main_SKU[Main SKU],MD_Main_SKU[SKU name_gom])</f>
        <v>WSS01</v>
      </c>
      <c r="M928" s="2" t="str">
        <f>_xlfn.XLOOKUP(Data_Nhập[[#This Row],[Material-Nhập]],MD_Main_SKU[Main SKU],MD_Main_SKU[SKU name_gom])</f>
        <v>Phó sản</v>
      </c>
    </row>
    <row r="929" spans="1:13" x14ac:dyDescent="0.35">
      <c r="A929">
        <v>2025</v>
      </c>
      <c r="B929">
        <v>9</v>
      </c>
      <c r="C929" t="s">
        <v>16</v>
      </c>
      <c r="D929" t="s">
        <v>17</v>
      </c>
      <c r="E929" t="s">
        <v>128</v>
      </c>
      <c r="F929" t="s">
        <v>129</v>
      </c>
      <c r="G929" s="2">
        <v>0</v>
      </c>
      <c r="H929" s="2">
        <v>0</v>
      </c>
      <c r="I929" s="2">
        <v>0</v>
      </c>
      <c r="J929" s="2">
        <v>16500</v>
      </c>
      <c r="K929" s="2">
        <v>16500</v>
      </c>
      <c r="L929" s="2" t="str">
        <f>_xlfn.XLOOKUP(Data_Nhập[[#This Row],[Main SKU]],MD_Main_SKU[Main SKU],MD_Main_SKU[SKU name_gom])</f>
        <v>WSS01</v>
      </c>
      <c r="M929" s="2" t="str">
        <f>_xlfn.XLOOKUP(Data_Nhập[[#This Row],[Material-Nhập]],MD_Main_SKU[Main SKU],MD_Main_SKU[SKU name_gom])</f>
        <v>Phó sản</v>
      </c>
    </row>
    <row r="930" spans="1:13" x14ac:dyDescent="0.35">
      <c r="A930">
        <v>2025</v>
      </c>
      <c r="B930">
        <v>9</v>
      </c>
      <c r="C930" t="s">
        <v>22</v>
      </c>
      <c r="D930" t="s">
        <v>23</v>
      </c>
      <c r="E930" t="s">
        <v>22</v>
      </c>
      <c r="F930" t="s">
        <v>23</v>
      </c>
      <c r="G930" s="2">
        <v>157300</v>
      </c>
      <c r="H930" s="2">
        <v>0</v>
      </c>
      <c r="I930" s="2">
        <v>157300</v>
      </c>
      <c r="J930" s="2">
        <v>0</v>
      </c>
      <c r="K930" s="2">
        <v>157300</v>
      </c>
      <c r="L930" s="2" t="str">
        <f>_xlfn.XLOOKUP(Data_Nhập[[#This Row],[Main SKU]],MD_Main_SKU[Main SKU],MD_Main_SKU[SKU name_gom])</f>
        <v>WSS03</v>
      </c>
      <c r="M930" s="2" t="str">
        <f>_xlfn.XLOOKUP(Data_Nhập[[#This Row],[Material-Nhập]],MD_Main_SKU[Main SKU],MD_Main_SKU[SKU name_gom])</f>
        <v>WSS03</v>
      </c>
    </row>
    <row r="931" spans="1:13" x14ac:dyDescent="0.35">
      <c r="A931">
        <v>2025</v>
      </c>
      <c r="B931">
        <v>9</v>
      </c>
      <c r="C931" t="s">
        <v>22</v>
      </c>
      <c r="D931" t="s">
        <v>23</v>
      </c>
      <c r="E931" t="s">
        <v>87</v>
      </c>
      <c r="F931" t="s">
        <v>88</v>
      </c>
      <c r="G931" s="2">
        <v>0</v>
      </c>
      <c r="H931" s="2">
        <v>0</v>
      </c>
      <c r="I931" s="2">
        <v>0</v>
      </c>
      <c r="J931" s="2">
        <v>2800</v>
      </c>
      <c r="K931" s="2">
        <v>2800</v>
      </c>
      <c r="L931" s="2" t="str">
        <f>_xlfn.XLOOKUP(Data_Nhập[[#This Row],[Main SKU]],MD_Main_SKU[Main SKU],MD_Main_SKU[SKU name_gom])</f>
        <v>WSS03</v>
      </c>
      <c r="M931" s="2" t="str">
        <f>_xlfn.XLOOKUP(Data_Nhập[[#This Row],[Material-Nhập]],MD_Main_SKU[Main SKU],MD_Main_SKU[SKU name_gom])</f>
        <v>Phó sản</v>
      </c>
    </row>
    <row r="932" spans="1:13" x14ac:dyDescent="0.35">
      <c r="A932">
        <v>2025</v>
      </c>
      <c r="B932">
        <v>9</v>
      </c>
      <c r="C932" t="s">
        <v>22</v>
      </c>
      <c r="D932" t="s">
        <v>23</v>
      </c>
      <c r="E932" t="s">
        <v>117</v>
      </c>
      <c r="F932" t="s">
        <v>86</v>
      </c>
      <c r="G932" s="2">
        <v>0</v>
      </c>
      <c r="H932" s="2">
        <v>0</v>
      </c>
      <c r="I932" s="2">
        <v>0</v>
      </c>
      <c r="J932" s="2">
        <v>5420</v>
      </c>
      <c r="K932" s="2">
        <v>5420</v>
      </c>
      <c r="L932" s="2" t="str">
        <f>_xlfn.XLOOKUP(Data_Nhập[[#This Row],[Main SKU]],MD_Main_SKU[Main SKU],MD_Main_SKU[SKU name_gom])</f>
        <v>WSS03</v>
      </c>
      <c r="M932" s="2" t="str">
        <f>_xlfn.XLOOKUP(Data_Nhập[[#This Row],[Material-Nhập]],MD_Main_SKU[Main SKU],MD_Main_SKU[SKU name_gom])</f>
        <v>Phó sản</v>
      </c>
    </row>
    <row r="933" spans="1:13" x14ac:dyDescent="0.35">
      <c r="A933">
        <v>2025</v>
      </c>
      <c r="B933">
        <v>9</v>
      </c>
      <c r="C933" t="s">
        <v>26</v>
      </c>
      <c r="D933" t="s">
        <v>27</v>
      </c>
      <c r="E933" t="s">
        <v>22</v>
      </c>
      <c r="F933" t="s">
        <v>23</v>
      </c>
      <c r="G933" s="2">
        <v>0</v>
      </c>
      <c r="H933" s="2">
        <v>1100</v>
      </c>
      <c r="I933" s="2">
        <v>1100</v>
      </c>
      <c r="J933" s="2">
        <v>0</v>
      </c>
      <c r="K933" s="2">
        <v>1100</v>
      </c>
      <c r="L933" s="2" t="str">
        <f>_xlfn.XLOOKUP(Data_Nhập[[#This Row],[Main SKU]],MD_Main_SKU[Main SKU],MD_Main_SKU[SKU name_gom])</f>
        <v>iSS01</v>
      </c>
      <c r="M933" s="2" t="str">
        <f>_xlfn.XLOOKUP(Data_Nhập[[#This Row],[Material-Nhập]],MD_Main_SKU[Main SKU],MD_Main_SKU[SKU name_gom])</f>
        <v>WSS03</v>
      </c>
    </row>
    <row r="934" spans="1:13" x14ac:dyDescent="0.35">
      <c r="A934">
        <v>2025</v>
      </c>
      <c r="B934">
        <v>9</v>
      </c>
      <c r="C934" t="s">
        <v>26</v>
      </c>
      <c r="D934" t="s">
        <v>27</v>
      </c>
      <c r="E934" t="s">
        <v>24</v>
      </c>
      <c r="F934" t="s">
        <v>25</v>
      </c>
      <c r="G934" s="2">
        <v>0</v>
      </c>
      <c r="H934" s="2">
        <v>35200.000000000007</v>
      </c>
      <c r="I934" s="2">
        <v>35200.000000000007</v>
      </c>
      <c r="J934" s="2">
        <v>0</v>
      </c>
      <c r="K934" s="2">
        <v>35200.000000000007</v>
      </c>
      <c r="L934" s="2" t="str">
        <f>_xlfn.XLOOKUP(Data_Nhập[[#This Row],[Main SKU]],MD_Main_SKU[Main SKU],MD_Main_SKU[SKU name_gom])</f>
        <v>iSS01</v>
      </c>
      <c r="M934" s="2" t="str">
        <f>_xlfn.XLOOKUP(Data_Nhập[[#This Row],[Material-Nhập]],MD_Main_SKU[Main SKU],MD_Main_SKU[SKU name_gom])</f>
        <v>WSS01</v>
      </c>
    </row>
    <row r="935" spans="1:13" x14ac:dyDescent="0.35">
      <c r="A935">
        <v>2025</v>
      </c>
      <c r="B935">
        <v>9</v>
      </c>
      <c r="C935" t="s">
        <v>26</v>
      </c>
      <c r="D935" t="s">
        <v>27</v>
      </c>
      <c r="E935" t="s">
        <v>26</v>
      </c>
      <c r="F935" t="s">
        <v>27</v>
      </c>
      <c r="G935" s="2">
        <v>806300</v>
      </c>
      <c r="H935" s="2">
        <v>0</v>
      </c>
      <c r="I935" s="2">
        <v>806300</v>
      </c>
      <c r="J935" s="2">
        <v>0</v>
      </c>
      <c r="K935" s="2">
        <v>806300</v>
      </c>
      <c r="L935" s="2" t="str">
        <f>_xlfn.XLOOKUP(Data_Nhập[[#This Row],[Main SKU]],MD_Main_SKU[Main SKU],MD_Main_SKU[SKU name_gom])</f>
        <v>iSS01</v>
      </c>
      <c r="M935" s="2" t="str">
        <f>_xlfn.XLOOKUP(Data_Nhập[[#This Row],[Material-Nhập]],MD_Main_SKU[Main SKU],MD_Main_SKU[SKU name_gom])</f>
        <v>iSS01</v>
      </c>
    </row>
    <row r="936" spans="1:13" x14ac:dyDescent="0.35">
      <c r="A936">
        <v>2025</v>
      </c>
      <c r="B936">
        <v>9</v>
      </c>
      <c r="C936" t="s">
        <v>26</v>
      </c>
      <c r="D936" t="s">
        <v>27</v>
      </c>
      <c r="E936" t="s">
        <v>50</v>
      </c>
      <c r="F936" t="s">
        <v>51</v>
      </c>
      <c r="G936" s="2">
        <v>0</v>
      </c>
      <c r="H936" s="2">
        <v>8800</v>
      </c>
      <c r="I936" s="2">
        <v>8800</v>
      </c>
      <c r="J936" s="2">
        <v>0</v>
      </c>
      <c r="K936" s="2">
        <v>8800</v>
      </c>
      <c r="L936" s="2" t="str">
        <f>_xlfn.XLOOKUP(Data_Nhập[[#This Row],[Main SKU]],MD_Main_SKU[Main SKU],MD_Main_SKU[SKU name_gom])</f>
        <v>iSS01</v>
      </c>
      <c r="M936" s="2" t="str">
        <f>_xlfn.XLOOKUP(Data_Nhập[[#This Row],[Material-Nhập]],MD_Main_SKU[Main SKU],MD_Main_SKU[SKU name_gom])</f>
        <v>iSS01-PL</v>
      </c>
    </row>
    <row r="937" spans="1:13" x14ac:dyDescent="0.35">
      <c r="A937">
        <v>2025</v>
      </c>
      <c r="B937">
        <v>9</v>
      </c>
      <c r="C937" t="s">
        <v>26</v>
      </c>
      <c r="D937" t="s">
        <v>27</v>
      </c>
      <c r="E937" t="s">
        <v>87</v>
      </c>
      <c r="F937" t="s">
        <v>88</v>
      </c>
      <c r="G937" s="2">
        <v>0</v>
      </c>
      <c r="H937" s="2">
        <v>0</v>
      </c>
      <c r="I937" s="2">
        <v>0</v>
      </c>
      <c r="J937" s="2">
        <v>18550</v>
      </c>
      <c r="K937" s="2">
        <v>18550</v>
      </c>
      <c r="L937" s="2" t="str">
        <f>_xlfn.XLOOKUP(Data_Nhập[[#This Row],[Main SKU]],MD_Main_SKU[Main SKU],MD_Main_SKU[SKU name_gom])</f>
        <v>iSS01</v>
      </c>
      <c r="M937" s="2" t="str">
        <f>_xlfn.XLOOKUP(Data_Nhập[[#This Row],[Material-Nhập]],MD_Main_SKU[Main SKU],MD_Main_SKU[SKU name_gom])</f>
        <v>Phó sản</v>
      </c>
    </row>
    <row r="938" spans="1:13" x14ac:dyDescent="0.35">
      <c r="A938">
        <v>2025</v>
      </c>
      <c r="B938">
        <v>9</v>
      </c>
      <c r="C938" t="s">
        <v>26</v>
      </c>
      <c r="D938" t="s">
        <v>27</v>
      </c>
      <c r="E938" t="s">
        <v>117</v>
      </c>
      <c r="F938" t="s">
        <v>86</v>
      </c>
      <c r="G938" s="2">
        <v>0</v>
      </c>
      <c r="H938" s="2">
        <v>0</v>
      </c>
      <c r="I938" s="2">
        <v>0</v>
      </c>
      <c r="J938" s="2">
        <v>12490</v>
      </c>
      <c r="K938" s="2">
        <v>12490</v>
      </c>
      <c r="L938" s="2" t="str">
        <f>_xlfn.XLOOKUP(Data_Nhập[[#This Row],[Main SKU]],MD_Main_SKU[Main SKU],MD_Main_SKU[SKU name_gom])</f>
        <v>iSS01</v>
      </c>
      <c r="M938" s="2" t="str">
        <f>_xlfn.XLOOKUP(Data_Nhập[[#This Row],[Material-Nhập]],MD_Main_SKU[Main SKU],MD_Main_SKU[SKU name_gom])</f>
        <v>Phó sản</v>
      </c>
    </row>
    <row r="939" spans="1:13" x14ac:dyDescent="0.35">
      <c r="A939">
        <v>2025</v>
      </c>
      <c r="B939">
        <v>9</v>
      </c>
      <c r="C939" t="s">
        <v>26</v>
      </c>
      <c r="D939" t="s">
        <v>27</v>
      </c>
      <c r="E939" t="s">
        <v>132</v>
      </c>
      <c r="F939" t="s">
        <v>133</v>
      </c>
      <c r="G939" s="2">
        <v>0</v>
      </c>
      <c r="H939" s="2">
        <v>0</v>
      </c>
      <c r="I939" s="2">
        <v>0</v>
      </c>
      <c r="J939" s="2">
        <v>2200</v>
      </c>
      <c r="K939" s="2">
        <v>2200</v>
      </c>
      <c r="L939" s="2" t="str">
        <f>_xlfn.XLOOKUP(Data_Nhập[[#This Row],[Main SKU]],MD_Main_SKU[Main SKU],MD_Main_SKU[SKU name_gom])</f>
        <v>iSS01</v>
      </c>
      <c r="M939" s="2" t="str">
        <f>_xlfn.XLOOKUP(Data_Nhập[[#This Row],[Material-Nhập]],MD_Main_SKU[Main SKU],MD_Main_SKU[SKU name_gom])</f>
        <v>Phó sản</v>
      </c>
    </row>
    <row r="940" spans="1:13" x14ac:dyDescent="0.35">
      <c r="A940">
        <v>2025</v>
      </c>
      <c r="B940">
        <v>9</v>
      </c>
      <c r="C940" t="s">
        <v>115</v>
      </c>
      <c r="D940" t="s">
        <v>116</v>
      </c>
      <c r="E940" t="s">
        <v>115</v>
      </c>
      <c r="F940" t="s">
        <v>116</v>
      </c>
      <c r="G940" s="2">
        <v>305448</v>
      </c>
      <c r="H940" s="2">
        <v>0</v>
      </c>
      <c r="I940" s="2">
        <v>305448</v>
      </c>
      <c r="J940" s="2">
        <v>0</v>
      </c>
      <c r="K940" s="2">
        <v>305448</v>
      </c>
      <c r="L940" s="2" t="str">
        <f>_xlfn.XLOOKUP(Data_Nhập[[#This Row],[Main SKU]],MD_Main_SKU[Main SKU],MD_Main_SKU[SKU name_gom])</f>
        <v>WSS05</v>
      </c>
      <c r="M940" s="2" t="str">
        <f>_xlfn.XLOOKUP(Data_Nhập[[#This Row],[Material-Nhập]],MD_Main_SKU[Main SKU],MD_Main_SKU[SKU name_gom])</f>
        <v>WSS05</v>
      </c>
    </row>
    <row r="941" spans="1:13" x14ac:dyDescent="0.35">
      <c r="A941">
        <v>2025</v>
      </c>
      <c r="B941">
        <v>9</v>
      </c>
      <c r="C941" t="s">
        <v>115</v>
      </c>
      <c r="D941" t="s">
        <v>116</v>
      </c>
      <c r="E941" t="s">
        <v>124</v>
      </c>
      <c r="F941" t="s">
        <v>125</v>
      </c>
      <c r="G941" s="2">
        <v>0</v>
      </c>
      <c r="H941" s="2">
        <v>11550</v>
      </c>
      <c r="I941" s="2">
        <v>11550</v>
      </c>
      <c r="J941" s="2">
        <v>0</v>
      </c>
      <c r="K941" s="2">
        <v>11550</v>
      </c>
      <c r="L941" s="2" t="str">
        <f>_xlfn.XLOOKUP(Data_Nhập[[#This Row],[Main SKU]],MD_Main_SKU[Main SKU],MD_Main_SKU[SKU name_gom])</f>
        <v>WSS05</v>
      </c>
      <c r="M941" s="2" t="str">
        <f>_xlfn.XLOOKUP(Data_Nhập[[#This Row],[Material-Nhập]],MD_Main_SKU[Main SKU],MD_Main_SKU[SKU name_gom])</f>
        <v>WSS06</v>
      </c>
    </row>
    <row r="942" spans="1:13" x14ac:dyDescent="0.35">
      <c r="A942">
        <v>2025</v>
      </c>
      <c r="B942">
        <v>9</v>
      </c>
      <c r="C942" t="s">
        <v>115</v>
      </c>
      <c r="D942" t="s">
        <v>116</v>
      </c>
      <c r="E942" t="s">
        <v>87</v>
      </c>
      <c r="F942" t="s">
        <v>88</v>
      </c>
      <c r="G942" s="2">
        <v>0</v>
      </c>
      <c r="H942" s="2">
        <v>0</v>
      </c>
      <c r="I942" s="2">
        <v>0</v>
      </c>
      <c r="J942" s="2">
        <v>15167</v>
      </c>
      <c r="K942" s="2">
        <v>15167</v>
      </c>
      <c r="L942" s="2" t="str">
        <f>_xlfn.XLOOKUP(Data_Nhập[[#This Row],[Main SKU]],MD_Main_SKU[Main SKU],MD_Main_SKU[SKU name_gom])</f>
        <v>WSS05</v>
      </c>
      <c r="M942" s="2" t="str">
        <f>_xlfn.XLOOKUP(Data_Nhập[[#This Row],[Material-Nhập]],MD_Main_SKU[Main SKU],MD_Main_SKU[SKU name_gom])</f>
        <v>Phó sản</v>
      </c>
    </row>
    <row r="943" spans="1:13" x14ac:dyDescent="0.35">
      <c r="A943">
        <v>2025</v>
      </c>
      <c r="B943">
        <v>9</v>
      </c>
      <c r="C943" t="s">
        <v>115</v>
      </c>
      <c r="D943" t="s">
        <v>116</v>
      </c>
      <c r="E943" t="s">
        <v>117</v>
      </c>
      <c r="F943" t="s">
        <v>86</v>
      </c>
      <c r="G943" s="2">
        <v>0</v>
      </c>
      <c r="H943" s="2">
        <v>0</v>
      </c>
      <c r="I943" s="2">
        <v>0</v>
      </c>
      <c r="J943" s="2">
        <v>9238</v>
      </c>
      <c r="K943" s="2">
        <v>9238</v>
      </c>
      <c r="L943" s="2" t="str">
        <f>_xlfn.XLOOKUP(Data_Nhập[[#This Row],[Main SKU]],MD_Main_SKU[Main SKU],MD_Main_SKU[SKU name_gom])</f>
        <v>WSS05</v>
      </c>
      <c r="M943" s="2" t="str">
        <f>_xlfn.XLOOKUP(Data_Nhập[[#This Row],[Material-Nhập]],MD_Main_SKU[Main SKU],MD_Main_SKU[SKU name_gom])</f>
        <v>Phó sản</v>
      </c>
    </row>
    <row r="944" spans="1:13" x14ac:dyDescent="0.35">
      <c r="A944">
        <v>2025</v>
      </c>
      <c r="B944">
        <v>9</v>
      </c>
      <c r="C944" t="s">
        <v>48</v>
      </c>
      <c r="D944" t="s">
        <v>49</v>
      </c>
      <c r="E944" t="s">
        <v>22</v>
      </c>
      <c r="F944" t="s">
        <v>23</v>
      </c>
      <c r="G944" s="2">
        <v>0</v>
      </c>
      <c r="H944" s="2">
        <v>1100</v>
      </c>
      <c r="I944" s="2">
        <v>1100</v>
      </c>
      <c r="J944" s="2">
        <v>0</v>
      </c>
      <c r="K944" s="2">
        <v>1100</v>
      </c>
      <c r="L944" s="2" t="str">
        <f>_xlfn.XLOOKUP(Data_Nhập[[#This Row],[Main SKU]],MD_Main_SKU[Main SKU],MD_Main_SKU[SKU name_gom])</f>
        <v>WSS01</v>
      </c>
      <c r="M944" s="2" t="str">
        <f>_xlfn.XLOOKUP(Data_Nhập[[#This Row],[Material-Nhập]],MD_Main_SKU[Main SKU],MD_Main_SKU[SKU name_gom])</f>
        <v>WSS03</v>
      </c>
    </row>
    <row r="945" spans="1:13" x14ac:dyDescent="0.35">
      <c r="A945">
        <v>2025</v>
      </c>
      <c r="B945">
        <v>9</v>
      </c>
      <c r="C945" t="s">
        <v>48</v>
      </c>
      <c r="D945" t="s">
        <v>49</v>
      </c>
      <c r="E945" t="s">
        <v>48</v>
      </c>
      <c r="F945" t="s">
        <v>49</v>
      </c>
      <c r="G945" s="2">
        <v>51700</v>
      </c>
      <c r="H945" s="2">
        <v>0</v>
      </c>
      <c r="I945" s="2">
        <v>51700</v>
      </c>
      <c r="J945" s="2">
        <v>0</v>
      </c>
      <c r="K945" s="2">
        <v>51700</v>
      </c>
      <c r="L945" s="2" t="str">
        <f>_xlfn.XLOOKUP(Data_Nhập[[#This Row],[Main SKU]],MD_Main_SKU[Main SKU],MD_Main_SKU[SKU name_gom])</f>
        <v>WSS01</v>
      </c>
      <c r="M945" s="2" t="str">
        <f>_xlfn.XLOOKUP(Data_Nhập[[#This Row],[Material-Nhập]],MD_Main_SKU[Main SKU],MD_Main_SKU[SKU name_gom])</f>
        <v>WSS01</v>
      </c>
    </row>
    <row r="946" spans="1:13" x14ac:dyDescent="0.35">
      <c r="A946">
        <v>2025</v>
      </c>
      <c r="B946">
        <v>9</v>
      </c>
      <c r="C946" t="s">
        <v>48</v>
      </c>
      <c r="D946" t="s">
        <v>49</v>
      </c>
      <c r="E946" t="s">
        <v>87</v>
      </c>
      <c r="F946" t="s">
        <v>88</v>
      </c>
      <c r="G946" s="2">
        <v>0</v>
      </c>
      <c r="H946" s="2">
        <v>0</v>
      </c>
      <c r="I946" s="2">
        <v>0</v>
      </c>
      <c r="J946" s="2">
        <v>350</v>
      </c>
      <c r="K946" s="2">
        <v>350</v>
      </c>
      <c r="L946" s="2" t="str">
        <f>_xlfn.XLOOKUP(Data_Nhập[[#This Row],[Main SKU]],MD_Main_SKU[Main SKU],MD_Main_SKU[SKU name_gom])</f>
        <v>WSS01</v>
      </c>
      <c r="M946" s="2" t="str">
        <f>_xlfn.XLOOKUP(Data_Nhập[[#This Row],[Material-Nhập]],MD_Main_SKU[Main SKU],MD_Main_SKU[SKU name_gom])</f>
        <v>Phó sản</v>
      </c>
    </row>
    <row r="947" spans="1:13" x14ac:dyDescent="0.35">
      <c r="A947">
        <v>2025</v>
      </c>
      <c r="B947">
        <v>9</v>
      </c>
      <c r="C947" t="s">
        <v>136</v>
      </c>
      <c r="D947" t="s">
        <v>137</v>
      </c>
      <c r="E947" t="s">
        <v>136</v>
      </c>
      <c r="F947" t="s">
        <v>137</v>
      </c>
      <c r="G947" s="2">
        <v>21000</v>
      </c>
      <c r="H947" s="2">
        <v>0</v>
      </c>
      <c r="I947" s="2">
        <v>21000</v>
      </c>
      <c r="J947" s="2">
        <v>0</v>
      </c>
      <c r="K947" s="2">
        <v>21000</v>
      </c>
      <c r="L947" s="2" t="str">
        <f>_xlfn.XLOOKUP(Data_Nhập[[#This Row],[Main SKU]],MD_Main_SKU[Main SKU],MD_Main_SKU[SKU name_gom])</f>
        <v>Khác</v>
      </c>
      <c r="M947" s="2" t="str">
        <f>_xlfn.XLOOKUP(Data_Nhập[[#This Row],[Material-Nhập]],MD_Main_SKU[Main SKU],MD_Main_SKU[SKU name_gom])</f>
        <v>Khác</v>
      </c>
    </row>
    <row r="948" spans="1:13" x14ac:dyDescent="0.35">
      <c r="A948">
        <v>2025</v>
      </c>
      <c r="B948">
        <v>9</v>
      </c>
      <c r="C948" t="s">
        <v>136</v>
      </c>
      <c r="D948" t="s">
        <v>137</v>
      </c>
      <c r="E948" t="s">
        <v>87</v>
      </c>
      <c r="F948" t="s">
        <v>88</v>
      </c>
      <c r="G948" s="2">
        <v>0</v>
      </c>
      <c r="H948" s="2">
        <v>0</v>
      </c>
      <c r="I948" s="2">
        <v>0</v>
      </c>
      <c r="J948" s="2">
        <v>700</v>
      </c>
      <c r="K948" s="2">
        <v>700</v>
      </c>
      <c r="L948" s="2" t="str">
        <f>_xlfn.XLOOKUP(Data_Nhập[[#This Row],[Main SKU]],MD_Main_SKU[Main SKU],MD_Main_SKU[SKU name_gom])</f>
        <v>Khác</v>
      </c>
      <c r="M948" s="2" t="str">
        <f>_xlfn.XLOOKUP(Data_Nhập[[#This Row],[Material-Nhập]],MD_Main_SKU[Main SKU],MD_Main_SKU[SKU name_gom])</f>
        <v>Phó sản</v>
      </c>
    </row>
    <row r="949" spans="1:13" x14ac:dyDescent="0.35">
      <c r="A949">
        <v>2025</v>
      </c>
      <c r="B949">
        <v>10</v>
      </c>
      <c r="C949" t="s">
        <v>8</v>
      </c>
      <c r="D949" t="s">
        <v>9</v>
      </c>
      <c r="E949" t="s">
        <v>8</v>
      </c>
      <c r="F949" t="s">
        <v>9</v>
      </c>
      <c r="G949" s="2">
        <v>394900</v>
      </c>
      <c r="H949" s="2">
        <v>0</v>
      </c>
      <c r="I949" s="2">
        <v>394900</v>
      </c>
      <c r="J949" s="2">
        <v>0</v>
      </c>
      <c r="K949" s="2">
        <v>394900</v>
      </c>
      <c r="L949" s="2" t="str">
        <f>_xlfn.XLOOKUP(Data_Nhập[[#This Row],[Main SKU]],MD_Main_SKU[Main SKU],MD_Main_SKU[SKU name_gom])</f>
        <v>WSS01</v>
      </c>
      <c r="M949" s="2" t="str">
        <f>_xlfn.XLOOKUP(Data_Nhập[[#This Row],[Material-Nhập]],MD_Main_SKU[Main SKU],MD_Main_SKU[SKU name_gom])</f>
        <v>WSS01</v>
      </c>
    </row>
    <row r="950" spans="1:13" x14ac:dyDescent="0.35">
      <c r="A950">
        <v>2025</v>
      </c>
      <c r="B950">
        <v>10</v>
      </c>
      <c r="C950" t="s">
        <v>8</v>
      </c>
      <c r="D950" t="s">
        <v>9</v>
      </c>
      <c r="E950" t="s">
        <v>22</v>
      </c>
      <c r="F950" t="s">
        <v>23</v>
      </c>
      <c r="G950" s="2">
        <v>0</v>
      </c>
      <c r="H950" s="2">
        <v>9900</v>
      </c>
      <c r="I950" s="2">
        <v>9900</v>
      </c>
      <c r="J950" s="2">
        <v>0</v>
      </c>
      <c r="K950" s="2">
        <v>9900</v>
      </c>
      <c r="L950" s="2" t="str">
        <f>_xlfn.XLOOKUP(Data_Nhập[[#This Row],[Main SKU]],MD_Main_SKU[Main SKU],MD_Main_SKU[SKU name_gom])</f>
        <v>WSS01</v>
      </c>
      <c r="M950" s="2" t="str">
        <f>_xlfn.XLOOKUP(Data_Nhập[[#This Row],[Material-Nhập]],MD_Main_SKU[Main SKU],MD_Main_SKU[SKU name_gom])</f>
        <v>WSS03</v>
      </c>
    </row>
    <row r="951" spans="1:13" x14ac:dyDescent="0.35">
      <c r="A951">
        <v>2025</v>
      </c>
      <c r="B951">
        <v>10</v>
      </c>
      <c r="C951" t="s">
        <v>8</v>
      </c>
      <c r="D951" t="s">
        <v>9</v>
      </c>
      <c r="E951" t="s">
        <v>36</v>
      </c>
      <c r="F951" t="s">
        <v>37</v>
      </c>
      <c r="G951" s="2">
        <v>0</v>
      </c>
      <c r="H951" s="2">
        <v>3300</v>
      </c>
      <c r="I951" s="2">
        <v>3300</v>
      </c>
      <c r="J951" s="2">
        <v>0</v>
      </c>
      <c r="K951" s="2">
        <v>3300</v>
      </c>
      <c r="L951" s="2" t="str">
        <f>_xlfn.XLOOKUP(Data_Nhập[[#This Row],[Main SKU]],MD_Main_SKU[Main SKU],MD_Main_SKU[SKU name_gom])</f>
        <v>WSS01</v>
      </c>
      <c r="M951" s="2" t="str">
        <f>_xlfn.XLOOKUP(Data_Nhập[[#This Row],[Material-Nhập]],MD_Main_SKU[Main SKU],MD_Main_SKU[SKU name_gom])</f>
        <v>WSS01-PL</v>
      </c>
    </row>
    <row r="952" spans="1:13" x14ac:dyDescent="0.35">
      <c r="A952">
        <v>2025</v>
      </c>
      <c r="B952">
        <v>10</v>
      </c>
      <c r="C952" t="s">
        <v>8</v>
      </c>
      <c r="D952" t="s">
        <v>9</v>
      </c>
      <c r="E952" t="s">
        <v>87</v>
      </c>
      <c r="F952" t="s">
        <v>88</v>
      </c>
      <c r="G952" s="2">
        <v>0</v>
      </c>
      <c r="H952" s="2">
        <v>0</v>
      </c>
      <c r="I952" s="2">
        <v>0</v>
      </c>
      <c r="J952" s="2">
        <v>6821</v>
      </c>
      <c r="K952" s="2">
        <v>6821</v>
      </c>
      <c r="L952" s="2" t="str">
        <f>_xlfn.XLOOKUP(Data_Nhập[[#This Row],[Main SKU]],MD_Main_SKU[Main SKU],MD_Main_SKU[SKU name_gom])</f>
        <v>WSS01</v>
      </c>
      <c r="M952" s="2" t="str">
        <f>_xlfn.XLOOKUP(Data_Nhập[[#This Row],[Material-Nhập]],MD_Main_SKU[Main SKU],MD_Main_SKU[SKU name_gom])</f>
        <v>Phó sản</v>
      </c>
    </row>
    <row r="953" spans="1:13" x14ac:dyDescent="0.35">
      <c r="A953">
        <v>2025</v>
      </c>
      <c r="B953">
        <v>10</v>
      </c>
      <c r="C953" t="s">
        <v>8</v>
      </c>
      <c r="D953" t="s">
        <v>9</v>
      </c>
      <c r="E953" t="s">
        <v>91</v>
      </c>
      <c r="F953" t="s">
        <v>92</v>
      </c>
      <c r="G953" s="2">
        <v>0</v>
      </c>
      <c r="H953" s="2">
        <v>0</v>
      </c>
      <c r="I953" s="2">
        <v>0</v>
      </c>
      <c r="J953" s="2">
        <v>2200</v>
      </c>
      <c r="K953" s="2">
        <v>2200</v>
      </c>
      <c r="L953" s="2" t="str">
        <f>_xlfn.XLOOKUP(Data_Nhập[[#This Row],[Main SKU]],MD_Main_SKU[Main SKU],MD_Main_SKU[SKU name_gom])</f>
        <v>WSS01</v>
      </c>
      <c r="M953" s="2" t="str">
        <f>_xlfn.XLOOKUP(Data_Nhập[[#This Row],[Material-Nhập]],MD_Main_SKU[Main SKU],MD_Main_SKU[SKU name_gom])</f>
        <v>Phó sản</v>
      </c>
    </row>
    <row r="954" spans="1:13" x14ac:dyDescent="0.35">
      <c r="A954">
        <v>2025</v>
      </c>
      <c r="B954">
        <v>10</v>
      </c>
      <c r="C954" t="s">
        <v>8</v>
      </c>
      <c r="D954" t="s">
        <v>9</v>
      </c>
      <c r="E954" t="s">
        <v>117</v>
      </c>
      <c r="F954" t="s">
        <v>86</v>
      </c>
      <c r="G954" s="2">
        <v>0</v>
      </c>
      <c r="H954" s="2">
        <v>0</v>
      </c>
      <c r="I954" s="2">
        <v>0</v>
      </c>
      <c r="J954" s="2">
        <v>4382</v>
      </c>
      <c r="K954" s="2">
        <v>4382</v>
      </c>
      <c r="L954" s="2" t="str">
        <f>_xlfn.XLOOKUP(Data_Nhập[[#This Row],[Main SKU]],MD_Main_SKU[Main SKU],MD_Main_SKU[SKU name_gom])</f>
        <v>WSS01</v>
      </c>
      <c r="M954" s="2" t="str">
        <f>_xlfn.XLOOKUP(Data_Nhập[[#This Row],[Material-Nhập]],MD_Main_SKU[Main SKU],MD_Main_SKU[SKU name_gom])</f>
        <v>Phó sản</v>
      </c>
    </row>
    <row r="955" spans="1:13" x14ac:dyDescent="0.35">
      <c r="A955">
        <v>2025</v>
      </c>
      <c r="B955">
        <v>10</v>
      </c>
      <c r="C955" t="s">
        <v>8</v>
      </c>
      <c r="D955" t="s">
        <v>9</v>
      </c>
      <c r="E955" t="s">
        <v>134</v>
      </c>
      <c r="F955" t="s">
        <v>135</v>
      </c>
      <c r="G955" s="2">
        <v>0</v>
      </c>
      <c r="H955" s="2">
        <v>0</v>
      </c>
      <c r="I955" s="2">
        <v>0</v>
      </c>
      <c r="J955" s="2">
        <v>2200</v>
      </c>
      <c r="K955" s="2">
        <v>2200</v>
      </c>
      <c r="L955" s="2" t="str">
        <f>_xlfn.XLOOKUP(Data_Nhập[[#This Row],[Main SKU]],MD_Main_SKU[Main SKU],MD_Main_SKU[SKU name_gom])</f>
        <v>WSS01</v>
      </c>
      <c r="M955" s="2" t="str">
        <f>_xlfn.XLOOKUP(Data_Nhập[[#This Row],[Material-Nhập]],MD_Main_SKU[Main SKU],MD_Main_SKU[SKU name_gom])</f>
        <v>Phó sản</v>
      </c>
    </row>
    <row r="956" spans="1:13" x14ac:dyDescent="0.35">
      <c r="A956">
        <v>2025</v>
      </c>
      <c r="B956">
        <v>10</v>
      </c>
      <c r="C956" t="s">
        <v>14</v>
      </c>
      <c r="D956" t="s">
        <v>15</v>
      </c>
      <c r="E956" t="s">
        <v>14</v>
      </c>
      <c r="F956" t="s">
        <v>15</v>
      </c>
      <c r="G956" s="2">
        <v>728200</v>
      </c>
      <c r="H956" s="2">
        <v>3300</v>
      </c>
      <c r="I956" s="2">
        <v>731500</v>
      </c>
      <c r="J956" s="2">
        <v>0</v>
      </c>
      <c r="K956" s="2">
        <v>731500</v>
      </c>
      <c r="L956" s="2" t="str">
        <f>_xlfn.XLOOKUP(Data_Nhập[[#This Row],[Main SKU]],MD_Main_SKU[Main SKU],MD_Main_SKU[SKU name_gom])</f>
        <v>iSS01084</v>
      </c>
      <c r="M956" s="2" t="str">
        <f>_xlfn.XLOOKUP(Data_Nhập[[#This Row],[Material-Nhập]],MD_Main_SKU[Main SKU],MD_Main_SKU[SKU name_gom])</f>
        <v>iSS01084</v>
      </c>
    </row>
    <row r="957" spans="1:13" x14ac:dyDescent="0.35">
      <c r="A957">
        <v>2025</v>
      </c>
      <c r="B957">
        <v>10</v>
      </c>
      <c r="C957" t="s">
        <v>14</v>
      </c>
      <c r="D957" t="s">
        <v>15</v>
      </c>
      <c r="E957" t="s">
        <v>16</v>
      </c>
      <c r="F957" t="s">
        <v>17</v>
      </c>
      <c r="G957" s="2">
        <v>0</v>
      </c>
      <c r="H957" s="2">
        <v>105600</v>
      </c>
      <c r="I957" s="2">
        <v>105600</v>
      </c>
      <c r="J957" s="2">
        <v>0</v>
      </c>
      <c r="K957" s="2">
        <v>105600</v>
      </c>
      <c r="L957" s="2" t="str">
        <f>_xlfn.XLOOKUP(Data_Nhập[[#This Row],[Main SKU]],MD_Main_SKU[Main SKU],MD_Main_SKU[SKU name_gom])</f>
        <v>iSS01084</v>
      </c>
      <c r="M957" s="2" t="str">
        <f>_xlfn.XLOOKUP(Data_Nhập[[#This Row],[Material-Nhập]],MD_Main_SKU[Main SKU],MD_Main_SKU[SKU name_gom])</f>
        <v>WSS01</v>
      </c>
    </row>
    <row r="958" spans="1:13" x14ac:dyDescent="0.35">
      <c r="A958">
        <v>2025</v>
      </c>
      <c r="B958">
        <v>10</v>
      </c>
      <c r="C958" t="s">
        <v>14</v>
      </c>
      <c r="D958" t="s">
        <v>15</v>
      </c>
      <c r="E958" t="s">
        <v>18</v>
      </c>
      <c r="F958" t="s">
        <v>19</v>
      </c>
      <c r="G958" s="2">
        <v>0</v>
      </c>
      <c r="H958" s="2">
        <v>69300</v>
      </c>
      <c r="I958" s="2">
        <v>69300</v>
      </c>
      <c r="J958" s="2">
        <v>0</v>
      </c>
      <c r="K958" s="2">
        <v>69300</v>
      </c>
      <c r="L958" s="2" t="str">
        <f>_xlfn.XLOOKUP(Data_Nhập[[#This Row],[Main SKU]],MD_Main_SKU[Main SKU],MD_Main_SKU[SKU name_gom])</f>
        <v>iSS01084</v>
      </c>
      <c r="M958" s="2" t="str">
        <f>_xlfn.XLOOKUP(Data_Nhập[[#This Row],[Material-Nhập]],MD_Main_SKU[Main SKU],MD_Main_SKU[SKU name_gom])</f>
        <v>iSS01</v>
      </c>
    </row>
    <row r="959" spans="1:13" x14ac:dyDescent="0.35">
      <c r="A959">
        <v>2025</v>
      </c>
      <c r="B959">
        <v>10</v>
      </c>
      <c r="C959" t="s">
        <v>14</v>
      </c>
      <c r="D959" t="s">
        <v>15</v>
      </c>
      <c r="E959" t="s">
        <v>22</v>
      </c>
      <c r="F959" t="s">
        <v>23</v>
      </c>
      <c r="G959" s="2">
        <v>0</v>
      </c>
      <c r="H959" s="2">
        <v>57200</v>
      </c>
      <c r="I959" s="2">
        <v>57200</v>
      </c>
      <c r="J959" s="2">
        <v>0</v>
      </c>
      <c r="K959" s="2">
        <v>57200</v>
      </c>
      <c r="L959" s="2" t="str">
        <f>_xlfn.XLOOKUP(Data_Nhập[[#This Row],[Main SKU]],MD_Main_SKU[Main SKU],MD_Main_SKU[SKU name_gom])</f>
        <v>iSS01084</v>
      </c>
      <c r="M959" s="2" t="str">
        <f>_xlfn.XLOOKUP(Data_Nhập[[#This Row],[Material-Nhập]],MD_Main_SKU[Main SKU],MD_Main_SKU[SKU name_gom])</f>
        <v>WSS03</v>
      </c>
    </row>
    <row r="960" spans="1:13" x14ac:dyDescent="0.35">
      <c r="A960">
        <v>2025</v>
      </c>
      <c r="B960">
        <v>10</v>
      </c>
      <c r="C960" t="s">
        <v>14</v>
      </c>
      <c r="D960" t="s">
        <v>15</v>
      </c>
      <c r="E960" t="s">
        <v>40</v>
      </c>
      <c r="F960" t="s">
        <v>41</v>
      </c>
      <c r="G960" s="2">
        <v>0</v>
      </c>
      <c r="H960" s="2">
        <v>16500</v>
      </c>
      <c r="I960" s="2">
        <v>16500</v>
      </c>
      <c r="J960" s="2">
        <v>0</v>
      </c>
      <c r="K960" s="2">
        <v>16500</v>
      </c>
      <c r="L960" s="2" t="str">
        <f>_xlfn.XLOOKUP(Data_Nhập[[#This Row],[Main SKU]],MD_Main_SKU[Main SKU],MD_Main_SKU[SKU name_gom])</f>
        <v>iSS01084</v>
      </c>
      <c r="M960" s="2" t="str">
        <f>_xlfn.XLOOKUP(Data_Nhập[[#This Row],[Material-Nhập]],MD_Main_SKU[Main SKU],MD_Main_SKU[SKU name_gom])</f>
        <v>WSS01-PL</v>
      </c>
    </row>
    <row r="961" spans="1:13" x14ac:dyDescent="0.35">
      <c r="A961">
        <v>2025</v>
      </c>
      <c r="B961">
        <v>10</v>
      </c>
      <c r="C961" t="s">
        <v>14</v>
      </c>
      <c r="D961" t="s">
        <v>15</v>
      </c>
      <c r="E961" t="s">
        <v>38</v>
      </c>
      <c r="F961" t="s">
        <v>39</v>
      </c>
      <c r="G961" s="2">
        <v>0</v>
      </c>
      <c r="H961" s="2">
        <v>59400</v>
      </c>
      <c r="I961" s="2">
        <v>59400</v>
      </c>
      <c r="J961" s="2">
        <v>0</v>
      </c>
      <c r="K961" s="2">
        <v>59400</v>
      </c>
      <c r="L961" s="2" t="str">
        <f>_xlfn.XLOOKUP(Data_Nhập[[#This Row],[Main SKU]],MD_Main_SKU[Main SKU],MD_Main_SKU[SKU name_gom])</f>
        <v>iSS01084</v>
      </c>
      <c r="M961" s="2" t="str">
        <f>_xlfn.XLOOKUP(Data_Nhập[[#This Row],[Material-Nhập]],MD_Main_SKU[Main SKU],MD_Main_SKU[SKU name_gom])</f>
        <v>iSS01084-PL</v>
      </c>
    </row>
    <row r="962" spans="1:13" x14ac:dyDescent="0.35">
      <c r="A962">
        <v>2025</v>
      </c>
      <c r="B962">
        <v>10</v>
      </c>
      <c r="C962" t="s">
        <v>14</v>
      </c>
      <c r="D962" t="s">
        <v>15</v>
      </c>
      <c r="E962" t="s">
        <v>34</v>
      </c>
      <c r="F962" t="s">
        <v>35</v>
      </c>
      <c r="G962" s="2">
        <v>0</v>
      </c>
      <c r="H962" s="2">
        <v>20900.000000000004</v>
      </c>
      <c r="I962" s="2">
        <v>20900.000000000004</v>
      </c>
      <c r="J962" s="2">
        <v>0</v>
      </c>
      <c r="K962" s="2">
        <v>20900.000000000004</v>
      </c>
      <c r="L962" s="2" t="str">
        <f>_xlfn.XLOOKUP(Data_Nhập[[#This Row],[Main SKU]],MD_Main_SKU[Main SKU],MD_Main_SKU[SKU name_gom])</f>
        <v>iSS01084</v>
      </c>
      <c r="M962" s="2" t="str">
        <f>_xlfn.XLOOKUP(Data_Nhập[[#This Row],[Material-Nhập]],MD_Main_SKU[Main SKU],MD_Main_SKU[SKU name_gom])</f>
        <v>WSS03-PL</v>
      </c>
    </row>
    <row r="963" spans="1:13" x14ac:dyDescent="0.35">
      <c r="A963">
        <v>2025</v>
      </c>
      <c r="B963">
        <v>10</v>
      </c>
      <c r="C963" t="s">
        <v>14</v>
      </c>
      <c r="D963" t="s">
        <v>15</v>
      </c>
      <c r="E963" t="s">
        <v>87</v>
      </c>
      <c r="F963" t="s">
        <v>88</v>
      </c>
      <c r="G963" s="2">
        <v>0</v>
      </c>
      <c r="H963" s="2">
        <v>0</v>
      </c>
      <c r="I963" s="2">
        <v>0</v>
      </c>
      <c r="J963" s="2">
        <v>11365</v>
      </c>
      <c r="K963" s="2">
        <v>11365</v>
      </c>
      <c r="L963" s="2" t="str">
        <f>_xlfn.XLOOKUP(Data_Nhập[[#This Row],[Main SKU]],MD_Main_SKU[Main SKU],MD_Main_SKU[SKU name_gom])</f>
        <v>iSS01084</v>
      </c>
      <c r="M963" s="2" t="str">
        <f>_xlfn.XLOOKUP(Data_Nhập[[#This Row],[Material-Nhập]],MD_Main_SKU[Main SKU],MD_Main_SKU[SKU name_gom])</f>
        <v>Phó sản</v>
      </c>
    </row>
    <row r="964" spans="1:13" x14ac:dyDescent="0.35">
      <c r="A964">
        <v>2025</v>
      </c>
      <c r="B964">
        <v>10</v>
      </c>
      <c r="C964" t="s">
        <v>14</v>
      </c>
      <c r="D964" t="s">
        <v>15</v>
      </c>
      <c r="E964" t="s">
        <v>91</v>
      </c>
      <c r="F964" t="s">
        <v>92</v>
      </c>
      <c r="G964" s="2">
        <v>0</v>
      </c>
      <c r="H964" s="2">
        <v>0</v>
      </c>
      <c r="I964" s="2">
        <v>0</v>
      </c>
      <c r="J964" s="2">
        <v>1100</v>
      </c>
      <c r="K964" s="2">
        <v>1100</v>
      </c>
      <c r="L964" s="2" t="str">
        <f>_xlfn.XLOOKUP(Data_Nhập[[#This Row],[Main SKU]],MD_Main_SKU[Main SKU],MD_Main_SKU[SKU name_gom])</f>
        <v>iSS01084</v>
      </c>
      <c r="M964" s="2" t="str">
        <f>_xlfn.XLOOKUP(Data_Nhập[[#This Row],[Material-Nhập]],MD_Main_SKU[Main SKU],MD_Main_SKU[SKU name_gom])</f>
        <v>Phó sản</v>
      </c>
    </row>
    <row r="965" spans="1:13" x14ac:dyDescent="0.35">
      <c r="A965">
        <v>2025</v>
      </c>
      <c r="B965">
        <v>10</v>
      </c>
      <c r="C965" t="s">
        <v>14</v>
      </c>
      <c r="D965" t="s">
        <v>15</v>
      </c>
      <c r="E965" t="s">
        <v>93</v>
      </c>
      <c r="F965" t="s">
        <v>94</v>
      </c>
      <c r="G965" s="2">
        <v>0</v>
      </c>
      <c r="H965" s="2">
        <v>0</v>
      </c>
      <c r="I965" s="2">
        <v>0</v>
      </c>
      <c r="J965" s="2">
        <v>712.4</v>
      </c>
      <c r="K965" s="2">
        <v>712.4</v>
      </c>
      <c r="L965" s="2" t="str">
        <f>_xlfn.XLOOKUP(Data_Nhập[[#This Row],[Main SKU]],MD_Main_SKU[Main SKU],MD_Main_SKU[SKU name_gom])</f>
        <v>iSS01084</v>
      </c>
      <c r="M965" s="2" t="str">
        <f>_xlfn.XLOOKUP(Data_Nhập[[#This Row],[Material-Nhập]],MD_Main_SKU[Main SKU],MD_Main_SKU[SKU name_gom])</f>
        <v>Phó sản</v>
      </c>
    </row>
    <row r="966" spans="1:13" x14ac:dyDescent="0.35">
      <c r="A966">
        <v>2025</v>
      </c>
      <c r="B966">
        <v>10</v>
      </c>
      <c r="C966" t="s">
        <v>14</v>
      </c>
      <c r="D966" t="s">
        <v>15</v>
      </c>
      <c r="E966" t="s">
        <v>117</v>
      </c>
      <c r="F966" t="s">
        <v>86</v>
      </c>
      <c r="G966" s="2">
        <v>0</v>
      </c>
      <c r="H966" s="2">
        <v>0</v>
      </c>
      <c r="I966" s="2">
        <v>0</v>
      </c>
      <c r="J966" s="2">
        <v>20965.999999999993</v>
      </c>
      <c r="K966" s="2">
        <v>20965.999999999993</v>
      </c>
      <c r="L966" s="2" t="str">
        <f>_xlfn.XLOOKUP(Data_Nhập[[#This Row],[Main SKU]],MD_Main_SKU[Main SKU],MD_Main_SKU[SKU name_gom])</f>
        <v>iSS01084</v>
      </c>
      <c r="M966" s="2" t="str">
        <f>_xlfn.XLOOKUP(Data_Nhập[[#This Row],[Material-Nhập]],MD_Main_SKU[Main SKU],MD_Main_SKU[SKU name_gom])</f>
        <v>Phó sản</v>
      </c>
    </row>
    <row r="967" spans="1:13" x14ac:dyDescent="0.35">
      <c r="A967">
        <v>2025</v>
      </c>
      <c r="B967">
        <v>10</v>
      </c>
      <c r="C967" t="s">
        <v>14</v>
      </c>
      <c r="D967" t="s">
        <v>15</v>
      </c>
      <c r="E967" t="s">
        <v>126</v>
      </c>
      <c r="F967" t="s">
        <v>127</v>
      </c>
      <c r="G967" s="2">
        <v>0</v>
      </c>
      <c r="H967" s="2">
        <v>0</v>
      </c>
      <c r="I967" s="2">
        <v>0</v>
      </c>
      <c r="J967" s="2">
        <v>4400</v>
      </c>
      <c r="K967" s="2">
        <v>4400</v>
      </c>
      <c r="L967" s="2" t="str">
        <f>_xlfn.XLOOKUP(Data_Nhập[[#This Row],[Main SKU]],MD_Main_SKU[Main SKU],MD_Main_SKU[SKU name_gom])</f>
        <v>iSS01084</v>
      </c>
      <c r="M967" s="2" t="str">
        <f>_xlfn.XLOOKUP(Data_Nhập[[#This Row],[Material-Nhập]],MD_Main_SKU[Main SKU],MD_Main_SKU[SKU name_gom])</f>
        <v>Phó sản</v>
      </c>
    </row>
    <row r="968" spans="1:13" x14ac:dyDescent="0.35">
      <c r="A968">
        <v>2025</v>
      </c>
      <c r="B968">
        <v>10</v>
      </c>
      <c r="C968" t="s">
        <v>16</v>
      </c>
      <c r="D968" t="s">
        <v>17</v>
      </c>
      <c r="E968" t="s">
        <v>14</v>
      </c>
      <c r="F968" t="s">
        <v>15</v>
      </c>
      <c r="G968" s="2">
        <v>0</v>
      </c>
      <c r="H968" s="2">
        <v>12100</v>
      </c>
      <c r="I968" s="2">
        <v>12100</v>
      </c>
      <c r="J968" s="2">
        <v>0</v>
      </c>
      <c r="K968" s="2">
        <v>12100</v>
      </c>
      <c r="L968" s="2" t="str">
        <f>_xlfn.XLOOKUP(Data_Nhập[[#This Row],[Main SKU]],MD_Main_SKU[Main SKU],MD_Main_SKU[SKU name_gom])</f>
        <v>WSS01</v>
      </c>
      <c r="M968" s="2" t="str">
        <f>_xlfn.XLOOKUP(Data_Nhập[[#This Row],[Material-Nhập]],MD_Main_SKU[Main SKU],MD_Main_SKU[SKU name_gom])</f>
        <v>iSS01084</v>
      </c>
    </row>
    <row r="969" spans="1:13" x14ac:dyDescent="0.35">
      <c r="A969">
        <v>2025</v>
      </c>
      <c r="B969">
        <v>10</v>
      </c>
      <c r="C969" t="s">
        <v>16</v>
      </c>
      <c r="D969" t="s">
        <v>17</v>
      </c>
      <c r="E969" t="s">
        <v>16</v>
      </c>
      <c r="F969" t="s">
        <v>17</v>
      </c>
      <c r="G969" s="2">
        <v>1913999.9999999991</v>
      </c>
      <c r="H969" s="2">
        <v>8800</v>
      </c>
      <c r="I969" s="2">
        <v>1922799.9999999991</v>
      </c>
      <c r="J969" s="2">
        <v>0</v>
      </c>
      <c r="K969" s="2">
        <v>1922799.9999999991</v>
      </c>
      <c r="L969" s="2" t="str">
        <f>_xlfn.XLOOKUP(Data_Nhập[[#This Row],[Main SKU]],MD_Main_SKU[Main SKU],MD_Main_SKU[SKU name_gom])</f>
        <v>WSS01</v>
      </c>
      <c r="M969" s="2" t="str">
        <f>_xlfn.XLOOKUP(Data_Nhập[[#This Row],[Material-Nhập]],MD_Main_SKU[Main SKU],MD_Main_SKU[SKU name_gom])</f>
        <v>WSS01</v>
      </c>
    </row>
    <row r="970" spans="1:13" x14ac:dyDescent="0.35">
      <c r="A970">
        <v>2025</v>
      </c>
      <c r="B970">
        <v>10</v>
      </c>
      <c r="C970" t="s">
        <v>16</v>
      </c>
      <c r="D970" t="s">
        <v>17</v>
      </c>
      <c r="E970" t="s">
        <v>18</v>
      </c>
      <c r="F970" t="s">
        <v>19</v>
      </c>
      <c r="G970" s="2">
        <v>0</v>
      </c>
      <c r="H970" s="2">
        <v>60500.000000000007</v>
      </c>
      <c r="I970" s="2">
        <v>60500.000000000007</v>
      </c>
      <c r="J970" s="2">
        <v>0</v>
      </c>
      <c r="K970" s="2">
        <v>60500.000000000007</v>
      </c>
      <c r="L970" s="2" t="str">
        <f>_xlfn.XLOOKUP(Data_Nhập[[#This Row],[Main SKU]],MD_Main_SKU[Main SKU],MD_Main_SKU[SKU name_gom])</f>
        <v>WSS01</v>
      </c>
      <c r="M970" s="2" t="str">
        <f>_xlfn.XLOOKUP(Data_Nhập[[#This Row],[Material-Nhập]],MD_Main_SKU[Main SKU],MD_Main_SKU[SKU name_gom])</f>
        <v>iSS01</v>
      </c>
    </row>
    <row r="971" spans="1:13" x14ac:dyDescent="0.35">
      <c r="A971">
        <v>2025</v>
      </c>
      <c r="B971">
        <v>10</v>
      </c>
      <c r="C971" t="s">
        <v>16</v>
      </c>
      <c r="D971" t="s">
        <v>17</v>
      </c>
      <c r="E971" t="s">
        <v>22</v>
      </c>
      <c r="F971" t="s">
        <v>23</v>
      </c>
      <c r="G971" s="2">
        <v>0</v>
      </c>
      <c r="H971" s="2">
        <v>9900.0000000000018</v>
      </c>
      <c r="I971" s="2">
        <v>9900.0000000000018</v>
      </c>
      <c r="J971" s="2">
        <v>0</v>
      </c>
      <c r="K971" s="2">
        <v>9900.0000000000018</v>
      </c>
      <c r="L971" s="2" t="str">
        <f>_xlfn.XLOOKUP(Data_Nhập[[#This Row],[Main SKU]],MD_Main_SKU[Main SKU],MD_Main_SKU[SKU name_gom])</f>
        <v>WSS01</v>
      </c>
      <c r="M971" s="2" t="str">
        <f>_xlfn.XLOOKUP(Data_Nhập[[#This Row],[Material-Nhập]],MD_Main_SKU[Main SKU],MD_Main_SKU[SKU name_gom])</f>
        <v>WSS03</v>
      </c>
    </row>
    <row r="972" spans="1:13" x14ac:dyDescent="0.35">
      <c r="A972">
        <v>2025</v>
      </c>
      <c r="B972">
        <v>10</v>
      </c>
      <c r="C972" t="s">
        <v>16</v>
      </c>
      <c r="D972" t="s">
        <v>17</v>
      </c>
      <c r="E972" t="s">
        <v>40</v>
      </c>
      <c r="F972" t="s">
        <v>41</v>
      </c>
      <c r="G972" s="2">
        <v>0</v>
      </c>
      <c r="H972" s="2">
        <v>22000.000000000004</v>
      </c>
      <c r="I972" s="2">
        <v>22000.000000000004</v>
      </c>
      <c r="J972" s="2">
        <v>0</v>
      </c>
      <c r="K972" s="2">
        <v>22000.000000000004</v>
      </c>
      <c r="L972" s="2" t="str">
        <f>_xlfn.XLOOKUP(Data_Nhập[[#This Row],[Main SKU]],MD_Main_SKU[Main SKU],MD_Main_SKU[SKU name_gom])</f>
        <v>WSS01</v>
      </c>
      <c r="M972" s="2" t="str">
        <f>_xlfn.XLOOKUP(Data_Nhập[[#This Row],[Material-Nhập]],MD_Main_SKU[Main SKU],MD_Main_SKU[SKU name_gom])</f>
        <v>WSS01-PL</v>
      </c>
    </row>
    <row r="973" spans="1:13" x14ac:dyDescent="0.35">
      <c r="A973">
        <v>2025</v>
      </c>
      <c r="B973">
        <v>10</v>
      </c>
      <c r="C973" t="s">
        <v>16</v>
      </c>
      <c r="D973" t="s">
        <v>17</v>
      </c>
      <c r="E973" t="s">
        <v>34</v>
      </c>
      <c r="F973" t="s">
        <v>35</v>
      </c>
      <c r="G973" s="2">
        <v>0</v>
      </c>
      <c r="H973" s="2">
        <v>33000</v>
      </c>
      <c r="I973" s="2">
        <v>33000</v>
      </c>
      <c r="J973" s="2">
        <v>0</v>
      </c>
      <c r="K973" s="2">
        <v>33000</v>
      </c>
      <c r="L973" s="2" t="str">
        <f>_xlfn.XLOOKUP(Data_Nhập[[#This Row],[Main SKU]],MD_Main_SKU[Main SKU],MD_Main_SKU[SKU name_gom])</f>
        <v>WSS01</v>
      </c>
      <c r="M973" s="2" t="str">
        <f>_xlfn.XLOOKUP(Data_Nhập[[#This Row],[Material-Nhập]],MD_Main_SKU[Main SKU],MD_Main_SKU[SKU name_gom])</f>
        <v>WSS03-PL</v>
      </c>
    </row>
    <row r="974" spans="1:13" x14ac:dyDescent="0.35">
      <c r="A974">
        <v>2025</v>
      </c>
      <c r="B974">
        <v>10</v>
      </c>
      <c r="C974" t="s">
        <v>16</v>
      </c>
      <c r="D974" t="s">
        <v>17</v>
      </c>
      <c r="E974" t="s">
        <v>87</v>
      </c>
      <c r="F974" t="s">
        <v>88</v>
      </c>
      <c r="G974" s="2">
        <v>0</v>
      </c>
      <c r="H974" s="2">
        <v>0</v>
      </c>
      <c r="I974" s="2">
        <v>0</v>
      </c>
      <c r="J974" s="2">
        <v>32950</v>
      </c>
      <c r="K974" s="2">
        <v>32950</v>
      </c>
      <c r="L974" s="2" t="str">
        <f>_xlfn.XLOOKUP(Data_Nhập[[#This Row],[Main SKU]],MD_Main_SKU[Main SKU],MD_Main_SKU[SKU name_gom])</f>
        <v>WSS01</v>
      </c>
      <c r="M974" s="2" t="str">
        <f>_xlfn.XLOOKUP(Data_Nhập[[#This Row],[Material-Nhập]],MD_Main_SKU[Main SKU],MD_Main_SKU[SKU name_gom])</f>
        <v>Phó sản</v>
      </c>
    </row>
    <row r="975" spans="1:13" x14ac:dyDescent="0.35">
      <c r="A975">
        <v>2025</v>
      </c>
      <c r="B975">
        <v>10</v>
      </c>
      <c r="C975" t="s">
        <v>16</v>
      </c>
      <c r="D975" t="s">
        <v>17</v>
      </c>
      <c r="E975" t="s">
        <v>91</v>
      </c>
      <c r="F975" t="s">
        <v>92</v>
      </c>
      <c r="G975" s="2">
        <v>0</v>
      </c>
      <c r="H975" s="2">
        <v>0</v>
      </c>
      <c r="I975" s="2">
        <v>0</v>
      </c>
      <c r="J975" s="2">
        <v>900</v>
      </c>
      <c r="K975" s="2">
        <v>900</v>
      </c>
      <c r="L975" s="2" t="str">
        <f>_xlfn.XLOOKUP(Data_Nhập[[#This Row],[Main SKU]],MD_Main_SKU[Main SKU],MD_Main_SKU[SKU name_gom])</f>
        <v>WSS01</v>
      </c>
      <c r="M975" s="2" t="str">
        <f>_xlfn.XLOOKUP(Data_Nhập[[#This Row],[Material-Nhập]],MD_Main_SKU[Main SKU],MD_Main_SKU[SKU name_gom])</f>
        <v>Phó sản</v>
      </c>
    </row>
    <row r="976" spans="1:13" x14ac:dyDescent="0.35">
      <c r="A976">
        <v>2025</v>
      </c>
      <c r="B976">
        <v>10</v>
      </c>
      <c r="C976" t="s">
        <v>16</v>
      </c>
      <c r="D976" t="s">
        <v>17</v>
      </c>
      <c r="E976" t="s">
        <v>93</v>
      </c>
      <c r="F976" t="s">
        <v>94</v>
      </c>
      <c r="G976" s="2">
        <v>0</v>
      </c>
      <c r="H976" s="2">
        <v>0</v>
      </c>
      <c r="I976" s="2">
        <v>0</v>
      </c>
      <c r="J976" s="2">
        <v>250</v>
      </c>
      <c r="K976" s="2">
        <v>250</v>
      </c>
      <c r="L976" s="2" t="str">
        <f>_xlfn.XLOOKUP(Data_Nhập[[#This Row],[Main SKU]],MD_Main_SKU[Main SKU],MD_Main_SKU[SKU name_gom])</f>
        <v>WSS01</v>
      </c>
      <c r="M976" s="2" t="str">
        <f>_xlfn.XLOOKUP(Data_Nhập[[#This Row],[Material-Nhập]],MD_Main_SKU[Main SKU],MD_Main_SKU[SKU name_gom])</f>
        <v>Phó sản</v>
      </c>
    </row>
    <row r="977" spans="1:13" x14ac:dyDescent="0.35">
      <c r="A977">
        <v>2025</v>
      </c>
      <c r="B977">
        <v>10</v>
      </c>
      <c r="C977" t="s">
        <v>16</v>
      </c>
      <c r="D977" t="s">
        <v>17</v>
      </c>
      <c r="E977" t="s">
        <v>117</v>
      </c>
      <c r="F977" t="s">
        <v>86</v>
      </c>
      <c r="G977" s="2">
        <v>0</v>
      </c>
      <c r="H977" s="2">
        <v>0</v>
      </c>
      <c r="I977" s="2">
        <v>0</v>
      </c>
      <c r="J977" s="2">
        <v>27652.000000000004</v>
      </c>
      <c r="K977" s="2">
        <v>27652.000000000004</v>
      </c>
      <c r="L977" s="2" t="str">
        <f>_xlfn.XLOOKUP(Data_Nhập[[#This Row],[Main SKU]],MD_Main_SKU[Main SKU],MD_Main_SKU[SKU name_gom])</f>
        <v>WSS01</v>
      </c>
      <c r="M977" s="2" t="str">
        <f>_xlfn.XLOOKUP(Data_Nhập[[#This Row],[Material-Nhập]],MD_Main_SKU[Main SKU],MD_Main_SKU[SKU name_gom])</f>
        <v>Phó sản</v>
      </c>
    </row>
    <row r="978" spans="1:13" x14ac:dyDescent="0.35">
      <c r="A978">
        <v>2025</v>
      </c>
      <c r="B978">
        <v>10</v>
      </c>
      <c r="C978" t="s">
        <v>16</v>
      </c>
      <c r="D978" t="s">
        <v>17</v>
      </c>
      <c r="E978" t="s">
        <v>128</v>
      </c>
      <c r="F978" t="s">
        <v>129</v>
      </c>
      <c r="G978" s="2">
        <v>0</v>
      </c>
      <c r="H978" s="2">
        <v>0</v>
      </c>
      <c r="I978" s="2">
        <v>0</v>
      </c>
      <c r="J978" s="2">
        <v>23099.999999999996</v>
      </c>
      <c r="K978" s="2">
        <v>23099.999999999996</v>
      </c>
      <c r="L978" s="2" t="str">
        <f>_xlfn.XLOOKUP(Data_Nhập[[#This Row],[Main SKU]],MD_Main_SKU[Main SKU],MD_Main_SKU[SKU name_gom])</f>
        <v>WSS01</v>
      </c>
      <c r="M978" s="2" t="str">
        <f>_xlfn.XLOOKUP(Data_Nhập[[#This Row],[Material-Nhập]],MD_Main_SKU[Main SKU],MD_Main_SKU[SKU name_gom])</f>
        <v>Phó sản</v>
      </c>
    </row>
    <row r="979" spans="1:13" x14ac:dyDescent="0.35">
      <c r="A979">
        <v>2025</v>
      </c>
      <c r="B979">
        <v>10</v>
      </c>
      <c r="C979" t="s">
        <v>22</v>
      </c>
      <c r="D979" t="s">
        <v>23</v>
      </c>
      <c r="E979" t="s">
        <v>34</v>
      </c>
      <c r="F979" t="s">
        <v>35</v>
      </c>
      <c r="G979" s="2">
        <v>0</v>
      </c>
      <c r="H979" s="2">
        <v>33000</v>
      </c>
      <c r="I979" s="2">
        <v>33000</v>
      </c>
      <c r="J979" s="2">
        <v>0</v>
      </c>
      <c r="K979" s="2">
        <v>33000</v>
      </c>
      <c r="L979" s="2" t="str">
        <f>_xlfn.XLOOKUP(Data_Nhập[[#This Row],[Main SKU]],MD_Main_SKU[Main SKU],MD_Main_SKU[SKU name_gom])</f>
        <v>WSS03</v>
      </c>
      <c r="M979" s="2" t="str">
        <f>_xlfn.XLOOKUP(Data_Nhập[[#This Row],[Material-Nhập]],MD_Main_SKU[Main SKU],MD_Main_SKU[SKU name_gom])</f>
        <v>WSS03-PL</v>
      </c>
    </row>
    <row r="980" spans="1:13" x14ac:dyDescent="0.35">
      <c r="A980">
        <v>2025</v>
      </c>
      <c r="B980">
        <v>10</v>
      </c>
      <c r="C980" t="s">
        <v>22</v>
      </c>
      <c r="D980" t="s">
        <v>23</v>
      </c>
      <c r="E980" t="s">
        <v>87</v>
      </c>
      <c r="F980" t="s">
        <v>88</v>
      </c>
      <c r="G980" s="2">
        <v>0</v>
      </c>
      <c r="H980" s="2">
        <v>0</v>
      </c>
      <c r="I980" s="2">
        <v>0</v>
      </c>
      <c r="J980" s="2">
        <v>3200</v>
      </c>
      <c r="K980" s="2">
        <v>3200</v>
      </c>
      <c r="L980" s="2" t="str">
        <f>_xlfn.XLOOKUP(Data_Nhập[[#This Row],[Main SKU]],MD_Main_SKU[Main SKU],MD_Main_SKU[SKU name_gom])</f>
        <v>WSS03</v>
      </c>
      <c r="M980" s="2" t="str">
        <f>_xlfn.XLOOKUP(Data_Nhập[[#This Row],[Material-Nhập]],MD_Main_SKU[Main SKU],MD_Main_SKU[SKU name_gom])</f>
        <v>Phó sản</v>
      </c>
    </row>
    <row r="981" spans="1:13" x14ac:dyDescent="0.35">
      <c r="A981">
        <v>2025</v>
      </c>
      <c r="B981">
        <v>10</v>
      </c>
      <c r="C981" t="s">
        <v>22</v>
      </c>
      <c r="D981" t="s">
        <v>23</v>
      </c>
      <c r="E981" t="s">
        <v>117</v>
      </c>
      <c r="F981" t="s">
        <v>86</v>
      </c>
      <c r="G981" s="2">
        <v>0</v>
      </c>
      <c r="H981" s="2">
        <v>0</v>
      </c>
      <c r="I981" s="2">
        <v>0</v>
      </c>
      <c r="J981" s="2">
        <v>3200</v>
      </c>
      <c r="K981" s="2">
        <v>3200</v>
      </c>
      <c r="L981" s="2" t="str">
        <f>_xlfn.XLOOKUP(Data_Nhập[[#This Row],[Main SKU]],MD_Main_SKU[Main SKU],MD_Main_SKU[SKU name_gom])</f>
        <v>WSS03</v>
      </c>
      <c r="M981" s="2" t="str">
        <f>_xlfn.XLOOKUP(Data_Nhập[[#This Row],[Material-Nhập]],MD_Main_SKU[Main SKU],MD_Main_SKU[SKU name_gom])</f>
        <v>Phó sản</v>
      </c>
    </row>
    <row r="982" spans="1:13" x14ac:dyDescent="0.35">
      <c r="A982">
        <v>2025</v>
      </c>
      <c r="B982">
        <v>10</v>
      </c>
      <c r="C982" t="s">
        <v>26</v>
      </c>
      <c r="D982" t="s">
        <v>27</v>
      </c>
      <c r="E982" t="s">
        <v>26</v>
      </c>
      <c r="F982" t="s">
        <v>27</v>
      </c>
      <c r="G982" s="2">
        <v>112200</v>
      </c>
      <c r="H982" s="2">
        <v>0</v>
      </c>
      <c r="I982" s="2">
        <v>112200</v>
      </c>
      <c r="J982" s="2">
        <v>0</v>
      </c>
      <c r="K982" s="2">
        <v>112200</v>
      </c>
      <c r="L982" s="2" t="str">
        <f>_xlfn.XLOOKUP(Data_Nhập[[#This Row],[Main SKU]],MD_Main_SKU[Main SKU],MD_Main_SKU[SKU name_gom])</f>
        <v>iSS01</v>
      </c>
      <c r="M982" s="2" t="str">
        <f>_xlfn.XLOOKUP(Data_Nhập[[#This Row],[Material-Nhập]],MD_Main_SKU[Main SKU],MD_Main_SKU[SKU name_gom])</f>
        <v>iSS01</v>
      </c>
    </row>
    <row r="983" spans="1:13" x14ac:dyDescent="0.35">
      <c r="A983">
        <v>2025</v>
      </c>
      <c r="B983">
        <v>10</v>
      </c>
      <c r="C983" t="s">
        <v>26</v>
      </c>
      <c r="D983" t="s">
        <v>27</v>
      </c>
      <c r="E983" t="s">
        <v>50</v>
      </c>
      <c r="F983" t="s">
        <v>51</v>
      </c>
      <c r="G983" s="2">
        <v>0</v>
      </c>
      <c r="H983" s="2">
        <v>12100</v>
      </c>
      <c r="I983" s="2">
        <v>12100</v>
      </c>
      <c r="J983" s="2">
        <v>0</v>
      </c>
      <c r="K983" s="2">
        <v>12100</v>
      </c>
      <c r="L983" s="2" t="str">
        <f>_xlfn.XLOOKUP(Data_Nhập[[#This Row],[Main SKU]],MD_Main_SKU[Main SKU],MD_Main_SKU[SKU name_gom])</f>
        <v>iSS01</v>
      </c>
      <c r="M983" s="2" t="str">
        <f>_xlfn.XLOOKUP(Data_Nhập[[#This Row],[Material-Nhập]],MD_Main_SKU[Main SKU],MD_Main_SKU[SKU name_gom])</f>
        <v>iSS01-PL</v>
      </c>
    </row>
    <row r="984" spans="1:13" x14ac:dyDescent="0.35">
      <c r="A984">
        <v>2025</v>
      </c>
      <c r="B984">
        <v>10</v>
      </c>
      <c r="C984" t="s">
        <v>26</v>
      </c>
      <c r="D984" t="s">
        <v>27</v>
      </c>
      <c r="E984" t="s">
        <v>87</v>
      </c>
      <c r="F984" t="s">
        <v>88</v>
      </c>
      <c r="G984" s="2">
        <v>0</v>
      </c>
      <c r="H984" s="2">
        <v>0</v>
      </c>
      <c r="I984" s="2">
        <v>0</v>
      </c>
      <c r="J984" s="2">
        <v>4319.9999999999991</v>
      </c>
      <c r="K984" s="2">
        <v>4319.9999999999991</v>
      </c>
      <c r="L984" s="2" t="str">
        <f>_xlfn.XLOOKUP(Data_Nhập[[#This Row],[Main SKU]],MD_Main_SKU[Main SKU],MD_Main_SKU[SKU name_gom])</f>
        <v>iSS01</v>
      </c>
      <c r="M984" s="2" t="str">
        <f>_xlfn.XLOOKUP(Data_Nhập[[#This Row],[Material-Nhập]],MD_Main_SKU[Main SKU],MD_Main_SKU[SKU name_gom])</f>
        <v>Phó sản</v>
      </c>
    </row>
    <row r="985" spans="1:13" x14ac:dyDescent="0.35">
      <c r="A985">
        <v>2025</v>
      </c>
      <c r="B985">
        <v>10</v>
      </c>
      <c r="C985" t="s">
        <v>26</v>
      </c>
      <c r="D985" t="s">
        <v>27</v>
      </c>
      <c r="E985" t="s">
        <v>91</v>
      </c>
      <c r="F985" t="s">
        <v>92</v>
      </c>
      <c r="G985" s="2">
        <v>0</v>
      </c>
      <c r="H985" s="2">
        <v>0</v>
      </c>
      <c r="I985" s="2">
        <v>0</v>
      </c>
      <c r="J985" s="2">
        <v>2200</v>
      </c>
      <c r="K985" s="2">
        <v>2200</v>
      </c>
      <c r="L985" s="2" t="str">
        <f>_xlfn.XLOOKUP(Data_Nhập[[#This Row],[Main SKU]],MD_Main_SKU[Main SKU],MD_Main_SKU[SKU name_gom])</f>
        <v>iSS01</v>
      </c>
      <c r="M985" s="2" t="str">
        <f>_xlfn.XLOOKUP(Data_Nhập[[#This Row],[Material-Nhập]],MD_Main_SKU[Main SKU],MD_Main_SKU[SKU name_gom])</f>
        <v>Phó sản</v>
      </c>
    </row>
    <row r="986" spans="1:13" x14ac:dyDescent="0.35">
      <c r="A986">
        <v>2025</v>
      </c>
      <c r="B986">
        <v>10</v>
      </c>
      <c r="C986" t="s">
        <v>26</v>
      </c>
      <c r="D986" t="s">
        <v>27</v>
      </c>
      <c r="E986" t="s">
        <v>117</v>
      </c>
      <c r="F986" t="s">
        <v>86</v>
      </c>
      <c r="G986" s="2">
        <v>0</v>
      </c>
      <c r="H986" s="2">
        <v>0</v>
      </c>
      <c r="I986" s="2">
        <v>0</v>
      </c>
      <c r="J986" s="2">
        <v>2700</v>
      </c>
      <c r="K986" s="2">
        <v>2700</v>
      </c>
      <c r="L986" s="2" t="str">
        <f>_xlfn.XLOOKUP(Data_Nhập[[#This Row],[Main SKU]],MD_Main_SKU[Main SKU],MD_Main_SKU[SKU name_gom])</f>
        <v>iSS01</v>
      </c>
      <c r="M986" s="2" t="str">
        <f>_xlfn.XLOOKUP(Data_Nhập[[#This Row],[Material-Nhập]],MD_Main_SKU[Main SKU],MD_Main_SKU[SKU name_gom])</f>
        <v>Phó sản</v>
      </c>
    </row>
    <row r="987" spans="1:13" x14ac:dyDescent="0.35">
      <c r="A987">
        <v>2025</v>
      </c>
      <c r="B987">
        <v>10</v>
      </c>
      <c r="C987" t="s">
        <v>26</v>
      </c>
      <c r="D987" t="s">
        <v>27</v>
      </c>
      <c r="E987" t="s">
        <v>132</v>
      </c>
      <c r="F987" t="s">
        <v>133</v>
      </c>
      <c r="G987" s="2">
        <v>0</v>
      </c>
      <c r="H987" s="2">
        <v>0</v>
      </c>
      <c r="I987" s="2">
        <v>0</v>
      </c>
      <c r="J987" s="2">
        <v>2200</v>
      </c>
      <c r="K987" s="2">
        <v>2200</v>
      </c>
      <c r="L987" s="2" t="str">
        <f>_xlfn.XLOOKUP(Data_Nhập[[#This Row],[Main SKU]],MD_Main_SKU[Main SKU],MD_Main_SKU[SKU name_gom])</f>
        <v>iSS01</v>
      </c>
      <c r="M987" s="2" t="str">
        <f>_xlfn.XLOOKUP(Data_Nhập[[#This Row],[Material-Nhập]],MD_Main_SKU[Main SKU],MD_Main_SKU[SKU name_gom])</f>
        <v>Phó sản</v>
      </c>
    </row>
    <row r="988" spans="1:13" x14ac:dyDescent="0.35">
      <c r="A988">
        <v>2025</v>
      </c>
      <c r="B988">
        <v>10</v>
      </c>
      <c r="C988" t="s">
        <v>115</v>
      </c>
      <c r="D988" t="s">
        <v>116</v>
      </c>
      <c r="E988" t="s">
        <v>115</v>
      </c>
      <c r="F988" t="s">
        <v>116</v>
      </c>
      <c r="G988" s="2">
        <v>258300</v>
      </c>
      <c r="H988" s="2">
        <v>0</v>
      </c>
      <c r="I988" s="2">
        <v>258300</v>
      </c>
      <c r="J988" s="2">
        <v>0</v>
      </c>
      <c r="K988" s="2">
        <v>258300</v>
      </c>
      <c r="L988" s="2" t="str">
        <f>_xlfn.XLOOKUP(Data_Nhập[[#This Row],[Main SKU]],MD_Main_SKU[Main SKU],MD_Main_SKU[SKU name_gom])</f>
        <v>WSS05</v>
      </c>
      <c r="M988" s="2" t="str">
        <f>_xlfn.XLOOKUP(Data_Nhập[[#This Row],[Material-Nhập]],MD_Main_SKU[Main SKU],MD_Main_SKU[SKU name_gom])</f>
        <v>WSS05</v>
      </c>
    </row>
    <row r="989" spans="1:13" x14ac:dyDescent="0.35">
      <c r="A989">
        <v>2025</v>
      </c>
      <c r="B989">
        <v>10</v>
      </c>
      <c r="C989" t="s">
        <v>115</v>
      </c>
      <c r="D989" t="s">
        <v>116</v>
      </c>
      <c r="E989" t="s">
        <v>124</v>
      </c>
      <c r="F989" t="s">
        <v>125</v>
      </c>
      <c r="G989" s="2">
        <v>0</v>
      </c>
      <c r="H989" s="2">
        <v>44050</v>
      </c>
      <c r="I989" s="2">
        <v>44050</v>
      </c>
      <c r="J989" s="2">
        <v>0</v>
      </c>
      <c r="K989" s="2">
        <v>44050</v>
      </c>
      <c r="L989" s="2" t="str">
        <f>_xlfn.XLOOKUP(Data_Nhập[[#This Row],[Main SKU]],MD_Main_SKU[Main SKU],MD_Main_SKU[SKU name_gom])</f>
        <v>WSS05</v>
      </c>
      <c r="M989" s="2" t="str">
        <f>_xlfn.XLOOKUP(Data_Nhập[[#This Row],[Material-Nhập]],MD_Main_SKU[Main SKU],MD_Main_SKU[SKU name_gom])</f>
        <v>WSS06</v>
      </c>
    </row>
    <row r="990" spans="1:13" x14ac:dyDescent="0.35">
      <c r="A990">
        <v>2025</v>
      </c>
      <c r="B990">
        <v>10</v>
      </c>
      <c r="C990" t="s">
        <v>115</v>
      </c>
      <c r="D990" t="s">
        <v>116</v>
      </c>
      <c r="E990" t="s">
        <v>87</v>
      </c>
      <c r="F990" t="s">
        <v>88</v>
      </c>
      <c r="G990" s="2">
        <v>0</v>
      </c>
      <c r="H990" s="2">
        <v>0</v>
      </c>
      <c r="I990" s="2">
        <v>0</v>
      </c>
      <c r="J990" s="2">
        <v>4820</v>
      </c>
      <c r="K990" s="2">
        <v>4820</v>
      </c>
      <c r="L990" s="2" t="str">
        <f>_xlfn.XLOOKUP(Data_Nhập[[#This Row],[Main SKU]],MD_Main_SKU[Main SKU],MD_Main_SKU[SKU name_gom])</f>
        <v>WSS05</v>
      </c>
      <c r="M990" s="2" t="str">
        <f>_xlfn.XLOOKUP(Data_Nhập[[#This Row],[Material-Nhập]],MD_Main_SKU[Main SKU],MD_Main_SKU[SKU name_gom])</f>
        <v>Phó sản</v>
      </c>
    </row>
    <row r="991" spans="1:13" x14ac:dyDescent="0.35">
      <c r="A991">
        <v>2025</v>
      </c>
      <c r="B991">
        <v>10</v>
      </c>
      <c r="C991" t="s">
        <v>115</v>
      </c>
      <c r="D991" t="s">
        <v>116</v>
      </c>
      <c r="E991" t="s">
        <v>117</v>
      </c>
      <c r="F991" t="s">
        <v>86</v>
      </c>
      <c r="G991" s="2">
        <v>0</v>
      </c>
      <c r="H991" s="2">
        <v>0</v>
      </c>
      <c r="I991" s="2">
        <v>0</v>
      </c>
      <c r="J991" s="2">
        <v>6061</v>
      </c>
      <c r="K991" s="2">
        <v>6061</v>
      </c>
      <c r="L991" s="2" t="str">
        <f>_xlfn.XLOOKUP(Data_Nhập[[#This Row],[Main SKU]],MD_Main_SKU[Main SKU],MD_Main_SKU[SKU name_gom])</f>
        <v>WSS05</v>
      </c>
      <c r="M991" s="2" t="str">
        <f>_xlfn.XLOOKUP(Data_Nhập[[#This Row],[Material-Nhập]],MD_Main_SKU[Main SKU],MD_Main_SKU[SKU name_gom])</f>
        <v>Phó sản</v>
      </c>
    </row>
    <row r="992" spans="1:13" x14ac:dyDescent="0.35">
      <c r="A992">
        <v>2025</v>
      </c>
      <c r="B992">
        <v>10</v>
      </c>
      <c r="C992" t="s">
        <v>48</v>
      </c>
      <c r="D992" t="s">
        <v>49</v>
      </c>
      <c r="E992" t="s">
        <v>16</v>
      </c>
      <c r="F992" t="s">
        <v>17</v>
      </c>
      <c r="G992" s="2">
        <v>0</v>
      </c>
      <c r="H992" s="2">
        <v>34100</v>
      </c>
      <c r="I992" s="2">
        <v>34100</v>
      </c>
      <c r="J992" s="2">
        <v>0</v>
      </c>
      <c r="K992" s="2">
        <v>34100</v>
      </c>
      <c r="L992" s="2" t="str">
        <f>_xlfn.XLOOKUP(Data_Nhập[[#This Row],[Main SKU]],MD_Main_SKU[Main SKU],MD_Main_SKU[SKU name_gom])</f>
        <v>WSS01</v>
      </c>
      <c r="M992" s="2" t="str">
        <f>_xlfn.XLOOKUP(Data_Nhập[[#This Row],[Material-Nhập]],MD_Main_SKU[Main SKU],MD_Main_SKU[SKU name_gom])</f>
        <v>WSS01</v>
      </c>
    </row>
    <row r="993" spans="1:13" x14ac:dyDescent="0.35">
      <c r="A993">
        <v>2025</v>
      </c>
      <c r="B993">
        <v>10</v>
      </c>
      <c r="C993" t="s">
        <v>48</v>
      </c>
      <c r="D993" t="s">
        <v>49</v>
      </c>
      <c r="E993" t="s">
        <v>22</v>
      </c>
      <c r="F993" t="s">
        <v>23</v>
      </c>
      <c r="G993" s="2">
        <v>0</v>
      </c>
      <c r="H993" s="2">
        <v>1100</v>
      </c>
      <c r="I993" s="2">
        <v>1100</v>
      </c>
      <c r="J993" s="2">
        <v>0</v>
      </c>
      <c r="K993" s="2">
        <v>1100</v>
      </c>
      <c r="L993" s="2" t="str">
        <f>_xlfn.XLOOKUP(Data_Nhập[[#This Row],[Main SKU]],MD_Main_SKU[Main SKU],MD_Main_SKU[SKU name_gom])</f>
        <v>WSS01</v>
      </c>
      <c r="M993" s="2" t="str">
        <f>_xlfn.XLOOKUP(Data_Nhập[[#This Row],[Material-Nhập]],MD_Main_SKU[Main SKU],MD_Main_SKU[SKU name_gom])</f>
        <v>WSS03</v>
      </c>
    </row>
    <row r="994" spans="1:13" x14ac:dyDescent="0.35">
      <c r="A994">
        <v>2025</v>
      </c>
      <c r="B994">
        <v>10</v>
      </c>
      <c r="C994" t="s">
        <v>48</v>
      </c>
      <c r="D994" t="s">
        <v>49</v>
      </c>
      <c r="E994" t="s">
        <v>40</v>
      </c>
      <c r="F994" t="s">
        <v>41</v>
      </c>
      <c r="G994" s="2">
        <v>0</v>
      </c>
      <c r="H994" s="2">
        <v>1100</v>
      </c>
      <c r="I994" s="2">
        <v>1100</v>
      </c>
      <c r="J994" s="2">
        <v>0</v>
      </c>
      <c r="K994" s="2">
        <v>1100</v>
      </c>
      <c r="L994" s="2" t="str">
        <f>_xlfn.XLOOKUP(Data_Nhập[[#This Row],[Main SKU]],MD_Main_SKU[Main SKU],MD_Main_SKU[SKU name_gom])</f>
        <v>WSS01</v>
      </c>
      <c r="M994" s="2" t="str">
        <f>_xlfn.XLOOKUP(Data_Nhập[[#This Row],[Material-Nhập]],MD_Main_SKU[Main SKU],MD_Main_SKU[SKU name_gom])</f>
        <v>WSS01-PL</v>
      </c>
    </row>
    <row r="995" spans="1:13" x14ac:dyDescent="0.35">
      <c r="A995">
        <v>2025</v>
      </c>
      <c r="B995">
        <v>10</v>
      </c>
      <c r="C995" t="s">
        <v>48</v>
      </c>
      <c r="D995" t="s">
        <v>49</v>
      </c>
      <c r="E995" t="s">
        <v>48</v>
      </c>
      <c r="F995" t="s">
        <v>49</v>
      </c>
      <c r="G995" s="2">
        <v>106700</v>
      </c>
      <c r="H995" s="2">
        <v>1100</v>
      </c>
      <c r="I995" s="2">
        <v>107800</v>
      </c>
      <c r="J995" s="2">
        <v>0</v>
      </c>
      <c r="K995" s="2">
        <v>107800</v>
      </c>
      <c r="L995" s="2" t="str">
        <f>_xlfn.XLOOKUP(Data_Nhập[[#This Row],[Main SKU]],MD_Main_SKU[Main SKU],MD_Main_SKU[SKU name_gom])</f>
        <v>WSS01</v>
      </c>
      <c r="M995" s="2" t="str">
        <f>_xlfn.XLOOKUP(Data_Nhập[[#This Row],[Material-Nhập]],MD_Main_SKU[Main SKU],MD_Main_SKU[SKU name_gom])</f>
        <v>WSS01</v>
      </c>
    </row>
    <row r="996" spans="1:13" x14ac:dyDescent="0.35">
      <c r="A996">
        <v>2025</v>
      </c>
      <c r="B996">
        <v>10</v>
      </c>
      <c r="C996" t="s">
        <v>48</v>
      </c>
      <c r="D996" t="s">
        <v>49</v>
      </c>
      <c r="E996" t="s">
        <v>60</v>
      </c>
      <c r="F996" t="s">
        <v>61</v>
      </c>
      <c r="G996" s="2">
        <v>0</v>
      </c>
      <c r="H996" s="2">
        <v>1100</v>
      </c>
      <c r="I996" s="2">
        <v>1100</v>
      </c>
      <c r="J996" s="2">
        <v>0</v>
      </c>
      <c r="K996" s="2">
        <v>1100</v>
      </c>
      <c r="L996" s="2" t="str">
        <f>_xlfn.XLOOKUP(Data_Nhập[[#This Row],[Main SKU]],MD_Main_SKU[Main SKU],MD_Main_SKU[SKU name_gom])</f>
        <v>WSS01</v>
      </c>
      <c r="M996" s="2" t="str">
        <f>_xlfn.XLOOKUP(Data_Nhập[[#This Row],[Material-Nhập]],MD_Main_SKU[Main SKU],MD_Main_SKU[SKU name_gom])</f>
        <v>WSS01-PL</v>
      </c>
    </row>
    <row r="997" spans="1:13" x14ac:dyDescent="0.35">
      <c r="A997">
        <v>2025</v>
      </c>
      <c r="B997">
        <v>10</v>
      </c>
      <c r="C997" t="s">
        <v>48</v>
      </c>
      <c r="D997" t="s">
        <v>49</v>
      </c>
      <c r="E997" t="s">
        <v>87</v>
      </c>
      <c r="F997" t="s">
        <v>88</v>
      </c>
      <c r="G997" s="2">
        <v>0</v>
      </c>
      <c r="H997" s="2">
        <v>0</v>
      </c>
      <c r="I997" s="2">
        <v>0</v>
      </c>
      <c r="J997" s="2">
        <v>2010</v>
      </c>
      <c r="K997" s="2">
        <v>2010</v>
      </c>
      <c r="L997" s="2" t="str">
        <f>_xlfn.XLOOKUP(Data_Nhập[[#This Row],[Main SKU]],MD_Main_SKU[Main SKU],MD_Main_SKU[SKU name_gom])</f>
        <v>WSS01</v>
      </c>
      <c r="M997" s="2" t="str">
        <f>_xlfn.XLOOKUP(Data_Nhập[[#This Row],[Material-Nhập]],MD_Main_SKU[Main SKU],MD_Main_SKU[SKU name_gom])</f>
        <v>Phó sản</v>
      </c>
    </row>
    <row r="998" spans="1:13" x14ac:dyDescent="0.35">
      <c r="A998">
        <v>2025</v>
      </c>
      <c r="B998">
        <v>10</v>
      </c>
      <c r="C998" t="s">
        <v>48</v>
      </c>
      <c r="D998" t="s">
        <v>49</v>
      </c>
      <c r="E998" t="s">
        <v>117</v>
      </c>
      <c r="F998" t="s">
        <v>86</v>
      </c>
      <c r="G998" s="2">
        <v>0</v>
      </c>
      <c r="H998" s="2">
        <v>0</v>
      </c>
      <c r="I998" s="2">
        <v>0</v>
      </c>
      <c r="J998" s="2">
        <v>3374</v>
      </c>
      <c r="K998" s="2">
        <v>3374</v>
      </c>
      <c r="L998" s="2" t="str">
        <f>_xlfn.XLOOKUP(Data_Nhập[[#This Row],[Main SKU]],MD_Main_SKU[Main SKU],MD_Main_SKU[SKU name_gom])</f>
        <v>WSS01</v>
      </c>
      <c r="M998" s="2" t="str">
        <f>_xlfn.XLOOKUP(Data_Nhập[[#This Row],[Material-Nhập]],MD_Main_SKU[Main SKU],MD_Main_SKU[SKU name_gom])</f>
        <v>Phó sản</v>
      </c>
    </row>
    <row r="999" spans="1:13" x14ac:dyDescent="0.35">
      <c r="A999">
        <v>2025</v>
      </c>
      <c r="B999">
        <v>10</v>
      </c>
      <c r="C999" t="s">
        <v>136</v>
      </c>
      <c r="D999" t="s">
        <v>137</v>
      </c>
      <c r="E999" t="s">
        <v>136</v>
      </c>
      <c r="F999" t="s">
        <v>137</v>
      </c>
      <c r="G999" s="2">
        <v>1925</v>
      </c>
      <c r="H999" s="2">
        <v>0</v>
      </c>
      <c r="I999" s="2">
        <v>1925</v>
      </c>
      <c r="J999" s="2">
        <v>0</v>
      </c>
      <c r="K999" s="2">
        <v>1925</v>
      </c>
      <c r="L999" s="2" t="str">
        <f>_xlfn.XLOOKUP(Data_Nhập[[#This Row],[Main SKU]],MD_Main_SKU[Main SKU],MD_Main_SKU[SKU name_gom])</f>
        <v>Khác</v>
      </c>
      <c r="M999" s="2" t="str">
        <f>_xlfn.XLOOKUP(Data_Nhập[[#This Row],[Material-Nhập]],MD_Main_SKU[Main SKU],MD_Main_SKU[SKU name_gom])</f>
        <v>Khác</v>
      </c>
    </row>
    <row r="1000" spans="1:13" x14ac:dyDescent="0.35">
      <c r="A1000">
        <v>2025</v>
      </c>
      <c r="B1000">
        <v>10</v>
      </c>
      <c r="C1000" t="s">
        <v>136</v>
      </c>
      <c r="D1000" t="s">
        <v>137</v>
      </c>
      <c r="E1000" t="s">
        <v>87</v>
      </c>
      <c r="F1000" t="s">
        <v>88</v>
      </c>
      <c r="G1000" s="2">
        <v>0</v>
      </c>
      <c r="H1000" s="2">
        <v>0</v>
      </c>
      <c r="I1000" s="2">
        <v>0</v>
      </c>
      <c r="J1000" s="2">
        <v>55</v>
      </c>
      <c r="K1000" s="2">
        <v>55</v>
      </c>
      <c r="L1000" s="2" t="str">
        <f>_xlfn.XLOOKUP(Data_Nhập[[#This Row],[Main SKU]],MD_Main_SKU[Main SKU],MD_Main_SKU[SKU name_gom])</f>
        <v>Khác</v>
      </c>
      <c r="M1000" s="2" t="str">
        <f>_xlfn.XLOOKUP(Data_Nhập[[#This Row],[Material-Nhập]],MD_Main_SKU[Main SKU],MD_Main_SKU[SKU name_gom])</f>
        <v>Phó sản</v>
      </c>
    </row>
    <row r="1001" spans="1:13" x14ac:dyDescent="0.35">
      <c r="A1001">
        <v>2025</v>
      </c>
      <c r="B1001">
        <v>11</v>
      </c>
      <c r="C1001" t="s">
        <v>8</v>
      </c>
      <c r="D1001" t="s">
        <v>9</v>
      </c>
      <c r="E1001" t="s">
        <v>8</v>
      </c>
      <c r="F1001" t="s">
        <v>9</v>
      </c>
      <c r="G1001" s="2">
        <v>122100</v>
      </c>
      <c r="H1001" s="2">
        <v>0</v>
      </c>
      <c r="I1001" s="2">
        <v>122100</v>
      </c>
      <c r="J1001" s="2">
        <v>0</v>
      </c>
      <c r="K1001" s="2">
        <v>122100</v>
      </c>
      <c r="L1001" s="2" t="str">
        <f>_xlfn.XLOOKUP(Data_Nhập[[#This Row],[Main SKU]],MD_Main_SKU[Main SKU],MD_Main_SKU[SKU name_gom])</f>
        <v>WSS01</v>
      </c>
      <c r="M1001" s="2" t="str">
        <f>_xlfn.XLOOKUP(Data_Nhập[[#This Row],[Material-Nhập]],MD_Main_SKU[Main SKU],MD_Main_SKU[SKU name_gom])</f>
        <v>WSS01</v>
      </c>
    </row>
    <row r="1002" spans="1:13" x14ac:dyDescent="0.35">
      <c r="A1002">
        <v>2025</v>
      </c>
      <c r="B1002">
        <v>11</v>
      </c>
      <c r="C1002" t="s">
        <v>8</v>
      </c>
      <c r="D1002" t="s">
        <v>9</v>
      </c>
      <c r="E1002" t="s">
        <v>22</v>
      </c>
      <c r="F1002" t="s">
        <v>23</v>
      </c>
      <c r="G1002" s="2">
        <v>0</v>
      </c>
      <c r="H1002" s="2">
        <v>3300</v>
      </c>
      <c r="I1002" s="2">
        <v>3300</v>
      </c>
      <c r="J1002" s="2">
        <v>0</v>
      </c>
      <c r="K1002" s="2">
        <v>3300</v>
      </c>
      <c r="L1002" s="2" t="str">
        <f>_xlfn.XLOOKUP(Data_Nhập[[#This Row],[Main SKU]],MD_Main_SKU[Main SKU],MD_Main_SKU[SKU name_gom])</f>
        <v>WSS01</v>
      </c>
      <c r="M1002" s="2" t="str">
        <f>_xlfn.XLOOKUP(Data_Nhập[[#This Row],[Material-Nhập]],MD_Main_SKU[Main SKU],MD_Main_SKU[SKU name_gom])</f>
        <v>WSS03</v>
      </c>
    </row>
    <row r="1003" spans="1:13" x14ac:dyDescent="0.35">
      <c r="A1003">
        <v>2025</v>
      </c>
      <c r="B1003">
        <v>11</v>
      </c>
      <c r="C1003" t="s">
        <v>8</v>
      </c>
      <c r="D1003" t="s">
        <v>9</v>
      </c>
      <c r="E1003" t="s">
        <v>34</v>
      </c>
      <c r="F1003" t="s">
        <v>35</v>
      </c>
      <c r="G1003" s="2">
        <v>0</v>
      </c>
      <c r="H1003" s="2">
        <v>4400</v>
      </c>
      <c r="I1003" s="2">
        <v>4400</v>
      </c>
      <c r="J1003" s="2">
        <v>0</v>
      </c>
      <c r="K1003" s="2">
        <v>4400</v>
      </c>
      <c r="L1003" s="2" t="str">
        <f>_xlfn.XLOOKUP(Data_Nhập[[#This Row],[Main SKU]],MD_Main_SKU[Main SKU],MD_Main_SKU[SKU name_gom])</f>
        <v>WSS01</v>
      </c>
      <c r="M1003" s="2" t="str">
        <f>_xlfn.XLOOKUP(Data_Nhập[[#This Row],[Material-Nhập]],MD_Main_SKU[Main SKU],MD_Main_SKU[SKU name_gom])</f>
        <v>WSS03-PL</v>
      </c>
    </row>
    <row r="1004" spans="1:13" x14ac:dyDescent="0.35">
      <c r="A1004">
        <v>2025</v>
      </c>
      <c r="B1004">
        <v>11</v>
      </c>
      <c r="C1004" t="s">
        <v>8</v>
      </c>
      <c r="D1004" t="s">
        <v>9</v>
      </c>
      <c r="E1004" t="s">
        <v>36</v>
      </c>
      <c r="F1004" t="s">
        <v>37</v>
      </c>
      <c r="G1004" s="2">
        <v>0</v>
      </c>
      <c r="H1004" s="2">
        <v>1100</v>
      </c>
      <c r="I1004" s="2">
        <v>1100</v>
      </c>
      <c r="J1004" s="2">
        <v>0</v>
      </c>
      <c r="K1004" s="2">
        <v>1100</v>
      </c>
      <c r="L1004" s="2" t="str">
        <f>_xlfn.XLOOKUP(Data_Nhập[[#This Row],[Main SKU]],MD_Main_SKU[Main SKU],MD_Main_SKU[SKU name_gom])</f>
        <v>WSS01</v>
      </c>
      <c r="M1004" s="2" t="str">
        <f>_xlfn.XLOOKUP(Data_Nhập[[#This Row],[Material-Nhập]],MD_Main_SKU[Main SKU],MD_Main_SKU[SKU name_gom])</f>
        <v>WSS01-PL</v>
      </c>
    </row>
    <row r="1005" spans="1:13" x14ac:dyDescent="0.35">
      <c r="A1005">
        <v>2025</v>
      </c>
      <c r="B1005">
        <v>11</v>
      </c>
      <c r="C1005" t="s">
        <v>8</v>
      </c>
      <c r="D1005" t="s">
        <v>9</v>
      </c>
      <c r="E1005" t="s">
        <v>87</v>
      </c>
      <c r="F1005" t="s">
        <v>88</v>
      </c>
      <c r="G1005" s="2">
        <v>0</v>
      </c>
      <c r="H1005" s="2">
        <v>0</v>
      </c>
      <c r="I1005" s="2">
        <v>0</v>
      </c>
      <c r="J1005" s="2">
        <v>700</v>
      </c>
      <c r="K1005" s="2">
        <v>700</v>
      </c>
      <c r="L1005" s="2" t="str">
        <f>_xlfn.XLOOKUP(Data_Nhập[[#This Row],[Main SKU]],MD_Main_SKU[Main SKU],MD_Main_SKU[SKU name_gom])</f>
        <v>WSS01</v>
      </c>
      <c r="M1005" s="2" t="str">
        <f>_xlfn.XLOOKUP(Data_Nhập[[#This Row],[Material-Nhập]],MD_Main_SKU[Main SKU],MD_Main_SKU[SKU name_gom])</f>
        <v>Phó sản</v>
      </c>
    </row>
    <row r="1006" spans="1:13" x14ac:dyDescent="0.35">
      <c r="A1006">
        <v>2025</v>
      </c>
      <c r="B1006">
        <v>11</v>
      </c>
      <c r="C1006" t="s">
        <v>8</v>
      </c>
      <c r="D1006" t="s">
        <v>9</v>
      </c>
      <c r="E1006" t="s">
        <v>91</v>
      </c>
      <c r="F1006" t="s">
        <v>92</v>
      </c>
      <c r="G1006" s="2">
        <v>0</v>
      </c>
      <c r="H1006" s="2">
        <v>0</v>
      </c>
      <c r="I1006" s="2">
        <v>0</v>
      </c>
      <c r="J1006" s="2">
        <v>1100</v>
      </c>
      <c r="K1006" s="2">
        <v>1100</v>
      </c>
      <c r="L1006" s="2" t="str">
        <f>_xlfn.XLOOKUP(Data_Nhập[[#This Row],[Main SKU]],MD_Main_SKU[Main SKU],MD_Main_SKU[SKU name_gom])</f>
        <v>WSS01</v>
      </c>
      <c r="M1006" s="2" t="str">
        <f>_xlfn.XLOOKUP(Data_Nhập[[#This Row],[Material-Nhập]],MD_Main_SKU[Main SKU],MD_Main_SKU[SKU name_gom])</f>
        <v>Phó sản</v>
      </c>
    </row>
    <row r="1007" spans="1:13" x14ac:dyDescent="0.35">
      <c r="A1007">
        <v>2025</v>
      </c>
      <c r="B1007">
        <v>11</v>
      </c>
      <c r="C1007" t="s">
        <v>8</v>
      </c>
      <c r="D1007" t="s">
        <v>9</v>
      </c>
      <c r="E1007" t="s">
        <v>93</v>
      </c>
      <c r="F1007" t="s">
        <v>94</v>
      </c>
      <c r="G1007" s="2">
        <v>0</v>
      </c>
      <c r="H1007" s="2">
        <v>0</v>
      </c>
      <c r="I1007" s="2">
        <v>0</v>
      </c>
      <c r="J1007" s="2">
        <v>500</v>
      </c>
      <c r="K1007" s="2">
        <v>500</v>
      </c>
      <c r="L1007" s="2" t="str">
        <f>_xlfn.XLOOKUP(Data_Nhập[[#This Row],[Main SKU]],MD_Main_SKU[Main SKU],MD_Main_SKU[SKU name_gom])</f>
        <v>WSS01</v>
      </c>
      <c r="M1007" s="2" t="str">
        <f>_xlfn.XLOOKUP(Data_Nhập[[#This Row],[Material-Nhập]],MD_Main_SKU[Main SKU],MD_Main_SKU[SKU name_gom])</f>
        <v>Phó sản</v>
      </c>
    </row>
    <row r="1008" spans="1:13" x14ac:dyDescent="0.35">
      <c r="A1008">
        <v>2025</v>
      </c>
      <c r="B1008">
        <v>11</v>
      </c>
      <c r="C1008" t="s">
        <v>8</v>
      </c>
      <c r="D1008" t="s">
        <v>9</v>
      </c>
      <c r="E1008" t="s">
        <v>117</v>
      </c>
      <c r="F1008" t="s">
        <v>86</v>
      </c>
      <c r="G1008" s="2">
        <v>0</v>
      </c>
      <c r="H1008" s="2">
        <v>0</v>
      </c>
      <c r="I1008" s="2">
        <v>0</v>
      </c>
      <c r="J1008" s="2">
        <v>2635</v>
      </c>
      <c r="K1008" s="2">
        <v>2635</v>
      </c>
      <c r="L1008" s="2" t="str">
        <f>_xlfn.XLOOKUP(Data_Nhập[[#This Row],[Main SKU]],MD_Main_SKU[Main SKU],MD_Main_SKU[SKU name_gom])</f>
        <v>WSS01</v>
      </c>
      <c r="M1008" s="2" t="str">
        <f>_xlfn.XLOOKUP(Data_Nhập[[#This Row],[Material-Nhập]],MD_Main_SKU[Main SKU],MD_Main_SKU[SKU name_gom])</f>
        <v>Phó sản</v>
      </c>
    </row>
    <row r="1009" spans="1:13" x14ac:dyDescent="0.35">
      <c r="A1009">
        <v>2025</v>
      </c>
      <c r="B1009">
        <v>11</v>
      </c>
      <c r="C1009" t="s">
        <v>8</v>
      </c>
      <c r="D1009" t="s">
        <v>9</v>
      </c>
      <c r="E1009" t="s">
        <v>134</v>
      </c>
      <c r="F1009" t="s">
        <v>135</v>
      </c>
      <c r="G1009" s="2">
        <v>0</v>
      </c>
      <c r="H1009" s="2">
        <v>0</v>
      </c>
      <c r="I1009" s="2">
        <v>0</v>
      </c>
      <c r="J1009" s="2">
        <v>1100</v>
      </c>
      <c r="K1009" s="2">
        <v>1100</v>
      </c>
      <c r="L1009" s="2" t="str">
        <f>_xlfn.XLOOKUP(Data_Nhập[[#This Row],[Main SKU]],MD_Main_SKU[Main SKU],MD_Main_SKU[SKU name_gom])</f>
        <v>WSS01</v>
      </c>
      <c r="M1009" s="2" t="str">
        <f>_xlfn.XLOOKUP(Data_Nhập[[#This Row],[Material-Nhập]],MD_Main_SKU[Main SKU],MD_Main_SKU[SKU name_gom])</f>
        <v>Phó sản</v>
      </c>
    </row>
    <row r="1010" spans="1:13" x14ac:dyDescent="0.35">
      <c r="A1010">
        <v>2025</v>
      </c>
      <c r="B1010">
        <v>11</v>
      </c>
      <c r="C1010" t="s">
        <v>14</v>
      </c>
      <c r="D1010" t="s">
        <v>15</v>
      </c>
      <c r="E1010" t="s">
        <v>14</v>
      </c>
      <c r="F1010" t="s">
        <v>15</v>
      </c>
      <c r="G1010" s="2">
        <v>1013900</v>
      </c>
      <c r="H1010" s="2">
        <v>0</v>
      </c>
      <c r="I1010" s="2">
        <v>1013900</v>
      </c>
      <c r="J1010" s="2">
        <v>0</v>
      </c>
      <c r="K1010" s="2">
        <v>1013900</v>
      </c>
      <c r="L1010" s="2" t="str">
        <f>_xlfn.XLOOKUP(Data_Nhập[[#This Row],[Main SKU]],MD_Main_SKU[Main SKU],MD_Main_SKU[SKU name_gom])</f>
        <v>iSS01084</v>
      </c>
      <c r="M1010" s="2" t="str">
        <f>_xlfn.XLOOKUP(Data_Nhập[[#This Row],[Material-Nhập]],MD_Main_SKU[Main SKU],MD_Main_SKU[SKU name_gom])</f>
        <v>iSS01084</v>
      </c>
    </row>
    <row r="1011" spans="1:13" x14ac:dyDescent="0.35">
      <c r="A1011">
        <v>2025</v>
      </c>
      <c r="B1011">
        <v>11</v>
      </c>
      <c r="C1011" t="s">
        <v>14</v>
      </c>
      <c r="D1011" t="s">
        <v>15</v>
      </c>
      <c r="E1011" t="s">
        <v>16</v>
      </c>
      <c r="F1011" t="s">
        <v>17</v>
      </c>
      <c r="G1011" s="2">
        <v>0</v>
      </c>
      <c r="H1011" s="2">
        <v>12100</v>
      </c>
      <c r="I1011" s="2">
        <v>12100</v>
      </c>
      <c r="J1011" s="2">
        <v>0</v>
      </c>
      <c r="K1011" s="2">
        <v>12100</v>
      </c>
      <c r="L1011" s="2" t="str">
        <f>_xlfn.XLOOKUP(Data_Nhập[[#This Row],[Main SKU]],MD_Main_SKU[Main SKU],MD_Main_SKU[SKU name_gom])</f>
        <v>iSS01084</v>
      </c>
      <c r="M1011" s="2" t="str">
        <f>_xlfn.XLOOKUP(Data_Nhập[[#This Row],[Material-Nhập]],MD_Main_SKU[Main SKU],MD_Main_SKU[SKU name_gom])</f>
        <v>WSS01</v>
      </c>
    </row>
    <row r="1012" spans="1:13" x14ac:dyDescent="0.35">
      <c r="A1012">
        <v>2025</v>
      </c>
      <c r="B1012">
        <v>11</v>
      </c>
      <c r="C1012" t="s">
        <v>14</v>
      </c>
      <c r="D1012" t="s">
        <v>15</v>
      </c>
      <c r="E1012" t="s">
        <v>18</v>
      </c>
      <c r="F1012" t="s">
        <v>19</v>
      </c>
      <c r="G1012" s="2">
        <v>0</v>
      </c>
      <c r="H1012" s="2">
        <v>19800</v>
      </c>
      <c r="I1012" s="2">
        <v>19800</v>
      </c>
      <c r="J1012" s="2">
        <v>0</v>
      </c>
      <c r="K1012" s="2">
        <v>19800</v>
      </c>
      <c r="L1012" s="2" t="str">
        <f>_xlfn.XLOOKUP(Data_Nhập[[#This Row],[Main SKU]],MD_Main_SKU[Main SKU],MD_Main_SKU[SKU name_gom])</f>
        <v>iSS01084</v>
      </c>
      <c r="M1012" s="2" t="str">
        <f>_xlfn.XLOOKUP(Data_Nhập[[#This Row],[Material-Nhập]],MD_Main_SKU[Main SKU],MD_Main_SKU[SKU name_gom])</f>
        <v>iSS01</v>
      </c>
    </row>
    <row r="1013" spans="1:13" x14ac:dyDescent="0.35">
      <c r="A1013">
        <v>2025</v>
      </c>
      <c r="B1013">
        <v>11</v>
      </c>
      <c r="C1013" t="s">
        <v>14</v>
      </c>
      <c r="D1013" t="s">
        <v>15</v>
      </c>
      <c r="E1013" t="s">
        <v>22</v>
      </c>
      <c r="F1013" t="s">
        <v>23</v>
      </c>
      <c r="G1013" s="2">
        <v>0</v>
      </c>
      <c r="H1013" s="2">
        <v>79200</v>
      </c>
      <c r="I1013" s="2">
        <v>79200</v>
      </c>
      <c r="J1013" s="2">
        <v>0</v>
      </c>
      <c r="K1013" s="2">
        <v>79200</v>
      </c>
      <c r="L1013" s="2" t="str">
        <f>_xlfn.XLOOKUP(Data_Nhập[[#This Row],[Main SKU]],MD_Main_SKU[Main SKU],MD_Main_SKU[SKU name_gom])</f>
        <v>iSS01084</v>
      </c>
      <c r="M1013" s="2" t="str">
        <f>_xlfn.XLOOKUP(Data_Nhập[[#This Row],[Material-Nhập]],MD_Main_SKU[Main SKU],MD_Main_SKU[SKU name_gom])</f>
        <v>WSS03</v>
      </c>
    </row>
    <row r="1014" spans="1:13" x14ac:dyDescent="0.35">
      <c r="A1014">
        <v>2025</v>
      </c>
      <c r="B1014">
        <v>11</v>
      </c>
      <c r="C1014" t="s">
        <v>14</v>
      </c>
      <c r="D1014" t="s">
        <v>15</v>
      </c>
      <c r="E1014" t="s">
        <v>38</v>
      </c>
      <c r="F1014" t="s">
        <v>39</v>
      </c>
      <c r="G1014" s="2">
        <v>0</v>
      </c>
      <c r="H1014" s="2">
        <v>2200</v>
      </c>
      <c r="I1014" s="2">
        <v>2200</v>
      </c>
      <c r="J1014" s="2">
        <v>0</v>
      </c>
      <c r="K1014" s="2">
        <v>2200</v>
      </c>
      <c r="L1014" s="2" t="str">
        <f>_xlfn.XLOOKUP(Data_Nhập[[#This Row],[Main SKU]],MD_Main_SKU[Main SKU],MD_Main_SKU[SKU name_gom])</f>
        <v>iSS01084</v>
      </c>
      <c r="M1014" s="2" t="str">
        <f>_xlfn.XLOOKUP(Data_Nhập[[#This Row],[Material-Nhập]],MD_Main_SKU[Main SKU],MD_Main_SKU[SKU name_gom])</f>
        <v>iSS01084-PL</v>
      </c>
    </row>
    <row r="1015" spans="1:13" x14ac:dyDescent="0.35">
      <c r="A1015">
        <v>2025</v>
      </c>
      <c r="B1015">
        <v>11</v>
      </c>
      <c r="C1015" t="s">
        <v>14</v>
      </c>
      <c r="D1015" t="s">
        <v>15</v>
      </c>
      <c r="E1015" t="s">
        <v>34</v>
      </c>
      <c r="F1015" t="s">
        <v>35</v>
      </c>
      <c r="G1015" s="2">
        <v>0</v>
      </c>
      <c r="H1015" s="2">
        <v>7700</v>
      </c>
      <c r="I1015" s="2">
        <v>7700</v>
      </c>
      <c r="J1015" s="2">
        <v>0</v>
      </c>
      <c r="K1015" s="2">
        <v>7700</v>
      </c>
      <c r="L1015" s="2" t="str">
        <f>_xlfn.XLOOKUP(Data_Nhập[[#This Row],[Main SKU]],MD_Main_SKU[Main SKU],MD_Main_SKU[SKU name_gom])</f>
        <v>iSS01084</v>
      </c>
      <c r="M1015" s="2" t="str">
        <f>_xlfn.XLOOKUP(Data_Nhập[[#This Row],[Material-Nhập]],MD_Main_SKU[Main SKU],MD_Main_SKU[SKU name_gom])</f>
        <v>WSS03-PL</v>
      </c>
    </row>
    <row r="1016" spans="1:13" x14ac:dyDescent="0.35">
      <c r="A1016">
        <v>2025</v>
      </c>
      <c r="B1016">
        <v>11</v>
      </c>
      <c r="C1016" t="s">
        <v>14</v>
      </c>
      <c r="D1016" t="s">
        <v>15</v>
      </c>
      <c r="E1016" t="s">
        <v>87</v>
      </c>
      <c r="F1016" t="s">
        <v>88</v>
      </c>
      <c r="G1016" s="2">
        <v>0</v>
      </c>
      <c r="H1016" s="2">
        <v>0</v>
      </c>
      <c r="I1016" s="2">
        <v>0</v>
      </c>
      <c r="J1016" s="2">
        <v>5640.0000000000009</v>
      </c>
      <c r="K1016" s="2">
        <v>5640.0000000000009</v>
      </c>
      <c r="L1016" s="2" t="str">
        <f>_xlfn.XLOOKUP(Data_Nhập[[#This Row],[Main SKU]],MD_Main_SKU[Main SKU],MD_Main_SKU[SKU name_gom])</f>
        <v>iSS01084</v>
      </c>
      <c r="M1016" s="2" t="str">
        <f>_xlfn.XLOOKUP(Data_Nhập[[#This Row],[Material-Nhập]],MD_Main_SKU[Main SKU],MD_Main_SKU[SKU name_gom])</f>
        <v>Phó sản</v>
      </c>
    </row>
    <row r="1017" spans="1:13" x14ac:dyDescent="0.35">
      <c r="A1017">
        <v>2025</v>
      </c>
      <c r="B1017">
        <v>11</v>
      </c>
      <c r="C1017" t="s">
        <v>14</v>
      </c>
      <c r="D1017" t="s">
        <v>15</v>
      </c>
      <c r="E1017" t="s">
        <v>91</v>
      </c>
      <c r="F1017" t="s">
        <v>92</v>
      </c>
      <c r="G1017" s="2">
        <v>0</v>
      </c>
      <c r="H1017" s="2">
        <v>0</v>
      </c>
      <c r="I1017" s="2">
        <v>0</v>
      </c>
      <c r="J1017" s="2">
        <v>1100</v>
      </c>
      <c r="K1017" s="2">
        <v>1100</v>
      </c>
      <c r="L1017" s="2" t="str">
        <f>_xlfn.XLOOKUP(Data_Nhập[[#This Row],[Main SKU]],MD_Main_SKU[Main SKU],MD_Main_SKU[SKU name_gom])</f>
        <v>iSS01084</v>
      </c>
      <c r="M1017" s="2" t="str">
        <f>_xlfn.XLOOKUP(Data_Nhập[[#This Row],[Material-Nhập]],MD_Main_SKU[Main SKU],MD_Main_SKU[SKU name_gom])</f>
        <v>Phó sản</v>
      </c>
    </row>
    <row r="1018" spans="1:13" x14ac:dyDescent="0.35">
      <c r="A1018">
        <v>2025</v>
      </c>
      <c r="B1018">
        <v>11</v>
      </c>
      <c r="C1018" t="s">
        <v>14</v>
      </c>
      <c r="D1018" t="s">
        <v>15</v>
      </c>
      <c r="E1018" t="s">
        <v>93</v>
      </c>
      <c r="F1018" t="s">
        <v>94</v>
      </c>
      <c r="G1018" s="2">
        <v>0</v>
      </c>
      <c r="H1018" s="2">
        <v>0</v>
      </c>
      <c r="I1018" s="2">
        <v>0</v>
      </c>
      <c r="J1018" s="2">
        <v>600</v>
      </c>
      <c r="K1018" s="2">
        <v>600</v>
      </c>
      <c r="L1018" s="2" t="str">
        <f>_xlfn.XLOOKUP(Data_Nhập[[#This Row],[Main SKU]],MD_Main_SKU[Main SKU],MD_Main_SKU[SKU name_gom])</f>
        <v>iSS01084</v>
      </c>
      <c r="M1018" s="2" t="str">
        <f>_xlfn.XLOOKUP(Data_Nhập[[#This Row],[Material-Nhập]],MD_Main_SKU[Main SKU],MD_Main_SKU[SKU name_gom])</f>
        <v>Phó sản</v>
      </c>
    </row>
    <row r="1019" spans="1:13" x14ac:dyDescent="0.35">
      <c r="A1019">
        <v>2025</v>
      </c>
      <c r="B1019">
        <v>11</v>
      </c>
      <c r="C1019" t="s">
        <v>14</v>
      </c>
      <c r="D1019" t="s">
        <v>15</v>
      </c>
      <c r="E1019" t="s">
        <v>117</v>
      </c>
      <c r="F1019" t="s">
        <v>86</v>
      </c>
      <c r="G1019" s="2">
        <v>0</v>
      </c>
      <c r="H1019" s="2">
        <v>0</v>
      </c>
      <c r="I1019" s="2">
        <v>0</v>
      </c>
      <c r="J1019" s="2">
        <v>15121.000000000002</v>
      </c>
      <c r="K1019" s="2">
        <v>15121.000000000002</v>
      </c>
      <c r="L1019" s="2" t="str">
        <f>_xlfn.XLOOKUP(Data_Nhập[[#This Row],[Main SKU]],MD_Main_SKU[Main SKU],MD_Main_SKU[SKU name_gom])</f>
        <v>iSS01084</v>
      </c>
      <c r="M1019" s="2" t="str">
        <f>_xlfn.XLOOKUP(Data_Nhập[[#This Row],[Material-Nhập]],MD_Main_SKU[Main SKU],MD_Main_SKU[SKU name_gom])</f>
        <v>Phó sản</v>
      </c>
    </row>
    <row r="1020" spans="1:13" x14ac:dyDescent="0.35">
      <c r="A1020">
        <v>2025</v>
      </c>
      <c r="B1020">
        <v>11</v>
      </c>
      <c r="C1020" t="s">
        <v>14</v>
      </c>
      <c r="D1020" t="s">
        <v>15</v>
      </c>
      <c r="E1020" t="s">
        <v>126</v>
      </c>
      <c r="F1020" t="s">
        <v>127</v>
      </c>
      <c r="G1020" s="2">
        <v>0</v>
      </c>
      <c r="H1020" s="2">
        <v>0</v>
      </c>
      <c r="I1020" s="2">
        <v>0</v>
      </c>
      <c r="J1020" s="2">
        <v>4400</v>
      </c>
      <c r="K1020" s="2">
        <v>4400</v>
      </c>
      <c r="L1020" s="2" t="str">
        <f>_xlfn.XLOOKUP(Data_Nhập[[#This Row],[Main SKU]],MD_Main_SKU[Main SKU],MD_Main_SKU[SKU name_gom])</f>
        <v>iSS01084</v>
      </c>
      <c r="M1020" s="2" t="str">
        <f>_xlfn.XLOOKUP(Data_Nhập[[#This Row],[Material-Nhập]],MD_Main_SKU[Main SKU],MD_Main_SKU[SKU name_gom])</f>
        <v>Phó sản</v>
      </c>
    </row>
    <row r="1021" spans="1:13" x14ac:dyDescent="0.35">
      <c r="A1021">
        <v>2025</v>
      </c>
      <c r="B1021">
        <v>11</v>
      </c>
      <c r="C1021" t="s">
        <v>16</v>
      </c>
      <c r="D1021" t="s">
        <v>17</v>
      </c>
      <c r="E1021" t="s">
        <v>16</v>
      </c>
      <c r="F1021" t="s">
        <v>17</v>
      </c>
      <c r="G1021" s="2">
        <v>191400</v>
      </c>
      <c r="H1021" s="2">
        <v>0</v>
      </c>
      <c r="I1021" s="2">
        <v>191400</v>
      </c>
      <c r="J1021" s="2">
        <v>0</v>
      </c>
      <c r="K1021" s="2">
        <v>191400</v>
      </c>
      <c r="L1021" s="2" t="str">
        <f>_xlfn.XLOOKUP(Data_Nhập[[#This Row],[Main SKU]],MD_Main_SKU[Main SKU],MD_Main_SKU[SKU name_gom])</f>
        <v>WSS01</v>
      </c>
      <c r="M1021" s="2" t="str">
        <f>_xlfn.XLOOKUP(Data_Nhập[[#This Row],[Material-Nhập]],MD_Main_SKU[Main SKU],MD_Main_SKU[SKU name_gom])</f>
        <v>WSS01</v>
      </c>
    </row>
    <row r="1022" spans="1:13" x14ac:dyDescent="0.35">
      <c r="A1022">
        <v>2025</v>
      </c>
      <c r="B1022">
        <v>11</v>
      </c>
      <c r="C1022" t="s">
        <v>16</v>
      </c>
      <c r="D1022" t="s">
        <v>17</v>
      </c>
      <c r="E1022" t="s">
        <v>18</v>
      </c>
      <c r="F1022" t="s">
        <v>19</v>
      </c>
      <c r="G1022" s="2">
        <v>0</v>
      </c>
      <c r="H1022" s="2">
        <v>3300</v>
      </c>
      <c r="I1022" s="2">
        <v>3300</v>
      </c>
      <c r="J1022" s="2">
        <v>0</v>
      </c>
      <c r="K1022" s="2">
        <v>3300</v>
      </c>
      <c r="L1022" s="2" t="str">
        <f>_xlfn.XLOOKUP(Data_Nhập[[#This Row],[Main SKU]],MD_Main_SKU[Main SKU],MD_Main_SKU[SKU name_gom])</f>
        <v>WSS01</v>
      </c>
      <c r="M1022" s="2" t="str">
        <f>_xlfn.XLOOKUP(Data_Nhập[[#This Row],[Material-Nhập]],MD_Main_SKU[Main SKU],MD_Main_SKU[SKU name_gom])</f>
        <v>iSS01</v>
      </c>
    </row>
    <row r="1023" spans="1:13" x14ac:dyDescent="0.35">
      <c r="A1023">
        <v>2025</v>
      </c>
      <c r="B1023">
        <v>11</v>
      </c>
      <c r="C1023" t="s">
        <v>16</v>
      </c>
      <c r="D1023" t="s">
        <v>17</v>
      </c>
      <c r="E1023" t="s">
        <v>22</v>
      </c>
      <c r="F1023" t="s">
        <v>23</v>
      </c>
      <c r="G1023" s="2">
        <v>0</v>
      </c>
      <c r="H1023" s="2">
        <v>1100</v>
      </c>
      <c r="I1023" s="2">
        <v>1100</v>
      </c>
      <c r="J1023" s="2">
        <v>0</v>
      </c>
      <c r="K1023" s="2">
        <v>1100</v>
      </c>
      <c r="L1023" s="2" t="str">
        <f>_xlfn.XLOOKUP(Data_Nhập[[#This Row],[Main SKU]],MD_Main_SKU[Main SKU],MD_Main_SKU[SKU name_gom])</f>
        <v>WSS01</v>
      </c>
      <c r="M1023" s="2" t="str">
        <f>_xlfn.XLOOKUP(Data_Nhập[[#This Row],[Material-Nhập]],MD_Main_SKU[Main SKU],MD_Main_SKU[SKU name_gom])</f>
        <v>WSS03</v>
      </c>
    </row>
    <row r="1024" spans="1:13" x14ac:dyDescent="0.35">
      <c r="A1024">
        <v>2025</v>
      </c>
      <c r="B1024">
        <v>11</v>
      </c>
      <c r="C1024" t="s">
        <v>16</v>
      </c>
      <c r="D1024" t="s">
        <v>17</v>
      </c>
      <c r="E1024" t="s">
        <v>40</v>
      </c>
      <c r="F1024" t="s">
        <v>41</v>
      </c>
      <c r="G1024" s="2">
        <v>0</v>
      </c>
      <c r="H1024" s="2">
        <v>79200</v>
      </c>
      <c r="I1024" s="2">
        <v>79200</v>
      </c>
      <c r="J1024" s="2">
        <v>0</v>
      </c>
      <c r="K1024" s="2">
        <v>79200</v>
      </c>
      <c r="L1024" s="2" t="str">
        <f>_xlfn.XLOOKUP(Data_Nhập[[#This Row],[Main SKU]],MD_Main_SKU[Main SKU],MD_Main_SKU[SKU name_gom])</f>
        <v>WSS01</v>
      </c>
      <c r="M1024" s="2" t="str">
        <f>_xlfn.XLOOKUP(Data_Nhập[[#This Row],[Material-Nhập]],MD_Main_SKU[Main SKU],MD_Main_SKU[SKU name_gom])</f>
        <v>WSS01-PL</v>
      </c>
    </row>
    <row r="1025" spans="1:13" x14ac:dyDescent="0.35">
      <c r="A1025">
        <v>2025</v>
      </c>
      <c r="B1025">
        <v>11</v>
      </c>
      <c r="C1025" t="s">
        <v>16</v>
      </c>
      <c r="D1025" t="s">
        <v>17</v>
      </c>
      <c r="E1025" t="s">
        <v>34</v>
      </c>
      <c r="F1025" t="s">
        <v>35</v>
      </c>
      <c r="G1025" s="2">
        <v>0</v>
      </c>
      <c r="H1025" s="2">
        <v>5500.0000000000009</v>
      </c>
      <c r="I1025" s="2">
        <v>5500.0000000000009</v>
      </c>
      <c r="J1025" s="2">
        <v>0</v>
      </c>
      <c r="K1025" s="2">
        <v>5500.0000000000009</v>
      </c>
      <c r="L1025" s="2" t="str">
        <f>_xlfn.XLOOKUP(Data_Nhập[[#This Row],[Main SKU]],MD_Main_SKU[Main SKU],MD_Main_SKU[SKU name_gom])</f>
        <v>WSS01</v>
      </c>
      <c r="M1025" s="2" t="str">
        <f>_xlfn.XLOOKUP(Data_Nhập[[#This Row],[Material-Nhập]],MD_Main_SKU[Main SKU],MD_Main_SKU[SKU name_gom])</f>
        <v>WSS03-PL</v>
      </c>
    </row>
    <row r="1026" spans="1:13" x14ac:dyDescent="0.35">
      <c r="A1026">
        <v>2025</v>
      </c>
      <c r="B1026">
        <v>11</v>
      </c>
      <c r="C1026" t="s">
        <v>16</v>
      </c>
      <c r="D1026" t="s">
        <v>17</v>
      </c>
      <c r="E1026" t="s">
        <v>87</v>
      </c>
      <c r="F1026" t="s">
        <v>88</v>
      </c>
      <c r="G1026" s="2">
        <v>0</v>
      </c>
      <c r="H1026" s="2">
        <v>0</v>
      </c>
      <c r="I1026" s="2">
        <v>0</v>
      </c>
      <c r="J1026" s="2">
        <v>3670</v>
      </c>
      <c r="K1026" s="2">
        <v>3670</v>
      </c>
      <c r="L1026" s="2" t="str">
        <f>_xlfn.XLOOKUP(Data_Nhập[[#This Row],[Main SKU]],MD_Main_SKU[Main SKU],MD_Main_SKU[SKU name_gom])</f>
        <v>WSS01</v>
      </c>
      <c r="M1026" s="2" t="str">
        <f>_xlfn.XLOOKUP(Data_Nhập[[#This Row],[Material-Nhập]],MD_Main_SKU[Main SKU],MD_Main_SKU[SKU name_gom])</f>
        <v>Phó sản</v>
      </c>
    </row>
    <row r="1027" spans="1:13" x14ac:dyDescent="0.35">
      <c r="A1027">
        <v>2025</v>
      </c>
      <c r="B1027">
        <v>11</v>
      </c>
      <c r="C1027" t="s">
        <v>16</v>
      </c>
      <c r="D1027" t="s">
        <v>17</v>
      </c>
      <c r="E1027" t="s">
        <v>91</v>
      </c>
      <c r="F1027" t="s">
        <v>92</v>
      </c>
      <c r="G1027" s="2">
        <v>0</v>
      </c>
      <c r="H1027" s="2">
        <v>0</v>
      </c>
      <c r="I1027" s="2">
        <v>0</v>
      </c>
      <c r="J1027" s="2">
        <v>3262</v>
      </c>
      <c r="K1027" s="2">
        <v>3262</v>
      </c>
      <c r="L1027" s="2" t="str">
        <f>_xlfn.XLOOKUP(Data_Nhập[[#This Row],[Main SKU]],MD_Main_SKU[Main SKU],MD_Main_SKU[SKU name_gom])</f>
        <v>WSS01</v>
      </c>
      <c r="M1027" s="2" t="str">
        <f>_xlfn.XLOOKUP(Data_Nhập[[#This Row],[Material-Nhập]],MD_Main_SKU[Main SKU],MD_Main_SKU[SKU name_gom])</f>
        <v>Phó sản</v>
      </c>
    </row>
    <row r="1028" spans="1:13" x14ac:dyDescent="0.35">
      <c r="A1028">
        <v>2025</v>
      </c>
      <c r="B1028">
        <v>11</v>
      </c>
      <c r="C1028" t="s">
        <v>16</v>
      </c>
      <c r="D1028" t="s">
        <v>17</v>
      </c>
      <c r="E1028" t="s">
        <v>117</v>
      </c>
      <c r="F1028" t="s">
        <v>86</v>
      </c>
      <c r="G1028" s="2">
        <v>0</v>
      </c>
      <c r="H1028" s="2">
        <v>0</v>
      </c>
      <c r="I1028" s="2">
        <v>0</v>
      </c>
      <c r="J1028" s="2">
        <v>3990</v>
      </c>
      <c r="K1028" s="2">
        <v>3990</v>
      </c>
      <c r="L1028" s="2" t="str">
        <f>_xlfn.XLOOKUP(Data_Nhập[[#This Row],[Main SKU]],MD_Main_SKU[Main SKU],MD_Main_SKU[SKU name_gom])</f>
        <v>WSS01</v>
      </c>
      <c r="M1028" s="2" t="str">
        <f>_xlfn.XLOOKUP(Data_Nhập[[#This Row],[Material-Nhập]],MD_Main_SKU[Main SKU],MD_Main_SKU[SKU name_gom])</f>
        <v>Phó sản</v>
      </c>
    </row>
    <row r="1029" spans="1:13" x14ac:dyDescent="0.35">
      <c r="A1029">
        <v>2025</v>
      </c>
      <c r="B1029">
        <v>11</v>
      </c>
      <c r="C1029" t="s">
        <v>16</v>
      </c>
      <c r="D1029" t="s">
        <v>17</v>
      </c>
      <c r="E1029" t="s">
        <v>128</v>
      </c>
      <c r="F1029" t="s">
        <v>129</v>
      </c>
      <c r="G1029" s="2">
        <v>0</v>
      </c>
      <c r="H1029" s="2">
        <v>0</v>
      </c>
      <c r="I1029" s="2">
        <v>0</v>
      </c>
      <c r="J1029" s="2">
        <v>4399.9999999999991</v>
      </c>
      <c r="K1029" s="2">
        <v>4399.9999999999991</v>
      </c>
      <c r="L1029" s="2" t="str">
        <f>_xlfn.XLOOKUP(Data_Nhập[[#This Row],[Main SKU]],MD_Main_SKU[Main SKU],MD_Main_SKU[SKU name_gom])</f>
        <v>WSS01</v>
      </c>
      <c r="M1029" s="2" t="str">
        <f>_xlfn.XLOOKUP(Data_Nhập[[#This Row],[Material-Nhập]],MD_Main_SKU[Main SKU],MD_Main_SKU[SKU name_gom])</f>
        <v>Phó sản</v>
      </c>
    </row>
    <row r="1030" spans="1:13" x14ac:dyDescent="0.35">
      <c r="A1030">
        <v>2025</v>
      </c>
      <c r="B1030">
        <v>11</v>
      </c>
      <c r="C1030" t="s">
        <v>18</v>
      </c>
      <c r="D1030" t="s">
        <v>19</v>
      </c>
      <c r="E1030" t="s">
        <v>16</v>
      </c>
      <c r="F1030" t="s">
        <v>17</v>
      </c>
      <c r="G1030" s="2">
        <v>0</v>
      </c>
      <c r="H1030" s="2">
        <v>2200</v>
      </c>
      <c r="I1030" s="2">
        <v>2200</v>
      </c>
      <c r="J1030" s="2">
        <v>0</v>
      </c>
      <c r="K1030" s="2">
        <v>2200</v>
      </c>
      <c r="L1030" s="2" t="str">
        <f>_xlfn.XLOOKUP(Data_Nhập[[#This Row],[Main SKU]],MD_Main_SKU[Main SKU],MD_Main_SKU[SKU name_gom])</f>
        <v>iSS01</v>
      </c>
      <c r="M1030" s="2" t="str">
        <f>_xlfn.XLOOKUP(Data_Nhập[[#This Row],[Material-Nhập]],MD_Main_SKU[Main SKU],MD_Main_SKU[SKU name_gom])</f>
        <v>WSS01</v>
      </c>
    </row>
    <row r="1031" spans="1:13" x14ac:dyDescent="0.35">
      <c r="A1031">
        <v>2025</v>
      </c>
      <c r="B1031">
        <v>11</v>
      </c>
      <c r="C1031" t="s">
        <v>18</v>
      </c>
      <c r="D1031" t="s">
        <v>19</v>
      </c>
      <c r="E1031" t="s">
        <v>18</v>
      </c>
      <c r="F1031" t="s">
        <v>19</v>
      </c>
      <c r="G1031" s="2">
        <v>23100</v>
      </c>
      <c r="H1031" s="2">
        <v>0</v>
      </c>
      <c r="I1031" s="2">
        <v>23100</v>
      </c>
      <c r="J1031" s="2">
        <v>0</v>
      </c>
      <c r="K1031" s="2">
        <v>23100</v>
      </c>
      <c r="L1031" s="2" t="str">
        <f>_xlfn.XLOOKUP(Data_Nhập[[#This Row],[Main SKU]],MD_Main_SKU[Main SKU],MD_Main_SKU[SKU name_gom])</f>
        <v>iSS01</v>
      </c>
      <c r="M1031" s="2" t="str">
        <f>_xlfn.XLOOKUP(Data_Nhập[[#This Row],[Material-Nhập]],MD_Main_SKU[Main SKU],MD_Main_SKU[SKU name_gom])</f>
        <v>iSS01</v>
      </c>
    </row>
    <row r="1032" spans="1:13" x14ac:dyDescent="0.35">
      <c r="A1032">
        <v>2025</v>
      </c>
      <c r="B1032">
        <v>11</v>
      </c>
      <c r="C1032" t="s">
        <v>18</v>
      </c>
      <c r="D1032" t="s">
        <v>19</v>
      </c>
      <c r="E1032" t="s">
        <v>22</v>
      </c>
      <c r="F1032" t="s">
        <v>23</v>
      </c>
      <c r="G1032" s="2">
        <v>0</v>
      </c>
      <c r="H1032" s="2">
        <v>1100</v>
      </c>
      <c r="I1032" s="2">
        <v>1100</v>
      </c>
      <c r="J1032" s="2">
        <v>0</v>
      </c>
      <c r="K1032" s="2">
        <v>1100</v>
      </c>
      <c r="L1032" s="2" t="str">
        <f>_xlfn.XLOOKUP(Data_Nhập[[#This Row],[Main SKU]],MD_Main_SKU[Main SKU],MD_Main_SKU[SKU name_gom])</f>
        <v>iSS01</v>
      </c>
      <c r="M1032" s="2" t="str">
        <f>_xlfn.XLOOKUP(Data_Nhập[[#This Row],[Material-Nhập]],MD_Main_SKU[Main SKU],MD_Main_SKU[SKU name_gom])</f>
        <v>WSS03</v>
      </c>
    </row>
    <row r="1033" spans="1:13" x14ac:dyDescent="0.35">
      <c r="A1033">
        <v>2025</v>
      </c>
      <c r="B1033">
        <v>11</v>
      </c>
      <c r="C1033" t="s">
        <v>18</v>
      </c>
      <c r="D1033" t="s">
        <v>19</v>
      </c>
      <c r="E1033" t="s">
        <v>91</v>
      </c>
      <c r="F1033" t="s">
        <v>92</v>
      </c>
      <c r="G1033" s="2">
        <v>0</v>
      </c>
      <c r="H1033" s="2">
        <v>0</v>
      </c>
      <c r="I1033" s="2">
        <v>0</v>
      </c>
      <c r="J1033" s="2">
        <v>2200</v>
      </c>
      <c r="K1033" s="2">
        <v>2200</v>
      </c>
      <c r="L1033" s="2" t="str">
        <f>_xlfn.XLOOKUP(Data_Nhập[[#This Row],[Main SKU]],MD_Main_SKU[Main SKU],MD_Main_SKU[SKU name_gom])</f>
        <v>iSS01</v>
      </c>
      <c r="M1033" s="2" t="str">
        <f>_xlfn.XLOOKUP(Data_Nhập[[#This Row],[Material-Nhập]],MD_Main_SKU[Main SKU],MD_Main_SKU[SKU name_gom])</f>
        <v>Phó sản</v>
      </c>
    </row>
    <row r="1034" spans="1:13" x14ac:dyDescent="0.35">
      <c r="A1034">
        <v>2025</v>
      </c>
      <c r="B1034">
        <v>11</v>
      </c>
      <c r="C1034" t="s">
        <v>18</v>
      </c>
      <c r="D1034" t="s">
        <v>19</v>
      </c>
      <c r="E1034" t="s">
        <v>117</v>
      </c>
      <c r="F1034" t="s">
        <v>86</v>
      </c>
      <c r="G1034" s="2">
        <v>0</v>
      </c>
      <c r="H1034" s="2">
        <v>0</v>
      </c>
      <c r="I1034" s="2">
        <v>0</v>
      </c>
      <c r="J1034" s="2">
        <v>1090</v>
      </c>
      <c r="K1034" s="2">
        <v>1090</v>
      </c>
      <c r="L1034" s="2" t="str">
        <f>_xlfn.XLOOKUP(Data_Nhập[[#This Row],[Main SKU]],MD_Main_SKU[Main SKU],MD_Main_SKU[SKU name_gom])</f>
        <v>iSS01</v>
      </c>
      <c r="M1034" s="2" t="str">
        <f>_xlfn.XLOOKUP(Data_Nhập[[#This Row],[Material-Nhập]],MD_Main_SKU[Main SKU],MD_Main_SKU[SKU name_gom])</f>
        <v>Phó sản</v>
      </c>
    </row>
    <row r="1035" spans="1:13" x14ac:dyDescent="0.35">
      <c r="A1035">
        <v>2025</v>
      </c>
      <c r="B1035">
        <v>11</v>
      </c>
      <c r="C1035" t="s">
        <v>99</v>
      </c>
      <c r="D1035" t="s">
        <v>100</v>
      </c>
      <c r="E1035" t="s">
        <v>99</v>
      </c>
      <c r="F1035" t="s">
        <v>100</v>
      </c>
      <c r="G1035" s="2">
        <v>1050</v>
      </c>
      <c r="H1035" s="2">
        <v>800</v>
      </c>
      <c r="I1035" s="2">
        <v>1850</v>
      </c>
      <c r="J1035" s="2">
        <v>0</v>
      </c>
      <c r="K1035" s="2">
        <v>1850</v>
      </c>
      <c r="L1035" s="2" t="str">
        <f>_xlfn.XLOOKUP(Data_Nhập[[#This Row],[Main SKU]],MD_Main_SKU[Main SKU],MD_Main_SKU[SKU name_gom])</f>
        <v>WSS04</v>
      </c>
      <c r="M1035" s="2" t="str">
        <f>_xlfn.XLOOKUP(Data_Nhập[[#This Row],[Material-Nhập]],MD_Main_SKU[Main SKU],MD_Main_SKU[SKU name_gom])</f>
        <v>WSS04</v>
      </c>
    </row>
    <row r="1036" spans="1:13" x14ac:dyDescent="0.35">
      <c r="A1036">
        <v>2025</v>
      </c>
      <c r="B1036">
        <v>11</v>
      </c>
      <c r="C1036" t="s">
        <v>99</v>
      </c>
      <c r="D1036" t="s">
        <v>100</v>
      </c>
      <c r="E1036" t="s">
        <v>115</v>
      </c>
      <c r="F1036" t="s">
        <v>116</v>
      </c>
      <c r="G1036" s="2">
        <v>0</v>
      </c>
      <c r="H1036" s="2">
        <v>5250</v>
      </c>
      <c r="I1036" s="2">
        <v>5250</v>
      </c>
      <c r="J1036" s="2">
        <v>0</v>
      </c>
      <c r="K1036" s="2">
        <v>5250</v>
      </c>
      <c r="L1036" s="2" t="str">
        <f>_xlfn.XLOOKUP(Data_Nhập[[#This Row],[Main SKU]],MD_Main_SKU[Main SKU],MD_Main_SKU[SKU name_gom])</f>
        <v>WSS04</v>
      </c>
      <c r="M1036" s="2" t="str">
        <f>_xlfn.XLOOKUP(Data_Nhập[[#This Row],[Material-Nhập]],MD_Main_SKU[Main SKU],MD_Main_SKU[SKU name_gom])</f>
        <v>WSS05</v>
      </c>
    </row>
    <row r="1037" spans="1:13" x14ac:dyDescent="0.35">
      <c r="A1037">
        <v>2025</v>
      </c>
      <c r="B1037">
        <v>11</v>
      </c>
      <c r="C1037" t="s">
        <v>99</v>
      </c>
      <c r="D1037" t="s">
        <v>100</v>
      </c>
      <c r="E1037" t="s">
        <v>87</v>
      </c>
      <c r="F1037" t="s">
        <v>88</v>
      </c>
      <c r="G1037" s="2">
        <v>0</v>
      </c>
      <c r="H1037" s="2">
        <v>0</v>
      </c>
      <c r="I1037" s="2">
        <v>0</v>
      </c>
      <c r="J1037" s="2">
        <v>350</v>
      </c>
      <c r="K1037" s="2">
        <v>350</v>
      </c>
      <c r="L1037" s="2" t="str">
        <f>_xlfn.XLOOKUP(Data_Nhập[[#This Row],[Main SKU]],MD_Main_SKU[Main SKU],MD_Main_SKU[SKU name_gom])</f>
        <v>WSS04</v>
      </c>
      <c r="M1037" s="2" t="str">
        <f>_xlfn.XLOOKUP(Data_Nhập[[#This Row],[Material-Nhập]],MD_Main_SKU[Main SKU],MD_Main_SKU[SKU name_gom])</f>
        <v>Phó sản</v>
      </c>
    </row>
    <row r="1038" spans="1:13" x14ac:dyDescent="0.35">
      <c r="A1038">
        <v>2025</v>
      </c>
      <c r="B1038">
        <v>11</v>
      </c>
      <c r="C1038" t="s">
        <v>115</v>
      </c>
      <c r="D1038" t="s">
        <v>116</v>
      </c>
      <c r="E1038" t="s">
        <v>115</v>
      </c>
      <c r="F1038" t="s">
        <v>116</v>
      </c>
      <c r="G1038" s="2">
        <v>11550</v>
      </c>
      <c r="H1038" s="2">
        <v>0</v>
      </c>
      <c r="I1038" s="2">
        <v>11550</v>
      </c>
      <c r="J1038" s="2">
        <v>0</v>
      </c>
      <c r="K1038" s="2">
        <v>11550</v>
      </c>
      <c r="L1038" s="2" t="str">
        <f>_xlfn.XLOOKUP(Data_Nhập[[#This Row],[Main SKU]],MD_Main_SKU[Main SKU],MD_Main_SKU[SKU name_gom])</f>
        <v>WSS05</v>
      </c>
      <c r="M1038" s="2" t="str">
        <f>_xlfn.XLOOKUP(Data_Nhập[[#This Row],[Material-Nhập]],MD_Main_SKU[Main SKU],MD_Main_SKU[SKU name_gom])</f>
        <v>WSS05</v>
      </c>
    </row>
    <row r="1039" spans="1:13" x14ac:dyDescent="0.35">
      <c r="A1039">
        <v>2025</v>
      </c>
      <c r="B1039">
        <v>11</v>
      </c>
      <c r="C1039" t="s">
        <v>115</v>
      </c>
      <c r="D1039" t="s">
        <v>116</v>
      </c>
      <c r="E1039" t="s">
        <v>124</v>
      </c>
      <c r="F1039" t="s">
        <v>125</v>
      </c>
      <c r="G1039" s="2">
        <v>0</v>
      </c>
      <c r="H1039" s="2">
        <v>10330</v>
      </c>
      <c r="I1039" s="2">
        <v>10330</v>
      </c>
      <c r="J1039" s="2">
        <v>0</v>
      </c>
      <c r="K1039" s="2">
        <v>10330</v>
      </c>
      <c r="L1039" s="2" t="str">
        <f>_xlfn.XLOOKUP(Data_Nhập[[#This Row],[Main SKU]],MD_Main_SKU[Main SKU],MD_Main_SKU[SKU name_gom])</f>
        <v>WSS05</v>
      </c>
      <c r="M1039" s="2" t="str">
        <f>_xlfn.XLOOKUP(Data_Nhập[[#This Row],[Material-Nhập]],MD_Main_SKU[Main SKU],MD_Main_SKU[SKU name_gom])</f>
        <v>WSS06</v>
      </c>
    </row>
    <row r="1040" spans="1:13" x14ac:dyDescent="0.35">
      <c r="A1040">
        <v>2025</v>
      </c>
      <c r="B1040">
        <v>11</v>
      </c>
      <c r="C1040" t="s">
        <v>115</v>
      </c>
      <c r="D1040" t="s">
        <v>116</v>
      </c>
      <c r="E1040" t="s">
        <v>87</v>
      </c>
      <c r="F1040" t="s">
        <v>88</v>
      </c>
      <c r="G1040" s="2">
        <v>0</v>
      </c>
      <c r="H1040" s="2">
        <v>0</v>
      </c>
      <c r="I1040" s="2">
        <v>0</v>
      </c>
      <c r="J1040" s="2">
        <v>2250</v>
      </c>
      <c r="K1040" s="2">
        <v>2250</v>
      </c>
      <c r="L1040" s="2" t="str">
        <f>_xlfn.XLOOKUP(Data_Nhập[[#This Row],[Main SKU]],MD_Main_SKU[Main SKU],MD_Main_SKU[SKU name_gom])</f>
        <v>WSS05</v>
      </c>
      <c r="M1040" s="2" t="str">
        <f>_xlfn.XLOOKUP(Data_Nhập[[#This Row],[Material-Nhập]],MD_Main_SKU[Main SKU],MD_Main_SKU[SKU name_gom])</f>
        <v>Phó sản</v>
      </c>
    </row>
    <row r="1041" spans="1:13" x14ac:dyDescent="0.35">
      <c r="A1041">
        <v>2025</v>
      </c>
      <c r="B1041">
        <v>11</v>
      </c>
      <c r="C1041" t="s">
        <v>115</v>
      </c>
      <c r="D1041" t="s">
        <v>116</v>
      </c>
      <c r="E1041" t="s">
        <v>117</v>
      </c>
      <c r="F1041" t="s">
        <v>86</v>
      </c>
      <c r="G1041" s="2">
        <v>0</v>
      </c>
      <c r="H1041" s="2">
        <v>0</v>
      </c>
      <c r="I1041" s="2">
        <v>0</v>
      </c>
      <c r="J1041" s="2">
        <v>1745</v>
      </c>
      <c r="K1041" s="2">
        <v>1745</v>
      </c>
      <c r="L1041" s="2" t="str">
        <f>_xlfn.XLOOKUP(Data_Nhập[[#This Row],[Main SKU]],MD_Main_SKU[Main SKU],MD_Main_SKU[SKU name_gom])</f>
        <v>WSS05</v>
      </c>
      <c r="M1041" s="2" t="str">
        <f>_xlfn.XLOOKUP(Data_Nhập[[#This Row],[Material-Nhập]],MD_Main_SKU[Main SKU],MD_Main_SKU[SKU name_gom])</f>
        <v>Phó sản</v>
      </c>
    </row>
    <row r="1042" spans="1:13" x14ac:dyDescent="0.35">
      <c r="A1042">
        <v>2025</v>
      </c>
      <c r="B1042">
        <v>11</v>
      </c>
      <c r="C1042" t="s">
        <v>48</v>
      </c>
      <c r="D1042" t="s">
        <v>49</v>
      </c>
      <c r="E1042" t="s">
        <v>16</v>
      </c>
      <c r="F1042" t="s">
        <v>17</v>
      </c>
      <c r="G1042" s="2">
        <v>0</v>
      </c>
      <c r="H1042" s="2">
        <v>18700</v>
      </c>
      <c r="I1042" s="2">
        <v>18700</v>
      </c>
      <c r="J1042" s="2">
        <v>0</v>
      </c>
      <c r="K1042" s="2">
        <v>18700</v>
      </c>
      <c r="L1042" s="2" t="str">
        <f>_xlfn.XLOOKUP(Data_Nhập[[#This Row],[Main SKU]],MD_Main_SKU[Main SKU],MD_Main_SKU[SKU name_gom])</f>
        <v>WSS01</v>
      </c>
      <c r="M1042" s="2" t="str">
        <f>_xlfn.XLOOKUP(Data_Nhập[[#This Row],[Material-Nhập]],MD_Main_SKU[Main SKU],MD_Main_SKU[SKU name_gom])</f>
        <v>WSS01</v>
      </c>
    </row>
    <row r="1043" spans="1:13" x14ac:dyDescent="0.35">
      <c r="A1043">
        <v>2025</v>
      </c>
      <c r="B1043">
        <v>11</v>
      </c>
      <c r="C1043" t="s">
        <v>48</v>
      </c>
      <c r="D1043" t="s">
        <v>49</v>
      </c>
      <c r="E1043" t="s">
        <v>22</v>
      </c>
      <c r="F1043" t="s">
        <v>23</v>
      </c>
      <c r="G1043" s="2">
        <v>0</v>
      </c>
      <c r="H1043" s="2">
        <v>6600</v>
      </c>
      <c r="I1043" s="2">
        <v>6600</v>
      </c>
      <c r="J1043" s="2">
        <v>0</v>
      </c>
      <c r="K1043" s="2">
        <v>6600</v>
      </c>
      <c r="L1043" s="2" t="str">
        <f>_xlfn.XLOOKUP(Data_Nhập[[#This Row],[Main SKU]],MD_Main_SKU[Main SKU],MD_Main_SKU[SKU name_gom])</f>
        <v>WSS01</v>
      </c>
      <c r="M1043" s="2" t="str">
        <f>_xlfn.XLOOKUP(Data_Nhập[[#This Row],[Material-Nhập]],MD_Main_SKU[Main SKU],MD_Main_SKU[SKU name_gom])</f>
        <v>WSS03</v>
      </c>
    </row>
    <row r="1044" spans="1:13" x14ac:dyDescent="0.35">
      <c r="A1044">
        <v>2025</v>
      </c>
      <c r="B1044">
        <v>11</v>
      </c>
      <c r="C1044" t="s">
        <v>48</v>
      </c>
      <c r="D1044" t="s">
        <v>49</v>
      </c>
      <c r="E1044" t="s">
        <v>34</v>
      </c>
      <c r="F1044" t="s">
        <v>35</v>
      </c>
      <c r="G1044" s="2">
        <v>0</v>
      </c>
      <c r="H1044" s="2">
        <v>1100</v>
      </c>
      <c r="I1044" s="2">
        <v>1100</v>
      </c>
      <c r="J1044" s="2">
        <v>0</v>
      </c>
      <c r="K1044" s="2">
        <v>1100</v>
      </c>
      <c r="L1044" s="2" t="str">
        <f>_xlfn.XLOOKUP(Data_Nhập[[#This Row],[Main SKU]],MD_Main_SKU[Main SKU],MD_Main_SKU[SKU name_gom])</f>
        <v>WSS01</v>
      </c>
      <c r="M1044" s="2" t="str">
        <f>_xlfn.XLOOKUP(Data_Nhập[[#This Row],[Material-Nhập]],MD_Main_SKU[Main SKU],MD_Main_SKU[SKU name_gom])</f>
        <v>WSS03-PL</v>
      </c>
    </row>
    <row r="1045" spans="1:13" x14ac:dyDescent="0.35">
      <c r="A1045">
        <v>2025</v>
      </c>
      <c r="B1045">
        <v>11</v>
      </c>
      <c r="C1045" t="s">
        <v>48</v>
      </c>
      <c r="D1045" t="s">
        <v>49</v>
      </c>
      <c r="E1045" t="s">
        <v>48</v>
      </c>
      <c r="F1045" t="s">
        <v>49</v>
      </c>
      <c r="G1045" s="2">
        <v>104500</v>
      </c>
      <c r="H1045" s="2">
        <v>0</v>
      </c>
      <c r="I1045" s="2">
        <v>104500</v>
      </c>
      <c r="J1045" s="2">
        <v>0</v>
      </c>
      <c r="K1045" s="2">
        <v>104500</v>
      </c>
      <c r="L1045" s="2" t="str">
        <f>_xlfn.XLOOKUP(Data_Nhập[[#This Row],[Main SKU]],MD_Main_SKU[Main SKU],MD_Main_SKU[SKU name_gom])</f>
        <v>WSS01</v>
      </c>
      <c r="M1045" s="2" t="str">
        <f>_xlfn.XLOOKUP(Data_Nhập[[#This Row],[Material-Nhập]],MD_Main_SKU[Main SKU],MD_Main_SKU[SKU name_gom])</f>
        <v>WSS01</v>
      </c>
    </row>
    <row r="1046" spans="1:13" x14ac:dyDescent="0.35">
      <c r="A1046">
        <v>2025</v>
      </c>
      <c r="B1046">
        <v>11</v>
      </c>
      <c r="C1046" t="s">
        <v>48</v>
      </c>
      <c r="D1046" t="s">
        <v>49</v>
      </c>
      <c r="E1046" t="s">
        <v>60</v>
      </c>
      <c r="F1046" t="s">
        <v>61</v>
      </c>
      <c r="G1046" s="2">
        <v>0</v>
      </c>
      <c r="H1046" s="2">
        <v>1100</v>
      </c>
      <c r="I1046" s="2">
        <v>1100</v>
      </c>
      <c r="J1046" s="2">
        <v>0</v>
      </c>
      <c r="K1046" s="2">
        <v>1100</v>
      </c>
      <c r="L1046" s="2" t="str">
        <f>_xlfn.XLOOKUP(Data_Nhập[[#This Row],[Main SKU]],MD_Main_SKU[Main SKU],MD_Main_SKU[SKU name_gom])</f>
        <v>WSS01</v>
      </c>
      <c r="M1046" s="2" t="str">
        <f>_xlfn.XLOOKUP(Data_Nhập[[#This Row],[Material-Nhập]],MD_Main_SKU[Main SKU],MD_Main_SKU[SKU name_gom])</f>
        <v>WSS01-PL</v>
      </c>
    </row>
    <row r="1047" spans="1:13" x14ac:dyDescent="0.35">
      <c r="A1047">
        <v>2025</v>
      </c>
      <c r="B1047">
        <v>11</v>
      </c>
      <c r="C1047" t="s">
        <v>48</v>
      </c>
      <c r="D1047" t="s">
        <v>49</v>
      </c>
      <c r="E1047" t="s">
        <v>87</v>
      </c>
      <c r="F1047" t="s">
        <v>88</v>
      </c>
      <c r="G1047" s="2">
        <v>0</v>
      </c>
      <c r="H1047" s="2">
        <v>0</v>
      </c>
      <c r="I1047" s="2">
        <v>0</v>
      </c>
      <c r="J1047" s="2">
        <v>750</v>
      </c>
      <c r="K1047" s="2">
        <v>750</v>
      </c>
      <c r="L1047" s="2" t="str">
        <f>_xlfn.XLOOKUP(Data_Nhập[[#This Row],[Main SKU]],MD_Main_SKU[Main SKU],MD_Main_SKU[SKU name_gom])</f>
        <v>WSS01</v>
      </c>
      <c r="M1047" s="2" t="str">
        <f>_xlfn.XLOOKUP(Data_Nhập[[#This Row],[Material-Nhập]],MD_Main_SKU[Main SKU],MD_Main_SKU[SKU name_gom])</f>
        <v>Phó sản</v>
      </c>
    </row>
    <row r="1048" spans="1:13" x14ac:dyDescent="0.35">
      <c r="A1048">
        <v>2025</v>
      </c>
      <c r="B1048">
        <v>11</v>
      </c>
      <c r="C1048" t="s">
        <v>48</v>
      </c>
      <c r="D1048" t="s">
        <v>49</v>
      </c>
      <c r="E1048" t="s">
        <v>91</v>
      </c>
      <c r="F1048" t="s">
        <v>92</v>
      </c>
      <c r="G1048" s="2">
        <v>0</v>
      </c>
      <c r="H1048" s="2">
        <v>0</v>
      </c>
      <c r="I1048" s="2">
        <v>0</v>
      </c>
      <c r="J1048" s="2">
        <v>2100</v>
      </c>
      <c r="K1048" s="2">
        <v>2100</v>
      </c>
      <c r="L1048" s="2" t="str">
        <f>_xlfn.XLOOKUP(Data_Nhập[[#This Row],[Main SKU]],MD_Main_SKU[Main SKU],MD_Main_SKU[SKU name_gom])</f>
        <v>WSS01</v>
      </c>
      <c r="M1048" s="2" t="str">
        <f>_xlfn.XLOOKUP(Data_Nhập[[#This Row],[Material-Nhập]],MD_Main_SKU[Main SKU],MD_Main_SKU[SKU name_gom])</f>
        <v>Phó sản</v>
      </c>
    </row>
    <row r="1049" spans="1:13" x14ac:dyDescent="0.35">
      <c r="A1049">
        <v>2025</v>
      </c>
      <c r="B1049">
        <v>11</v>
      </c>
      <c r="C1049" t="s">
        <v>48</v>
      </c>
      <c r="D1049" t="s">
        <v>49</v>
      </c>
      <c r="E1049" t="s">
        <v>117</v>
      </c>
      <c r="F1049" t="s">
        <v>86</v>
      </c>
      <c r="G1049" s="2">
        <v>0</v>
      </c>
      <c r="H1049" s="2">
        <v>0</v>
      </c>
      <c r="I1049" s="2">
        <v>0</v>
      </c>
      <c r="J1049" s="2">
        <v>975</v>
      </c>
      <c r="K1049" s="2">
        <v>975</v>
      </c>
      <c r="L1049" s="2" t="str">
        <f>_xlfn.XLOOKUP(Data_Nhập[[#This Row],[Main SKU]],MD_Main_SKU[Main SKU],MD_Main_SKU[SKU name_gom])</f>
        <v>WSS01</v>
      </c>
      <c r="M1049" s="2" t="str">
        <f>_xlfn.XLOOKUP(Data_Nhập[[#This Row],[Material-Nhập]],MD_Main_SKU[Main SKU],MD_Main_SKU[SKU name_gom])</f>
        <v>Phó sản</v>
      </c>
    </row>
    <row r="1050" spans="1:13" x14ac:dyDescent="0.35">
      <c r="A1050">
        <v>2025</v>
      </c>
      <c r="B1050">
        <v>12</v>
      </c>
      <c r="C1050" t="s">
        <v>8</v>
      </c>
      <c r="D1050" t="s">
        <v>9</v>
      </c>
      <c r="E1050" t="s">
        <v>8</v>
      </c>
      <c r="F1050" t="s">
        <v>9</v>
      </c>
      <c r="G1050" s="2">
        <v>191400</v>
      </c>
      <c r="H1050" s="2">
        <v>0</v>
      </c>
      <c r="I1050" s="2">
        <v>191400</v>
      </c>
      <c r="J1050" s="2">
        <v>0</v>
      </c>
      <c r="K1050" s="2">
        <v>191400</v>
      </c>
      <c r="L1050" s="2" t="str">
        <f>_xlfn.XLOOKUP(Data_Nhập[[#This Row],[Main SKU]],MD_Main_SKU[Main SKU],MD_Main_SKU[SKU name_gom])</f>
        <v>WSS01</v>
      </c>
      <c r="M1050" s="2" t="str">
        <f>_xlfn.XLOOKUP(Data_Nhập[[#This Row],[Material-Nhập]],MD_Main_SKU[Main SKU],MD_Main_SKU[SKU name_gom])</f>
        <v>WSS01</v>
      </c>
    </row>
    <row r="1051" spans="1:13" x14ac:dyDescent="0.35">
      <c r="A1051">
        <v>2025</v>
      </c>
      <c r="B1051">
        <v>12</v>
      </c>
      <c r="C1051" t="s">
        <v>8</v>
      </c>
      <c r="D1051" t="s">
        <v>9</v>
      </c>
      <c r="E1051" t="s">
        <v>22</v>
      </c>
      <c r="F1051" t="s">
        <v>23</v>
      </c>
      <c r="G1051" s="2">
        <v>0</v>
      </c>
      <c r="H1051" s="2">
        <v>5500</v>
      </c>
      <c r="I1051" s="2">
        <v>5500</v>
      </c>
      <c r="J1051" s="2">
        <v>0</v>
      </c>
      <c r="K1051" s="2">
        <v>5500</v>
      </c>
      <c r="L1051" s="2" t="str">
        <f>_xlfn.XLOOKUP(Data_Nhập[[#This Row],[Main SKU]],MD_Main_SKU[Main SKU],MD_Main_SKU[SKU name_gom])</f>
        <v>WSS01</v>
      </c>
      <c r="M1051" s="2" t="str">
        <f>_xlfn.XLOOKUP(Data_Nhập[[#This Row],[Material-Nhập]],MD_Main_SKU[Main SKU],MD_Main_SKU[SKU name_gom])</f>
        <v>WSS03</v>
      </c>
    </row>
    <row r="1052" spans="1:13" x14ac:dyDescent="0.35">
      <c r="A1052">
        <v>2025</v>
      </c>
      <c r="B1052">
        <v>12</v>
      </c>
      <c r="C1052" t="s">
        <v>8</v>
      </c>
      <c r="D1052" t="s">
        <v>9</v>
      </c>
      <c r="E1052" t="s">
        <v>34</v>
      </c>
      <c r="F1052" t="s">
        <v>35</v>
      </c>
      <c r="G1052" s="2">
        <v>0</v>
      </c>
      <c r="H1052" s="2">
        <v>8800</v>
      </c>
      <c r="I1052" s="2">
        <v>8800</v>
      </c>
      <c r="J1052" s="2">
        <v>0</v>
      </c>
      <c r="K1052" s="2">
        <v>8800</v>
      </c>
      <c r="L1052" s="2" t="str">
        <f>_xlfn.XLOOKUP(Data_Nhập[[#This Row],[Main SKU]],MD_Main_SKU[Main SKU],MD_Main_SKU[SKU name_gom])</f>
        <v>WSS01</v>
      </c>
      <c r="M1052" s="2" t="str">
        <f>_xlfn.XLOOKUP(Data_Nhập[[#This Row],[Material-Nhập]],MD_Main_SKU[Main SKU],MD_Main_SKU[SKU name_gom])</f>
        <v>WSS03-PL</v>
      </c>
    </row>
    <row r="1053" spans="1:13" x14ac:dyDescent="0.35">
      <c r="A1053">
        <v>2025</v>
      </c>
      <c r="B1053">
        <v>12</v>
      </c>
      <c r="C1053" t="s">
        <v>8</v>
      </c>
      <c r="D1053" t="s">
        <v>9</v>
      </c>
      <c r="E1053" t="s">
        <v>36</v>
      </c>
      <c r="F1053" t="s">
        <v>37</v>
      </c>
      <c r="G1053" s="2">
        <v>0</v>
      </c>
      <c r="H1053" s="2">
        <v>29700</v>
      </c>
      <c r="I1053" s="2">
        <v>29700</v>
      </c>
      <c r="J1053" s="2">
        <v>0</v>
      </c>
      <c r="K1053" s="2">
        <v>29700</v>
      </c>
      <c r="L1053" s="2" t="str">
        <f>_xlfn.XLOOKUP(Data_Nhập[[#This Row],[Main SKU]],MD_Main_SKU[Main SKU],MD_Main_SKU[SKU name_gom])</f>
        <v>WSS01</v>
      </c>
      <c r="M1053" s="2" t="str">
        <f>_xlfn.XLOOKUP(Data_Nhập[[#This Row],[Material-Nhập]],MD_Main_SKU[Main SKU],MD_Main_SKU[SKU name_gom])</f>
        <v>WSS01-PL</v>
      </c>
    </row>
    <row r="1054" spans="1:13" x14ac:dyDescent="0.35">
      <c r="A1054">
        <v>2025</v>
      </c>
      <c r="B1054">
        <v>12</v>
      </c>
      <c r="C1054" t="s">
        <v>8</v>
      </c>
      <c r="D1054" t="s">
        <v>9</v>
      </c>
      <c r="E1054" t="s">
        <v>87</v>
      </c>
      <c r="F1054" t="s">
        <v>88</v>
      </c>
      <c r="G1054" s="2">
        <v>0</v>
      </c>
      <c r="H1054" s="2">
        <v>0</v>
      </c>
      <c r="I1054" s="2">
        <v>0</v>
      </c>
      <c r="J1054" s="2">
        <v>2650</v>
      </c>
      <c r="K1054" s="2">
        <v>2650</v>
      </c>
      <c r="L1054" s="2" t="str">
        <f>_xlfn.XLOOKUP(Data_Nhập[[#This Row],[Main SKU]],MD_Main_SKU[Main SKU],MD_Main_SKU[SKU name_gom])</f>
        <v>WSS01</v>
      </c>
      <c r="M1054" s="2" t="str">
        <f>_xlfn.XLOOKUP(Data_Nhập[[#This Row],[Material-Nhập]],MD_Main_SKU[Main SKU],MD_Main_SKU[SKU name_gom])</f>
        <v>Phó sản</v>
      </c>
    </row>
    <row r="1055" spans="1:13" x14ac:dyDescent="0.35">
      <c r="A1055">
        <v>2025</v>
      </c>
      <c r="B1055">
        <v>12</v>
      </c>
      <c r="C1055" t="s">
        <v>8</v>
      </c>
      <c r="D1055" t="s">
        <v>9</v>
      </c>
      <c r="E1055" t="s">
        <v>91</v>
      </c>
      <c r="F1055" t="s">
        <v>92</v>
      </c>
      <c r="G1055" s="2">
        <v>0</v>
      </c>
      <c r="H1055" s="2">
        <v>0</v>
      </c>
      <c r="I1055" s="2">
        <v>0</v>
      </c>
      <c r="J1055" s="2">
        <v>920</v>
      </c>
      <c r="K1055" s="2">
        <v>920</v>
      </c>
      <c r="L1055" s="2" t="str">
        <f>_xlfn.XLOOKUP(Data_Nhập[[#This Row],[Main SKU]],MD_Main_SKU[Main SKU],MD_Main_SKU[SKU name_gom])</f>
        <v>WSS01</v>
      </c>
      <c r="M1055" s="2" t="str">
        <f>_xlfn.XLOOKUP(Data_Nhập[[#This Row],[Material-Nhập]],MD_Main_SKU[Main SKU],MD_Main_SKU[SKU name_gom])</f>
        <v>Phó sản</v>
      </c>
    </row>
    <row r="1056" spans="1:13" x14ac:dyDescent="0.35">
      <c r="A1056">
        <v>2025</v>
      </c>
      <c r="B1056">
        <v>12</v>
      </c>
      <c r="C1056" t="s">
        <v>8</v>
      </c>
      <c r="D1056" t="s">
        <v>9</v>
      </c>
      <c r="E1056" t="s">
        <v>93</v>
      </c>
      <c r="F1056" t="s">
        <v>94</v>
      </c>
      <c r="G1056" s="2">
        <v>0</v>
      </c>
      <c r="H1056" s="2">
        <v>0</v>
      </c>
      <c r="I1056" s="2">
        <v>0</v>
      </c>
      <c r="J1056" s="2">
        <v>235</v>
      </c>
      <c r="K1056" s="2">
        <v>235</v>
      </c>
      <c r="L1056" s="2" t="str">
        <f>_xlfn.XLOOKUP(Data_Nhập[[#This Row],[Main SKU]],MD_Main_SKU[Main SKU],MD_Main_SKU[SKU name_gom])</f>
        <v>WSS01</v>
      </c>
      <c r="M1056" s="2" t="str">
        <f>_xlfn.XLOOKUP(Data_Nhập[[#This Row],[Material-Nhập]],MD_Main_SKU[Main SKU],MD_Main_SKU[SKU name_gom])</f>
        <v>Phó sản</v>
      </c>
    </row>
    <row r="1057" spans="1:13" x14ac:dyDescent="0.35">
      <c r="A1057">
        <v>2025</v>
      </c>
      <c r="B1057">
        <v>12</v>
      </c>
      <c r="C1057" t="s">
        <v>8</v>
      </c>
      <c r="D1057" t="s">
        <v>9</v>
      </c>
      <c r="E1057" t="s">
        <v>117</v>
      </c>
      <c r="F1057" t="s">
        <v>86</v>
      </c>
      <c r="G1057" s="2">
        <v>0</v>
      </c>
      <c r="H1057" s="2">
        <v>0</v>
      </c>
      <c r="I1057" s="2">
        <v>0</v>
      </c>
      <c r="J1057" s="2">
        <v>6019</v>
      </c>
      <c r="K1057" s="2">
        <v>6019</v>
      </c>
      <c r="L1057" s="2" t="str">
        <f>_xlfn.XLOOKUP(Data_Nhập[[#This Row],[Main SKU]],MD_Main_SKU[Main SKU],MD_Main_SKU[SKU name_gom])</f>
        <v>WSS01</v>
      </c>
      <c r="M1057" s="2" t="str">
        <f>_xlfn.XLOOKUP(Data_Nhập[[#This Row],[Material-Nhập]],MD_Main_SKU[Main SKU],MD_Main_SKU[SKU name_gom])</f>
        <v>Phó sản</v>
      </c>
    </row>
    <row r="1058" spans="1:13" x14ac:dyDescent="0.35">
      <c r="A1058">
        <v>2025</v>
      </c>
      <c r="B1058">
        <v>12</v>
      </c>
      <c r="C1058" t="s">
        <v>14</v>
      </c>
      <c r="D1058" t="s">
        <v>15</v>
      </c>
      <c r="E1058" t="s">
        <v>14</v>
      </c>
      <c r="F1058" t="s">
        <v>15</v>
      </c>
      <c r="G1058" s="2">
        <v>898700</v>
      </c>
      <c r="H1058" s="2">
        <v>0</v>
      </c>
      <c r="I1058" s="2">
        <v>898700</v>
      </c>
      <c r="J1058" s="2">
        <v>0</v>
      </c>
      <c r="K1058" s="2">
        <v>898700</v>
      </c>
      <c r="L1058" s="2" t="str">
        <f>_xlfn.XLOOKUP(Data_Nhập[[#This Row],[Main SKU]],MD_Main_SKU[Main SKU],MD_Main_SKU[SKU name_gom])</f>
        <v>iSS01084</v>
      </c>
      <c r="M1058" s="2" t="str">
        <f>_xlfn.XLOOKUP(Data_Nhập[[#This Row],[Material-Nhập]],MD_Main_SKU[Main SKU],MD_Main_SKU[SKU name_gom])</f>
        <v>iSS01084</v>
      </c>
    </row>
    <row r="1059" spans="1:13" x14ac:dyDescent="0.35">
      <c r="A1059">
        <v>2025</v>
      </c>
      <c r="B1059">
        <v>12</v>
      </c>
      <c r="C1059" t="s">
        <v>14</v>
      </c>
      <c r="D1059" t="s">
        <v>15</v>
      </c>
      <c r="E1059" t="s">
        <v>16</v>
      </c>
      <c r="F1059" t="s">
        <v>17</v>
      </c>
      <c r="G1059" s="2">
        <v>0</v>
      </c>
      <c r="H1059" s="2">
        <v>16500</v>
      </c>
      <c r="I1059" s="2">
        <v>16500</v>
      </c>
      <c r="J1059" s="2">
        <v>0</v>
      </c>
      <c r="K1059" s="2">
        <v>16500</v>
      </c>
      <c r="L1059" s="2" t="str">
        <f>_xlfn.XLOOKUP(Data_Nhập[[#This Row],[Main SKU]],MD_Main_SKU[Main SKU],MD_Main_SKU[SKU name_gom])</f>
        <v>iSS01084</v>
      </c>
      <c r="M1059" s="2" t="str">
        <f>_xlfn.XLOOKUP(Data_Nhập[[#This Row],[Material-Nhập]],MD_Main_SKU[Main SKU],MD_Main_SKU[SKU name_gom])</f>
        <v>WSS01</v>
      </c>
    </row>
    <row r="1060" spans="1:13" x14ac:dyDescent="0.35">
      <c r="A1060">
        <v>2025</v>
      </c>
      <c r="B1060">
        <v>12</v>
      </c>
      <c r="C1060" t="s">
        <v>14</v>
      </c>
      <c r="D1060" t="s">
        <v>15</v>
      </c>
      <c r="E1060" t="s">
        <v>18</v>
      </c>
      <c r="F1060" t="s">
        <v>19</v>
      </c>
      <c r="G1060" s="2">
        <v>0</v>
      </c>
      <c r="H1060" s="2">
        <v>6600</v>
      </c>
      <c r="I1060" s="2">
        <v>6600</v>
      </c>
      <c r="J1060" s="2">
        <v>0</v>
      </c>
      <c r="K1060" s="2">
        <v>6600</v>
      </c>
      <c r="L1060" s="2" t="str">
        <f>_xlfn.XLOOKUP(Data_Nhập[[#This Row],[Main SKU]],MD_Main_SKU[Main SKU],MD_Main_SKU[SKU name_gom])</f>
        <v>iSS01084</v>
      </c>
      <c r="M1060" s="2" t="str">
        <f>_xlfn.XLOOKUP(Data_Nhập[[#This Row],[Material-Nhập]],MD_Main_SKU[Main SKU],MD_Main_SKU[SKU name_gom])</f>
        <v>iSS01</v>
      </c>
    </row>
    <row r="1061" spans="1:13" x14ac:dyDescent="0.35">
      <c r="A1061">
        <v>2025</v>
      </c>
      <c r="B1061">
        <v>12</v>
      </c>
      <c r="C1061" t="s">
        <v>14</v>
      </c>
      <c r="D1061" t="s">
        <v>15</v>
      </c>
      <c r="E1061" t="s">
        <v>22</v>
      </c>
      <c r="F1061" t="s">
        <v>23</v>
      </c>
      <c r="G1061" s="2">
        <v>0</v>
      </c>
      <c r="H1061" s="2">
        <v>27499.999999999996</v>
      </c>
      <c r="I1061" s="2">
        <v>27499.999999999996</v>
      </c>
      <c r="J1061" s="2">
        <v>0</v>
      </c>
      <c r="K1061" s="2">
        <v>27499.999999999996</v>
      </c>
      <c r="L1061" s="2" t="str">
        <f>_xlfn.XLOOKUP(Data_Nhập[[#This Row],[Main SKU]],MD_Main_SKU[Main SKU],MD_Main_SKU[SKU name_gom])</f>
        <v>iSS01084</v>
      </c>
      <c r="M1061" s="2" t="str">
        <f>_xlfn.XLOOKUP(Data_Nhập[[#This Row],[Material-Nhập]],MD_Main_SKU[Main SKU],MD_Main_SKU[SKU name_gom])</f>
        <v>WSS03</v>
      </c>
    </row>
    <row r="1062" spans="1:13" x14ac:dyDescent="0.35">
      <c r="A1062">
        <v>2025</v>
      </c>
      <c r="B1062">
        <v>12</v>
      </c>
      <c r="C1062" t="s">
        <v>14</v>
      </c>
      <c r="D1062" t="s">
        <v>15</v>
      </c>
      <c r="E1062" t="s">
        <v>42</v>
      </c>
      <c r="F1062" t="s">
        <v>43</v>
      </c>
      <c r="G1062" s="2">
        <v>0</v>
      </c>
      <c r="H1062" s="2">
        <v>2199.9999999999995</v>
      </c>
      <c r="I1062" s="2">
        <v>2199.9999999999995</v>
      </c>
      <c r="J1062" s="2">
        <v>0</v>
      </c>
      <c r="K1062" s="2">
        <v>2199.9999999999995</v>
      </c>
      <c r="L1062" s="2" t="str">
        <f>_xlfn.XLOOKUP(Data_Nhập[[#This Row],[Main SKU]],MD_Main_SKU[Main SKU],MD_Main_SKU[SKU name_gom])</f>
        <v>iSS01084</v>
      </c>
      <c r="M1062" s="2" t="str">
        <f>_xlfn.XLOOKUP(Data_Nhập[[#This Row],[Material-Nhập]],MD_Main_SKU[Main SKU],MD_Main_SKU[SKU name_gom])</f>
        <v>iSS01-PL</v>
      </c>
    </row>
    <row r="1063" spans="1:13" x14ac:dyDescent="0.35">
      <c r="A1063">
        <v>2025</v>
      </c>
      <c r="B1063">
        <v>12</v>
      </c>
      <c r="C1063" t="s">
        <v>14</v>
      </c>
      <c r="D1063" t="s">
        <v>15</v>
      </c>
      <c r="E1063" t="s">
        <v>38</v>
      </c>
      <c r="F1063" t="s">
        <v>39</v>
      </c>
      <c r="G1063" s="2">
        <v>0</v>
      </c>
      <c r="H1063" s="2">
        <v>2200</v>
      </c>
      <c r="I1063" s="2">
        <v>2200</v>
      </c>
      <c r="J1063" s="2">
        <v>0</v>
      </c>
      <c r="K1063" s="2">
        <v>2200</v>
      </c>
      <c r="L1063" s="2" t="str">
        <f>_xlfn.XLOOKUP(Data_Nhập[[#This Row],[Main SKU]],MD_Main_SKU[Main SKU],MD_Main_SKU[SKU name_gom])</f>
        <v>iSS01084</v>
      </c>
      <c r="M1063" s="2" t="str">
        <f>_xlfn.XLOOKUP(Data_Nhập[[#This Row],[Material-Nhập]],MD_Main_SKU[Main SKU],MD_Main_SKU[SKU name_gom])</f>
        <v>iSS01084-PL</v>
      </c>
    </row>
    <row r="1064" spans="1:13" x14ac:dyDescent="0.35">
      <c r="A1064">
        <v>2025</v>
      </c>
      <c r="B1064">
        <v>12</v>
      </c>
      <c r="C1064" t="s">
        <v>14</v>
      </c>
      <c r="D1064" t="s">
        <v>15</v>
      </c>
      <c r="E1064" t="s">
        <v>34</v>
      </c>
      <c r="F1064" t="s">
        <v>35</v>
      </c>
      <c r="G1064" s="2">
        <v>0</v>
      </c>
      <c r="H1064" s="2">
        <v>8800</v>
      </c>
      <c r="I1064" s="2">
        <v>8800</v>
      </c>
      <c r="J1064" s="2">
        <v>0</v>
      </c>
      <c r="K1064" s="2">
        <v>8800</v>
      </c>
      <c r="L1064" s="2" t="str">
        <f>_xlfn.XLOOKUP(Data_Nhập[[#This Row],[Main SKU]],MD_Main_SKU[Main SKU],MD_Main_SKU[SKU name_gom])</f>
        <v>iSS01084</v>
      </c>
      <c r="M1064" s="2" t="str">
        <f>_xlfn.XLOOKUP(Data_Nhập[[#This Row],[Material-Nhập]],MD_Main_SKU[Main SKU],MD_Main_SKU[SKU name_gom])</f>
        <v>WSS03-PL</v>
      </c>
    </row>
    <row r="1065" spans="1:13" x14ac:dyDescent="0.35">
      <c r="A1065">
        <v>2025</v>
      </c>
      <c r="B1065">
        <v>12</v>
      </c>
      <c r="C1065" t="s">
        <v>14</v>
      </c>
      <c r="D1065" t="s">
        <v>15</v>
      </c>
      <c r="E1065" t="s">
        <v>87</v>
      </c>
      <c r="F1065" t="s">
        <v>88</v>
      </c>
      <c r="G1065" s="2">
        <v>0</v>
      </c>
      <c r="H1065" s="2">
        <v>0</v>
      </c>
      <c r="I1065" s="2">
        <v>0</v>
      </c>
      <c r="J1065" s="2">
        <v>17421</v>
      </c>
      <c r="K1065" s="2">
        <v>17421</v>
      </c>
      <c r="L1065" s="2" t="str">
        <f>_xlfn.XLOOKUP(Data_Nhập[[#This Row],[Main SKU]],MD_Main_SKU[Main SKU],MD_Main_SKU[SKU name_gom])</f>
        <v>iSS01084</v>
      </c>
      <c r="M1065" s="2" t="str">
        <f>_xlfn.XLOOKUP(Data_Nhập[[#This Row],[Material-Nhập]],MD_Main_SKU[Main SKU],MD_Main_SKU[SKU name_gom])</f>
        <v>Phó sản</v>
      </c>
    </row>
    <row r="1066" spans="1:13" x14ac:dyDescent="0.35">
      <c r="A1066">
        <v>2025</v>
      </c>
      <c r="B1066">
        <v>12</v>
      </c>
      <c r="C1066" t="s">
        <v>14</v>
      </c>
      <c r="D1066" t="s">
        <v>15</v>
      </c>
      <c r="E1066" t="s">
        <v>117</v>
      </c>
      <c r="F1066" t="s">
        <v>86</v>
      </c>
      <c r="G1066" s="2">
        <v>0</v>
      </c>
      <c r="H1066" s="2">
        <v>0</v>
      </c>
      <c r="I1066" s="2">
        <v>0</v>
      </c>
      <c r="J1066" s="2">
        <v>20455</v>
      </c>
      <c r="K1066" s="2">
        <v>20455</v>
      </c>
      <c r="L1066" s="2" t="str">
        <f>_xlfn.XLOOKUP(Data_Nhập[[#This Row],[Main SKU]],MD_Main_SKU[Main SKU],MD_Main_SKU[SKU name_gom])</f>
        <v>iSS01084</v>
      </c>
      <c r="M1066" s="2" t="str">
        <f>_xlfn.XLOOKUP(Data_Nhập[[#This Row],[Material-Nhập]],MD_Main_SKU[Main SKU],MD_Main_SKU[SKU name_gom])</f>
        <v>Phó sản</v>
      </c>
    </row>
    <row r="1067" spans="1:13" x14ac:dyDescent="0.35">
      <c r="A1067">
        <v>2025</v>
      </c>
      <c r="B1067">
        <v>12</v>
      </c>
      <c r="C1067" t="s">
        <v>14</v>
      </c>
      <c r="D1067" t="s">
        <v>15</v>
      </c>
      <c r="E1067" t="s">
        <v>126</v>
      </c>
      <c r="F1067" t="s">
        <v>127</v>
      </c>
      <c r="G1067" s="2">
        <v>0</v>
      </c>
      <c r="H1067" s="2">
        <v>0</v>
      </c>
      <c r="I1067" s="2">
        <v>0</v>
      </c>
      <c r="J1067" s="2">
        <v>4400.0000000000009</v>
      </c>
      <c r="K1067" s="2">
        <v>4400.0000000000009</v>
      </c>
      <c r="L1067" s="2" t="str">
        <f>_xlfn.XLOOKUP(Data_Nhập[[#This Row],[Main SKU]],MD_Main_SKU[Main SKU],MD_Main_SKU[SKU name_gom])</f>
        <v>iSS01084</v>
      </c>
      <c r="M1067" s="2" t="str">
        <f>_xlfn.XLOOKUP(Data_Nhập[[#This Row],[Material-Nhập]],MD_Main_SKU[Main SKU],MD_Main_SKU[SKU name_gom])</f>
        <v>Phó sản</v>
      </c>
    </row>
    <row r="1068" spans="1:13" x14ac:dyDescent="0.35">
      <c r="A1068">
        <v>2025</v>
      </c>
      <c r="B1068">
        <v>12</v>
      </c>
      <c r="C1068" t="s">
        <v>16</v>
      </c>
      <c r="D1068" t="s">
        <v>17</v>
      </c>
      <c r="E1068" t="s">
        <v>14</v>
      </c>
      <c r="F1068" t="s">
        <v>15</v>
      </c>
      <c r="G1068" s="2">
        <v>0</v>
      </c>
      <c r="H1068" s="2">
        <v>12100</v>
      </c>
      <c r="I1068" s="2">
        <v>12100</v>
      </c>
      <c r="J1068" s="2">
        <v>0</v>
      </c>
      <c r="K1068" s="2">
        <v>12100</v>
      </c>
      <c r="L1068" s="2" t="str">
        <f>_xlfn.XLOOKUP(Data_Nhập[[#This Row],[Main SKU]],MD_Main_SKU[Main SKU],MD_Main_SKU[SKU name_gom])</f>
        <v>WSS01</v>
      </c>
      <c r="M1068" s="2" t="str">
        <f>_xlfn.XLOOKUP(Data_Nhập[[#This Row],[Material-Nhập]],MD_Main_SKU[Main SKU],MD_Main_SKU[SKU name_gom])</f>
        <v>iSS01084</v>
      </c>
    </row>
    <row r="1069" spans="1:13" x14ac:dyDescent="0.35">
      <c r="A1069">
        <v>2025</v>
      </c>
      <c r="B1069">
        <v>12</v>
      </c>
      <c r="C1069" t="s">
        <v>16</v>
      </c>
      <c r="D1069" t="s">
        <v>17</v>
      </c>
      <c r="E1069" t="s">
        <v>16</v>
      </c>
      <c r="F1069" t="s">
        <v>17</v>
      </c>
      <c r="G1069" s="2">
        <v>1202300</v>
      </c>
      <c r="H1069" s="2">
        <v>0</v>
      </c>
      <c r="I1069" s="2">
        <v>1202300</v>
      </c>
      <c r="J1069" s="2">
        <v>0</v>
      </c>
      <c r="K1069" s="2">
        <v>1202300</v>
      </c>
      <c r="L1069" s="2" t="str">
        <f>_xlfn.XLOOKUP(Data_Nhập[[#This Row],[Main SKU]],MD_Main_SKU[Main SKU],MD_Main_SKU[SKU name_gom])</f>
        <v>WSS01</v>
      </c>
      <c r="M1069" s="2" t="str">
        <f>_xlfn.XLOOKUP(Data_Nhập[[#This Row],[Material-Nhập]],MD_Main_SKU[Main SKU],MD_Main_SKU[SKU name_gom])</f>
        <v>WSS01</v>
      </c>
    </row>
    <row r="1070" spans="1:13" x14ac:dyDescent="0.35">
      <c r="A1070">
        <v>2025</v>
      </c>
      <c r="B1070">
        <v>12</v>
      </c>
      <c r="C1070" t="s">
        <v>16</v>
      </c>
      <c r="D1070" t="s">
        <v>17</v>
      </c>
      <c r="E1070" t="s">
        <v>18</v>
      </c>
      <c r="F1070" t="s">
        <v>19</v>
      </c>
      <c r="G1070" s="2">
        <v>0</v>
      </c>
      <c r="H1070" s="2">
        <v>52800</v>
      </c>
      <c r="I1070" s="2">
        <v>52800</v>
      </c>
      <c r="J1070" s="2">
        <v>0</v>
      </c>
      <c r="K1070" s="2">
        <v>52800</v>
      </c>
      <c r="L1070" s="2" t="str">
        <f>_xlfn.XLOOKUP(Data_Nhập[[#This Row],[Main SKU]],MD_Main_SKU[Main SKU],MD_Main_SKU[SKU name_gom])</f>
        <v>WSS01</v>
      </c>
      <c r="M1070" s="2" t="str">
        <f>_xlfn.XLOOKUP(Data_Nhập[[#This Row],[Material-Nhập]],MD_Main_SKU[Main SKU],MD_Main_SKU[SKU name_gom])</f>
        <v>iSS01</v>
      </c>
    </row>
    <row r="1071" spans="1:13" x14ac:dyDescent="0.35">
      <c r="A1071">
        <v>2025</v>
      </c>
      <c r="B1071">
        <v>12</v>
      </c>
      <c r="C1071" t="s">
        <v>16</v>
      </c>
      <c r="D1071" t="s">
        <v>17</v>
      </c>
      <c r="E1071" t="s">
        <v>22</v>
      </c>
      <c r="F1071" t="s">
        <v>23</v>
      </c>
      <c r="G1071" s="2">
        <v>0</v>
      </c>
      <c r="H1071" s="2">
        <v>15400</v>
      </c>
      <c r="I1071" s="2">
        <v>15400</v>
      </c>
      <c r="J1071" s="2">
        <v>0</v>
      </c>
      <c r="K1071" s="2">
        <v>15400</v>
      </c>
      <c r="L1071" s="2" t="str">
        <f>_xlfn.XLOOKUP(Data_Nhập[[#This Row],[Main SKU]],MD_Main_SKU[Main SKU],MD_Main_SKU[SKU name_gom])</f>
        <v>WSS01</v>
      </c>
      <c r="M1071" s="2" t="str">
        <f>_xlfn.XLOOKUP(Data_Nhập[[#This Row],[Material-Nhập]],MD_Main_SKU[Main SKU],MD_Main_SKU[SKU name_gom])</f>
        <v>WSS03</v>
      </c>
    </row>
    <row r="1072" spans="1:13" x14ac:dyDescent="0.35">
      <c r="A1072">
        <v>2025</v>
      </c>
      <c r="B1072">
        <v>12</v>
      </c>
      <c r="C1072" t="s">
        <v>16</v>
      </c>
      <c r="D1072" t="s">
        <v>17</v>
      </c>
      <c r="E1072" t="s">
        <v>40</v>
      </c>
      <c r="F1072" t="s">
        <v>41</v>
      </c>
      <c r="G1072" s="2">
        <v>0</v>
      </c>
      <c r="H1072" s="2">
        <v>9900</v>
      </c>
      <c r="I1072" s="2">
        <v>9900</v>
      </c>
      <c r="J1072" s="2">
        <v>0</v>
      </c>
      <c r="K1072" s="2">
        <v>9900</v>
      </c>
      <c r="L1072" s="2" t="str">
        <f>_xlfn.XLOOKUP(Data_Nhập[[#This Row],[Main SKU]],MD_Main_SKU[Main SKU],MD_Main_SKU[SKU name_gom])</f>
        <v>WSS01</v>
      </c>
      <c r="M1072" s="2" t="str">
        <f>_xlfn.XLOOKUP(Data_Nhập[[#This Row],[Material-Nhập]],MD_Main_SKU[Main SKU],MD_Main_SKU[SKU name_gom])</f>
        <v>WSS01-PL</v>
      </c>
    </row>
    <row r="1073" spans="1:13" x14ac:dyDescent="0.35">
      <c r="A1073">
        <v>2025</v>
      </c>
      <c r="B1073">
        <v>12</v>
      </c>
      <c r="C1073" t="s">
        <v>16</v>
      </c>
      <c r="D1073" t="s">
        <v>17</v>
      </c>
      <c r="E1073" t="s">
        <v>34</v>
      </c>
      <c r="F1073" t="s">
        <v>35</v>
      </c>
      <c r="G1073" s="2">
        <v>0</v>
      </c>
      <c r="H1073" s="2">
        <v>8800</v>
      </c>
      <c r="I1073" s="2">
        <v>8800</v>
      </c>
      <c r="J1073" s="2">
        <v>0</v>
      </c>
      <c r="K1073" s="2">
        <v>8800</v>
      </c>
      <c r="L1073" s="2" t="str">
        <f>_xlfn.XLOOKUP(Data_Nhập[[#This Row],[Main SKU]],MD_Main_SKU[Main SKU],MD_Main_SKU[SKU name_gom])</f>
        <v>WSS01</v>
      </c>
      <c r="M1073" s="2" t="str">
        <f>_xlfn.XLOOKUP(Data_Nhập[[#This Row],[Material-Nhập]],MD_Main_SKU[Main SKU],MD_Main_SKU[SKU name_gom])</f>
        <v>WSS03-PL</v>
      </c>
    </row>
    <row r="1074" spans="1:13" x14ac:dyDescent="0.35">
      <c r="A1074">
        <v>2025</v>
      </c>
      <c r="B1074">
        <v>12</v>
      </c>
      <c r="C1074" t="s">
        <v>16</v>
      </c>
      <c r="D1074" t="s">
        <v>17</v>
      </c>
      <c r="E1074" t="s">
        <v>87</v>
      </c>
      <c r="F1074" t="s">
        <v>88</v>
      </c>
      <c r="G1074" s="2">
        <v>0</v>
      </c>
      <c r="H1074" s="2">
        <v>0</v>
      </c>
      <c r="I1074" s="2">
        <v>0</v>
      </c>
      <c r="J1074" s="2">
        <v>39311.000000000007</v>
      </c>
      <c r="K1074" s="2">
        <v>39311.000000000007</v>
      </c>
      <c r="L1074" s="2" t="str">
        <f>_xlfn.XLOOKUP(Data_Nhập[[#This Row],[Main SKU]],MD_Main_SKU[Main SKU],MD_Main_SKU[SKU name_gom])</f>
        <v>WSS01</v>
      </c>
      <c r="M1074" s="2" t="str">
        <f>_xlfn.XLOOKUP(Data_Nhập[[#This Row],[Material-Nhập]],MD_Main_SKU[Main SKU],MD_Main_SKU[SKU name_gom])</f>
        <v>Phó sản</v>
      </c>
    </row>
    <row r="1075" spans="1:13" x14ac:dyDescent="0.35">
      <c r="A1075">
        <v>2025</v>
      </c>
      <c r="B1075">
        <v>12</v>
      </c>
      <c r="C1075" t="s">
        <v>16</v>
      </c>
      <c r="D1075" t="s">
        <v>17</v>
      </c>
      <c r="E1075" t="s">
        <v>91</v>
      </c>
      <c r="F1075" t="s">
        <v>92</v>
      </c>
      <c r="G1075" s="2">
        <v>0</v>
      </c>
      <c r="H1075" s="2">
        <v>0</v>
      </c>
      <c r="I1075" s="2">
        <v>0</v>
      </c>
      <c r="J1075" s="2">
        <v>2580</v>
      </c>
      <c r="K1075" s="2">
        <v>2580</v>
      </c>
      <c r="L1075" s="2" t="str">
        <f>_xlfn.XLOOKUP(Data_Nhập[[#This Row],[Main SKU]],MD_Main_SKU[Main SKU],MD_Main_SKU[SKU name_gom])</f>
        <v>WSS01</v>
      </c>
      <c r="M1075" s="2" t="str">
        <f>_xlfn.XLOOKUP(Data_Nhập[[#This Row],[Material-Nhập]],MD_Main_SKU[Main SKU],MD_Main_SKU[SKU name_gom])</f>
        <v>Phó sản</v>
      </c>
    </row>
    <row r="1076" spans="1:13" x14ac:dyDescent="0.35">
      <c r="A1076">
        <v>2025</v>
      </c>
      <c r="B1076">
        <v>12</v>
      </c>
      <c r="C1076" t="s">
        <v>16</v>
      </c>
      <c r="D1076" t="s">
        <v>17</v>
      </c>
      <c r="E1076" t="s">
        <v>93</v>
      </c>
      <c r="F1076" t="s">
        <v>94</v>
      </c>
      <c r="G1076" s="2">
        <v>0</v>
      </c>
      <c r="H1076" s="2">
        <v>0</v>
      </c>
      <c r="I1076" s="2">
        <v>0</v>
      </c>
      <c r="J1076" s="2">
        <v>800</v>
      </c>
      <c r="K1076" s="2">
        <v>800</v>
      </c>
      <c r="L1076" s="2" t="str">
        <f>_xlfn.XLOOKUP(Data_Nhập[[#This Row],[Main SKU]],MD_Main_SKU[Main SKU],MD_Main_SKU[SKU name_gom])</f>
        <v>WSS01</v>
      </c>
      <c r="M1076" s="2" t="str">
        <f>_xlfn.XLOOKUP(Data_Nhập[[#This Row],[Material-Nhập]],MD_Main_SKU[Main SKU],MD_Main_SKU[SKU name_gom])</f>
        <v>Phó sản</v>
      </c>
    </row>
    <row r="1077" spans="1:13" x14ac:dyDescent="0.35">
      <c r="A1077">
        <v>2025</v>
      </c>
      <c r="B1077">
        <v>12</v>
      </c>
      <c r="C1077" t="s">
        <v>16</v>
      </c>
      <c r="D1077" t="s">
        <v>17</v>
      </c>
      <c r="E1077" t="s">
        <v>117</v>
      </c>
      <c r="F1077" t="s">
        <v>86</v>
      </c>
      <c r="G1077" s="2">
        <v>0</v>
      </c>
      <c r="H1077" s="2">
        <v>0</v>
      </c>
      <c r="I1077" s="2">
        <v>0</v>
      </c>
      <c r="J1077" s="2">
        <v>14184</v>
      </c>
      <c r="K1077" s="2">
        <v>14184</v>
      </c>
      <c r="L1077" s="2" t="str">
        <f>_xlfn.XLOOKUP(Data_Nhập[[#This Row],[Main SKU]],MD_Main_SKU[Main SKU],MD_Main_SKU[SKU name_gom])</f>
        <v>WSS01</v>
      </c>
      <c r="M1077" s="2" t="str">
        <f>_xlfn.XLOOKUP(Data_Nhập[[#This Row],[Material-Nhập]],MD_Main_SKU[Main SKU],MD_Main_SKU[SKU name_gom])</f>
        <v>Phó sản</v>
      </c>
    </row>
    <row r="1078" spans="1:13" x14ac:dyDescent="0.35">
      <c r="A1078">
        <v>2025</v>
      </c>
      <c r="B1078">
        <v>12</v>
      </c>
      <c r="C1078" t="s">
        <v>16</v>
      </c>
      <c r="D1078" t="s">
        <v>17</v>
      </c>
      <c r="E1078" t="s">
        <v>128</v>
      </c>
      <c r="F1078" t="s">
        <v>129</v>
      </c>
      <c r="G1078" s="2">
        <v>0</v>
      </c>
      <c r="H1078" s="2">
        <v>0</v>
      </c>
      <c r="I1078" s="2">
        <v>0</v>
      </c>
      <c r="J1078" s="2">
        <v>8800</v>
      </c>
      <c r="K1078" s="2">
        <v>8800</v>
      </c>
      <c r="L1078" s="2" t="str">
        <f>_xlfn.XLOOKUP(Data_Nhập[[#This Row],[Main SKU]],MD_Main_SKU[Main SKU],MD_Main_SKU[SKU name_gom])</f>
        <v>WSS01</v>
      </c>
      <c r="M1078" s="2" t="str">
        <f>_xlfn.XLOOKUP(Data_Nhập[[#This Row],[Material-Nhập]],MD_Main_SKU[Main SKU],MD_Main_SKU[SKU name_gom])</f>
        <v>Phó sản</v>
      </c>
    </row>
    <row r="1079" spans="1:13" x14ac:dyDescent="0.35">
      <c r="A1079">
        <v>2025</v>
      </c>
      <c r="B1079">
        <v>12</v>
      </c>
      <c r="C1079" t="s">
        <v>18</v>
      </c>
      <c r="D1079" t="s">
        <v>19</v>
      </c>
      <c r="E1079" t="s">
        <v>16</v>
      </c>
      <c r="F1079" t="s">
        <v>17</v>
      </c>
      <c r="G1079" s="2">
        <v>0</v>
      </c>
      <c r="H1079" s="2">
        <v>3300</v>
      </c>
      <c r="I1079" s="2">
        <v>3300</v>
      </c>
      <c r="J1079" s="2">
        <v>0</v>
      </c>
      <c r="K1079" s="2">
        <v>3300</v>
      </c>
      <c r="L1079" s="2" t="str">
        <f>_xlfn.XLOOKUP(Data_Nhập[[#This Row],[Main SKU]],MD_Main_SKU[Main SKU],MD_Main_SKU[SKU name_gom])</f>
        <v>iSS01</v>
      </c>
      <c r="M1079" s="2" t="str">
        <f>_xlfn.XLOOKUP(Data_Nhập[[#This Row],[Material-Nhập]],MD_Main_SKU[Main SKU],MD_Main_SKU[SKU name_gom])</f>
        <v>WSS01</v>
      </c>
    </row>
    <row r="1080" spans="1:13" x14ac:dyDescent="0.35">
      <c r="A1080">
        <v>2025</v>
      </c>
      <c r="B1080">
        <v>12</v>
      </c>
      <c r="C1080" t="s">
        <v>18</v>
      </c>
      <c r="D1080" t="s">
        <v>19</v>
      </c>
      <c r="E1080" t="s">
        <v>18</v>
      </c>
      <c r="F1080" t="s">
        <v>19</v>
      </c>
      <c r="G1080" s="2">
        <v>26400</v>
      </c>
      <c r="H1080" s="2">
        <v>0</v>
      </c>
      <c r="I1080" s="2">
        <v>26400</v>
      </c>
      <c r="J1080" s="2">
        <v>0</v>
      </c>
      <c r="K1080" s="2">
        <v>26400</v>
      </c>
      <c r="L1080" s="2" t="str">
        <f>_xlfn.XLOOKUP(Data_Nhập[[#This Row],[Main SKU]],MD_Main_SKU[Main SKU],MD_Main_SKU[SKU name_gom])</f>
        <v>iSS01</v>
      </c>
      <c r="M1080" s="2" t="str">
        <f>_xlfn.XLOOKUP(Data_Nhập[[#This Row],[Material-Nhập]],MD_Main_SKU[Main SKU],MD_Main_SKU[SKU name_gom])</f>
        <v>iSS01</v>
      </c>
    </row>
    <row r="1081" spans="1:13" x14ac:dyDescent="0.35">
      <c r="A1081">
        <v>2025</v>
      </c>
      <c r="B1081">
        <v>12</v>
      </c>
      <c r="C1081" t="s">
        <v>18</v>
      </c>
      <c r="D1081" t="s">
        <v>19</v>
      </c>
      <c r="E1081" t="s">
        <v>87</v>
      </c>
      <c r="F1081" t="s">
        <v>88</v>
      </c>
      <c r="G1081" s="2">
        <v>0</v>
      </c>
      <c r="H1081" s="2">
        <v>0</v>
      </c>
      <c r="I1081" s="2">
        <v>0</v>
      </c>
      <c r="J1081" s="2">
        <v>1400</v>
      </c>
      <c r="K1081" s="2">
        <v>1400</v>
      </c>
      <c r="L1081" s="2" t="str">
        <f>_xlfn.XLOOKUP(Data_Nhập[[#This Row],[Main SKU]],MD_Main_SKU[Main SKU],MD_Main_SKU[SKU name_gom])</f>
        <v>iSS01</v>
      </c>
      <c r="M1081" s="2" t="str">
        <f>_xlfn.XLOOKUP(Data_Nhập[[#This Row],[Material-Nhập]],MD_Main_SKU[Main SKU],MD_Main_SKU[SKU name_gom])</f>
        <v>Phó sản</v>
      </c>
    </row>
    <row r="1082" spans="1:13" x14ac:dyDescent="0.35">
      <c r="A1082">
        <v>2025</v>
      </c>
      <c r="B1082">
        <v>12</v>
      </c>
      <c r="C1082" t="s">
        <v>18</v>
      </c>
      <c r="D1082" t="s">
        <v>19</v>
      </c>
      <c r="E1082" t="s">
        <v>117</v>
      </c>
      <c r="F1082" t="s">
        <v>86</v>
      </c>
      <c r="G1082" s="2">
        <v>0</v>
      </c>
      <c r="H1082" s="2">
        <v>0</v>
      </c>
      <c r="I1082" s="2">
        <v>0</v>
      </c>
      <c r="J1082" s="2">
        <v>434</v>
      </c>
      <c r="K1082" s="2">
        <v>434</v>
      </c>
      <c r="L1082" s="2" t="str">
        <f>_xlfn.XLOOKUP(Data_Nhập[[#This Row],[Main SKU]],MD_Main_SKU[Main SKU],MD_Main_SKU[SKU name_gom])</f>
        <v>iSS01</v>
      </c>
      <c r="M1082" s="2" t="str">
        <f>_xlfn.XLOOKUP(Data_Nhập[[#This Row],[Material-Nhập]],MD_Main_SKU[Main SKU],MD_Main_SKU[SKU name_gom])</f>
        <v>Phó sản</v>
      </c>
    </row>
    <row r="1083" spans="1:13" x14ac:dyDescent="0.35">
      <c r="A1083">
        <v>2025</v>
      </c>
      <c r="B1083">
        <v>12</v>
      </c>
      <c r="C1083" t="s">
        <v>22</v>
      </c>
      <c r="D1083" t="s">
        <v>23</v>
      </c>
      <c r="E1083" t="s">
        <v>22</v>
      </c>
      <c r="F1083" t="s">
        <v>23</v>
      </c>
      <c r="G1083" s="2">
        <v>507100</v>
      </c>
      <c r="H1083" s="2">
        <v>0</v>
      </c>
      <c r="I1083" s="2">
        <v>507100</v>
      </c>
      <c r="J1083" s="2">
        <v>0</v>
      </c>
      <c r="K1083" s="2">
        <v>507100</v>
      </c>
      <c r="L1083" s="2" t="str">
        <f>_xlfn.XLOOKUP(Data_Nhập[[#This Row],[Main SKU]],MD_Main_SKU[Main SKU],MD_Main_SKU[SKU name_gom])</f>
        <v>WSS03</v>
      </c>
      <c r="M1083" s="2" t="str">
        <f>_xlfn.XLOOKUP(Data_Nhập[[#This Row],[Material-Nhập]],MD_Main_SKU[Main SKU],MD_Main_SKU[SKU name_gom])</f>
        <v>WSS03</v>
      </c>
    </row>
    <row r="1084" spans="1:13" x14ac:dyDescent="0.35">
      <c r="A1084">
        <v>2025</v>
      </c>
      <c r="B1084">
        <v>12</v>
      </c>
      <c r="C1084" t="s">
        <v>22</v>
      </c>
      <c r="D1084" t="s">
        <v>23</v>
      </c>
      <c r="E1084" t="s">
        <v>34</v>
      </c>
      <c r="F1084" t="s">
        <v>35</v>
      </c>
      <c r="G1084" s="2">
        <v>0</v>
      </c>
      <c r="H1084" s="2">
        <v>6600</v>
      </c>
      <c r="I1084" s="2">
        <v>6600</v>
      </c>
      <c r="J1084" s="2">
        <v>0</v>
      </c>
      <c r="K1084" s="2">
        <v>6600</v>
      </c>
      <c r="L1084" s="2" t="str">
        <f>_xlfn.XLOOKUP(Data_Nhập[[#This Row],[Main SKU]],MD_Main_SKU[Main SKU],MD_Main_SKU[SKU name_gom])</f>
        <v>WSS03</v>
      </c>
      <c r="M1084" s="2" t="str">
        <f>_xlfn.XLOOKUP(Data_Nhập[[#This Row],[Material-Nhập]],MD_Main_SKU[Main SKU],MD_Main_SKU[SKU name_gom])</f>
        <v>WSS03-PL</v>
      </c>
    </row>
    <row r="1085" spans="1:13" x14ac:dyDescent="0.35">
      <c r="A1085">
        <v>2025</v>
      </c>
      <c r="B1085">
        <v>12</v>
      </c>
      <c r="C1085" t="s">
        <v>22</v>
      </c>
      <c r="D1085" t="s">
        <v>23</v>
      </c>
      <c r="E1085" t="s">
        <v>87</v>
      </c>
      <c r="F1085" t="s">
        <v>88</v>
      </c>
      <c r="G1085" s="2">
        <v>0</v>
      </c>
      <c r="H1085" s="2">
        <v>0</v>
      </c>
      <c r="I1085" s="2">
        <v>0</v>
      </c>
      <c r="J1085" s="2">
        <v>24620</v>
      </c>
      <c r="K1085" s="2">
        <v>24620</v>
      </c>
      <c r="L1085" s="2" t="str">
        <f>_xlfn.XLOOKUP(Data_Nhập[[#This Row],[Main SKU]],MD_Main_SKU[Main SKU],MD_Main_SKU[SKU name_gom])</f>
        <v>WSS03</v>
      </c>
      <c r="M1085" s="2" t="str">
        <f>_xlfn.XLOOKUP(Data_Nhập[[#This Row],[Material-Nhập]],MD_Main_SKU[Main SKU],MD_Main_SKU[SKU name_gom])</f>
        <v>Phó sản</v>
      </c>
    </row>
    <row r="1086" spans="1:13" x14ac:dyDescent="0.35">
      <c r="A1086">
        <v>2025</v>
      </c>
      <c r="B1086">
        <v>12</v>
      </c>
      <c r="C1086" t="s">
        <v>22</v>
      </c>
      <c r="D1086" t="s">
        <v>23</v>
      </c>
      <c r="E1086" t="s">
        <v>117</v>
      </c>
      <c r="F1086" t="s">
        <v>86</v>
      </c>
      <c r="G1086" s="2">
        <v>0</v>
      </c>
      <c r="H1086" s="2">
        <v>0</v>
      </c>
      <c r="I1086" s="2">
        <v>0</v>
      </c>
      <c r="J1086" s="2">
        <v>11133</v>
      </c>
      <c r="K1086" s="2">
        <v>11133</v>
      </c>
      <c r="L1086" s="2" t="str">
        <f>_xlfn.XLOOKUP(Data_Nhập[[#This Row],[Main SKU]],MD_Main_SKU[Main SKU],MD_Main_SKU[SKU name_gom])</f>
        <v>WSS03</v>
      </c>
      <c r="M1086" s="2" t="str">
        <f>_xlfn.XLOOKUP(Data_Nhập[[#This Row],[Material-Nhập]],MD_Main_SKU[Main SKU],MD_Main_SKU[SKU name_gom])</f>
        <v>Phó sản</v>
      </c>
    </row>
    <row r="1087" spans="1:13" x14ac:dyDescent="0.35">
      <c r="A1087">
        <v>2025</v>
      </c>
      <c r="B1087">
        <v>12</v>
      </c>
      <c r="C1087" t="s">
        <v>22</v>
      </c>
      <c r="D1087" t="s">
        <v>23</v>
      </c>
      <c r="E1087" t="s">
        <v>138</v>
      </c>
      <c r="F1087" t="s">
        <v>139</v>
      </c>
      <c r="G1087" s="2">
        <v>0</v>
      </c>
      <c r="H1087" s="2">
        <v>0</v>
      </c>
      <c r="I1087" s="2">
        <v>0</v>
      </c>
      <c r="J1087" s="2">
        <v>1100</v>
      </c>
      <c r="K1087" s="2">
        <v>1100</v>
      </c>
      <c r="L1087" s="2" t="str">
        <f>_xlfn.XLOOKUP(Data_Nhập[[#This Row],[Main SKU]],MD_Main_SKU[Main SKU],MD_Main_SKU[SKU name_gom])</f>
        <v>WSS03</v>
      </c>
      <c r="M1087" s="2" t="str">
        <f>_xlfn.XLOOKUP(Data_Nhập[[#This Row],[Material-Nhập]],MD_Main_SKU[Main SKU],MD_Main_SKU[SKU name_gom])</f>
        <v>Phó sản</v>
      </c>
    </row>
    <row r="1088" spans="1:13" x14ac:dyDescent="0.35">
      <c r="A1088">
        <v>2025</v>
      </c>
      <c r="B1088">
        <v>12</v>
      </c>
      <c r="C1088" t="s">
        <v>115</v>
      </c>
      <c r="D1088" t="s">
        <v>116</v>
      </c>
      <c r="E1088" t="s">
        <v>115</v>
      </c>
      <c r="F1088" t="s">
        <v>116</v>
      </c>
      <c r="G1088" s="2">
        <v>8400</v>
      </c>
      <c r="H1088" s="2">
        <v>0</v>
      </c>
      <c r="I1088" s="2">
        <v>8400</v>
      </c>
      <c r="J1088" s="2">
        <v>0</v>
      </c>
      <c r="K1088" s="2">
        <v>8400</v>
      </c>
      <c r="L1088" s="2" t="str">
        <f>_xlfn.XLOOKUP(Data_Nhập[[#This Row],[Main SKU]],MD_Main_SKU[Main SKU],MD_Main_SKU[SKU name_gom])</f>
        <v>WSS05</v>
      </c>
      <c r="M1088" s="2" t="str">
        <f>_xlfn.XLOOKUP(Data_Nhập[[#This Row],[Material-Nhập]],MD_Main_SKU[Main SKU],MD_Main_SKU[SKU name_gom])</f>
        <v>WSS05</v>
      </c>
    </row>
    <row r="1089" spans="1:13" x14ac:dyDescent="0.35">
      <c r="A1089">
        <v>2025</v>
      </c>
      <c r="B1089">
        <v>12</v>
      </c>
      <c r="C1089" t="s">
        <v>115</v>
      </c>
      <c r="D1089" t="s">
        <v>116</v>
      </c>
      <c r="E1089" t="s">
        <v>117</v>
      </c>
      <c r="F1089" t="s">
        <v>86</v>
      </c>
      <c r="G1089" s="2">
        <v>0</v>
      </c>
      <c r="H1089" s="2">
        <v>0</v>
      </c>
      <c r="I1089" s="2">
        <v>0</v>
      </c>
      <c r="J1089" s="2">
        <v>320</v>
      </c>
      <c r="K1089" s="2">
        <v>320</v>
      </c>
      <c r="L1089" s="2" t="str">
        <f>_xlfn.XLOOKUP(Data_Nhập[[#This Row],[Main SKU]],MD_Main_SKU[Main SKU],MD_Main_SKU[SKU name_gom])</f>
        <v>WSS05</v>
      </c>
      <c r="M1089" s="2" t="str">
        <f>_xlfn.XLOOKUP(Data_Nhập[[#This Row],[Material-Nhập]],MD_Main_SKU[Main SKU],MD_Main_SKU[SKU name_gom])</f>
        <v>Phó sản</v>
      </c>
    </row>
    <row r="1090" spans="1:13" x14ac:dyDescent="0.35">
      <c r="A1090">
        <v>2025</v>
      </c>
      <c r="B1090">
        <v>12</v>
      </c>
      <c r="C1090" t="s">
        <v>48</v>
      </c>
      <c r="D1090" t="s">
        <v>49</v>
      </c>
      <c r="E1090" t="s">
        <v>16</v>
      </c>
      <c r="F1090" t="s">
        <v>17</v>
      </c>
      <c r="G1090" s="2">
        <v>0</v>
      </c>
      <c r="H1090" s="2">
        <v>2200</v>
      </c>
      <c r="I1090" s="2">
        <v>2200</v>
      </c>
      <c r="J1090" s="2">
        <v>0</v>
      </c>
      <c r="K1090" s="2">
        <v>2200</v>
      </c>
      <c r="L1090" s="2" t="str">
        <f>_xlfn.XLOOKUP(Data_Nhập[[#This Row],[Main SKU]],MD_Main_SKU[Main SKU],MD_Main_SKU[SKU name_gom])</f>
        <v>WSS01</v>
      </c>
      <c r="M1090" s="2" t="str">
        <f>_xlfn.XLOOKUP(Data_Nhập[[#This Row],[Material-Nhập]],MD_Main_SKU[Main SKU],MD_Main_SKU[SKU name_gom])</f>
        <v>WSS01</v>
      </c>
    </row>
    <row r="1091" spans="1:13" x14ac:dyDescent="0.35">
      <c r="A1091">
        <v>2025</v>
      </c>
      <c r="B1091">
        <v>12</v>
      </c>
      <c r="C1091" t="s">
        <v>48</v>
      </c>
      <c r="D1091" t="s">
        <v>49</v>
      </c>
      <c r="E1091" t="s">
        <v>48</v>
      </c>
      <c r="F1091" t="s">
        <v>49</v>
      </c>
      <c r="G1091" s="2">
        <v>33000</v>
      </c>
      <c r="H1091" s="2">
        <v>0</v>
      </c>
      <c r="I1091" s="2">
        <v>33000</v>
      </c>
      <c r="J1091" s="2">
        <v>0</v>
      </c>
      <c r="K1091" s="2">
        <v>33000</v>
      </c>
      <c r="L1091" s="2" t="str">
        <f>_xlfn.XLOOKUP(Data_Nhập[[#This Row],[Main SKU]],MD_Main_SKU[Main SKU],MD_Main_SKU[SKU name_gom])</f>
        <v>WSS01</v>
      </c>
      <c r="M1091" s="2" t="str">
        <f>_xlfn.XLOOKUP(Data_Nhập[[#This Row],[Material-Nhập]],MD_Main_SKU[Main SKU],MD_Main_SKU[SKU name_gom])</f>
        <v>WSS01</v>
      </c>
    </row>
    <row r="1092" spans="1:13" x14ac:dyDescent="0.35">
      <c r="A1092">
        <v>2025</v>
      </c>
      <c r="B1092">
        <v>12</v>
      </c>
      <c r="C1092" t="s">
        <v>48</v>
      </c>
      <c r="D1092" t="s">
        <v>49</v>
      </c>
      <c r="E1092" t="s">
        <v>87</v>
      </c>
      <c r="F1092" t="s">
        <v>88</v>
      </c>
      <c r="G1092" s="2">
        <v>0</v>
      </c>
      <c r="H1092" s="2">
        <v>0</v>
      </c>
      <c r="I1092" s="2">
        <v>0</v>
      </c>
      <c r="J1092" s="2">
        <v>350</v>
      </c>
      <c r="K1092" s="2">
        <v>350</v>
      </c>
      <c r="L1092" s="2" t="str">
        <f>_xlfn.XLOOKUP(Data_Nhập[[#This Row],[Main SKU]],MD_Main_SKU[Main SKU],MD_Main_SKU[SKU name_gom])</f>
        <v>WSS01</v>
      </c>
      <c r="M1092" s="2" t="str">
        <f>_xlfn.XLOOKUP(Data_Nhập[[#This Row],[Material-Nhập]],MD_Main_SKU[Main SKU],MD_Main_SKU[SKU name_gom])</f>
        <v>Phó sản</v>
      </c>
    </row>
    <row r="1093" spans="1:13" x14ac:dyDescent="0.35">
      <c r="A1093">
        <v>2025</v>
      </c>
      <c r="B1093">
        <v>12</v>
      </c>
      <c r="C1093" t="s">
        <v>48</v>
      </c>
      <c r="D1093" t="s">
        <v>49</v>
      </c>
      <c r="E1093" t="s">
        <v>117</v>
      </c>
      <c r="F1093" t="s">
        <v>86</v>
      </c>
      <c r="G1093" s="2">
        <v>0</v>
      </c>
      <c r="H1093" s="2">
        <v>0</v>
      </c>
      <c r="I1093" s="2">
        <v>0</v>
      </c>
      <c r="J1093" s="2">
        <v>1950</v>
      </c>
      <c r="K1093" s="2">
        <v>1950</v>
      </c>
      <c r="L1093" s="2" t="str">
        <f>_xlfn.XLOOKUP(Data_Nhập[[#This Row],[Main SKU]],MD_Main_SKU[Main SKU],MD_Main_SKU[SKU name_gom])</f>
        <v>WSS01</v>
      </c>
      <c r="M1093" s="2" t="str">
        <f>_xlfn.XLOOKUP(Data_Nhập[[#This Row],[Material-Nhập]],MD_Main_SKU[Main SKU],MD_Main_SKU[SKU name_gom])</f>
        <v>Phó sản</v>
      </c>
    </row>
    <row r="1094" spans="1:13" x14ac:dyDescent="0.35">
      <c r="A1094">
        <v>2026</v>
      </c>
      <c r="B1094">
        <v>1</v>
      </c>
      <c r="C1094" t="s">
        <v>8</v>
      </c>
      <c r="D1094" t="s">
        <v>9</v>
      </c>
      <c r="E1094" t="s">
        <v>8</v>
      </c>
      <c r="F1094" t="s">
        <v>9</v>
      </c>
      <c r="G1094" s="2">
        <v>25300</v>
      </c>
      <c r="H1094" s="2">
        <v>0</v>
      </c>
      <c r="I1094" s="2">
        <v>25300</v>
      </c>
      <c r="J1094" s="2">
        <v>0</v>
      </c>
      <c r="K1094" s="2">
        <v>25300</v>
      </c>
      <c r="L1094" s="2" t="str">
        <f>_xlfn.XLOOKUP(Data_Nhập[[#This Row],[Main SKU]],MD_Main_SKU[Main SKU],MD_Main_SKU[SKU name_gom])</f>
        <v>WSS01</v>
      </c>
      <c r="M1094" s="2" t="str">
        <f>_xlfn.XLOOKUP(Data_Nhập[[#This Row],[Material-Nhập]],MD_Main_SKU[Main SKU],MD_Main_SKU[SKU name_gom])</f>
        <v>WSS01</v>
      </c>
    </row>
    <row r="1095" spans="1:13" x14ac:dyDescent="0.35">
      <c r="A1095">
        <v>2026</v>
      </c>
      <c r="B1095">
        <v>1</v>
      </c>
      <c r="C1095" t="s">
        <v>8</v>
      </c>
      <c r="D1095" t="s">
        <v>9</v>
      </c>
      <c r="E1095" t="s">
        <v>22</v>
      </c>
      <c r="F1095" t="s">
        <v>23</v>
      </c>
      <c r="G1095" s="2">
        <v>0</v>
      </c>
      <c r="H1095" s="2">
        <v>2200</v>
      </c>
      <c r="I1095" s="2">
        <v>2200</v>
      </c>
      <c r="J1095" s="2">
        <v>0</v>
      </c>
      <c r="K1095" s="2">
        <v>2200</v>
      </c>
      <c r="L1095" s="2" t="str">
        <f>_xlfn.XLOOKUP(Data_Nhập[[#This Row],[Main SKU]],MD_Main_SKU[Main SKU],MD_Main_SKU[SKU name_gom])</f>
        <v>WSS01</v>
      </c>
      <c r="M1095" s="2" t="str">
        <f>_xlfn.XLOOKUP(Data_Nhập[[#This Row],[Material-Nhập]],MD_Main_SKU[Main SKU],MD_Main_SKU[SKU name_gom])</f>
        <v>WSS03</v>
      </c>
    </row>
    <row r="1096" spans="1:13" x14ac:dyDescent="0.35">
      <c r="A1096">
        <v>2026</v>
      </c>
      <c r="B1096">
        <v>1</v>
      </c>
      <c r="C1096" t="s">
        <v>8</v>
      </c>
      <c r="D1096" t="s">
        <v>9</v>
      </c>
      <c r="E1096" t="s">
        <v>36</v>
      </c>
      <c r="F1096" t="s">
        <v>37</v>
      </c>
      <c r="G1096" s="2">
        <v>0</v>
      </c>
      <c r="H1096" s="2">
        <v>6600</v>
      </c>
      <c r="I1096" s="2">
        <v>6600</v>
      </c>
      <c r="J1096" s="2">
        <v>0</v>
      </c>
      <c r="K1096" s="2">
        <v>6600</v>
      </c>
      <c r="L1096" s="2" t="str">
        <f>_xlfn.XLOOKUP(Data_Nhập[[#This Row],[Main SKU]],MD_Main_SKU[Main SKU],MD_Main_SKU[SKU name_gom])</f>
        <v>WSS01</v>
      </c>
      <c r="M1096" s="2" t="str">
        <f>_xlfn.XLOOKUP(Data_Nhập[[#This Row],[Material-Nhập]],MD_Main_SKU[Main SKU],MD_Main_SKU[SKU name_gom])</f>
        <v>WSS01-PL</v>
      </c>
    </row>
    <row r="1097" spans="1:13" x14ac:dyDescent="0.35">
      <c r="A1097">
        <v>2026</v>
      </c>
      <c r="B1097">
        <v>1</v>
      </c>
      <c r="C1097" t="s">
        <v>8</v>
      </c>
      <c r="D1097" t="s">
        <v>9</v>
      </c>
      <c r="E1097" t="s">
        <v>87</v>
      </c>
      <c r="F1097" t="s">
        <v>88</v>
      </c>
      <c r="G1097" s="2">
        <v>0</v>
      </c>
      <c r="H1097" s="2">
        <v>0</v>
      </c>
      <c r="I1097" s="2">
        <v>0</v>
      </c>
      <c r="J1097" s="2">
        <v>1235</v>
      </c>
      <c r="K1097" s="2">
        <v>1235</v>
      </c>
      <c r="L1097" s="2" t="str">
        <f>_xlfn.XLOOKUP(Data_Nhập[[#This Row],[Main SKU]],MD_Main_SKU[Main SKU],MD_Main_SKU[SKU name_gom])</f>
        <v>WSS01</v>
      </c>
      <c r="M1097" s="2" t="str">
        <f>_xlfn.XLOOKUP(Data_Nhập[[#This Row],[Material-Nhập]],MD_Main_SKU[Main SKU],MD_Main_SKU[SKU name_gom])</f>
        <v>Phó sản</v>
      </c>
    </row>
    <row r="1098" spans="1:13" x14ac:dyDescent="0.35">
      <c r="A1098">
        <v>2026</v>
      </c>
      <c r="B1098">
        <v>1</v>
      </c>
      <c r="C1098" t="s">
        <v>8</v>
      </c>
      <c r="D1098" t="s">
        <v>9</v>
      </c>
      <c r="E1098" t="s">
        <v>117</v>
      </c>
      <c r="F1098" t="s">
        <v>86</v>
      </c>
      <c r="G1098" s="2">
        <v>0</v>
      </c>
      <c r="H1098" s="2">
        <v>0</v>
      </c>
      <c r="I1098" s="2">
        <v>0</v>
      </c>
      <c r="J1098" s="2">
        <v>595</v>
      </c>
      <c r="K1098" s="2">
        <v>595</v>
      </c>
      <c r="L1098" s="2" t="str">
        <f>_xlfn.XLOOKUP(Data_Nhập[[#This Row],[Main SKU]],MD_Main_SKU[Main SKU],MD_Main_SKU[SKU name_gom])</f>
        <v>WSS01</v>
      </c>
      <c r="M1098" s="2" t="str">
        <f>_xlfn.XLOOKUP(Data_Nhập[[#This Row],[Material-Nhập]],MD_Main_SKU[Main SKU],MD_Main_SKU[SKU name_gom])</f>
        <v>Phó sản</v>
      </c>
    </row>
    <row r="1099" spans="1:13" x14ac:dyDescent="0.35">
      <c r="A1099">
        <v>2026</v>
      </c>
      <c r="B1099">
        <v>1</v>
      </c>
      <c r="C1099" t="s">
        <v>14</v>
      </c>
      <c r="D1099" t="s">
        <v>15</v>
      </c>
      <c r="E1099" t="s">
        <v>14</v>
      </c>
      <c r="F1099" t="s">
        <v>15</v>
      </c>
      <c r="G1099" s="2">
        <v>301399.99999999994</v>
      </c>
      <c r="H1099" s="2">
        <v>0</v>
      </c>
      <c r="I1099" s="2">
        <v>301399.99999999994</v>
      </c>
      <c r="J1099" s="2">
        <v>0</v>
      </c>
      <c r="K1099" s="2">
        <v>301399.99999999994</v>
      </c>
      <c r="L1099" s="2" t="str">
        <f>_xlfn.XLOOKUP(Data_Nhập[[#This Row],[Main SKU]],MD_Main_SKU[Main SKU],MD_Main_SKU[SKU name_gom])</f>
        <v>iSS01084</v>
      </c>
      <c r="M1099" s="2" t="str">
        <f>_xlfn.XLOOKUP(Data_Nhập[[#This Row],[Material-Nhập]],MD_Main_SKU[Main SKU],MD_Main_SKU[SKU name_gom])</f>
        <v>iSS01084</v>
      </c>
    </row>
    <row r="1100" spans="1:13" x14ac:dyDescent="0.35">
      <c r="A1100">
        <v>2026</v>
      </c>
      <c r="B1100">
        <v>1</v>
      </c>
      <c r="C1100" t="s">
        <v>14</v>
      </c>
      <c r="D1100" t="s">
        <v>15</v>
      </c>
      <c r="E1100" t="s">
        <v>18</v>
      </c>
      <c r="F1100" t="s">
        <v>19</v>
      </c>
      <c r="G1100" s="2">
        <v>0</v>
      </c>
      <c r="H1100" s="2">
        <v>1100</v>
      </c>
      <c r="I1100" s="2">
        <v>1100</v>
      </c>
      <c r="J1100" s="2">
        <v>0</v>
      </c>
      <c r="K1100" s="2">
        <v>1100</v>
      </c>
      <c r="L1100" s="2" t="str">
        <f>_xlfn.XLOOKUP(Data_Nhập[[#This Row],[Main SKU]],MD_Main_SKU[Main SKU],MD_Main_SKU[SKU name_gom])</f>
        <v>iSS01084</v>
      </c>
      <c r="M1100" s="2" t="str">
        <f>_xlfn.XLOOKUP(Data_Nhập[[#This Row],[Material-Nhập]],MD_Main_SKU[Main SKU],MD_Main_SKU[SKU name_gom])</f>
        <v>iSS01</v>
      </c>
    </row>
    <row r="1101" spans="1:13" x14ac:dyDescent="0.35">
      <c r="A1101">
        <v>2026</v>
      </c>
      <c r="B1101">
        <v>1</v>
      </c>
      <c r="C1101" t="s">
        <v>14</v>
      </c>
      <c r="D1101" t="s">
        <v>15</v>
      </c>
      <c r="E1101" t="s">
        <v>22</v>
      </c>
      <c r="F1101" t="s">
        <v>23</v>
      </c>
      <c r="G1101" s="2">
        <v>0</v>
      </c>
      <c r="H1101" s="2">
        <v>27500</v>
      </c>
      <c r="I1101" s="2">
        <v>27500</v>
      </c>
      <c r="J1101" s="2">
        <v>0</v>
      </c>
      <c r="K1101" s="2">
        <v>27500</v>
      </c>
      <c r="L1101" s="2" t="str">
        <f>_xlfn.XLOOKUP(Data_Nhập[[#This Row],[Main SKU]],MD_Main_SKU[Main SKU],MD_Main_SKU[SKU name_gom])</f>
        <v>iSS01084</v>
      </c>
      <c r="M1101" s="2" t="str">
        <f>_xlfn.XLOOKUP(Data_Nhập[[#This Row],[Material-Nhập]],MD_Main_SKU[Main SKU],MD_Main_SKU[SKU name_gom])</f>
        <v>WSS03</v>
      </c>
    </row>
    <row r="1102" spans="1:13" x14ac:dyDescent="0.35">
      <c r="A1102">
        <v>2026</v>
      </c>
      <c r="B1102">
        <v>1</v>
      </c>
      <c r="C1102" t="s">
        <v>14</v>
      </c>
      <c r="D1102" t="s">
        <v>15</v>
      </c>
      <c r="E1102" t="s">
        <v>42</v>
      </c>
      <c r="F1102" t="s">
        <v>43</v>
      </c>
      <c r="G1102" s="2">
        <v>0</v>
      </c>
      <c r="H1102" s="2">
        <v>2200</v>
      </c>
      <c r="I1102" s="2">
        <v>2200</v>
      </c>
      <c r="J1102" s="2">
        <v>0</v>
      </c>
      <c r="K1102" s="2">
        <v>2200</v>
      </c>
      <c r="L1102" s="2" t="str">
        <f>_xlfn.XLOOKUP(Data_Nhập[[#This Row],[Main SKU]],MD_Main_SKU[Main SKU],MD_Main_SKU[SKU name_gom])</f>
        <v>iSS01084</v>
      </c>
      <c r="M1102" s="2" t="str">
        <f>_xlfn.XLOOKUP(Data_Nhập[[#This Row],[Material-Nhập]],MD_Main_SKU[Main SKU],MD_Main_SKU[SKU name_gom])</f>
        <v>iSS01-PL</v>
      </c>
    </row>
    <row r="1103" spans="1:13" x14ac:dyDescent="0.35">
      <c r="A1103">
        <v>2026</v>
      </c>
      <c r="B1103">
        <v>1</v>
      </c>
      <c r="C1103" t="s">
        <v>14</v>
      </c>
      <c r="D1103" t="s">
        <v>15</v>
      </c>
      <c r="E1103" t="s">
        <v>87</v>
      </c>
      <c r="F1103" t="s">
        <v>88</v>
      </c>
      <c r="G1103" s="2">
        <v>0</v>
      </c>
      <c r="H1103" s="2">
        <v>0</v>
      </c>
      <c r="I1103" s="2">
        <v>0</v>
      </c>
      <c r="J1103" s="2">
        <v>5550</v>
      </c>
      <c r="K1103" s="2">
        <v>5550</v>
      </c>
      <c r="L1103" s="2" t="str">
        <f>_xlfn.XLOOKUP(Data_Nhập[[#This Row],[Main SKU]],MD_Main_SKU[Main SKU],MD_Main_SKU[SKU name_gom])</f>
        <v>iSS01084</v>
      </c>
      <c r="M1103" s="2" t="str">
        <f>_xlfn.XLOOKUP(Data_Nhập[[#This Row],[Material-Nhập]],MD_Main_SKU[Main SKU],MD_Main_SKU[SKU name_gom])</f>
        <v>Phó sản</v>
      </c>
    </row>
    <row r="1104" spans="1:13" x14ac:dyDescent="0.35">
      <c r="A1104">
        <v>2026</v>
      </c>
      <c r="B1104">
        <v>1</v>
      </c>
      <c r="C1104" t="s">
        <v>14</v>
      </c>
      <c r="D1104" t="s">
        <v>15</v>
      </c>
      <c r="E1104" t="s">
        <v>117</v>
      </c>
      <c r="F1104" t="s">
        <v>86</v>
      </c>
      <c r="G1104" s="2">
        <v>0</v>
      </c>
      <c r="H1104" s="2">
        <v>0</v>
      </c>
      <c r="I1104" s="2">
        <v>0</v>
      </c>
      <c r="J1104" s="2">
        <v>9291.9999999999982</v>
      </c>
      <c r="K1104" s="2">
        <v>9291.9999999999982</v>
      </c>
      <c r="L1104" s="2" t="str">
        <f>_xlfn.XLOOKUP(Data_Nhập[[#This Row],[Main SKU]],MD_Main_SKU[Main SKU],MD_Main_SKU[SKU name_gom])</f>
        <v>iSS01084</v>
      </c>
      <c r="M1104" s="2" t="str">
        <f>_xlfn.XLOOKUP(Data_Nhập[[#This Row],[Material-Nhập]],MD_Main_SKU[Main SKU],MD_Main_SKU[SKU name_gom])</f>
        <v>Phó sản</v>
      </c>
    </row>
    <row r="1105" spans="1:13" x14ac:dyDescent="0.35">
      <c r="A1105">
        <v>2026</v>
      </c>
      <c r="B1105">
        <v>1</v>
      </c>
      <c r="C1105" t="s">
        <v>14</v>
      </c>
      <c r="D1105" t="s">
        <v>15</v>
      </c>
      <c r="E1105" t="s">
        <v>126</v>
      </c>
      <c r="F1105" t="s">
        <v>127</v>
      </c>
      <c r="G1105" s="2">
        <v>0</v>
      </c>
      <c r="H1105" s="2">
        <v>0</v>
      </c>
      <c r="I1105" s="2">
        <v>0</v>
      </c>
      <c r="J1105" s="2">
        <v>1100</v>
      </c>
      <c r="K1105" s="2">
        <v>1100</v>
      </c>
      <c r="L1105" s="2" t="str">
        <f>_xlfn.XLOOKUP(Data_Nhập[[#This Row],[Main SKU]],MD_Main_SKU[Main SKU],MD_Main_SKU[SKU name_gom])</f>
        <v>iSS01084</v>
      </c>
      <c r="M1105" s="2" t="str">
        <f>_xlfn.XLOOKUP(Data_Nhập[[#This Row],[Material-Nhập]],MD_Main_SKU[Main SKU],MD_Main_SKU[SKU name_gom])</f>
        <v>Phó sản</v>
      </c>
    </row>
    <row r="1106" spans="1:13" x14ac:dyDescent="0.35">
      <c r="A1106">
        <v>2026</v>
      </c>
      <c r="B1106">
        <v>1</v>
      </c>
      <c r="C1106" t="s">
        <v>16</v>
      </c>
      <c r="D1106" t="s">
        <v>17</v>
      </c>
      <c r="E1106" t="s">
        <v>16</v>
      </c>
      <c r="F1106" t="s">
        <v>17</v>
      </c>
      <c r="G1106" s="2">
        <v>1821599.9999999995</v>
      </c>
      <c r="H1106" s="2">
        <v>0</v>
      </c>
      <c r="I1106" s="2">
        <v>1821599.9999999995</v>
      </c>
      <c r="J1106" s="2">
        <v>0</v>
      </c>
      <c r="K1106" s="2">
        <v>1821599.9999999995</v>
      </c>
      <c r="L1106" s="2" t="str">
        <f>_xlfn.XLOOKUP(Data_Nhập[[#This Row],[Main SKU]],MD_Main_SKU[Main SKU],MD_Main_SKU[SKU name_gom])</f>
        <v>WSS01</v>
      </c>
      <c r="M1106" s="2" t="str">
        <f>_xlfn.XLOOKUP(Data_Nhập[[#This Row],[Material-Nhập]],MD_Main_SKU[Main SKU],MD_Main_SKU[SKU name_gom])</f>
        <v>WSS01</v>
      </c>
    </row>
    <row r="1107" spans="1:13" x14ac:dyDescent="0.35">
      <c r="A1107">
        <v>2026</v>
      </c>
      <c r="B1107">
        <v>1</v>
      </c>
      <c r="C1107" t="s">
        <v>16</v>
      </c>
      <c r="D1107" t="s">
        <v>17</v>
      </c>
      <c r="E1107" t="s">
        <v>22</v>
      </c>
      <c r="F1107" t="s">
        <v>23</v>
      </c>
      <c r="G1107" s="2">
        <v>0</v>
      </c>
      <c r="H1107" s="2">
        <v>13200.000000000004</v>
      </c>
      <c r="I1107" s="2">
        <v>13200.000000000004</v>
      </c>
      <c r="J1107" s="2">
        <v>0</v>
      </c>
      <c r="K1107" s="2">
        <v>13200.000000000004</v>
      </c>
      <c r="L1107" s="2" t="str">
        <f>_xlfn.XLOOKUP(Data_Nhập[[#This Row],[Main SKU]],MD_Main_SKU[Main SKU],MD_Main_SKU[SKU name_gom])</f>
        <v>WSS01</v>
      </c>
      <c r="M1107" s="2" t="str">
        <f>_xlfn.XLOOKUP(Data_Nhập[[#This Row],[Material-Nhập]],MD_Main_SKU[Main SKU],MD_Main_SKU[SKU name_gom])</f>
        <v>WSS03</v>
      </c>
    </row>
    <row r="1108" spans="1:13" x14ac:dyDescent="0.35">
      <c r="A1108">
        <v>2026</v>
      </c>
      <c r="B1108">
        <v>1</v>
      </c>
      <c r="C1108" t="s">
        <v>16</v>
      </c>
      <c r="D1108" t="s">
        <v>17</v>
      </c>
      <c r="E1108" t="s">
        <v>40</v>
      </c>
      <c r="F1108" t="s">
        <v>41</v>
      </c>
      <c r="G1108" s="2">
        <v>0</v>
      </c>
      <c r="H1108" s="2">
        <v>6600</v>
      </c>
      <c r="I1108" s="2">
        <v>6600</v>
      </c>
      <c r="J1108" s="2">
        <v>0</v>
      </c>
      <c r="K1108" s="2">
        <v>6600</v>
      </c>
      <c r="L1108" s="2" t="str">
        <f>_xlfn.XLOOKUP(Data_Nhập[[#This Row],[Main SKU]],MD_Main_SKU[Main SKU],MD_Main_SKU[SKU name_gom])</f>
        <v>WSS01</v>
      </c>
      <c r="M1108" s="2" t="str">
        <f>_xlfn.XLOOKUP(Data_Nhập[[#This Row],[Material-Nhập]],MD_Main_SKU[Main SKU],MD_Main_SKU[SKU name_gom])</f>
        <v>WSS01-PL</v>
      </c>
    </row>
    <row r="1109" spans="1:13" x14ac:dyDescent="0.35">
      <c r="A1109">
        <v>2026</v>
      </c>
      <c r="B1109">
        <v>1</v>
      </c>
      <c r="C1109" t="s">
        <v>16</v>
      </c>
      <c r="D1109" t="s">
        <v>17</v>
      </c>
      <c r="E1109" t="s">
        <v>42</v>
      </c>
      <c r="F1109" t="s">
        <v>43</v>
      </c>
      <c r="G1109" s="2">
        <v>0</v>
      </c>
      <c r="H1109" s="2">
        <v>2200</v>
      </c>
      <c r="I1109" s="2">
        <v>2200</v>
      </c>
      <c r="J1109" s="2">
        <v>0</v>
      </c>
      <c r="K1109" s="2">
        <v>2200</v>
      </c>
      <c r="L1109" s="2" t="str">
        <f>_xlfn.XLOOKUP(Data_Nhập[[#This Row],[Main SKU]],MD_Main_SKU[Main SKU],MD_Main_SKU[SKU name_gom])</f>
        <v>WSS01</v>
      </c>
      <c r="M1109" s="2" t="str">
        <f>_xlfn.XLOOKUP(Data_Nhập[[#This Row],[Material-Nhập]],MD_Main_SKU[Main SKU],MD_Main_SKU[SKU name_gom])</f>
        <v>iSS01-PL</v>
      </c>
    </row>
    <row r="1110" spans="1:13" x14ac:dyDescent="0.35">
      <c r="A1110">
        <v>2026</v>
      </c>
      <c r="B1110">
        <v>1</v>
      </c>
      <c r="C1110" t="s">
        <v>16</v>
      </c>
      <c r="D1110" t="s">
        <v>17</v>
      </c>
      <c r="E1110" t="s">
        <v>34</v>
      </c>
      <c r="F1110" t="s">
        <v>35</v>
      </c>
      <c r="G1110" s="2">
        <v>0</v>
      </c>
      <c r="H1110" s="2">
        <v>7672.2500000000009</v>
      </c>
      <c r="I1110" s="2">
        <v>7672.2500000000009</v>
      </c>
      <c r="J1110" s="2">
        <v>0</v>
      </c>
      <c r="K1110" s="2">
        <v>7672.2500000000009</v>
      </c>
      <c r="L1110" s="2" t="str">
        <f>_xlfn.XLOOKUP(Data_Nhập[[#This Row],[Main SKU]],MD_Main_SKU[Main SKU],MD_Main_SKU[SKU name_gom])</f>
        <v>WSS01</v>
      </c>
      <c r="M1110" s="2" t="str">
        <f>_xlfn.XLOOKUP(Data_Nhập[[#This Row],[Material-Nhập]],MD_Main_SKU[Main SKU],MD_Main_SKU[SKU name_gom])</f>
        <v>WSS03-PL</v>
      </c>
    </row>
    <row r="1111" spans="1:13" x14ac:dyDescent="0.35">
      <c r="A1111">
        <v>2026</v>
      </c>
      <c r="B1111">
        <v>1</v>
      </c>
      <c r="C1111" t="s">
        <v>16</v>
      </c>
      <c r="D1111" t="s">
        <v>17</v>
      </c>
      <c r="E1111" t="s">
        <v>87</v>
      </c>
      <c r="F1111" t="s">
        <v>88</v>
      </c>
      <c r="G1111" s="2">
        <v>0</v>
      </c>
      <c r="H1111" s="2">
        <v>0</v>
      </c>
      <c r="I1111" s="2">
        <v>0</v>
      </c>
      <c r="J1111" s="2">
        <v>26755</v>
      </c>
      <c r="K1111" s="2">
        <v>26755</v>
      </c>
      <c r="L1111" s="2" t="str">
        <f>_xlfn.XLOOKUP(Data_Nhập[[#This Row],[Main SKU]],MD_Main_SKU[Main SKU],MD_Main_SKU[SKU name_gom])</f>
        <v>WSS01</v>
      </c>
      <c r="M1111" s="2" t="str">
        <f>_xlfn.XLOOKUP(Data_Nhập[[#This Row],[Material-Nhập]],MD_Main_SKU[Main SKU],MD_Main_SKU[SKU name_gom])</f>
        <v>Phó sản</v>
      </c>
    </row>
    <row r="1112" spans="1:13" x14ac:dyDescent="0.35">
      <c r="A1112">
        <v>2026</v>
      </c>
      <c r="B1112">
        <v>1</v>
      </c>
      <c r="C1112" t="s">
        <v>16</v>
      </c>
      <c r="D1112" t="s">
        <v>17</v>
      </c>
      <c r="E1112" t="s">
        <v>91</v>
      </c>
      <c r="F1112" t="s">
        <v>92</v>
      </c>
      <c r="G1112" s="2">
        <v>0</v>
      </c>
      <c r="H1112" s="2">
        <v>0</v>
      </c>
      <c r="I1112" s="2">
        <v>0</v>
      </c>
      <c r="J1112" s="2">
        <v>2200</v>
      </c>
      <c r="K1112" s="2">
        <v>2200</v>
      </c>
      <c r="L1112" s="2" t="str">
        <f>_xlfn.XLOOKUP(Data_Nhập[[#This Row],[Main SKU]],MD_Main_SKU[Main SKU],MD_Main_SKU[SKU name_gom])</f>
        <v>WSS01</v>
      </c>
      <c r="M1112" s="2" t="str">
        <f>_xlfn.XLOOKUP(Data_Nhập[[#This Row],[Material-Nhập]],MD_Main_SKU[Main SKU],MD_Main_SKU[SKU name_gom])</f>
        <v>Phó sản</v>
      </c>
    </row>
    <row r="1113" spans="1:13" x14ac:dyDescent="0.35">
      <c r="A1113">
        <v>2026</v>
      </c>
      <c r="B1113">
        <v>1</v>
      </c>
      <c r="C1113" t="s">
        <v>16</v>
      </c>
      <c r="D1113" t="s">
        <v>17</v>
      </c>
      <c r="E1113" t="s">
        <v>93</v>
      </c>
      <c r="F1113" t="s">
        <v>94</v>
      </c>
      <c r="G1113" s="2">
        <v>0</v>
      </c>
      <c r="H1113" s="2">
        <v>0</v>
      </c>
      <c r="I1113" s="2">
        <v>0</v>
      </c>
      <c r="J1113" s="2">
        <v>249.99999999999997</v>
      </c>
      <c r="K1113" s="2">
        <v>249.99999999999997</v>
      </c>
      <c r="L1113" s="2" t="str">
        <f>_xlfn.XLOOKUP(Data_Nhập[[#This Row],[Main SKU]],MD_Main_SKU[Main SKU],MD_Main_SKU[SKU name_gom])</f>
        <v>WSS01</v>
      </c>
      <c r="M1113" s="2" t="str">
        <f>_xlfn.XLOOKUP(Data_Nhập[[#This Row],[Material-Nhập]],MD_Main_SKU[Main SKU],MD_Main_SKU[SKU name_gom])</f>
        <v>Phó sản</v>
      </c>
    </row>
    <row r="1114" spans="1:13" x14ac:dyDescent="0.35">
      <c r="A1114">
        <v>2026</v>
      </c>
      <c r="B1114">
        <v>1</v>
      </c>
      <c r="C1114" t="s">
        <v>16</v>
      </c>
      <c r="D1114" t="s">
        <v>17</v>
      </c>
      <c r="E1114" t="s">
        <v>117</v>
      </c>
      <c r="F1114" t="s">
        <v>86</v>
      </c>
      <c r="G1114" s="2">
        <v>0</v>
      </c>
      <c r="H1114" s="2">
        <v>0</v>
      </c>
      <c r="I1114" s="2">
        <v>0</v>
      </c>
      <c r="J1114" s="2">
        <v>19522.999999999996</v>
      </c>
      <c r="K1114" s="2">
        <v>19522.999999999996</v>
      </c>
      <c r="L1114" s="2" t="str">
        <f>_xlfn.XLOOKUP(Data_Nhập[[#This Row],[Main SKU]],MD_Main_SKU[Main SKU],MD_Main_SKU[SKU name_gom])</f>
        <v>WSS01</v>
      </c>
      <c r="M1114" s="2" t="str">
        <f>_xlfn.XLOOKUP(Data_Nhập[[#This Row],[Material-Nhập]],MD_Main_SKU[Main SKU],MD_Main_SKU[SKU name_gom])</f>
        <v>Phó sản</v>
      </c>
    </row>
    <row r="1115" spans="1:13" x14ac:dyDescent="0.35">
      <c r="A1115">
        <v>2026</v>
      </c>
      <c r="B1115">
        <v>1</v>
      </c>
      <c r="C1115" t="s">
        <v>16</v>
      </c>
      <c r="D1115" t="s">
        <v>17</v>
      </c>
      <c r="E1115" t="s">
        <v>128</v>
      </c>
      <c r="F1115" t="s">
        <v>129</v>
      </c>
      <c r="G1115" s="2">
        <v>0</v>
      </c>
      <c r="H1115" s="2">
        <v>0</v>
      </c>
      <c r="I1115" s="2">
        <v>0</v>
      </c>
      <c r="J1115" s="2">
        <v>5500</v>
      </c>
      <c r="K1115" s="2">
        <v>5500</v>
      </c>
      <c r="L1115" s="2" t="str">
        <f>_xlfn.XLOOKUP(Data_Nhập[[#This Row],[Main SKU]],MD_Main_SKU[Main SKU],MD_Main_SKU[SKU name_gom])</f>
        <v>WSS01</v>
      </c>
      <c r="M1115" s="2" t="str">
        <f>_xlfn.XLOOKUP(Data_Nhập[[#This Row],[Material-Nhập]],MD_Main_SKU[Main SKU],MD_Main_SKU[SKU name_gom])</f>
        <v>Phó sản</v>
      </c>
    </row>
    <row r="1116" spans="1:13" x14ac:dyDescent="0.35">
      <c r="A1116">
        <v>2026</v>
      </c>
      <c r="B1116">
        <v>1</v>
      </c>
      <c r="C1116" t="s">
        <v>22</v>
      </c>
      <c r="D1116" t="s">
        <v>23</v>
      </c>
      <c r="E1116" t="s">
        <v>22</v>
      </c>
      <c r="F1116" t="s">
        <v>23</v>
      </c>
      <c r="G1116" s="2">
        <v>376200</v>
      </c>
      <c r="H1116" s="2">
        <v>0</v>
      </c>
      <c r="I1116" s="2">
        <v>376200</v>
      </c>
      <c r="J1116" s="2">
        <v>0</v>
      </c>
      <c r="K1116" s="2">
        <v>376200</v>
      </c>
      <c r="L1116" s="2" t="str">
        <f>_xlfn.XLOOKUP(Data_Nhập[[#This Row],[Main SKU]],MD_Main_SKU[Main SKU],MD_Main_SKU[SKU name_gom])</f>
        <v>WSS03</v>
      </c>
      <c r="M1116" s="2" t="str">
        <f>_xlfn.XLOOKUP(Data_Nhập[[#This Row],[Material-Nhập]],MD_Main_SKU[Main SKU],MD_Main_SKU[SKU name_gom])</f>
        <v>WSS03</v>
      </c>
    </row>
    <row r="1117" spans="1:13" x14ac:dyDescent="0.35">
      <c r="A1117">
        <v>2026</v>
      </c>
      <c r="B1117">
        <v>1</v>
      </c>
      <c r="C1117" t="s">
        <v>22</v>
      </c>
      <c r="D1117" t="s">
        <v>23</v>
      </c>
      <c r="E1117" t="s">
        <v>34</v>
      </c>
      <c r="F1117" t="s">
        <v>35</v>
      </c>
      <c r="G1117" s="2">
        <v>0</v>
      </c>
      <c r="H1117" s="2">
        <v>2200</v>
      </c>
      <c r="I1117" s="2">
        <v>2200</v>
      </c>
      <c r="J1117" s="2">
        <v>0</v>
      </c>
      <c r="K1117" s="2">
        <v>2200</v>
      </c>
      <c r="L1117" s="2" t="str">
        <f>_xlfn.XLOOKUP(Data_Nhập[[#This Row],[Main SKU]],MD_Main_SKU[Main SKU],MD_Main_SKU[SKU name_gom])</f>
        <v>WSS03</v>
      </c>
      <c r="M1117" s="2" t="str">
        <f>_xlfn.XLOOKUP(Data_Nhập[[#This Row],[Material-Nhập]],MD_Main_SKU[Main SKU],MD_Main_SKU[SKU name_gom])</f>
        <v>WSS03-PL</v>
      </c>
    </row>
    <row r="1118" spans="1:13" x14ac:dyDescent="0.35">
      <c r="A1118">
        <v>2026</v>
      </c>
      <c r="B1118">
        <v>1</v>
      </c>
      <c r="C1118" t="s">
        <v>22</v>
      </c>
      <c r="D1118" t="s">
        <v>23</v>
      </c>
      <c r="E1118" t="s">
        <v>87</v>
      </c>
      <c r="F1118" t="s">
        <v>88</v>
      </c>
      <c r="G1118" s="2">
        <v>0</v>
      </c>
      <c r="H1118" s="2">
        <v>0</v>
      </c>
      <c r="I1118" s="2">
        <v>0</v>
      </c>
      <c r="J1118" s="2">
        <v>5850</v>
      </c>
      <c r="K1118" s="2">
        <v>5850</v>
      </c>
      <c r="L1118" s="2" t="str">
        <f>_xlfn.XLOOKUP(Data_Nhập[[#This Row],[Main SKU]],MD_Main_SKU[Main SKU],MD_Main_SKU[SKU name_gom])</f>
        <v>WSS03</v>
      </c>
      <c r="M1118" s="2" t="str">
        <f>_xlfn.XLOOKUP(Data_Nhập[[#This Row],[Material-Nhập]],MD_Main_SKU[Main SKU],MD_Main_SKU[SKU name_gom])</f>
        <v>Phó sản</v>
      </c>
    </row>
    <row r="1119" spans="1:13" x14ac:dyDescent="0.35">
      <c r="A1119">
        <v>2026</v>
      </c>
      <c r="B1119">
        <v>1</v>
      </c>
      <c r="C1119" t="s">
        <v>22</v>
      </c>
      <c r="D1119" t="s">
        <v>23</v>
      </c>
      <c r="E1119" t="s">
        <v>117</v>
      </c>
      <c r="F1119" t="s">
        <v>86</v>
      </c>
      <c r="G1119" s="2">
        <v>0</v>
      </c>
      <c r="H1119" s="2">
        <v>0</v>
      </c>
      <c r="I1119" s="2">
        <v>0</v>
      </c>
      <c r="J1119" s="2">
        <v>5738.9999999999991</v>
      </c>
      <c r="K1119" s="2">
        <v>5738.9999999999991</v>
      </c>
      <c r="L1119" s="2" t="str">
        <f>_xlfn.XLOOKUP(Data_Nhập[[#This Row],[Main SKU]],MD_Main_SKU[Main SKU],MD_Main_SKU[SKU name_gom])</f>
        <v>WSS03</v>
      </c>
      <c r="M1119" s="2" t="str">
        <f>_xlfn.XLOOKUP(Data_Nhập[[#This Row],[Material-Nhập]],MD_Main_SKU[Main SKU],MD_Main_SKU[SKU name_gom])</f>
        <v>Phó sản</v>
      </c>
    </row>
    <row r="1120" spans="1:13" x14ac:dyDescent="0.35">
      <c r="A1120">
        <v>2026</v>
      </c>
      <c r="B1120">
        <v>1</v>
      </c>
      <c r="C1120" t="s">
        <v>22</v>
      </c>
      <c r="D1120" t="s">
        <v>23</v>
      </c>
      <c r="E1120" t="s">
        <v>138</v>
      </c>
      <c r="F1120" t="s">
        <v>139</v>
      </c>
      <c r="G1120" s="2">
        <v>0</v>
      </c>
      <c r="H1120" s="2">
        <v>0</v>
      </c>
      <c r="I1120" s="2">
        <v>0</v>
      </c>
      <c r="J1120" s="2">
        <v>2200</v>
      </c>
      <c r="K1120" s="2">
        <v>2200</v>
      </c>
      <c r="L1120" s="2" t="str">
        <f>_xlfn.XLOOKUP(Data_Nhập[[#This Row],[Main SKU]],MD_Main_SKU[Main SKU],MD_Main_SKU[SKU name_gom])</f>
        <v>WSS03</v>
      </c>
      <c r="M1120" s="2" t="str">
        <f>_xlfn.XLOOKUP(Data_Nhập[[#This Row],[Material-Nhập]],MD_Main_SKU[Main SKU],MD_Main_SKU[SKU name_gom])</f>
        <v>Phó sản</v>
      </c>
    </row>
    <row r="1121" spans="1:13" x14ac:dyDescent="0.35">
      <c r="A1121">
        <v>2026</v>
      </c>
      <c r="B1121">
        <v>1</v>
      </c>
      <c r="C1121" t="s">
        <v>99</v>
      </c>
      <c r="D1121" t="s">
        <v>100</v>
      </c>
      <c r="E1121" t="s">
        <v>99</v>
      </c>
      <c r="F1121" t="s">
        <v>100</v>
      </c>
      <c r="G1121" s="2">
        <v>1365</v>
      </c>
      <c r="H1121" s="2">
        <v>0</v>
      </c>
      <c r="I1121" s="2">
        <v>1365</v>
      </c>
      <c r="J1121" s="2">
        <v>0</v>
      </c>
      <c r="K1121" s="2">
        <v>1365</v>
      </c>
      <c r="L1121" s="2" t="str">
        <f>_xlfn.XLOOKUP(Data_Nhập[[#This Row],[Main SKU]],MD_Main_SKU[Main SKU],MD_Main_SKU[SKU name_gom])</f>
        <v>WSS04</v>
      </c>
      <c r="M1121" s="2" t="str">
        <f>_xlfn.XLOOKUP(Data_Nhập[[#This Row],[Material-Nhập]],MD_Main_SKU[Main SKU],MD_Main_SKU[SKU name_gom])</f>
        <v>WSS04</v>
      </c>
    </row>
    <row r="1122" spans="1:13" x14ac:dyDescent="0.35">
      <c r="A1122">
        <v>2026</v>
      </c>
      <c r="B1122">
        <v>1</v>
      </c>
      <c r="C1122" t="s">
        <v>99</v>
      </c>
      <c r="D1122" t="s">
        <v>100</v>
      </c>
      <c r="E1122" t="s">
        <v>115</v>
      </c>
      <c r="F1122" t="s">
        <v>116</v>
      </c>
      <c r="G1122" s="2">
        <v>0</v>
      </c>
      <c r="H1122" s="2">
        <v>7225</v>
      </c>
      <c r="I1122" s="2">
        <v>7225</v>
      </c>
      <c r="J1122" s="2">
        <v>0</v>
      </c>
      <c r="K1122" s="2">
        <v>7225</v>
      </c>
      <c r="L1122" s="2" t="str">
        <f>_xlfn.XLOOKUP(Data_Nhập[[#This Row],[Main SKU]],MD_Main_SKU[Main SKU],MD_Main_SKU[SKU name_gom])</f>
        <v>WSS04</v>
      </c>
      <c r="M1122" s="2" t="str">
        <f>_xlfn.XLOOKUP(Data_Nhập[[#This Row],[Material-Nhập]],MD_Main_SKU[Main SKU],MD_Main_SKU[SKU name_gom])</f>
        <v>WSS05</v>
      </c>
    </row>
    <row r="1123" spans="1:13" x14ac:dyDescent="0.35">
      <c r="A1123">
        <v>2026</v>
      </c>
      <c r="B1123">
        <v>1</v>
      </c>
      <c r="C1123" t="s">
        <v>99</v>
      </c>
      <c r="D1123" t="s">
        <v>100</v>
      </c>
      <c r="E1123" t="s">
        <v>87</v>
      </c>
      <c r="F1123" t="s">
        <v>88</v>
      </c>
      <c r="G1123" s="2">
        <v>0</v>
      </c>
      <c r="H1123" s="2">
        <v>0</v>
      </c>
      <c r="I1123" s="2">
        <v>0</v>
      </c>
      <c r="J1123" s="2">
        <v>700</v>
      </c>
      <c r="K1123" s="2">
        <v>700</v>
      </c>
      <c r="L1123" s="2" t="str">
        <f>_xlfn.XLOOKUP(Data_Nhập[[#This Row],[Main SKU]],MD_Main_SKU[Main SKU],MD_Main_SKU[SKU name_gom])</f>
        <v>WSS04</v>
      </c>
      <c r="M1123" s="2" t="str">
        <f>_xlfn.XLOOKUP(Data_Nhập[[#This Row],[Material-Nhập]],MD_Main_SKU[Main SKU],MD_Main_SKU[SKU name_gom])</f>
        <v>Phó sản</v>
      </c>
    </row>
    <row r="1124" spans="1:13" x14ac:dyDescent="0.35">
      <c r="A1124">
        <v>2026</v>
      </c>
      <c r="B1124">
        <v>1</v>
      </c>
      <c r="C1124" t="s">
        <v>99</v>
      </c>
      <c r="D1124" t="s">
        <v>100</v>
      </c>
      <c r="E1124" t="s">
        <v>117</v>
      </c>
      <c r="F1124" t="s">
        <v>86</v>
      </c>
      <c r="G1124" s="2">
        <v>0</v>
      </c>
      <c r="H1124" s="2">
        <v>0</v>
      </c>
      <c r="I1124" s="2">
        <v>0</v>
      </c>
      <c r="J1124" s="2">
        <v>1050</v>
      </c>
      <c r="K1124" s="2">
        <v>1050</v>
      </c>
      <c r="L1124" s="2" t="str">
        <f>_xlfn.XLOOKUP(Data_Nhập[[#This Row],[Main SKU]],MD_Main_SKU[Main SKU],MD_Main_SKU[SKU name_gom])</f>
        <v>WSS04</v>
      </c>
      <c r="M1124" s="2" t="str">
        <f>_xlfn.XLOOKUP(Data_Nhập[[#This Row],[Material-Nhập]],MD_Main_SKU[Main SKU],MD_Main_SKU[SKU name_gom])</f>
        <v>Phó sản</v>
      </c>
    </row>
    <row r="1125" spans="1:13" x14ac:dyDescent="0.35">
      <c r="A1125">
        <v>2026</v>
      </c>
      <c r="B1125">
        <v>1</v>
      </c>
      <c r="C1125" t="s">
        <v>115</v>
      </c>
      <c r="D1125" t="s">
        <v>116</v>
      </c>
      <c r="E1125" t="s">
        <v>95</v>
      </c>
      <c r="F1125" t="s">
        <v>96</v>
      </c>
      <c r="G1125" s="2">
        <v>0</v>
      </c>
      <c r="H1125" s="2">
        <v>5250</v>
      </c>
      <c r="I1125" s="2">
        <v>5250</v>
      </c>
      <c r="J1125" s="2">
        <v>0</v>
      </c>
      <c r="K1125" s="2">
        <v>5250</v>
      </c>
      <c r="L1125" s="2" t="str">
        <f>_xlfn.XLOOKUP(Data_Nhập[[#This Row],[Main SKU]],MD_Main_SKU[Main SKU],MD_Main_SKU[SKU name_gom])</f>
        <v>WSS05</v>
      </c>
      <c r="M1125" s="2" t="str">
        <f>_xlfn.XLOOKUP(Data_Nhập[[#This Row],[Material-Nhập]],MD_Main_SKU[Main SKU],MD_Main_SKU[SKU name_gom])</f>
        <v>WSS04</v>
      </c>
    </row>
    <row r="1126" spans="1:13" x14ac:dyDescent="0.35">
      <c r="A1126">
        <v>2026</v>
      </c>
      <c r="B1126">
        <v>1</v>
      </c>
      <c r="C1126" t="s">
        <v>115</v>
      </c>
      <c r="D1126" t="s">
        <v>116</v>
      </c>
      <c r="E1126" t="s">
        <v>115</v>
      </c>
      <c r="F1126" t="s">
        <v>116</v>
      </c>
      <c r="G1126" s="2">
        <v>37800</v>
      </c>
      <c r="H1126" s="2">
        <v>0</v>
      </c>
      <c r="I1126" s="2">
        <v>37800</v>
      </c>
      <c r="J1126" s="2">
        <v>0</v>
      </c>
      <c r="K1126" s="2">
        <v>37800</v>
      </c>
      <c r="L1126" s="2" t="str">
        <f>_xlfn.XLOOKUP(Data_Nhập[[#This Row],[Main SKU]],MD_Main_SKU[Main SKU],MD_Main_SKU[SKU name_gom])</f>
        <v>WSS05</v>
      </c>
      <c r="M1126" s="2" t="str">
        <f>_xlfn.XLOOKUP(Data_Nhập[[#This Row],[Material-Nhập]],MD_Main_SKU[Main SKU],MD_Main_SKU[SKU name_gom])</f>
        <v>WSS05</v>
      </c>
    </row>
    <row r="1127" spans="1:13" x14ac:dyDescent="0.35">
      <c r="A1127">
        <v>2026</v>
      </c>
      <c r="B1127">
        <v>1</v>
      </c>
      <c r="C1127" t="s">
        <v>115</v>
      </c>
      <c r="D1127" t="s">
        <v>116</v>
      </c>
      <c r="E1127" t="s">
        <v>124</v>
      </c>
      <c r="F1127" t="s">
        <v>125</v>
      </c>
      <c r="G1127" s="2">
        <v>0</v>
      </c>
      <c r="H1127" s="2">
        <v>1223.4999999999998</v>
      </c>
      <c r="I1127" s="2">
        <v>1223.4999999999998</v>
      </c>
      <c r="J1127" s="2">
        <v>0</v>
      </c>
      <c r="K1127" s="2">
        <v>1223.4999999999998</v>
      </c>
      <c r="L1127" s="2" t="str">
        <f>_xlfn.XLOOKUP(Data_Nhập[[#This Row],[Main SKU]],MD_Main_SKU[Main SKU],MD_Main_SKU[SKU name_gom])</f>
        <v>WSS05</v>
      </c>
      <c r="M1127" s="2" t="str">
        <f>_xlfn.XLOOKUP(Data_Nhập[[#This Row],[Material-Nhập]],MD_Main_SKU[Main SKU],MD_Main_SKU[SKU name_gom])</f>
        <v>WSS06</v>
      </c>
    </row>
    <row r="1128" spans="1:13" x14ac:dyDescent="0.35">
      <c r="A1128">
        <v>2026</v>
      </c>
      <c r="B1128">
        <v>1</v>
      </c>
      <c r="C1128" t="s">
        <v>115</v>
      </c>
      <c r="D1128" t="s">
        <v>116</v>
      </c>
      <c r="E1128" t="s">
        <v>140</v>
      </c>
      <c r="F1128" t="s">
        <v>141</v>
      </c>
      <c r="G1128" s="2">
        <v>0</v>
      </c>
      <c r="H1128" s="2">
        <v>27300</v>
      </c>
      <c r="I1128" s="2">
        <v>27300</v>
      </c>
      <c r="J1128" s="2">
        <v>0</v>
      </c>
      <c r="K1128" s="2">
        <v>27300</v>
      </c>
      <c r="L1128" s="2" t="str">
        <f>_xlfn.XLOOKUP(Data_Nhập[[#This Row],[Main SKU]],MD_Main_SKU[Main SKU],MD_Main_SKU[SKU name_gom])</f>
        <v>WSS05</v>
      </c>
      <c r="M1128" s="2" t="str">
        <f>_xlfn.XLOOKUP(Data_Nhập[[#This Row],[Material-Nhập]],MD_Main_SKU[Main SKU],MD_Main_SKU[SKU name_gom])</f>
        <v>WSS05 PL</v>
      </c>
    </row>
    <row r="1129" spans="1:13" x14ac:dyDescent="0.35">
      <c r="A1129">
        <v>2026</v>
      </c>
      <c r="B1129">
        <v>1</v>
      </c>
      <c r="C1129" t="s">
        <v>115</v>
      </c>
      <c r="D1129" t="s">
        <v>116</v>
      </c>
      <c r="E1129" t="s">
        <v>87</v>
      </c>
      <c r="F1129" t="s">
        <v>88</v>
      </c>
      <c r="G1129" s="2">
        <v>0</v>
      </c>
      <c r="H1129" s="2">
        <v>0</v>
      </c>
      <c r="I1129" s="2">
        <v>0</v>
      </c>
      <c r="J1129" s="2">
        <v>350</v>
      </c>
      <c r="K1129" s="2">
        <v>350</v>
      </c>
      <c r="L1129" s="2" t="str">
        <f>_xlfn.XLOOKUP(Data_Nhập[[#This Row],[Main SKU]],MD_Main_SKU[Main SKU],MD_Main_SKU[SKU name_gom])</f>
        <v>WSS05</v>
      </c>
      <c r="M1129" s="2" t="str">
        <f>_xlfn.XLOOKUP(Data_Nhập[[#This Row],[Material-Nhập]],MD_Main_SKU[Main SKU],MD_Main_SKU[SKU name_gom])</f>
        <v>Phó sản</v>
      </c>
    </row>
    <row r="1130" spans="1:13" x14ac:dyDescent="0.35">
      <c r="A1130">
        <v>2026</v>
      </c>
      <c r="B1130">
        <v>1</v>
      </c>
      <c r="C1130" t="s">
        <v>115</v>
      </c>
      <c r="D1130" t="s">
        <v>116</v>
      </c>
      <c r="E1130" t="s">
        <v>117</v>
      </c>
      <c r="F1130" t="s">
        <v>86</v>
      </c>
      <c r="G1130" s="2">
        <v>0</v>
      </c>
      <c r="H1130" s="2">
        <v>0</v>
      </c>
      <c r="I1130" s="2">
        <v>0</v>
      </c>
      <c r="J1130" s="2">
        <v>6182</v>
      </c>
      <c r="K1130" s="2">
        <v>6182</v>
      </c>
      <c r="L1130" s="2" t="str">
        <f>_xlfn.XLOOKUP(Data_Nhập[[#This Row],[Main SKU]],MD_Main_SKU[Main SKU],MD_Main_SKU[SKU name_gom])</f>
        <v>WSS05</v>
      </c>
      <c r="M1130" s="2" t="str">
        <f>_xlfn.XLOOKUP(Data_Nhập[[#This Row],[Material-Nhập]],MD_Main_SKU[Main SKU],MD_Main_SKU[SKU name_gom])</f>
        <v>Phó sản</v>
      </c>
    </row>
    <row r="1131" spans="1:13" x14ac:dyDescent="0.35">
      <c r="A1131">
        <v>2026</v>
      </c>
      <c r="B1131">
        <v>1</v>
      </c>
      <c r="C1131" t="s">
        <v>142</v>
      </c>
      <c r="D1131" t="s">
        <v>143</v>
      </c>
      <c r="E1131" t="s">
        <v>142</v>
      </c>
      <c r="F1131" t="s">
        <v>143</v>
      </c>
      <c r="G1131" s="2">
        <v>6000</v>
      </c>
      <c r="H1131" s="2">
        <v>0</v>
      </c>
      <c r="I1131" s="2">
        <v>6000</v>
      </c>
      <c r="J1131" s="2">
        <v>0</v>
      </c>
      <c r="K1131" s="2">
        <v>6000</v>
      </c>
      <c r="L1131" s="2" t="str">
        <f>_xlfn.XLOOKUP(Data_Nhập[[#This Row],[Main SKU]],MD_Main_SKU[Main SKU],MD_Main_SKU[SKU name_gom])</f>
        <v>Khác</v>
      </c>
      <c r="M1131" s="2" t="str">
        <f>_xlfn.XLOOKUP(Data_Nhập[[#This Row],[Material-Nhập]],MD_Main_SKU[Main SKU],MD_Main_SKU[SKU name_gom])</f>
        <v>Khác</v>
      </c>
    </row>
    <row r="1132" spans="1:13" x14ac:dyDescent="0.35">
      <c r="A1132">
        <v>2026</v>
      </c>
      <c r="B1132">
        <v>2</v>
      </c>
      <c r="C1132" t="s">
        <v>8</v>
      </c>
      <c r="D1132" t="s">
        <v>9</v>
      </c>
      <c r="E1132" t="s">
        <v>8</v>
      </c>
      <c r="F1132" t="s">
        <v>9</v>
      </c>
      <c r="G1132" s="2">
        <v>22000.000000000004</v>
      </c>
      <c r="H1132" s="2">
        <v>0</v>
      </c>
      <c r="I1132" s="2">
        <v>22000.000000000004</v>
      </c>
      <c r="J1132" s="2">
        <v>0</v>
      </c>
      <c r="K1132" s="2">
        <v>22000.000000000004</v>
      </c>
      <c r="L1132" s="2" t="str">
        <f>_xlfn.XLOOKUP(Data_Nhập[[#This Row],[Main SKU]],MD_Main_SKU[Main SKU],MD_Main_SKU[SKU name_gom])</f>
        <v>WSS01</v>
      </c>
      <c r="M1132" s="2" t="str">
        <f>_xlfn.XLOOKUP(Data_Nhập[[#This Row],[Material-Nhập]],MD_Main_SKU[Main SKU],MD_Main_SKU[SKU name_gom])</f>
        <v>WSS01</v>
      </c>
    </row>
    <row r="1133" spans="1:13" x14ac:dyDescent="0.35">
      <c r="A1133">
        <v>2026</v>
      </c>
      <c r="B1133">
        <v>2</v>
      </c>
      <c r="C1133" t="s">
        <v>8</v>
      </c>
      <c r="D1133" t="s">
        <v>9</v>
      </c>
      <c r="E1133" t="s">
        <v>36</v>
      </c>
      <c r="F1133" t="s">
        <v>37</v>
      </c>
      <c r="G1133" s="2">
        <v>0</v>
      </c>
      <c r="H1133" s="2">
        <v>6600</v>
      </c>
      <c r="I1133" s="2">
        <v>6600</v>
      </c>
      <c r="J1133" s="2">
        <v>0</v>
      </c>
      <c r="K1133" s="2">
        <v>6600</v>
      </c>
      <c r="L1133" s="2" t="str">
        <f>_xlfn.XLOOKUP(Data_Nhập[[#This Row],[Main SKU]],MD_Main_SKU[Main SKU],MD_Main_SKU[SKU name_gom])</f>
        <v>WSS01</v>
      </c>
      <c r="M1133" s="2" t="str">
        <f>_xlfn.XLOOKUP(Data_Nhập[[#This Row],[Material-Nhập]],MD_Main_SKU[Main SKU],MD_Main_SKU[SKU name_gom])</f>
        <v>WSS01-PL</v>
      </c>
    </row>
    <row r="1134" spans="1:13" x14ac:dyDescent="0.35">
      <c r="A1134">
        <v>2026</v>
      </c>
      <c r="B1134">
        <v>2</v>
      </c>
      <c r="C1134" t="s">
        <v>14</v>
      </c>
      <c r="D1134" t="s">
        <v>15</v>
      </c>
      <c r="E1134" t="s">
        <v>14</v>
      </c>
      <c r="F1134" t="s">
        <v>15</v>
      </c>
      <c r="G1134" s="2">
        <v>300300</v>
      </c>
      <c r="H1134" s="2">
        <v>0</v>
      </c>
      <c r="I1134" s="2">
        <v>300300</v>
      </c>
      <c r="J1134" s="2">
        <v>0</v>
      </c>
      <c r="K1134" s="2">
        <v>300300</v>
      </c>
      <c r="L1134" s="2" t="str">
        <f>_xlfn.XLOOKUP(Data_Nhập[[#This Row],[Main SKU]],MD_Main_SKU[Main SKU],MD_Main_SKU[SKU name_gom])</f>
        <v>iSS01084</v>
      </c>
      <c r="M1134" s="2" t="str">
        <f>_xlfn.XLOOKUP(Data_Nhập[[#This Row],[Material-Nhập]],MD_Main_SKU[Main SKU],MD_Main_SKU[SKU name_gom])</f>
        <v>iSS01084</v>
      </c>
    </row>
    <row r="1135" spans="1:13" x14ac:dyDescent="0.35">
      <c r="A1135">
        <v>2026</v>
      </c>
      <c r="B1135">
        <v>2</v>
      </c>
      <c r="C1135" t="s">
        <v>14</v>
      </c>
      <c r="D1135" t="s">
        <v>15</v>
      </c>
      <c r="E1135" t="s">
        <v>18</v>
      </c>
      <c r="F1135" t="s">
        <v>19</v>
      </c>
      <c r="G1135" s="2">
        <v>0</v>
      </c>
      <c r="H1135" s="2">
        <v>25300</v>
      </c>
      <c r="I1135" s="2">
        <v>25300</v>
      </c>
      <c r="J1135" s="2">
        <v>0</v>
      </c>
      <c r="K1135" s="2">
        <v>25300</v>
      </c>
      <c r="L1135" s="2" t="str">
        <f>_xlfn.XLOOKUP(Data_Nhập[[#This Row],[Main SKU]],MD_Main_SKU[Main SKU],MD_Main_SKU[SKU name_gom])</f>
        <v>iSS01084</v>
      </c>
      <c r="M1135" s="2" t="str">
        <f>_xlfn.XLOOKUP(Data_Nhập[[#This Row],[Material-Nhập]],MD_Main_SKU[Main SKU],MD_Main_SKU[SKU name_gom])</f>
        <v>iSS01</v>
      </c>
    </row>
    <row r="1136" spans="1:13" x14ac:dyDescent="0.35">
      <c r="A1136">
        <v>2026</v>
      </c>
      <c r="B1136">
        <v>2</v>
      </c>
      <c r="C1136" t="s">
        <v>14</v>
      </c>
      <c r="D1136" t="s">
        <v>15</v>
      </c>
      <c r="E1136" t="s">
        <v>22</v>
      </c>
      <c r="F1136" t="s">
        <v>23</v>
      </c>
      <c r="G1136" s="2">
        <v>0</v>
      </c>
      <c r="H1136" s="2">
        <v>23100</v>
      </c>
      <c r="I1136" s="2">
        <v>23100</v>
      </c>
      <c r="J1136" s="2">
        <v>0</v>
      </c>
      <c r="K1136" s="2">
        <v>23100</v>
      </c>
      <c r="L1136" s="2" t="str">
        <f>_xlfn.XLOOKUP(Data_Nhập[[#This Row],[Main SKU]],MD_Main_SKU[Main SKU],MD_Main_SKU[SKU name_gom])</f>
        <v>iSS01084</v>
      </c>
      <c r="M1136" s="2" t="str">
        <f>_xlfn.XLOOKUP(Data_Nhập[[#This Row],[Material-Nhập]],MD_Main_SKU[Main SKU],MD_Main_SKU[SKU name_gom])</f>
        <v>WSS03</v>
      </c>
    </row>
    <row r="1137" spans="1:13" x14ac:dyDescent="0.35">
      <c r="A1137">
        <v>2026</v>
      </c>
      <c r="B1137">
        <v>2</v>
      </c>
      <c r="C1137" t="s">
        <v>14</v>
      </c>
      <c r="D1137" t="s">
        <v>15</v>
      </c>
      <c r="E1137" t="s">
        <v>42</v>
      </c>
      <c r="F1137" t="s">
        <v>43</v>
      </c>
      <c r="G1137" s="2">
        <v>0</v>
      </c>
      <c r="H1137" s="2">
        <v>4400</v>
      </c>
      <c r="I1137" s="2">
        <v>4400</v>
      </c>
      <c r="J1137" s="2">
        <v>0</v>
      </c>
      <c r="K1137" s="2">
        <v>4400</v>
      </c>
      <c r="L1137" s="2" t="str">
        <f>_xlfn.XLOOKUP(Data_Nhập[[#This Row],[Main SKU]],MD_Main_SKU[Main SKU],MD_Main_SKU[SKU name_gom])</f>
        <v>iSS01084</v>
      </c>
      <c r="M1137" s="2" t="str">
        <f>_xlfn.XLOOKUP(Data_Nhập[[#This Row],[Material-Nhập]],MD_Main_SKU[Main SKU],MD_Main_SKU[SKU name_gom])</f>
        <v>iSS01-PL</v>
      </c>
    </row>
    <row r="1138" spans="1:13" x14ac:dyDescent="0.35">
      <c r="A1138">
        <v>2026</v>
      </c>
      <c r="B1138">
        <v>2</v>
      </c>
      <c r="C1138" t="s">
        <v>14</v>
      </c>
      <c r="D1138" t="s">
        <v>15</v>
      </c>
      <c r="E1138" t="s">
        <v>34</v>
      </c>
      <c r="F1138" t="s">
        <v>35</v>
      </c>
      <c r="G1138" s="2">
        <v>0</v>
      </c>
      <c r="H1138" s="2">
        <v>2200</v>
      </c>
      <c r="I1138" s="2">
        <v>2200</v>
      </c>
      <c r="J1138" s="2">
        <v>0</v>
      </c>
      <c r="K1138" s="2">
        <v>2200</v>
      </c>
      <c r="L1138" s="2" t="str">
        <f>_xlfn.XLOOKUP(Data_Nhập[[#This Row],[Main SKU]],MD_Main_SKU[Main SKU],MD_Main_SKU[SKU name_gom])</f>
        <v>iSS01084</v>
      </c>
      <c r="M1138" s="2" t="str">
        <f>_xlfn.XLOOKUP(Data_Nhập[[#This Row],[Material-Nhập]],MD_Main_SKU[Main SKU],MD_Main_SKU[SKU name_gom])</f>
        <v>WSS03-PL</v>
      </c>
    </row>
    <row r="1139" spans="1:13" x14ac:dyDescent="0.35">
      <c r="A1139">
        <v>2026</v>
      </c>
      <c r="B1139">
        <v>2</v>
      </c>
      <c r="C1139" t="s">
        <v>14</v>
      </c>
      <c r="D1139" t="s">
        <v>15</v>
      </c>
      <c r="E1139" t="s">
        <v>87</v>
      </c>
      <c r="F1139" t="s">
        <v>88</v>
      </c>
      <c r="G1139" s="2">
        <v>0</v>
      </c>
      <c r="H1139" s="2">
        <v>0</v>
      </c>
      <c r="I1139" s="2">
        <v>0</v>
      </c>
      <c r="J1139" s="2">
        <v>2550</v>
      </c>
      <c r="K1139" s="2">
        <v>2550</v>
      </c>
      <c r="L1139" s="2" t="str">
        <f>_xlfn.XLOOKUP(Data_Nhập[[#This Row],[Main SKU]],MD_Main_SKU[Main SKU],MD_Main_SKU[SKU name_gom])</f>
        <v>iSS01084</v>
      </c>
      <c r="M1139" s="2" t="str">
        <f>_xlfn.XLOOKUP(Data_Nhập[[#This Row],[Material-Nhập]],MD_Main_SKU[Main SKU],MD_Main_SKU[SKU name_gom])</f>
        <v>Phó sản</v>
      </c>
    </row>
    <row r="1140" spans="1:13" x14ac:dyDescent="0.35">
      <c r="A1140">
        <v>2026</v>
      </c>
      <c r="B1140">
        <v>2</v>
      </c>
      <c r="C1140" t="s">
        <v>14</v>
      </c>
      <c r="D1140" t="s">
        <v>15</v>
      </c>
      <c r="E1140" t="s">
        <v>91</v>
      </c>
      <c r="F1140" t="s">
        <v>92</v>
      </c>
      <c r="G1140" s="2">
        <v>0</v>
      </c>
      <c r="H1140" s="2">
        <v>0</v>
      </c>
      <c r="I1140" s="2">
        <v>0</v>
      </c>
      <c r="J1140" s="2">
        <v>2200</v>
      </c>
      <c r="K1140" s="2">
        <v>2200</v>
      </c>
      <c r="L1140" s="2" t="str">
        <f>_xlfn.XLOOKUP(Data_Nhập[[#This Row],[Main SKU]],MD_Main_SKU[Main SKU],MD_Main_SKU[SKU name_gom])</f>
        <v>iSS01084</v>
      </c>
      <c r="M1140" s="2" t="str">
        <f>_xlfn.XLOOKUP(Data_Nhập[[#This Row],[Material-Nhập]],MD_Main_SKU[Main SKU],MD_Main_SKU[SKU name_gom])</f>
        <v>Phó sản</v>
      </c>
    </row>
    <row r="1141" spans="1:13" x14ac:dyDescent="0.35">
      <c r="A1141">
        <v>2026</v>
      </c>
      <c r="B1141">
        <v>2</v>
      </c>
      <c r="C1141" t="s">
        <v>14</v>
      </c>
      <c r="D1141" t="s">
        <v>15</v>
      </c>
      <c r="E1141" t="s">
        <v>117</v>
      </c>
      <c r="F1141" t="s">
        <v>86</v>
      </c>
      <c r="G1141" s="2">
        <v>0</v>
      </c>
      <c r="H1141" s="2">
        <v>0</v>
      </c>
      <c r="I1141" s="2">
        <v>0</v>
      </c>
      <c r="J1141" s="2">
        <v>6824</v>
      </c>
      <c r="K1141" s="2">
        <v>6824</v>
      </c>
      <c r="L1141" s="2" t="str">
        <f>_xlfn.XLOOKUP(Data_Nhập[[#This Row],[Main SKU]],MD_Main_SKU[Main SKU],MD_Main_SKU[SKU name_gom])</f>
        <v>iSS01084</v>
      </c>
      <c r="M1141" s="2" t="str">
        <f>_xlfn.XLOOKUP(Data_Nhập[[#This Row],[Material-Nhập]],MD_Main_SKU[Main SKU],MD_Main_SKU[SKU name_gom])</f>
        <v>Phó sản</v>
      </c>
    </row>
    <row r="1142" spans="1:13" x14ac:dyDescent="0.35">
      <c r="A1142">
        <v>2026</v>
      </c>
      <c r="B1142">
        <v>2</v>
      </c>
      <c r="C1142" t="s">
        <v>16</v>
      </c>
      <c r="D1142" t="s">
        <v>17</v>
      </c>
      <c r="E1142" t="s">
        <v>16</v>
      </c>
      <c r="F1142" t="s">
        <v>17</v>
      </c>
      <c r="G1142" s="2">
        <v>695200.00000000012</v>
      </c>
      <c r="H1142" s="2">
        <v>0</v>
      </c>
      <c r="I1142" s="2">
        <v>695200.00000000012</v>
      </c>
      <c r="J1142" s="2">
        <v>0</v>
      </c>
      <c r="K1142" s="2">
        <v>695200.00000000012</v>
      </c>
      <c r="L1142" s="2" t="str">
        <f>_xlfn.XLOOKUP(Data_Nhập[[#This Row],[Main SKU]],MD_Main_SKU[Main SKU],MD_Main_SKU[SKU name_gom])</f>
        <v>WSS01</v>
      </c>
      <c r="M1142" s="2" t="str">
        <f>_xlfn.XLOOKUP(Data_Nhập[[#This Row],[Material-Nhập]],MD_Main_SKU[Main SKU],MD_Main_SKU[SKU name_gom])</f>
        <v>WSS01</v>
      </c>
    </row>
    <row r="1143" spans="1:13" x14ac:dyDescent="0.35">
      <c r="A1143">
        <v>2026</v>
      </c>
      <c r="B1143">
        <v>2</v>
      </c>
      <c r="C1143" t="s">
        <v>16</v>
      </c>
      <c r="D1143" t="s">
        <v>17</v>
      </c>
      <c r="E1143" t="s">
        <v>18</v>
      </c>
      <c r="F1143" t="s">
        <v>19</v>
      </c>
      <c r="G1143" s="2">
        <v>0</v>
      </c>
      <c r="H1143" s="2">
        <v>90200</v>
      </c>
      <c r="I1143" s="2">
        <v>90200</v>
      </c>
      <c r="J1143" s="2">
        <v>0</v>
      </c>
      <c r="K1143" s="2">
        <v>90200</v>
      </c>
      <c r="L1143" s="2" t="str">
        <f>_xlfn.XLOOKUP(Data_Nhập[[#This Row],[Main SKU]],MD_Main_SKU[Main SKU],MD_Main_SKU[SKU name_gom])</f>
        <v>WSS01</v>
      </c>
      <c r="M1143" s="2" t="str">
        <f>_xlfn.XLOOKUP(Data_Nhập[[#This Row],[Material-Nhập]],MD_Main_SKU[Main SKU],MD_Main_SKU[SKU name_gom])</f>
        <v>iSS01</v>
      </c>
    </row>
    <row r="1144" spans="1:13" x14ac:dyDescent="0.35">
      <c r="A1144">
        <v>2026</v>
      </c>
      <c r="B1144">
        <v>2</v>
      </c>
      <c r="C1144" t="s">
        <v>16</v>
      </c>
      <c r="D1144" t="s">
        <v>17</v>
      </c>
      <c r="E1144" t="s">
        <v>22</v>
      </c>
      <c r="F1144" t="s">
        <v>23</v>
      </c>
      <c r="G1144" s="2">
        <v>0</v>
      </c>
      <c r="H1144" s="2">
        <v>11000</v>
      </c>
      <c r="I1144" s="2">
        <v>11000</v>
      </c>
      <c r="J1144" s="2">
        <v>0</v>
      </c>
      <c r="K1144" s="2">
        <v>11000</v>
      </c>
      <c r="L1144" s="2" t="str">
        <f>_xlfn.XLOOKUP(Data_Nhập[[#This Row],[Main SKU]],MD_Main_SKU[Main SKU],MD_Main_SKU[SKU name_gom])</f>
        <v>WSS01</v>
      </c>
      <c r="M1144" s="2" t="str">
        <f>_xlfn.XLOOKUP(Data_Nhập[[#This Row],[Material-Nhập]],MD_Main_SKU[Main SKU],MD_Main_SKU[SKU name_gom])</f>
        <v>WSS03</v>
      </c>
    </row>
    <row r="1145" spans="1:13" x14ac:dyDescent="0.35">
      <c r="A1145">
        <v>2026</v>
      </c>
      <c r="B1145">
        <v>2</v>
      </c>
      <c r="C1145" t="s">
        <v>16</v>
      </c>
      <c r="D1145" t="s">
        <v>17</v>
      </c>
      <c r="E1145" t="s">
        <v>40</v>
      </c>
      <c r="F1145" t="s">
        <v>41</v>
      </c>
      <c r="G1145" s="2">
        <v>0</v>
      </c>
      <c r="H1145" s="2">
        <v>25300</v>
      </c>
      <c r="I1145" s="2">
        <v>25300</v>
      </c>
      <c r="J1145" s="2">
        <v>0</v>
      </c>
      <c r="K1145" s="2">
        <v>25300</v>
      </c>
      <c r="L1145" s="2" t="str">
        <f>_xlfn.XLOOKUP(Data_Nhập[[#This Row],[Main SKU]],MD_Main_SKU[Main SKU],MD_Main_SKU[SKU name_gom])</f>
        <v>WSS01</v>
      </c>
      <c r="M1145" s="2" t="str">
        <f>_xlfn.XLOOKUP(Data_Nhập[[#This Row],[Material-Nhập]],MD_Main_SKU[Main SKU],MD_Main_SKU[SKU name_gom])</f>
        <v>WSS01-PL</v>
      </c>
    </row>
    <row r="1146" spans="1:13" x14ac:dyDescent="0.35">
      <c r="A1146">
        <v>2026</v>
      </c>
      <c r="B1146">
        <v>2</v>
      </c>
      <c r="C1146" t="s">
        <v>16</v>
      </c>
      <c r="D1146" t="s">
        <v>17</v>
      </c>
      <c r="E1146" t="s">
        <v>42</v>
      </c>
      <c r="F1146" t="s">
        <v>43</v>
      </c>
      <c r="G1146" s="2">
        <v>0</v>
      </c>
      <c r="H1146" s="2">
        <v>1100</v>
      </c>
      <c r="I1146" s="2">
        <v>1100</v>
      </c>
      <c r="J1146" s="2">
        <v>0</v>
      </c>
      <c r="K1146" s="2">
        <v>1100</v>
      </c>
      <c r="L1146" s="2" t="str">
        <f>_xlfn.XLOOKUP(Data_Nhập[[#This Row],[Main SKU]],MD_Main_SKU[Main SKU],MD_Main_SKU[SKU name_gom])</f>
        <v>WSS01</v>
      </c>
      <c r="M1146" s="2" t="str">
        <f>_xlfn.XLOOKUP(Data_Nhập[[#This Row],[Material-Nhập]],MD_Main_SKU[Main SKU],MD_Main_SKU[SKU name_gom])</f>
        <v>iSS01-PL</v>
      </c>
    </row>
    <row r="1147" spans="1:13" x14ac:dyDescent="0.35">
      <c r="A1147">
        <v>2026</v>
      </c>
      <c r="B1147">
        <v>2</v>
      </c>
      <c r="C1147" t="s">
        <v>16</v>
      </c>
      <c r="D1147" t="s">
        <v>17</v>
      </c>
      <c r="E1147" t="s">
        <v>34</v>
      </c>
      <c r="F1147" t="s">
        <v>35</v>
      </c>
      <c r="G1147" s="2">
        <v>0</v>
      </c>
      <c r="H1147" s="2">
        <v>7699.9999999999991</v>
      </c>
      <c r="I1147" s="2">
        <v>7699.9999999999991</v>
      </c>
      <c r="J1147" s="2">
        <v>0</v>
      </c>
      <c r="K1147" s="2">
        <v>7699.9999999999991</v>
      </c>
      <c r="L1147" s="2" t="str">
        <f>_xlfn.XLOOKUP(Data_Nhập[[#This Row],[Main SKU]],MD_Main_SKU[Main SKU],MD_Main_SKU[SKU name_gom])</f>
        <v>WSS01</v>
      </c>
      <c r="M1147" s="2" t="str">
        <f>_xlfn.XLOOKUP(Data_Nhập[[#This Row],[Material-Nhập]],MD_Main_SKU[Main SKU],MD_Main_SKU[SKU name_gom])</f>
        <v>WSS03-PL</v>
      </c>
    </row>
    <row r="1148" spans="1:13" x14ac:dyDescent="0.35">
      <c r="A1148">
        <v>2026</v>
      </c>
      <c r="B1148">
        <v>2</v>
      </c>
      <c r="C1148" t="s">
        <v>16</v>
      </c>
      <c r="D1148" t="s">
        <v>17</v>
      </c>
      <c r="E1148" t="s">
        <v>87</v>
      </c>
      <c r="F1148" t="s">
        <v>88</v>
      </c>
      <c r="G1148" s="2">
        <v>0</v>
      </c>
      <c r="H1148" s="2">
        <v>0</v>
      </c>
      <c r="I1148" s="2">
        <v>0</v>
      </c>
      <c r="J1148" s="2">
        <v>14730</v>
      </c>
      <c r="K1148" s="2">
        <v>14730</v>
      </c>
      <c r="L1148" s="2" t="str">
        <f>_xlfn.XLOOKUP(Data_Nhập[[#This Row],[Main SKU]],MD_Main_SKU[Main SKU],MD_Main_SKU[SKU name_gom])</f>
        <v>WSS01</v>
      </c>
      <c r="M1148" s="2" t="str">
        <f>_xlfn.XLOOKUP(Data_Nhập[[#This Row],[Material-Nhập]],MD_Main_SKU[Main SKU],MD_Main_SKU[SKU name_gom])</f>
        <v>Phó sản</v>
      </c>
    </row>
    <row r="1149" spans="1:13" x14ac:dyDescent="0.35">
      <c r="A1149">
        <v>2026</v>
      </c>
      <c r="B1149">
        <v>2</v>
      </c>
      <c r="C1149" t="s">
        <v>16</v>
      </c>
      <c r="D1149" t="s">
        <v>17</v>
      </c>
      <c r="E1149" t="s">
        <v>91</v>
      </c>
      <c r="F1149" t="s">
        <v>92</v>
      </c>
      <c r="G1149" s="2">
        <v>0</v>
      </c>
      <c r="H1149" s="2">
        <v>0</v>
      </c>
      <c r="I1149" s="2">
        <v>0</v>
      </c>
      <c r="J1149" s="2">
        <v>1100</v>
      </c>
      <c r="K1149" s="2">
        <v>1100</v>
      </c>
      <c r="L1149" s="2" t="str">
        <f>_xlfn.XLOOKUP(Data_Nhập[[#This Row],[Main SKU]],MD_Main_SKU[Main SKU],MD_Main_SKU[SKU name_gom])</f>
        <v>WSS01</v>
      </c>
      <c r="M1149" s="2" t="str">
        <f>_xlfn.XLOOKUP(Data_Nhập[[#This Row],[Material-Nhập]],MD_Main_SKU[Main SKU],MD_Main_SKU[SKU name_gom])</f>
        <v>Phó sản</v>
      </c>
    </row>
    <row r="1150" spans="1:13" x14ac:dyDescent="0.35">
      <c r="A1150">
        <v>2026</v>
      </c>
      <c r="B1150">
        <v>2</v>
      </c>
      <c r="C1150" t="s">
        <v>16</v>
      </c>
      <c r="D1150" t="s">
        <v>17</v>
      </c>
      <c r="E1150" t="s">
        <v>93</v>
      </c>
      <c r="F1150" t="s">
        <v>94</v>
      </c>
      <c r="G1150" s="2">
        <v>0</v>
      </c>
      <c r="H1150" s="2">
        <v>0</v>
      </c>
      <c r="I1150" s="2">
        <v>0</v>
      </c>
      <c r="J1150" s="2">
        <v>550</v>
      </c>
      <c r="K1150" s="2">
        <v>550</v>
      </c>
      <c r="L1150" s="2" t="str">
        <f>_xlfn.XLOOKUP(Data_Nhập[[#This Row],[Main SKU]],MD_Main_SKU[Main SKU],MD_Main_SKU[SKU name_gom])</f>
        <v>WSS01</v>
      </c>
      <c r="M1150" s="2" t="str">
        <f>_xlfn.XLOOKUP(Data_Nhập[[#This Row],[Material-Nhập]],MD_Main_SKU[Main SKU],MD_Main_SKU[SKU name_gom])</f>
        <v>Phó sản</v>
      </c>
    </row>
    <row r="1151" spans="1:13" x14ac:dyDescent="0.35">
      <c r="A1151">
        <v>2026</v>
      </c>
      <c r="B1151">
        <v>2</v>
      </c>
      <c r="C1151" t="s">
        <v>16</v>
      </c>
      <c r="D1151" t="s">
        <v>17</v>
      </c>
      <c r="E1151" t="s">
        <v>117</v>
      </c>
      <c r="F1151" t="s">
        <v>86</v>
      </c>
      <c r="G1151" s="2">
        <v>0</v>
      </c>
      <c r="H1151" s="2">
        <v>0</v>
      </c>
      <c r="I1151" s="2">
        <v>0</v>
      </c>
      <c r="J1151" s="2">
        <v>15713.000000000002</v>
      </c>
      <c r="K1151" s="2">
        <v>15713.000000000002</v>
      </c>
      <c r="L1151" s="2" t="str">
        <f>_xlfn.XLOOKUP(Data_Nhập[[#This Row],[Main SKU]],MD_Main_SKU[Main SKU],MD_Main_SKU[SKU name_gom])</f>
        <v>WSS01</v>
      </c>
      <c r="M1151" s="2" t="str">
        <f>_xlfn.XLOOKUP(Data_Nhập[[#This Row],[Material-Nhập]],MD_Main_SKU[Main SKU],MD_Main_SKU[SKU name_gom])</f>
        <v>Phó sản</v>
      </c>
    </row>
    <row r="1152" spans="1:13" x14ac:dyDescent="0.35">
      <c r="A1152">
        <v>2026</v>
      </c>
      <c r="B1152">
        <v>2</v>
      </c>
      <c r="C1152" t="s">
        <v>16</v>
      </c>
      <c r="D1152" t="s">
        <v>17</v>
      </c>
      <c r="E1152" t="s">
        <v>128</v>
      </c>
      <c r="F1152" t="s">
        <v>129</v>
      </c>
      <c r="G1152" s="2">
        <v>0</v>
      </c>
      <c r="H1152" s="2">
        <v>0</v>
      </c>
      <c r="I1152" s="2">
        <v>0</v>
      </c>
      <c r="J1152" s="2">
        <v>2200</v>
      </c>
      <c r="K1152" s="2">
        <v>2200</v>
      </c>
      <c r="L1152" s="2" t="str">
        <f>_xlfn.XLOOKUP(Data_Nhập[[#This Row],[Main SKU]],MD_Main_SKU[Main SKU],MD_Main_SKU[SKU name_gom])</f>
        <v>WSS01</v>
      </c>
      <c r="M1152" s="2" t="str">
        <f>_xlfn.XLOOKUP(Data_Nhập[[#This Row],[Material-Nhập]],MD_Main_SKU[Main SKU],MD_Main_SKU[SKU name_gom])</f>
        <v>Phó sản</v>
      </c>
    </row>
    <row r="1153" spans="1:13" x14ac:dyDescent="0.35">
      <c r="A1153">
        <v>2026</v>
      </c>
      <c r="B1153">
        <v>2</v>
      </c>
      <c r="C1153" t="s">
        <v>16</v>
      </c>
      <c r="D1153" t="s">
        <v>17</v>
      </c>
      <c r="E1153" t="s">
        <v>138</v>
      </c>
      <c r="F1153" t="s">
        <v>139</v>
      </c>
      <c r="G1153" s="2">
        <v>0</v>
      </c>
      <c r="H1153" s="2">
        <v>0</v>
      </c>
      <c r="I1153" s="2">
        <v>0</v>
      </c>
      <c r="J1153" s="2">
        <v>1100</v>
      </c>
      <c r="K1153" s="2">
        <v>1100</v>
      </c>
      <c r="L1153" s="2" t="str">
        <f>_xlfn.XLOOKUP(Data_Nhập[[#This Row],[Main SKU]],MD_Main_SKU[Main SKU],MD_Main_SKU[SKU name_gom])</f>
        <v>WSS01</v>
      </c>
      <c r="M1153" s="2" t="str">
        <f>_xlfn.XLOOKUP(Data_Nhập[[#This Row],[Material-Nhập]],MD_Main_SKU[Main SKU],MD_Main_SKU[SKU name_gom])</f>
        <v>Phó sản</v>
      </c>
    </row>
    <row r="1154" spans="1:13" x14ac:dyDescent="0.35">
      <c r="A1154">
        <v>2026</v>
      </c>
      <c r="B1154">
        <v>2</v>
      </c>
      <c r="C1154" t="s">
        <v>99</v>
      </c>
      <c r="D1154" t="s">
        <v>100</v>
      </c>
      <c r="E1154" t="s">
        <v>99</v>
      </c>
      <c r="F1154" t="s">
        <v>100</v>
      </c>
      <c r="G1154" s="2">
        <v>11550</v>
      </c>
      <c r="H1154" s="2">
        <v>0</v>
      </c>
      <c r="I1154" s="2">
        <v>11550</v>
      </c>
      <c r="J1154" s="2">
        <v>0</v>
      </c>
      <c r="K1154" s="2">
        <v>11550</v>
      </c>
      <c r="L1154" s="2" t="str">
        <f>_xlfn.XLOOKUP(Data_Nhập[[#This Row],[Main SKU]],MD_Main_SKU[Main SKU],MD_Main_SKU[SKU name_gom])</f>
        <v>WSS04</v>
      </c>
      <c r="M1154" s="2" t="str">
        <f>_xlfn.XLOOKUP(Data_Nhập[[#This Row],[Material-Nhập]],MD_Main_SKU[Main SKU],MD_Main_SKU[SKU name_gom])</f>
        <v>WSS04</v>
      </c>
    </row>
    <row r="1155" spans="1:13" x14ac:dyDescent="0.35">
      <c r="A1155">
        <v>2026</v>
      </c>
      <c r="B1155">
        <v>2</v>
      </c>
      <c r="C1155" t="s">
        <v>99</v>
      </c>
      <c r="D1155" t="s">
        <v>100</v>
      </c>
      <c r="E1155" t="s">
        <v>115</v>
      </c>
      <c r="F1155" t="s">
        <v>116</v>
      </c>
      <c r="G1155" s="2">
        <v>0</v>
      </c>
      <c r="H1155" s="2">
        <v>4782</v>
      </c>
      <c r="I1155" s="2">
        <v>4782</v>
      </c>
      <c r="J1155" s="2">
        <v>0</v>
      </c>
      <c r="K1155" s="2">
        <v>4782</v>
      </c>
      <c r="L1155" s="2" t="str">
        <f>_xlfn.XLOOKUP(Data_Nhập[[#This Row],[Main SKU]],MD_Main_SKU[Main SKU],MD_Main_SKU[SKU name_gom])</f>
        <v>WSS04</v>
      </c>
      <c r="M1155" s="2" t="str">
        <f>_xlfn.XLOOKUP(Data_Nhập[[#This Row],[Material-Nhập]],MD_Main_SKU[Main SKU],MD_Main_SKU[SKU name_gom])</f>
        <v>WSS05</v>
      </c>
    </row>
    <row r="1156" spans="1:13" x14ac:dyDescent="0.35">
      <c r="A1156">
        <v>2026</v>
      </c>
      <c r="B1156">
        <v>2</v>
      </c>
      <c r="C1156" t="s">
        <v>99</v>
      </c>
      <c r="D1156" t="s">
        <v>100</v>
      </c>
      <c r="E1156" t="s">
        <v>117</v>
      </c>
      <c r="F1156" t="s">
        <v>86</v>
      </c>
      <c r="G1156" s="2">
        <v>0</v>
      </c>
      <c r="H1156" s="2">
        <v>0</v>
      </c>
      <c r="I1156" s="2">
        <v>0</v>
      </c>
      <c r="J1156" s="2">
        <v>1424</v>
      </c>
      <c r="K1156" s="2">
        <v>1424</v>
      </c>
      <c r="L1156" s="2" t="str">
        <f>_xlfn.XLOOKUP(Data_Nhập[[#This Row],[Main SKU]],MD_Main_SKU[Main SKU],MD_Main_SKU[SKU name_gom])</f>
        <v>WSS04</v>
      </c>
      <c r="M1156" s="2" t="str">
        <f>_xlfn.XLOOKUP(Data_Nhập[[#This Row],[Material-Nhập]],MD_Main_SKU[Main SKU],MD_Main_SKU[SKU name_gom])</f>
        <v>Phó sản</v>
      </c>
    </row>
    <row r="1157" spans="1:13" x14ac:dyDescent="0.35">
      <c r="A1157">
        <v>2026</v>
      </c>
      <c r="B1157">
        <v>3</v>
      </c>
      <c r="C1157" t="s">
        <v>8</v>
      </c>
      <c r="D1157" t="s">
        <v>9</v>
      </c>
      <c r="E1157" t="s">
        <v>8</v>
      </c>
      <c r="F1157" t="s">
        <v>9</v>
      </c>
      <c r="G1157" s="2">
        <v>125400</v>
      </c>
      <c r="H1157" s="2">
        <v>0</v>
      </c>
      <c r="I1157" s="2">
        <v>125400</v>
      </c>
      <c r="J1157" s="2">
        <v>0</v>
      </c>
      <c r="K1157" s="2">
        <v>125400</v>
      </c>
      <c r="L1157" s="2" t="str">
        <f>_xlfn.XLOOKUP(Data_Nhập[[#This Row],[Main SKU]],MD_Main_SKU[Main SKU],MD_Main_SKU[SKU name_gom])</f>
        <v>WSS01</v>
      </c>
      <c r="M1157" s="2" t="str">
        <f>_xlfn.XLOOKUP(Data_Nhập[[#This Row],[Material-Nhập]],MD_Main_SKU[Main SKU],MD_Main_SKU[SKU name_gom])</f>
        <v>WSS01</v>
      </c>
    </row>
    <row r="1158" spans="1:13" x14ac:dyDescent="0.35">
      <c r="A1158">
        <v>2026</v>
      </c>
      <c r="B1158">
        <v>3</v>
      </c>
      <c r="C1158" t="s">
        <v>8</v>
      </c>
      <c r="D1158" t="s">
        <v>9</v>
      </c>
      <c r="E1158" t="s">
        <v>22</v>
      </c>
      <c r="F1158" t="s">
        <v>23</v>
      </c>
      <c r="G1158" s="2">
        <v>0</v>
      </c>
      <c r="H1158" s="2">
        <v>2200</v>
      </c>
      <c r="I1158" s="2">
        <v>2200</v>
      </c>
      <c r="J1158" s="2">
        <v>0</v>
      </c>
      <c r="K1158" s="2">
        <v>2200</v>
      </c>
      <c r="L1158" s="2" t="str">
        <f>_xlfn.XLOOKUP(Data_Nhập[[#This Row],[Main SKU]],MD_Main_SKU[Main SKU],MD_Main_SKU[SKU name_gom])</f>
        <v>WSS01</v>
      </c>
      <c r="M1158" s="2" t="str">
        <f>_xlfn.XLOOKUP(Data_Nhập[[#This Row],[Material-Nhập]],MD_Main_SKU[Main SKU],MD_Main_SKU[SKU name_gom])</f>
        <v>WSS03</v>
      </c>
    </row>
    <row r="1159" spans="1:13" x14ac:dyDescent="0.35">
      <c r="A1159">
        <v>2026</v>
      </c>
      <c r="B1159">
        <v>3</v>
      </c>
      <c r="C1159" t="s">
        <v>8</v>
      </c>
      <c r="D1159" t="s">
        <v>9</v>
      </c>
      <c r="E1159" t="s">
        <v>36</v>
      </c>
      <c r="F1159" t="s">
        <v>37</v>
      </c>
      <c r="G1159" s="2">
        <v>0</v>
      </c>
      <c r="H1159" s="2">
        <v>3300</v>
      </c>
      <c r="I1159" s="2">
        <v>3300</v>
      </c>
      <c r="J1159" s="2">
        <v>0</v>
      </c>
      <c r="K1159" s="2">
        <v>3300</v>
      </c>
      <c r="L1159" s="2" t="str">
        <f>_xlfn.XLOOKUP(Data_Nhập[[#This Row],[Main SKU]],MD_Main_SKU[Main SKU],MD_Main_SKU[SKU name_gom])</f>
        <v>WSS01</v>
      </c>
      <c r="M1159" s="2" t="str">
        <f>_xlfn.XLOOKUP(Data_Nhập[[#This Row],[Material-Nhập]],MD_Main_SKU[Main SKU],MD_Main_SKU[SKU name_gom])</f>
        <v>WSS01-PL</v>
      </c>
    </row>
    <row r="1160" spans="1:13" x14ac:dyDescent="0.35">
      <c r="A1160">
        <v>2026</v>
      </c>
      <c r="B1160">
        <v>3</v>
      </c>
      <c r="C1160" t="s">
        <v>8</v>
      </c>
      <c r="D1160" t="s">
        <v>9</v>
      </c>
      <c r="E1160" t="s">
        <v>87</v>
      </c>
      <c r="F1160" t="s">
        <v>88</v>
      </c>
      <c r="G1160" s="2">
        <v>0</v>
      </c>
      <c r="H1160" s="2">
        <v>0</v>
      </c>
      <c r="I1160" s="2">
        <v>0</v>
      </c>
      <c r="J1160" s="2">
        <v>1970</v>
      </c>
      <c r="K1160" s="2">
        <v>1970</v>
      </c>
      <c r="L1160" s="2" t="str">
        <f>_xlfn.XLOOKUP(Data_Nhập[[#This Row],[Main SKU]],MD_Main_SKU[Main SKU],MD_Main_SKU[SKU name_gom])</f>
        <v>WSS01</v>
      </c>
      <c r="M1160" s="2" t="str">
        <f>_xlfn.XLOOKUP(Data_Nhập[[#This Row],[Material-Nhập]],MD_Main_SKU[Main SKU],MD_Main_SKU[SKU name_gom])</f>
        <v>Phó sản</v>
      </c>
    </row>
    <row r="1161" spans="1:13" x14ac:dyDescent="0.35">
      <c r="A1161">
        <v>2026</v>
      </c>
      <c r="B1161">
        <v>3</v>
      </c>
      <c r="C1161" t="s">
        <v>8</v>
      </c>
      <c r="D1161" t="s">
        <v>9</v>
      </c>
      <c r="E1161" t="s">
        <v>93</v>
      </c>
      <c r="F1161" t="s">
        <v>94</v>
      </c>
      <c r="G1161" s="2">
        <v>0</v>
      </c>
      <c r="H1161" s="2">
        <v>0</v>
      </c>
      <c r="I1161" s="2">
        <v>0</v>
      </c>
      <c r="J1161" s="2">
        <v>300</v>
      </c>
      <c r="K1161" s="2">
        <v>300</v>
      </c>
      <c r="L1161" s="2" t="str">
        <f>_xlfn.XLOOKUP(Data_Nhập[[#This Row],[Main SKU]],MD_Main_SKU[Main SKU],MD_Main_SKU[SKU name_gom])</f>
        <v>WSS01</v>
      </c>
      <c r="M1161" s="2" t="str">
        <f>_xlfn.XLOOKUP(Data_Nhập[[#This Row],[Material-Nhập]],MD_Main_SKU[Main SKU],MD_Main_SKU[SKU name_gom])</f>
        <v>Phó sản</v>
      </c>
    </row>
    <row r="1162" spans="1:13" x14ac:dyDescent="0.35">
      <c r="A1162">
        <v>2026</v>
      </c>
      <c r="B1162">
        <v>3</v>
      </c>
      <c r="C1162" t="s">
        <v>8</v>
      </c>
      <c r="D1162" t="s">
        <v>9</v>
      </c>
      <c r="E1162" t="s">
        <v>117</v>
      </c>
      <c r="F1162" t="s">
        <v>86</v>
      </c>
      <c r="G1162" s="2">
        <v>0</v>
      </c>
      <c r="H1162" s="2">
        <v>0</v>
      </c>
      <c r="I1162" s="2">
        <v>0</v>
      </c>
      <c r="J1162" s="2">
        <v>1770</v>
      </c>
      <c r="K1162" s="2">
        <v>1770</v>
      </c>
      <c r="L1162" s="2" t="str">
        <f>_xlfn.XLOOKUP(Data_Nhập[[#This Row],[Main SKU]],MD_Main_SKU[Main SKU],MD_Main_SKU[SKU name_gom])</f>
        <v>WSS01</v>
      </c>
      <c r="M1162" s="2" t="str">
        <f>_xlfn.XLOOKUP(Data_Nhập[[#This Row],[Material-Nhập]],MD_Main_SKU[Main SKU],MD_Main_SKU[SKU name_gom])</f>
        <v>Phó sản</v>
      </c>
    </row>
    <row r="1163" spans="1:13" x14ac:dyDescent="0.35">
      <c r="A1163">
        <v>2026</v>
      </c>
      <c r="B1163">
        <v>3</v>
      </c>
      <c r="C1163" t="s">
        <v>8</v>
      </c>
      <c r="D1163" t="s">
        <v>9</v>
      </c>
      <c r="E1163" t="s">
        <v>134</v>
      </c>
      <c r="F1163" t="s">
        <v>135</v>
      </c>
      <c r="G1163" s="2">
        <v>0</v>
      </c>
      <c r="H1163" s="2">
        <v>0</v>
      </c>
      <c r="I1163" s="2">
        <v>0</v>
      </c>
      <c r="J1163" s="2">
        <v>1100</v>
      </c>
      <c r="K1163" s="2">
        <v>1100</v>
      </c>
      <c r="L1163" s="2" t="str">
        <f>_xlfn.XLOOKUP(Data_Nhập[[#This Row],[Main SKU]],MD_Main_SKU[Main SKU],MD_Main_SKU[SKU name_gom])</f>
        <v>WSS01</v>
      </c>
      <c r="M1163" s="2" t="str">
        <f>_xlfn.XLOOKUP(Data_Nhập[[#This Row],[Material-Nhập]],MD_Main_SKU[Main SKU],MD_Main_SKU[SKU name_gom])</f>
        <v>Phó sản</v>
      </c>
    </row>
    <row r="1164" spans="1:13" x14ac:dyDescent="0.35">
      <c r="A1164">
        <v>2026</v>
      </c>
      <c r="B1164">
        <v>3</v>
      </c>
      <c r="C1164" t="s">
        <v>14</v>
      </c>
      <c r="D1164" t="s">
        <v>15</v>
      </c>
      <c r="E1164" t="s">
        <v>14</v>
      </c>
      <c r="F1164" t="s">
        <v>15</v>
      </c>
      <c r="G1164" s="2">
        <v>614900</v>
      </c>
      <c r="H1164" s="2">
        <v>1100</v>
      </c>
      <c r="I1164" s="2">
        <v>616000</v>
      </c>
      <c r="J1164" s="2">
        <v>0</v>
      </c>
      <c r="K1164" s="2">
        <v>616000</v>
      </c>
      <c r="L1164" s="2" t="str">
        <f>_xlfn.XLOOKUP(Data_Nhập[[#This Row],[Main SKU]],MD_Main_SKU[Main SKU],MD_Main_SKU[SKU name_gom])</f>
        <v>iSS01084</v>
      </c>
      <c r="M1164" s="2" t="str">
        <f>_xlfn.XLOOKUP(Data_Nhập[[#This Row],[Material-Nhập]],MD_Main_SKU[Main SKU],MD_Main_SKU[SKU name_gom])</f>
        <v>iSS01084</v>
      </c>
    </row>
    <row r="1165" spans="1:13" x14ac:dyDescent="0.35">
      <c r="A1165">
        <v>2026</v>
      </c>
      <c r="B1165">
        <v>3</v>
      </c>
      <c r="C1165" t="s">
        <v>14</v>
      </c>
      <c r="D1165" t="s">
        <v>15</v>
      </c>
      <c r="E1165" t="s">
        <v>18</v>
      </c>
      <c r="F1165" t="s">
        <v>19</v>
      </c>
      <c r="G1165" s="2">
        <v>0</v>
      </c>
      <c r="H1165" s="2">
        <v>1100</v>
      </c>
      <c r="I1165" s="2">
        <v>1100</v>
      </c>
      <c r="J1165" s="2">
        <v>0</v>
      </c>
      <c r="K1165" s="2">
        <v>1100</v>
      </c>
      <c r="L1165" s="2" t="str">
        <f>_xlfn.XLOOKUP(Data_Nhập[[#This Row],[Main SKU]],MD_Main_SKU[Main SKU],MD_Main_SKU[SKU name_gom])</f>
        <v>iSS01084</v>
      </c>
      <c r="M1165" s="2" t="str">
        <f>_xlfn.XLOOKUP(Data_Nhập[[#This Row],[Material-Nhập]],MD_Main_SKU[Main SKU],MD_Main_SKU[SKU name_gom])</f>
        <v>iSS01</v>
      </c>
    </row>
    <row r="1166" spans="1:13" x14ac:dyDescent="0.35">
      <c r="A1166">
        <v>2026</v>
      </c>
      <c r="B1166">
        <v>3</v>
      </c>
      <c r="C1166" t="s">
        <v>14</v>
      </c>
      <c r="D1166" t="s">
        <v>15</v>
      </c>
      <c r="E1166" t="s">
        <v>22</v>
      </c>
      <c r="F1166" t="s">
        <v>23</v>
      </c>
      <c r="G1166" s="2">
        <v>0</v>
      </c>
      <c r="H1166" s="2">
        <v>8800</v>
      </c>
      <c r="I1166" s="2">
        <v>8800</v>
      </c>
      <c r="J1166" s="2">
        <v>0</v>
      </c>
      <c r="K1166" s="2">
        <v>8800</v>
      </c>
      <c r="L1166" s="2" t="str">
        <f>_xlfn.XLOOKUP(Data_Nhập[[#This Row],[Main SKU]],MD_Main_SKU[Main SKU],MD_Main_SKU[SKU name_gom])</f>
        <v>iSS01084</v>
      </c>
      <c r="M1166" s="2" t="str">
        <f>_xlfn.XLOOKUP(Data_Nhập[[#This Row],[Material-Nhập]],MD_Main_SKU[Main SKU],MD_Main_SKU[SKU name_gom])</f>
        <v>WSS03</v>
      </c>
    </row>
    <row r="1167" spans="1:13" x14ac:dyDescent="0.35">
      <c r="A1167">
        <v>2026</v>
      </c>
      <c r="B1167">
        <v>3</v>
      </c>
      <c r="C1167" t="s">
        <v>14</v>
      </c>
      <c r="D1167" t="s">
        <v>15</v>
      </c>
      <c r="E1167" t="s">
        <v>42</v>
      </c>
      <c r="F1167" t="s">
        <v>43</v>
      </c>
      <c r="G1167" s="2">
        <v>0</v>
      </c>
      <c r="H1167" s="2">
        <v>6600.0000000000009</v>
      </c>
      <c r="I1167" s="2">
        <v>6600.0000000000009</v>
      </c>
      <c r="J1167" s="2">
        <v>0</v>
      </c>
      <c r="K1167" s="2">
        <v>6600.0000000000009</v>
      </c>
      <c r="L1167" s="2" t="str">
        <f>_xlfn.XLOOKUP(Data_Nhập[[#This Row],[Main SKU]],MD_Main_SKU[Main SKU],MD_Main_SKU[SKU name_gom])</f>
        <v>iSS01084</v>
      </c>
      <c r="M1167" s="2" t="str">
        <f>_xlfn.XLOOKUP(Data_Nhập[[#This Row],[Material-Nhập]],MD_Main_SKU[Main SKU],MD_Main_SKU[SKU name_gom])</f>
        <v>iSS01-PL</v>
      </c>
    </row>
    <row r="1168" spans="1:13" x14ac:dyDescent="0.35">
      <c r="A1168">
        <v>2026</v>
      </c>
      <c r="B1168">
        <v>3</v>
      </c>
      <c r="C1168" t="s">
        <v>14</v>
      </c>
      <c r="D1168" t="s">
        <v>15</v>
      </c>
      <c r="E1168" t="s">
        <v>87</v>
      </c>
      <c r="F1168" t="s">
        <v>88</v>
      </c>
      <c r="G1168" s="2">
        <v>0</v>
      </c>
      <c r="H1168" s="2">
        <v>0</v>
      </c>
      <c r="I1168" s="2">
        <v>0</v>
      </c>
      <c r="J1168" s="2">
        <v>17410</v>
      </c>
      <c r="K1168" s="2">
        <v>17410</v>
      </c>
      <c r="L1168" s="2" t="str">
        <f>_xlfn.XLOOKUP(Data_Nhập[[#This Row],[Main SKU]],MD_Main_SKU[Main SKU],MD_Main_SKU[SKU name_gom])</f>
        <v>iSS01084</v>
      </c>
      <c r="M1168" s="2" t="str">
        <f>_xlfn.XLOOKUP(Data_Nhập[[#This Row],[Material-Nhập]],MD_Main_SKU[Main SKU],MD_Main_SKU[SKU name_gom])</f>
        <v>Phó sản</v>
      </c>
    </row>
    <row r="1169" spans="1:13" x14ac:dyDescent="0.35">
      <c r="A1169">
        <v>2026</v>
      </c>
      <c r="B1169">
        <v>3</v>
      </c>
      <c r="C1169" t="s">
        <v>14</v>
      </c>
      <c r="D1169" t="s">
        <v>15</v>
      </c>
      <c r="E1169" t="s">
        <v>91</v>
      </c>
      <c r="F1169" t="s">
        <v>92</v>
      </c>
      <c r="G1169" s="2">
        <v>0</v>
      </c>
      <c r="H1169" s="2">
        <v>0</v>
      </c>
      <c r="I1169" s="2">
        <v>0</v>
      </c>
      <c r="J1169" s="2">
        <v>2199.9999999999995</v>
      </c>
      <c r="K1169" s="2">
        <v>2199.9999999999995</v>
      </c>
      <c r="L1169" s="2" t="str">
        <f>_xlfn.XLOOKUP(Data_Nhập[[#This Row],[Main SKU]],MD_Main_SKU[Main SKU],MD_Main_SKU[SKU name_gom])</f>
        <v>iSS01084</v>
      </c>
      <c r="M1169" s="2" t="str">
        <f>_xlfn.XLOOKUP(Data_Nhập[[#This Row],[Material-Nhập]],MD_Main_SKU[Main SKU],MD_Main_SKU[SKU name_gom])</f>
        <v>Phó sản</v>
      </c>
    </row>
    <row r="1170" spans="1:13" x14ac:dyDescent="0.35">
      <c r="A1170">
        <v>2026</v>
      </c>
      <c r="B1170">
        <v>3</v>
      </c>
      <c r="C1170" t="s">
        <v>14</v>
      </c>
      <c r="D1170" t="s">
        <v>15</v>
      </c>
      <c r="E1170" t="s">
        <v>117</v>
      </c>
      <c r="F1170" t="s">
        <v>86</v>
      </c>
      <c r="G1170" s="2">
        <v>0</v>
      </c>
      <c r="H1170" s="2">
        <v>0</v>
      </c>
      <c r="I1170" s="2">
        <v>0</v>
      </c>
      <c r="J1170" s="2">
        <v>9561.0000000000018</v>
      </c>
      <c r="K1170" s="2">
        <v>9561.0000000000018</v>
      </c>
      <c r="L1170" s="2" t="str">
        <f>_xlfn.XLOOKUP(Data_Nhập[[#This Row],[Main SKU]],MD_Main_SKU[Main SKU],MD_Main_SKU[SKU name_gom])</f>
        <v>iSS01084</v>
      </c>
      <c r="M1170" s="2" t="str">
        <f>_xlfn.XLOOKUP(Data_Nhập[[#This Row],[Material-Nhập]],MD_Main_SKU[Main SKU],MD_Main_SKU[SKU name_gom])</f>
        <v>Phó sản</v>
      </c>
    </row>
    <row r="1171" spans="1:13" x14ac:dyDescent="0.35">
      <c r="A1171">
        <v>2026</v>
      </c>
      <c r="B1171">
        <v>3</v>
      </c>
      <c r="C1171" t="s">
        <v>16</v>
      </c>
      <c r="D1171" t="s">
        <v>17</v>
      </c>
      <c r="E1171" t="s">
        <v>16</v>
      </c>
      <c r="F1171" t="s">
        <v>17</v>
      </c>
      <c r="G1171" s="2">
        <v>2085599.9999999998</v>
      </c>
      <c r="H1171" s="2">
        <v>0</v>
      </c>
      <c r="I1171" s="2">
        <v>2085599.9999999998</v>
      </c>
      <c r="J1171" s="2">
        <v>0</v>
      </c>
      <c r="K1171" s="2">
        <v>2085599.9999999998</v>
      </c>
      <c r="L1171" s="2" t="str">
        <f>_xlfn.XLOOKUP(Data_Nhập[[#This Row],[Main SKU]],MD_Main_SKU[Main SKU],MD_Main_SKU[SKU name_gom])</f>
        <v>WSS01</v>
      </c>
      <c r="M1171" s="2" t="str">
        <f>_xlfn.XLOOKUP(Data_Nhập[[#This Row],[Material-Nhập]],MD_Main_SKU[Main SKU],MD_Main_SKU[SKU name_gom])</f>
        <v>WSS01</v>
      </c>
    </row>
    <row r="1172" spans="1:13" x14ac:dyDescent="0.35">
      <c r="A1172">
        <v>2026</v>
      </c>
      <c r="B1172">
        <v>3</v>
      </c>
      <c r="C1172" t="s">
        <v>16</v>
      </c>
      <c r="D1172" t="s">
        <v>17</v>
      </c>
      <c r="E1172" t="s">
        <v>22</v>
      </c>
      <c r="F1172" t="s">
        <v>23</v>
      </c>
      <c r="G1172" s="2">
        <v>0</v>
      </c>
      <c r="H1172" s="2">
        <v>36299.999999999993</v>
      </c>
      <c r="I1172" s="2">
        <v>36299.999999999993</v>
      </c>
      <c r="J1172" s="2">
        <v>0</v>
      </c>
      <c r="K1172" s="2">
        <v>36299.999999999993</v>
      </c>
      <c r="L1172" s="2" t="str">
        <f>_xlfn.XLOOKUP(Data_Nhập[[#This Row],[Main SKU]],MD_Main_SKU[Main SKU],MD_Main_SKU[SKU name_gom])</f>
        <v>WSS01</v>
      </c>
      <c r="M1172" s="2" t="str">
        <f>_xlfn.XLOOKUP(Data_Nhập[[#This Row],[Material-Nhập]],MD_Main_SKU[Main SKU],MD_Main_SKU[SKU name_gom])</f>
        <v>WSS03</v>
      </c>
    </row>
    <row r="1173" spans="1:13" x14ac:dyDescent="0.35">
      <c r="A1173">
        <v>2026</v>
      </c>
      <c r="B1173">
        <v>3</v>
      </c>
      <c r="C1173" t="s">
        <v>16</v>
      </c>
      <c r="D1173" t="s">
        <v>17</v>
      </c>
      <c r="E1173" t="s">
        <v>24</v>
      </c>
      <c r="F1173" t="s">
        <v>25</v>
      </c>
      <c r="G1173" s="2">
        <v>0</v>
      </c>
      <c r="H1173" s="2">
        <v>84700</v>
      </c>
      <c r="I1173" s="2">
        <v>84700</v>
      </c>
      <c r="J1173" s="2">
        <v>0</v>
      </c>
      <c r="K1173" s="2">
        <v>84700</v>
      </c>
      <c r="L1173" s="2" t="str">
        <f>_xlfn.XLOOKUP(Data_Nhập[[#This Row],[Main SKU]],MD_Main_SKU[Main SKU],MD_Main_SKU[SKU name_gom])</f>
        <v>WSS01</v>
      </c>
      <c r="M1173" s="2" t="str">
        <f>_xlfn.XLOOKUP(Data_Nhập[[#This Row],[Material-Nhập]],MD_Main_SKU[Main SKU],MD_Main_SKU[SKU name_gom])</f>
        <v>WSS01</v>
      </c>
    </row>
    <row r="1174" spans="1:13" x14ac:dyDescent="0.35">
      <c r="A1174">
        <v>2026</v>
      </c>
      <c r="B1174">
        <v>3</v>
      </c>
      <c r="C1174" t="s">
        <v>16</v>
      </c>
      <c r="D1174" t="s">
        <v>17</v>
      </c>
      <c r="E1174" t="s">
        <v>26</v>
      </c>
      <c r="F1174" t="s">
        <v>27</v>
      </c>
      <c r="G1174" s="2">
        <v>0</v>
      </c>
      <c r="H1174" s="2">
        <v>20900</v>
      </c>
      <c r="I1174" s="2">
        <v>20900</v>
      </c>
      <c r="J1174" s="2">
        <v>0</v>
      </c>
      <c r="K1174" s="2">
        <v>20900</v>
      </c>
      <c r="L1174" s="2" t="str">
        <f>_xlfn.XLOOKUP(Data_Nhập[[#This Row],[Main SKU]],MD_Main_SKU[Main SKU],MD_Main_SKU[SKU name_gom])</f>
        <v>WSS01</v>
      </c>
      <c r="M1174" s="2" t="str">
        <f>_xlfn.XLOOKUP(Data_Nhập[[#This Row],[Material-Nhập]],MD_Main_SKU[Main SKU],MD_Main_SKU[SKU name_gom])</f>
        <v>iSS01</v>
      </c>
    </row>
    <row r="1175" spans="1:13" x14ac:dyDescent="0.35">
      <c r="A1175">
        <v>2026</v>
      </c>
      <c r="B1175">
        <v>3</v>
      </c>
      <c r="C1175" t="s">
        <v>16</v>
      </c>
      <c r="D1175" t="s">
        <v>17</v>
      </c>
      <c r="E1175" t="s">
        <v>40</v>
      </c>
      <c r="F1175" t="s">
        <v>41</v>
      </c>
      <c r="G1175" s="2">
        <v>0</v>
      </c>
      <c r="H1175" s="2">
        <v>3300.0000000000005</v>
      </c>
      <c r="I1175" s="2">
        <v>3300.0000000000005</v>
      </c>
      <c r="J1175" s="2">
        <v>0</v>
      </c>
      <c r="K1175" s="2">
        <v>3300.0000000000005</v>
      </c>
      <c r="L1175" s="2" t="str">
        <f>_xlfn.XLOOKUP(Data_Nhập[[#This Row],[Main SKU]],MD_Main_SKU[Main SKU],MD_Main_SKU[SKU name_gom])</f>
        <v>WSS01</v>
      </c>
      <c r="M1175" s="2" t="str">
        <f>_xlfn.XLOOKUP(Data_Nhập[[#This Row],[Material-Nhập]],MD_Main_SKU[Main SKU],MD_Main_SKU[SKU name_gom])</f>
        <v>WSS01-PL</v>
      </c>
    </row>
    <row r="1176" spans="1:13" x14ac:dyDescent="0.35">
      <c r="A1176">
        <v>2026</v>
      </c>
      <c r="B1176">
        <v>3</v>
      </c>
      <c r="C1176" t="s">
        <v>16</v>
      </c>
      <c r="D1176" t="s">
        <v>17</v>
      </c>
      <c r="E1176" t="s">
        <v>42</v>
      </c>
      <c r="F1176" t="s">
        <v>43</v>
      </c>
      <c r="G1176" s="2">
        <v>0</v>
      </c>
      <c r="H1176" s="2">
        <v>3300</v>
      </c>
      <c r="I1176" s="2">
        <v>3300</v>
      </c>
      <c r="J1176" s="2">
        <v>0</v>
      </c>
      <c r="K1176" s="2">
        <v>3300</v>
      </c>
      <c r="L1176" s="2" t="str">
        <f>_xlfn.XLOOKUP(Data_Nhập[[#This Row],[Main SKU]],MD_Main_SKU[Main SKU],MD_Main_SKU[SKU name_gom])</f>
        <v>WSS01</v>
      </c>
      <c r="M1176" s="2" t="str">
        <f>_xlfn.XLOOKUP(Data_Nhập[[#This Row],[Material-Nhập]],MD_Main_SKU[Main SKU],MD_Main_SKU[SKU name_gom])</f>
        <v>iSS01-PL</v>
      </c>
    </row>
    <row r="1177" spans="1:13" x14ac:dyDescent="0.35">
      <c r="A1177">
        <v>2026</v>
      </c>
      <c r="B1177">
        <v>3</v>
      </c>
      <c r="C1177" t="s">
        <v>16</v>
      </c>
      <c r="D1177" t="s">
        <v>17</v>
      </c>
      <c r="E1177" t="s">
        <v>34</v>
      </c>
      <c r="F1177" t="s">
        <v>35</v>
      </c>
      <c r="G1177" s="2">
        <v>0</v>
      </c>
      <c r="H1177" s="2">
        <v>3300</v>
      </c>
      <c r="I1177" s="2">
        <v>3300</v>
      </c>
      <c r="J1177" s="2">
        <v>0</v>
      </c>
      <c r="K1177" s="2">
        <v>3300</v>
      </c>
      <c r="L1177" s="2" t="str">
        <f>_xlfn.XLOOKUP(Data_Nhập[[#This Row],[Main SKU]],MD_Main_SKU[Main SKU],MD_Main_SKU[SKU name_gom])</f>
        <v>WSS01</v>
      </c>
      <c r="M1177" s="2" t="str">
        <f>_xlfn.XLOOKUP(Data_Nhập[[#This Row],[Material-Nhập]],MD_Main_SKU[Main SKU],MD_Main_SKU[SKU name_gom])</f>
        <v>WSS03-PL</v>
      </c>
    </row>
    <row r="1178" spans="1:13" x14ac:dyDescent="0.35">
      <c r="A1178">
        <v>2026</v>
      </c>
      <c r="B1178">
        <v>3</v>
      </c>
      <c r="C1178" t="s">
        <v>16</v>
      </c>
      <c r="D1178" t="s">
        <v>17</v>
      </c>
      <c r="E1178" t="s">
        <v>87</v>
      </c>
      <c r="F1178" t="s">
        <v>88</v>
      </c>
      <c r="G1178" s="2">
        <v>0</v>
      </c>
      <c r="H1178" s="2">
        <v>0</v>
      </c>
      <c r="I1178" s="2">
        <v>0</v>
      </c>
      <c r="J1178" s="2">
        <v>40434.999999999985</v>
      </c>
      <c r="K1178" s="2">
        <v>40434.999999999985</v>
      </c>
      <c r="L1178" s="2" t="str">
        <f>_xlfn.XLOOKUP(Data_Nhập[[#This Row],[Main SKU]],MD_Main_SKU[Main SKU],MD_Main_SKU[SKU name_gom])</f>
        <v>WSS01</v>
      </c>
      <c r="M1178" s="2" t="str">
        <f>_xlfn.XLOOKUP(Data_Nhập[[#This Row],[Material-Nhập]],MD_Main_SKU[Main SKU],MD_Main_SKU[SKU name_gom])</f>
        <v>Phó sản</v>
      </c>
    </row>
    <row r="1179" spans="1:13" x14ac:dyDescent="0.35">
      <c r="A1179">
        <v>2026</v>
      </c>
      <c r="B1179">
        <v>3</v>
      </c>
      <c r="C1179" t="s">
        <v>16</v>
      </c>
      <c r="D1179" t="s">
        <v>17</v>
      </c>
      <c r="E1179" t="s">
        <v>91</v>
      </c>
      <c r="F1179" t="s">
        <v>92</v>
      </c>
      <c r="G1179" s="2">
        <v>0</v>
      </c>
      <c r="H1179" s="2">
        <v>0</v>
      </c>
      <c r="I1179" s="2">
        <v>0</v>
      </c>
      <c r="J1179" s="2">
        <v>1100</v>
      </c>
      <c r="K1179" s="2">
        <v>1100</v>
      </c>
      <c r="L1179" s="2" t="str">
        <f>_xlfn.XLOOKUP(Data_Nhập[[#This Row],[Main SKU]],MD_Main_SKU[Main SKU],MD_Main_SKU[SKU name_gom])</f>
        <v>WSS01</v>
      </c>
      <c r="M1179" s="2" t="str">
        <f>_xlfn.XLOOKUP(Data_Nhập[[#This Row],[Material-Nhập]],MD_Main_SKU[Main SKU],MD_Main_SKU[SKU name_gom])</f>
        <v>Phó sản</v>
      </c>
    </row>
    <row r="1180" spans="1:13" x14ac:dyDescent="0.35">
      <c r="A1180">
        <v>2026</v>
      </c>
      <c r="B1180">
        <v>3</v>
      </c>
      <c r="C1180" t="s">
        <v>16</v>
      </c>
      <c r="D1180" t="s">
        <v>17</v>
      </c>
      <c r="E1180" t="s">
        <v>93</v>
      </c>
      <c r="F1180" t="s">
        <v>94</v>
      </c>
      <c r="G1180" s="2">
        <v>0</v>
      </c>
      <c r="H1180" s="2">
        <v>0</v>
      </c>
      <c r="I1180" s="2">
        <v>0</v>
      </c>
      <c r="J1180" s="2">
        <v>264</v>
      </c>
      <c r="K1180" s="2">
        <v>264</v>
      </c>
      <c r="L1180" s="2" t="str">
        <f>_xlfn.XLOOKUP(Data_Nhập[[#This Row],[Main SKU]],MD_Main_SKU[Main SKU],MD_Main_SKU[SKU name_gom])</f>
        <v>WSS01</v>
      </c>
      <c r="M1180" s="2" t="str">
        <f>_xlfn.XLOOKUP(Data_Nhập[[#This Row],[Material-Nhập]],MD_Main_SKU[Main SKU],MD_Main_SKU[SKU name_gom])</f>
        <v>Phó sản</v>
      </c>
    </row>
    <row r="1181" spans="1:13" x14ac:dyDescent="0.35">
      <c r="A1181">
        <v>2026</v>
      </c>
      <c r="B1181">
        <v>3</v>
      </c>
      <c r="C1181" t="s">
        <v>16</v>
      </c>
      <c r="D1181" t="s">
        <v>17</v>
      </c>
      <c r="E1181" t="s">
        <v>117</v>
      </c>
      <c r="F1181" t="s">
        <v>86</v>
      </c>
      <c r="G1181" s="2">
        <v>0</v>
      </c>
      <c r="H1181" s="2">
        <v>0</v>
      </c>
      <c r="I1181" s="2">
        <v>0</v>
      </c>
      <c r="J1181" s="2">
        <v>21433</v>
      </c>
      <c r="K1181" s="2">
        <v>21433</v>
      </c>
      <c r="L1181" s="2" t="str">
        <f>_xlfn.XLOOKUP(Data_Nhập[[#This Row],[Main SKU]],MD_Main_SKU[Main SKU],MD_Main_SKU[SKU name_gom])</f>
        <v>WSS01</v>
      </c>
      <c r="M1181" s="2" t="str">
        <f>_xlfn.XLOOKUP(Data_Nhập[[#This Row],[Material-Nhập]],MD_Main_SKU[Main SKU],MD_Main_SKU[SKU name_gom])</f>
        <v>Phó sản</v>
      </c>
    </row>
    <row r="1182" spans="1:13" x14ac:dyDescent="0.35">
      <c r="A1182">
        <v>2026</v>
      </c>
      <c r="B1182">
        <v>3</v>
      </c>
      <c r="C1182" t="s">
        <v>16</v>
      </c>
      <c r="D1182" t="s">
        <v>17</v>
      </c>
      <c r="E1182" t="s">
        <v>128</v>
      </c>
      <c r="F1182" t="s">
        <v>129</v>
      </c>
      <c r="G1182" s="2">
        <v>0</v>
      </c>
      <c r="H1182" s="2">
        <v>0</v>
      </c>
      <c r="I1182" s="2">
        <v>0</v>
      </c>
      <c r="J1182" s="2">
        <v>6600</v>
      </c>
      <c r="K1182" s="2">
        <v>6600</v>
      </c>
      <c r="L1182" s="2" t="str">
        <f>_xlfn.XLOOKUP(Data_Nhập[[#This Row],[Main SKU]],MD_Main_SKU[Main SKU],MD_Main_SKU[SKU name_gom])</f>
        <v>WSS01</v>
      </c>
      <c r="M1182" s="2" t="str">
        <f>_xlfn.XLOOKUP(Data_Nhập[[#This Row],[Material-Nhập]],MD_Main_SKU[Main SKU],MD_Main_SKU[SKU name_gom])</f>
        <v>Phó sản</v>
      </c>
    </row>
    <row r="1183" spans="1:13" x14ac:dyDescent="0.35">
      <c r="A1183">
        <v>2026</v>
      </c>
      <c r="B1183">
        <v>3</v>
      </c>
      <c r="C1183" t="s">
        <v>18</v>
      </c>
      <c r="D1183" t="s">
        <v>19</v>
      </c>
      <c r="E1183" t="s">
        <v>16</v>
      </c>
      <c r="F1183" t="s">
        <v>17</v>
      </c>
      <c r="G1183" s="2">
        <v>0</v>
      </c>
      <c r="H1183" s="2">
        <v>1100</v>
      </c>
      <c r="I1183" s="2">
        <v>1100</v>
      </c>
      <c r="J1183" s="2">
        <v>0</v>
      </c>
      <c r="K1183" s="2">
        <v>1100</v>
      </c>
      <c r="L1183" s="2" t="str">
        <f>_xlfn.XLOOKUP(Data_Nhập[[#This Row],[Main SKU]],MD_Main_SKU[Main SKU],MD_Main_SKU[SKU name_gom])</f>
        <v>iSS01</v>
      </c>
      <c r="M1183" s="2" t="str">
        <f>_xlfn.XLOOKUP(Data_Nhập[[#This Row],[Material-Nhập]],MD_Main_SKU[Main SKU],MD_Main_SKU[SKU name_gom])</f>
        <v>WSS01</v>
      </c>
    </row>
    <row r="1184" spans="1:13" x14ac:dyDescent="0.35">
      <c r="A1184">
        <v>2026</v>
      </c>
      <c r="B1184">
        <v>3</v>
      </c>
      <c r="C1184" t="s">
        <v>18</v>
      </c>
      <c r="D1184" t="s">
        <v>19</v>
      </c>
      <c r="E1184" t="s">
        <v>18</v>
      </c>
      <c r="F1184" t="s">
        <v>19</v>
      </c>
      <c r="G1184" s="2">
        <v>195800</v>
      </c>
      <c r="H1184" s="2">
        <v>0</v>
      </c>
      <c r="I1184" s="2">
        <v>195800</v>
      </c>
      <c r="J1184" s="2">
        <v>0</v>
      </c>
      <c r="K1184" s="2">
        <v>195800</v>
      </c>
      <c r="L1184" s="2" t="str">
        <f>_xlfn.XLOOKUP(Data_Nhập[[#This Row],[Main SKU]],MD_Main_SKU[Main SKU],MD_Main_SKU[SKU name_gom])</f>
        <v>iSS01</v>
      </c>
      <c r="M1184" s="2" t="str">
        <f>_xlfn.XLOOKUP(Data_Nhập[[#This Row],[Material-Nhập]],MD_Main_SKU[Main SKU],MD_Main_SKU[SKU name_gom])</f>
        <v>iSS01</v>
      </c>
    </row>
    <row r="1185" spans="1:13" x14ac:dyDescent="0.35">
      <c r="A1185">
        <v>2026</v>
      </c>
      <c r="B1185">
        <v>3</v>
      </c>
      <c r="C1185" t="s">
        <v>18</v>
      </c>
      <c r="D1185" t="s">
        <v>19</v>
      </c>
      <c r="E1185" t="s">
        <v>42</v>
      </c>
      <c r="F1185" t="s">
        <v>43</v>
      </c>
      <c r="G1185" s="2">
        <v>0</v>
      </c>
      <c r="H1185" s="2">
        <v>1100</v>
      </c>
      <c r="I1185" s="2">
        <v>1100</v>
      </c>
      <c r="J1185" s="2">
        <v>0</v>
      </c>
      <c r="K1185" s="2">
        <v>1100</v>
      </c>
      <c r="L1185" s="2" t="str">
        <f>_xlfn.XLOOKUP(Data_Nhập[[#This Row],[Main SKU]],MD_Main_SKU[Main SKU],MD_Main_SKU[SKU name_gom])</f>
        <v>iSS01</v>
      </c>
      <c r="M1185" s="2" t="str">
        <f>_xlfn.XLOOKUP(Data_Nhập[[#This Row],[Material-Nhập]],MD_Main_SKU[Main SKU],MD_Main_SKU[SKU name_gom])</f>
        <v>iSS01-PL</v>
      </c>
    </row>
    <row r="1186" spans="1:13" x14ac:dyDescent="0.35">
      <c r="A1186">
        <v>2026</v>
      </c>
      <c r="B1186">
        <v>3</v>
      </c>
      <c r="C1186" t="s">
        <v>18</v>
      </c>
      <c r="D1186" t="s">
        <v>19</v>
      </c>
      <c r="E1186" t="s">
        <v>87</v>
      </c>
      <c r="F1186" t="s">
        <v>88</v>
      </c>
      <c r="G1186" s="2">
        <v>0</v>
      </c>
      <c r="H1186" s="2">
        <v>0</v>
      </c>
      <c r="I1186" s="2">
        <v>0</v>
      </c>
      <c r="J1186" s="2">
        <v>3342.0000000000005</v>
      </c>
      <c r="K1186" s="2">
        <v>3342.0000000000005</v>
      </c>
      <c r="L1186" s="2" t="str">
        <f>_xlfn.XLOOKUP(Data_Nhập[[#This Row],[Main SKU]],MD_Main_SKU[Main SKU],MD_Main_SKU[SKU name_gom])</f>
        <v>iSS01</v>
      </c>
      <c r="M1186" s="2" t="str">
        <f>_xlfn.XLOOKUP(Data_Nhập[[#This Row],[Material-Nhập]],MD_Main_SKU[Main SKU],MD_Main_SKU[SKU name_gom])</f>
        <v>Phó sản</v>
      </c>
    </row>
    <row r="1187" spans="1:13" x14ac:dyDescent="0.35">
      <c r="A1187">
        <v>2026</v>
      </c>
      <c r="B1187">
        <v>3</v>
      </c>
      <c r="C1187" t="s">
        <v>18</v>
      </c>
      <c r="D1187" t="s">
        <v>19</v>
      </c>
      <c r="E1187" t="s">
        <v>117</v>
      </c>
      <c r="F1187" t="s">
        <v>86</v>
      </c>
      <c r="G1187" s="2">
        <v>0</v>
      </c>
      <c r="H1187" s="2">
        <v>0</v>
      </c>
      <c r="I1187" s="2">
        <v>0</v>
      </c>
      <c r="J1187" s="2">
        <v>1575.0000000000002</v>
      </c>
      <c r="K1187" s="2">
        <v>1575.0000000000002</v>
      </c>
      <c r="L1187" s="2" t="str">
        <f>_xlfn.XLOOKUP(Data_Nhập[[#This Row],[Main SKU]],MD_Main_SKU[Main SKU],MD_Main_SKU[SKU name_gom])</f>
        <v>iSS01</v>
      </c>
      <c r="M1187" s="2" t="str">
        <f>_xlfn.XLOOKUP(Data_Nhập[[#This Row],[Material-Nhập]],MD_Main_SKU[Main SKU],MD_Main_SKU[SKU name_gom])</f>
        <v>Phó sản</v>
      </c>
    </row>
    <row r="1188" spans="1:13" x14ac:dyDescent="0.35">
      <c r="A1188">
        <v>2026</v>
      </c>
      <c r="B1188">
        <v>3</v>
      </c>
      <c r="C1188" t="s">
        <v>18</v>
      </c>
      <c r="D1188" t="s">
        <v>19</v>
      </c>
      <c r="E1188" t="s">
        <v>144</v>
      </c>
      <c r="F1188" t="s">
        <v>145</v>
      </c>
      <c r="G1188" s="2">
        <v>0</v>
      </c>
      <c r="H1188" s="2">
        <v>0</v>
      </c>
      <c r="I1188" s="2">
        <v>0</v>
      </c>
      <c r="J1188" s="2">
        <v>670</v>
      </c>
      <c r="K1188" s="2">
        <v>670</v>
      </c>
      <c r="L1188" s="2" t="str">
        <f>_xlfn.XLOOKUP(Data_Nhập[[#This Row],[Main SKU]],MD_Main_SKU[Main SKU],MD_Main_SKU[SKU name_gom])</f>
        <v>iSS01</v>
      </c>
      <c r="M1188" s="2" t="str">
        <f>_xlfn.XLOOKUP(Data_Nhập[[#This Row],[Material-Nhập]],MD_Main_SKU[Main SKU],MD_Main_SKU[SKU name_gom])</f>
        <v>Phó sản</v>
      </c>
    </row>
    <row r="1189" spans="1:13" x14ac:dyDescent="0.35">
      <c r="A1189">
        <v>2026</v>
      </c>
      <c r="B1189">
        <v>3</v>
      </c>
      <c r="C1189" t="s">
        <v>22</v>
      </c>
      <c r="D1189" t="s">
        <v>23</v>
      </c>
      <c r="E1189" t="s">
        <v>22</v>
      </c>
      <c r="F1189" t="s">
        <v>23</v>
      </c>
      <c r="G1189" s="2">
        <v>248600.00000000003</v>
      </c>
      <c r="H1189" s="2">
        <v>0</v>
      </c>
      <c r="I1189" s="2">
        <v>248600.00000000003</v>
      </c>
      <c r="J1189" s="2">
        <v>0</v>
      </c>
      <c r="K1189" s="2">
        <v>248600.00000000003</v>
      </c>
      <c r="L1189" s="2" t="str">
        <f>_xlfn.XLOOKUP(Data_Nhập[[#This Row],[Main SKU]],MD_Main_SKU[Main SKU],MD_Main_SKU[SKU name_gom])</f>
        <v>WSS03</v>
      </c>
      <c r="M1189" s="2" t="str">
        <f>_xlfn.XLOOKUP(Data_Nhập[[#This Row],[Material-Nhập]],MD_Main_SKU[Main SKU],MD_Main_SKU[SKU name_gom])</f>
        <v>WSS03</v>
      </c>
    </row>
    <row r="1190" spans="1:13" x14ac:dyDescent="0.35">
      <c r="A1190">
        <v>2026</v>
      </c>
      <c r="B1190">
        <v>3</v>
      </c>
      <c r="C1190" t="s">
        <v>22</v>
      </c>
      <c r="D1190" t="s">
        <v>23</v>
      </c>
      <c r="E1190" t="s">
        <v>34</v>
      </c>
      <c r="F1190" t="s">
        <v>35</v>
      </c>
      <c r="G1190" s="2">
        <v>0</v>
      </c>
      <c r="H1190" s="2">
        <v>23100</v>
      </c>
      <c r="I1190" s="2">
        <v>23100</v>
      </c>
      <c r="J1190" s="2">
        <v>0</v>
      </c>
      <c r="K1190" s="2">
        <v>23100</v>
      </c>
      <c r="L1190" s="2" t="str">
        <f>_xlfn.XLOOKUP(Data_Nhập[[#This Row],[Main SKU]],MD_Main_SKU[Main SKU],MD_Main_SKU[SKU name_gom])</f>
        <v>WSS03</v>
      </c>
      <c r="M1190" s="2" t="str">
        <f>_xlfn.XLOOKUP(Data_Nhập[[#This Row],[Material-Nhập]],MD_Main_SKU[Main SKU],MD_Main_SKU[SKU name_gom])</f>
        <v>WSS03-PL</v>
      </c>
    </row>
    <row r="1191" spans="1:13" x14ac:dyDescent="0.35">
      <c r="A1191">
        <v>2026</v>
      </c>
      <c r="B1191">
        <v>3</v>
      </c>
      <c r="C1191" t="s">
        <v>22</v>
      </c>
      <c r="D1191" t="s">
        <v>23</v>
      </c>
      <c r="E1191" t="s">
        <v>87</v>
      </c>
      <c r="F1191" t="s">
        <v>88</v>
      </c>
      <c r="G1191" s="2">
        <v>0</v>
      </c>
      <c r="H1191" s="2">
        <v>0</v>
      </c>
      <c r="I1191" s="2">
        <v>0</v>
      </c>
      <c r="J1191" s="2">
        <v>1650</v>
      </c>
      <c r="K1191" s="2">
        <v>1650</v>
      </c>
      <c r="L1191" s="2" t="str">
        <f>_xlfn.XLOOKUP(Data_Nhập[[#This Row],[Main SKU]],MD_Main_SKU[Main SKU],MD_Main_SKU[SKU name_gom])</f>
        <v>WSS03</v>
      </c>
      <c r="M1191" s="2" t="str">
        <f>_xlfn.XLOOKUP(Data_Nhập[[#This Row],[Material-Nhập]],MD_Main_SKU[Main SKU],MD_Main_SKU[SKU name_gom])</f>
        <v>Phó sản</v>
      </c>
    </row>
    <row r="1192" spans="1:13" x14ac:dyDescent="0.35">
      <c r="A1192">
        <v>2026</v>
      </c>
      <c r="B1192">
        <v>3</v>
      </c>
      <c r="C1192" t="s">
        <v>22</v>
      </c>
      <c r="D1192" t="s">
        <v>23</v>
      </c>
      <c r="E1192" t="s">
        <v>117</v>
      </c>
      <c r="F1192" t="s">
        <v>86</v>
      </c>
      <c r="G1192" s="2">
        <v>0</v>
      </c>
      <c r="H1192" s="2">
        <v>0</v>
      </c>
      <c r="I1192" s="2">
        <v>0</v>
      </c>
      <c r="J1192" s="2">
        <v>4687.9999999999991</v>
      </c>
      <c r="K1192" s="2">
        <v>4687.9999999999991</v>
      </c>
      <c r="L1192" s="2" t="str">
        <f>_xlfn.XLOOKUP(Data_Nhập[[#This Row],[Main SKU]],MD_Main_SKU[Main SKU],MD_Main_SKU[SKU name_gom])</f>
        <v>WSS03</v>
      </c>
      <c r="M1192" s="2" t="str">
        <f>_xlfn.XLOOKUP(Data_Nhập[[#This Row],[Material-Nhập]],MD_Main_SKU[Main SKU],MD_Main_SKU[SKU name_gom])</f>
        <v>Phó sản</v>
      </c>
    </row>
    <row r="1193" spans="1:13" x14ac:dyDescent="0.35">
      <c r="A1193">
        <v>2026</v>
      </c>
      <c r="B1193">
        <v>3</v>
      </c>
      <c r="C1193" t="s">
        <v>22</v>
      </c>
      <c r="D1193" t="s">
        <v>23</v>
      </c>
      <c r="E1193" t="s">
        <v>138</v>
      </c>
      <c r="F1193" t="s">
        <v>139</v>
      </c>
      <c r="G1193" s="2">
        <v>0</v>
      </c>
      <c r="H1193" s="2">
        <v>0</v>
      </c>
      <c r="I1193" s="2">
        <v>0</v>
      </c>
      <c r="J1193" s="2">
        <v>1100</v>
      </c>
      <c r="K1193" s="2">
        <v>1100</v>
      </c>
      <c r="L1193" s="2" t="str">
        <f>_xlfn.XLOOKUP(Data_Nhập[[#This Row],[Main SKU]],MD_Main_SKU[Main SKU],MD_Main_SKU[SKU name_gom])</f>
        <v>WSS03</v>
      </c>
      <c r="M1193" s="2" t="str">
        <f>_xlfn.XLOOKUP(Data_Nhập[[#This Row],[Material-Nhập]],MD_Main_SKU[Main SKU],MD_Main_SKU[SKU name_gom])</f>
        <v>Phó sản</v>
      </c>
    </row>
    <row r="1194" spans="1:13" x14ac:dyDescent="0.35">
      <c r="A1194">
        <v>2026</v>
      </c>
      <c r="B1194">
        <v>3</v>
      </c>
      <c r="C1194" t="s">
        <v>26</v>
      </c>
      <c r="D1194" t="s">
        <v>27</v>
      </c>
      <c r="E1194" t="s">
        <v>22</v>
      </c>
      <c r="F1194" t="s">
        <v>23</v>
      </c>
      <c r="G1194" s="2">
        <v>0</v>
      </c>
      <c r="H1194" s="2">
        <v>5499.9999999999991</v>
      </c>
      <c r="I1194" s="2">
        <v>5499.9999999999991</v>
      </c>
      <c r="J1194" s="2">
        <v>0</v>
      </c>
      <c r="K1194" s="2">
        <v>5499.9999999999991</v>
      </c>
      <c r="L1194" s="2" t="str">
        <f>_xlfn.XLOOKUP(Data_Nhập[[#This Row],[Main SKU]],MD_Main_SKU[Main SKU],MD_Main_SKU[SKU name_gom])</f>
        <v>iSS01</v>
      </c>
      <c r="M1194" s="2" t="str">
        <f>_xlfn.XLOOKUP(Data_Nhập[[#This Row],[Material-Nhập]],MD_Main_SKU[Main SKU],MD_Main_SKU[SKU name_gom])</f>
        <v>WSS03</v>
      </c>
    </row>
    <row r="1195" spans="1:13" x14ac:dyDescent="0.35">
      <c r="A1195">
        <v>2026</v>
      </c>
      <c r="B1195">
        <v>3</v>
      </c>
      <c r="C1195" t="s">
        <v>26</v>
      </c>
      <c r="D1195" t="s">
        <v>27</v>
      </c>
      <c r="E1195" t="s">
        <v>24</v>
      </c>
      <c r="F1195" t="s">
        <v>25</v>
      </c>
      <c r="G1195" s="2">
        <v>0</v>
      </c>
      <c r="H1195" s="2">
        <v>36300</v>
      </c>
      <c r="I1195" s="2">
        <v>36300</v>
      </c>
      <c r="J1195" s="2">
        <v>0</v>
      </c>
      <c r="K1195" s="2">
        <v>36300</v>
      </c>
      <c r="L1195" s="2" t="str">
        <f>_xlfn.XLOOKUP(Data_Nhập[[#This Row],[Main SKU]],MD_Main_SKU[Main SKU],MD_Main_SKU[SKU name_gom])</f>
        <v>iSS01</v>
      </c>
      <c r="M1195" s="2" t="str">
        <f>_xlfn.XLOOKUP(Data_Nhập[[#This Row],[Material-Nhập]],MD_Main_SKU[Main SKU],MD_Main_SKU[SKU name_gom])</f>
        <v>WSS01</v>
      </c>
    </row>
    <row r="1196" spans="1:13" x14ac:dyDescent="0.35">
      <c r="A1196">
        <v>2026</v>
      </c>
      <c r="B1196">
        <v>3</v>
      </c>
      <c r="C1196" t="s">
        <v>26</v>
      </c>
      <c r="D1196" t="s">
        <v>27</v>
      </c>
      <c r="E1196" t="s">
        <v>26</v>
      </c>
      <c r="F1196" t="s">
        <v>27</v>
      </c>
      <c r="G1196" s="2">
        <v>514799.99999999994</v>
      </c>
      <c r="H1196" s="2">
        <v>1100</v>
      </c>
      <c r="I1196" s="2">
        <v>515899.99999999994</v>
      </c>
      <c r="J1196" s="2">
        <v>0</v>
      </c>
      <c r="K1196" s="2">
        <v>515899.99999999994</v>
      </c>
      <c r="L1196" s="2" t="str">
        <f>_xlfn.XLOOKUP(Data_Nhập[[#This Row],[Main SKU]],MD_Main_SKU[Main SKU],MD_Main_SKU[SKU name_gom])</f>
        <v>iSS01</v>
      </c>
      <c r="M1196" s="2" t="str">
        <f>_xlfn.XLOOKUP(Data_Nhập[[#This Row],[Material-Nhập]],MD_Main_SKU[Main SKU],MD_Main_SKU[SKU name_gom])</f>
        <v>iSS01</v>
      </c>
    </row>
    <row r="1197" spans="1:13" x14ac:dyDescent="0.35">
      <c r="A1197">
        <v>2026</v>
      </c>
      <c r="B1197">
        <v>3</v>
      </c>
      <c r="C1197" t="s">
        <v>26</v>
      </c>
      <c r="D1197" t="s">
        <v>27</v>
      </c>
      <c r="E1197" t="s">
        <v>50</v>
      </c>
      <c r="F1197" t="s">
        <v>51</v>
      </c>
      <c r="G1197" s="2">
        <v>0</v>
      </c>
      <c r="H1197" s="2">
        <v>12100</v>
      </c>
      <c r="I1197" s="2">
        <v>12100</v>
      </c>
      <c r="J1197" s="2">
        <v>0</v>
      </c>
      <c r="K1197" s="2">
        <v>12100</v>
      </c>
      <c r="L1197" s="2" t="str">
        <f>_xlfn.XLOOKUP(Data_Nhập[[#This Row],[Main SKU]],MD_Main_SKU[Main SKU],MD_Main_SKU[SKU name_gom])</f>
        <v>iSS01</v>
      </c>
      <c r="M1197" s="2" t="str">
        <f>_xlfn.XLOOKUP(Data_Nhập[[#This Row],[Material-Nhập]],MD_Main_SKU[Main SKU],MD_Main_SKU[SKU name_gom])</f>
        <v>iSS01-PL</v>
      </c>
    </row>
    <row r="1198" spans="1:13" x14ac:dyDescent="0.35">
      <c r="A1198">
        <v>2026</v>
      </c>
      <c r="B1198">
        <v>3</v>
      </c>
      <c r="C1198" t="s">
        <v>26</v>
      </c>
      <c r="D1198" t="s">
        <v>27</v>
      </c>
      <c r="E1198" t="s">
        <v>87</v>
      </c>
      <c r="F1198" t="s">
        <v>88</v>
      </c>
      <c r="G1198" s="2">
        <v>0</v>
      </c>
      <c r="H1198" s="2">
        <v>0</v>
      </c>
      <c r="I1198" s="2">
        <v>0</v>
      </c>
      <c r="J1198" s="2">
        <v>20400</v>
      </c>
      <c r="K1198" s="2">
        <v>20400</v>
      </c>
      <c r="L1198" s="2" t="str">
        <f>_xlfn.XLOOKUP(Data_Nhập[[#This Row],[Main SKU]],MD_Main_SKU[Main SKU],MD_Main_SKU[SKU name_gom])</f>
        <v>iSS01</v>
      </c>
      <c r="M1198" s="2" t="str">
        <f>_xlfn.XLOOKUP(Data_Nhập[[#This Row],[Material-Nhập]],MD_Main_SKU[Main SKU],MD_Main_SKU[SKU name_gom])</f>
        <v>Phó sản</v>
      </c>
    </row>
    <row r="1199" spans="1:13" x14ac:dyDescent="0.35">
      <c r="A1199">
        <v>2026</v>
      </c>
      <c r="B1199">
        <v>3</v>
      </c>
      <c r="C1199" t="s">
        <v>26</v>
      </c>
      <c r="D1199" t="s">
        <v>27</v>
      </c>
      <c r="E1199" t="s">
        <v>117</v>
      </c>
      <c r="F1199" t="s">
        <v>86</v>
      </c>
      <c r="G1199" s="2">
        <v>0</v>
      </c>
      <c r="H1199" s="2">
        <v>0</v>
      </c>
      <c r="I1199" s="2">
        <v>0</v>
      </c>
      <c r="J1199" s="2">
        <v>5379</v>
      </c>
      <c r="K1199" s="2">
        <v>5379</v>
      </c>
      <c r="L1199" s="2" t="str">
        <f>_xlfn.XLOOKUP(Data_Nhập[[#This Row],[Main SKU]],MD_Main_SKU[Main SKU],MD_Main_SKU[SKU name_gom])</f>
        <v>iSS01</v>
      </c>
      <c r="M1199" s="2" t="str">
        <f>_xlfn.XLOOKUP(Data_Nhập[[#This Row],[Material-Nhập]],MD_Main_SKU[Main SKU],MD_Main_SKU[SKU name_gom])</f>
        <v>Phó sản</v>
      </c>
    </row>
    <row r="1200" spans="1:13" x14ac:dyDescent="0.35">
      <c r="A1200">
        <v>2026</v>
      </c>
      <c r="B1200">
        <v>3</v>
      </c>
      <c r="C1200" t="s">
        <v>26</v>
      </c>
      <c r="D1200" t="s">
        <v>27</v>
      </c>
      <c r="E1200" t="s">
        <v>62</v>
      </c>
      <c r="F1200" t="s">
        <v>63</v>
      </c>
      <c r="G1200" s="2">
        <v>0</v>
      </c>
      <c r="H1200" s="2">
        <v>3500</v>
      </c>
      <c r="I1200" s="2">
        <v>3500</v>
      </c>
      <c r="J1200" s="2">
        <v>0</v>
      </c>
      <c r="K1200" s="2">
        <v>3500</v>
      </c>
      <c r="L1200" s="2" t="str">
        <f>_xlfn.XLOOKUP(Data_Nhập[[#This Row],[Main SKU]],MD_Main_SKU[Main SKU],MD_Main_SKU[SKU name_gom])</f>
        <v>iSS01</v>
      </c>
      <c r="M1200" s="2" t="str">
        <f>_xlfn.XLOOKUP(Data_Nhập[[#This Row],[Material-Nhập]],MD_Main_SKU[Main SKU],MD_Main_SKU[SKU name_gom])</f>
        <v>Khác</v>
      </c>
    </row>
    <row r="1201" spans="1:13" x14ac:dyDescent="0.35">
      <c r="A1201">
        <v>2026</v>
      </c>
      <c r="B1201">
        <v>3</v>
      </c>
      <c r="C1201" t="s">
        <v>26</v>
      </c>
      <c r="D1201" t="s">
        <v>27</v>
      </c>
      <c r="E1201" t="s">
        <v>132</v>
      </c>
      <c r="F1201" t="s">
        <v>133</v>
      </c>
      <c r="G1201" s="2">
        <v>0</v>
      </c>
      <c r="H1201" s="2">
        <v>0</v>
      </c>
      <c r="I1201" s="2">
        <v>0</v>
      </c>
      <c r="J1201" s="2">
        <v>2200</v>
      </c>
      <c r="K1201" s="2">
        <v>2200</v>
      </c>
      <c r="L1201" s="2" t="str">
        <f>_xlfn.XLOOKUP(Data_Nhập[[#This Row],[Main SKU]],MD_Main_SKU[Main SKU],MD_Main_SKU[SKU name_gom])</f>
        <v>iSS01</v>
      </c>
      <c r="M1201" s="2" t="str">
        <f>_xlfn.XLOOKUP(Data_Nhập[[#This Row],[Material-Nhập]],MD_Main_SKU[Main SKU],MD_Main_SKU[SKU name_gom])</f>
        <v>Phó sản</v>
      </c>
    </row>
    <row r="1202" spans="1:13" x14ac:dyDescent="0.35">
      <c r="A1202">
        <v>2026</v>
      </c>
      <c r="B1202">
        <v>3</v>
      </c>
      <c r="C1202" t="s">
        <v>99</v>
      </c>
      <c r="D1202" t="s">
        <v>100</v>
      </c>
      <c r="E1202" t="s">
        <v>99</v>
      </c>
      <c r="F1202" t="s">
        <v>100</v>
      </c>
      <c r="G1202" s="2">
        <v>2323</v>
      </c>
      <c r="H1202" s="2">
        <v>0</v>
      </c>
      <c r="I1202" s="2">
        <v>2323</v>
      </c>
      <c r="J1202" s="2">
        <v>0</v>
      </c>
      <c r="K1202" s="2">
        <v>2323</v>
      </c>
      <c r="L1202" s="2" t="str">
        <f>_xlfn.XLOOKUP(Data_Nhập[[#This Row],[Main SKU]],MD_Main_SKU[Main SKU],MD_Main_SKU[SKU name_gom])</f>
        <v>WSS04</v>
      </c>
      <c r="M1202" s="2" t="str">
        <f>_xlfn.XLOOKUP(Data_Nhập[[#This Row],[Material-Nhập]],MD_Main_SKU[Main SKU],MD_Main_SKU[SKU name_gom])</f>
        <v>WSS04</v>
      </c>
    </row>
    <row r="1203" spans="1:13" x14ac:dyDescent="0.35">
      <c r="A1203">
        <v>2026</v>
      </c>
      <c r="B1203">
        <v>3</v>
      </c>
      <c r="C1203" t="s">
        <v>99</v>
      </c>
      <c r="D1203" t="s">
        <v>100</v>
      </c>
      <c r="E1203" t="s">
        <v>115</v>
      </c>
      <c r="F1203" t="s">
        <v>116</v>
      </c>
      <c r="G1203" s="2">
        <v>0</v>
      </c>
      <c r="H1203" s="2">
        <v>1693</v>
      </c>
      <c r="I1203" s="2">
        <v>1693</v>
      </c>
      <c r="J1203" s="2">
        <v>0</v>
      </c>
      <c r="K1203" s="2">
        <v>1693</v>
      </c>
      <c r="L1203" s="2" t="str">
        <f>_xlfn.XLOOKUP(Data_Nhập[[#This Row],[Main SKU]],MD_Main_SKU[Main SKU],MD_Main_SKU[SKU name_gom])</f>
        <v>WSS04</v>
      </c>
      <c r="M1203" s="2" t="str">
        <f>_xlfn.XLOOKUP(Data_Nhập[[#This Row],[Material-Nhập]],MD_Main_SKU[Main SKU],MD_Main_SKU[SKU name_gom])</f>
        <v>WSS05</v>
      </c>
    </row>
    <row r="1204" spans="1:13" x14ac:dyDescent="0.35">
      <c r="A1204">
        <v>2026</v>
      </c>
      <c r="B1204">
        <v>3</v>
      </c>
      <c r="C1204" t="s">
        <v>99</v>
      </c>
      <c r="D1204" t="s">
        <v>100</v>
      </c>
      <c r="E1204" t="s">
        <v>117</v>
      </c>
      <c r="F1204" t="s">
        <v>86</v>
      </c>
      <c r="G1204" s="2">
        <v>0</v>
      </c>
      <c r="H1204" s="2">
        <v>0</v>
      </c>
      <c r="I1204" s="2">
        <v>0</v>
      </c>
      <c r="J1204" s="2">
        <v>375</v>
      </c>
      <c r="K1204" s="2">
        <v>375</v>
      </c>
      <c r="L1204" s="2" t="str">
        <f>_xlfn.XLOOKUP(Data_Nhập[[#This Row],[Main SKU]],MD_Main_SKU[Main SKU],MD_Main_SKU[SKU name_gom])</f>
        <v>WSS04</v>
      </c>
      <c r="M1204" s="2" t="str">
        <f>_xlfn.XLOOKUP(Data_Nhập[[#This Row],[Material-Nhập]],MD_Main_SKU[Main SKU],MD_Main_SKU[SKU name_gom])</f>
        <v>Phó sản</v>
      </c>
    </row>
    <row r="1205" spans="1:13" x14ac:dyDescent="0.35">
      <c r="A1205">
        <v>2026</v>
      </c>
      <c r="B1205">
        <v>3</v>
      </c>
      <c r="C1205" t="s">
        <v>115</v>
      </c>
      <c r="D1205" t="s">
        <v>116</v>
      </c>
      <c r="E1205" t="s">
        <v>99</v>
      </c>
      <c r="F1205" t="s">
        <v>100</v>
      </c>
      <c r="G1205" s="2">
        <v>0</v>
      </c>
      <c r="H1205" s="2">
        <v>1050</v>
      </c>
      <c r="I1205" s="2">
        <v>1050</v>
      </c>
      <c r="J1205" s="2">
        <v>0</v>
      </c>
      <c r="K1205" s="2">
        <v>1050</v>
      </c>
      <c r="L1205" s="2" t="str">
        <f>_xlfn.XLOOKUP(Data_Nhập[[#This Row],[Main SKU]],MD_Main_SKU[Main SKU],MD_Main_SKU[SKU name_gom])</f>
        <v>WSS05</v>
      </c>
      <c r="M1205" s="2" t="str">
        <f>_xlfn.XLOOKUP(Data_Nhập[[#This Row],[Material-Nhập]],MD_Main_SKU[Main SKU],MD_Main_SKU[SKU name_gom])</f>
        <v>WSS04</v>
      </c>
    </row>
    <row r="1206" spans="1:13" x14ac:dyDescent="0.35">
      <c r="A1206">
        <v>2026</v>
      </c>
      <c r="B1206">
        <v>3</v>
      </c>
      <c r="C1206" t="s">
        <v>115</v>
      </c>
      <c r="D1206" t="s">
        <v>116</v>
      </c>
      <c r="E1206" t="s">
        <v>115</v>
      </c>
      <c r="F1206" t="s">
        <v>116</v>
      </c>
      <c r="G1206" s="2">
        <v>50750</v>
      </c>
      <c r="H1206" s="2">
        <v>0</v>
      </c>
      <c r="I1206" s="2">
        <v>50750</v>
      </c>
      <c r="J1206" s="2">
        <v>0</v>
      </c>
      <c r="K1206" s="2">
        <v>50750</v>
      </c>
      <c r="L1206" s="2" t="str">
        <f>_xlfn.XLOOKUP(Data_Nhập[[#This Row],[Main SKU]],MD_Main_SKU[Main SKU],MD_Main_SKU[SKU name_gom])</f>
        <v>WSS05</v>
      </c>
      <c r="M1206" s="2" t="str">
        <f>_xlfn.XLOOKUP(Data_Nhập[[#This Row],[Material-Nhập]],MD_Main_SKU[Main SKU],MD_Main_SKU[SKU name_gom])</f>
        <v>WSS05</v>
      </c>
    </row>
    <row r="1207" spans="1:13" x14ac:dyDescent="0.35">
      <c r="A1207">
        <v>2026</v>
      </c>
      <c r="B1207">
        <v>3</v>
      </c>
      <c r="C1207" t="s">
        <v>115</v>
      </c>
      <c r="D1207" t="s">
        <v>116</v>
      </c>
      <c r="E1207" t="s">
        <v>140</v>
      </c>
      <c r="F1207" t="s">
        <v>141</v>
      </c>
      <c r="G1207" s="2">
        <v>0</v>
      </c>
      <c r="H1207" s="2">
        <v>3505</v>
      </c>
      <c r="I1207" s="2">
        <v>3505</v>
      </c>
      <c r="J1207" s="2">
        <v>0</v>
      </c>
      <c r="K1207" s="2">
        <v>3505</v>
      </c>
      <c r="L1207" s="2" t="str">
        <f>_xlfn.XLOOKUP(Data_Nhập[[#This Row],[Main SKU]],MD_Main_SKU[Main SKU],MD_Main_SKU[SKU name_gom])</f>
        <v>WSS05</v>
      </c>
      <c r="M1207" s="2" t="str">
        <f>_xlfn.XLOOKUP(Data_Nhập[[#This Row],[Material-Nhập]],MD_Main_SKU[Main SKU],MD_Main_SKU[SKU name_gom])</f>
        <v>WSS05 PL</v>
      </c>
    </row>
    <row r="1208" spans="1:13" x14ac:dyDescent="0.35">
      <c r="A1208">
        <v>2026</v>
      </c>
      <c r="B1208">
        <v>3</v>
      </c>
      <c r="C1208" t="s">
        <v>115</v>
      </c>
      <c r="D1208" t="s">
        <v>116</v>
      </c>
      <c r="E1208" t="s">
        <v>87</v>
      </c>
      <c r="F1208" t="s">
        <v>88</v>
      </c>
      <c r="G1208" s="2">
        <v>0</v>
      </c>
      <c r="H1208" s="2">
        <v>0</v>
      </c>
      <c r="I1208" s="2">
        <v>0</v>
      </c>
      <c r="J1208" s="2">
        <v>1500</v>
      </c>
      <c r="K1208" s="2">
        <v>1500</v>
      </c>
      <c r="L1208" s="2" t="str">
        <f>_xlfn.XLOOKUP(Data_Nhập[[#This Row],[Main SKU]],MD_Main_SKU[Main SKU],MD_Main_SKU[SKU name_gom])</f>
        <v>WSS05</v>
      </c>
      <c r="M1208" s="2" t="str">
        <f>_xlfn.XLOOKUP(Data_Nhập[[#This Row],[Material-Nhập]],MD_Main_SKU[Main SKU],MD_Main_SKU[SKU name_gom])</f>
        <v>Phó sản</v>
      </c>
    </row>
    <row r="1209" spans="1:13" x14ac:dyDescent="0.35">
      <c r="A1209">
        <v>2026</v>
      </c>
      <c r="B1209">
        <v>3</v>
      </c>
      <c r="C1209" t="s">
        <v>115</v>
      </c>
      <c r="D1209" t="s">
        <v>116</v>
      </c>
      <c r="E1209" t="s">
        <v>117</v>
      </c>
      <c r="F1209" t="s">
        <v>86</v>
      </c>
      <c r="G1209" s="2">
        <v>0</v>
      </c>
      <c r="H1209" s="2">
        <v>0</v>
      </c>
      <c r="I1209" s="2">
        <v>0</v>
      </c>
      <c r="J1209" s="2">
        <v>1200</v>
      </c>
      <c r="K1209" s="2">
        <v>1200</v>
      </c>
      <c r="L1209" s="2" t="str">
        <f>_xlfn.XLOOKUP(Data_Nhập[[#This Row],[Main SKU]],MD_Main_SKU[Main SKU],MD_Main_SKU[SKU name_gom])</f>
        <v>WSS05</v>
      </c>
      <c r="M1209" s="2" t="str">
        <f>_xlfn.XLOOKUP(Data_Nhập[[#This Row],[Material-Nhập]],MD_Main_SKU[Main SKU],MD_Main_SKU[SKU name_gom])</f>
        <v>Phó sản</v>
      </c>
    </row>
    <row r="1210" spans="1:13" x14ac:dyDescent="0.35">
      <c r="A1210">
        <v>2026</v>
      </c>
      <c r="B1210">
        <v>4</v>
      </c>
      <c r="C1210" t="s">
        <v>14</v>
      </c>
      <c r="D1210" t="s">
        <v>15</v>
      </c>
      <c r="E1210" t="s">
        <v>14</v>
      </c>
      <c r="F1210" t="s">
        <v>15</v>
      </c>
      <c r="G1210" s="2">
        <v>850300.00000000012</v>
      </c>
      <c r="H1210" s="2">
        <v>0</v>
      </c>
      <c r="I1210" s="2">
        <v>850300.00000000012</v>
      </c>
      <c r="J1210" s="2">
        <v>0</v>
      </c>
      <c r="K1210" s="2">
        <v>850300.00000000012</v>
      </c>
      <c r="L1210" s="2" t="str">
        <f>_xlfn.XLOOKUP(Data_Nhập[[#This Row],[Main SKU]],MD_Main_SKU[Main SKU],MD_Main_SKU[SKU name_gom])</f>
        <v>iSS01084</v>
      </c>
      <c r="M1210" s="2" t="str">
        <f>_xlfn.XLOOKUP(Data_Nhập[[#This Row],[Material-Nhập]],MD_Main_SKU[Main SKU],MD_Main_SKU[SKU name_gom])</f>
        <v>iSS01084</v>
      </c>
    </row>
    <row r="1211" spans="1:13" x14ac:dyDescent="0.35">
      <c r="A1211">
        <v>2026</v>
      </c>
      <c r="B1211">
        <v>4</v>
      </c>
      <c r="C1211" t="s">
        <v>14</v>
      </c>
      <c r="D1211" t="s">
        <v>15</v>
      </c>
      <c r="E1211" t="s">
        <v>16</v>
      </c>
      <c r="F1211" t="s">
        <v>17</v>
      </c>
      <c r="G1211" s="2">
        <v>0</v>
      </c>
      <c r="H1211" s="2">
        <v>47300</v>
      </c>
      <c r="I1211" s="2">
        <v>47300</v>
      </c>
      <c r="J1211" s="2">
        <v>0</v>
      </c>
      <c r="K1211" s="2">
        <v>47300</v>
      </c>
      <c r="L1211" s="2" t="str">
        <f>_xlfn.XLOOKUP(Data_Nhập[[#This Row],[Main SKU]],MD_Main_SKU[Main SKU],MD_Main_SKU[SKU name_gom])</f>
        <v>iSS01084</v>
      </c>
      <c r="M1211" s="2" t="str">
        <f>_xlfn.XLOOKUP(Data_Nhập[[#This Row],[Material-Nhập]],MD_Main_SKU[Main SKU],MD_Main_SKU[SKU name_gom])</f>
        <v>WSS01</v>
      </c>
    </row>
    <row r="1212" spans="1:13" x14ac:dyDescent="0.35">
      <c r="A1212">
        <v>2026</v>
      </c>
      <c r="B1212">
        <v>4</v>
      </c>
      <c r="C1212" t="s">
        <v>14</v>
      </c>
      <c r="D1212" t="s">
        <v>15</v>
      </c>
      <c r="E1212" t="s">
        <v>18</v>
      </c>
      <c r="F1212" t="s">
        <v>19</v>
      </c>
      <c r="G1212" s="2">
        <v>0</v>
      </c>
      <c r="H1212" s="2">
        <v>13199.999999999998</v>
      </c>
      <c r="I1212" s="2">
        <v>13199.999999999998</v>
      </c>
      <c r="J1212" s="2">
        <v>0</v>
      </c>
      <c r="K1212" s="2">
        <v>13199.999999999998</v>
      </c>
      <c r="L1212" s="2" t="str">
        <f>_xlfn.XLOOKUP(Data_Nhập[[#This Row],[Main SKU]],MD_Main_SKU[Main SKU],MD_Main_SKU[SKU name_gom])</f>
        <v>iSS01084</v>
      </c>
      <c r="M1212" s="2" t="str">
        <f>_xlfn.XLOOKUP(Data_Nhập[[#This Row],[Material-Nhập]],MD_Main_SKU[Main SKU],MD_Main_SKU[SKU name_gom])</f>
        <v>iSS01</v>
      </c>
    </row>
    <row r="1213" spans="1:13" x14ac:dyDescent="0.35">
      <c r="A1213">
        <v>2026</v>
      </c>
      <c r="B1213">
        <v>4</v>
      </c>
      <c r="C1213" t="s">
        <v>14</v>
      </c>
      <c r="D1213" t="s">
        <v>15</v>
      </c>
      <c r="E1213" t="s">
        <v>22</v>
      </c>
      <c r="F1213" t="s">
        <v>23</v>
      </c>
      <c r="G1213" s="2">
        <v>0</v>
      </c>
      <c r="H1213" s="2">
        <v>13200</v>
      </c>
      <c r="I1213" s="2">
        <v>13200</v>
      </c>
      <c r="J1213" s="2">
        <v>0</v>
      </c>
      <c r="K1213" s="2">
        <v>13200</v>
      </c>
      <c r="L1213" s="2" t="str">
        <f>_xlfn.XLOOKUP(Data_Nhập[[#This Row],[Main SKU]],MD_Main_SKU[Main SKU],MD_Main_SKU[SKU name_gom])</f>
        <v>iSS01084</v>
      </c>
      <c r="M1213" s="2" t="str">
        <f>_xlfn.XLOOKUP(Data_Nhập[[#This Row],[Material-Nhập]],MD_Main_SKU[Main SKU],MD_Main_SKU[SKU name_gom])</f>
        <v>WSS03</v>
      </c>
    </row>
    <row r="1214" spans="1:13" x14ac:dyDescent="0.35">
      <c r="A1214">
        <v>2026</v>
      </c>
      <c r="B1214">
        <v>4</v>
      </c>
      <c r="C1214" t="s">
        <v>14</v>
      </c>
      <c r="D1214" t="s">
        <v>15</v>
      </c>
      <c r="E1214" t="s">
        <v>42</v>
      </c>
      <c r="F1214" t="s">
        <v>43</v>
      </c>
      <c r="G1214" s="2">
        <v>0</v>
      </c>
      <c r="H1214" s="2">
        <v>2200</v>
      </c>
      <c r="I1214" s="2">
        <v>2200</v>
      </c>
      <c r="J1214" s="2">
        <v>0</v>
      </c>
      <c r="K1214" s="2">
        <v>2200</v>
      </c>
      <c r="L1214" s="2" t="str">
        <f>_xlfn.XLOOKUP(Data_Nhập[[#This Row],[Main SKU]],MD_Main_SKU[Main SKU],MD_Main_SKU[SKU name_gom])</f>
        <v>iSS01084</v>
      </c>
      <c r="M1214" s="2" t="str">
        <f>_xlfn.XLOOKUP(Data_Nhập[[#This Row],[Material-Nhập]],MD_Main_SKU[Main SKU],MD_Main_SKU[SKU name_gom])</f>
        <v>iSS01-PL</v>
      </c>
    </row>
    <row r="1215" spans="1:13" x14ac:dyDescent="0.35">
      <c r="A1215">
        <v>2026</v>
      </c>
      <c r="B1215">
        <v>4</v>
      </c>
      <c r="C1215" t="s">
        <v>14</v>
      </c>
      <c r="D1215" t="s">
        <v>15</v>
      </c>
      <c r="E1215" t="s">
        <v>38</v>
      </c>
      <c r="F1215" t="s">
        <v>39</v>
      </c>
      <c r="G1215" s="2">
        <v>0</v>
      </c>
      <c r="H1215" s="2">
        <v>2200</v>
      </c>
      <c r="I1215" s="2">
        <v>2200</v>
      </c>
      <c r="J1215" s="2">
        <v>0</v>
      </c>
      <c r="K1215" s="2">
        <v>2200</v>
      </c>
      <c r="L1215" s="2" t="str">
        <f>_xlfn.XLOOKUP(Data_Nhập[[#This Row],[Main SKU]],MD_Main_SKU[Main SKU],MD_Main_SKU[SKU name_gom])</f>
        <v>iSS01084</v>
      </c>
      <c r="M1215" s="2" t="str">
        <f>_xlfn.XLOOKUP(Data_Nhập[[#This Row],[Material-Nhập]],MD_Main_SKU[Main SKU],MD_Main_SKU[SKU name_gom])</f>
        <v>iSS01084-PL</v>
      </c>
    </row>
    <row r="1216" spans="1:13" x14ac:dyDescent="0.35">
      <c r="A1216">
        <v>2026</v>
      </c>
      <c r="B1216">
        <v>4</v>
      </c>
      <c r="C1216" t="s">
        <v>14</v>
      </c>
      <c r="D1216" t="s">
        <v>15</v>
      </c>
      <c r="E1216" t="s">
        <v>34</v>
      </c>
      <c r="F1216" t="s">
        <v>35</v>
      </c>
      <c r="G1216" s="2">
        <v>0</v>
      </c>
      <c r="H1216" s="2">
        <v>2200</v>
      </c>
      <c r="I1216" s="2">
        <v>2200</v>
      </c>
      <c r="J1216" s="2">
        <v>0</v>
      </c>
      <c r="K1216" s="2">
        <v>2200</v>
      </c>
      <c r="L1216" s="2" t="str">
        <f>_xlfn.XLOOKUP(Data_Nhập[[#This Row],[Main SKU]],MD_Main_SKU[Main SKU],MD_Main_SKU[SKU name_gom])</f>
        <v>iSS01084</v>
      </c>
      <c r="M1216" s="2" t="str">
        <f>_xlfn.XLOOKUP(Data_Nhập[[#This Row],[Material-Nhập]],MD_Main_SKU[Main SKU],MD_Main_SKU[SKU name_gom])</f>
        <v>WSS03-PL</v>
      </c>
    </row>
    <row r="1217" spans="1:13" x14ac:dyDescent="0.35">
      <c r="A1217">
        <v>2026</v>
      </c>
      <c r="B1217">
        <v>4</v>
      </c>
      <c r="C1217" t="s">
        <v>14</v>
      </c>
      <c r="D1217" t="s">
        <v>15</v>
      </c>
      <c r="E1217" t="s">
        <v>87</v>
      </c>
      <c r="F1217" t="s">
        <v>88</v>
      </c>
      <c r="G1217" s="2">
        <v>0</v>
      </c>
      <c r="H1217" s="2">
        <v>0</v>
      </c>
      <c r="I1217" s="2">
        <v>0</v>
      </c>
      <c r="J1217" s="2">
        <v>7699.9999999999982</v>
      </c>
      <c r="K1217" s="2">
        <v>7699.9999999999982</v>
      </c>
      <c r="L1217" s="2" t="str">
        <f>_xlfn.XLOOKUP(Data_Nhập[[#This Row],[Main SKU]],MD_Main_SKU[Main SKU],MD_Main_SKU[SKU name_gom])</f>
        <v>iSS01084</v>
      </c>
      <c r="M1217" s="2" t="str">
        <f>_xlfn.XLOOKUP(Data_Nhập[[#This Row],[Material-Nhập]],MD_Main_SKU[Main SKU],MD_Main_SKU[SKU name_gom])</f>
        <v>Phó sản</v>
      </c>
    </row>
    <row r="1218" spans="1:13" x14ac:dyDescent="0.35">
      <c r="A1218">
        <v>2026</v>
      </c>
      <c r="B1218">
        <v>4</v>
      </c>
      <c r="C1218" t="s">
        <v>14</v>
      </c>
      <c r="D1218" t="s">
        <v>15</v>
      </c>
      <c r="E1218" t="s">
        <v>91</v>
      </c>
      <c r="F1218" t="s">
        <v>92</v>
      </c>
      <c r="G1218" s="2">
        <v>0</v>
      </c>
      <c r="H1218" s="2">
        <v>0</v>
      </c>
      <c r="I1218" s="2">
        <v>0</v>
      </c>
      <c r="J1218" s="2">
        <v>1100</v>
      </c>
      <c r="K1218" s="2">
        <v>1100</v>
      </c>
      <c r="L1218" s="2" t="str">
        <f>_xlfn.XLOOKUP(Data_Nhập[[#This Row],[Main SKU]],MD_Main_SKU[Main SKU],MD_Main_SKU[SKU name_gom])</f>
        <v>iSS01084</v>
      </c>
      <c r="M1218" s="2" t="str">
        <f>_xlfn.XLOOKUP(Data_Nhập[[#This Row],[Material-Nhập]],MD_Main_SKU[Main SKU],MD_Main_SKU[SKU name_gom])</f>
        <v>Phó sản</v>
      </c>
    </row>
    <row r="1219" spans="1:13" x14ac:dyDescent="0.35">
      <c r="A1219">
        <v>2026</v>
      </c>
      <c r="B1219">
        <v>4</v>
      </c>
      <c r="C1219" t="s">
        <v>14</v>
      </c>
      <c r="D1219" t="s">
        <v>15</v>
      </c>
      <c r="E1219" t="s">
        <v>117</v>
      </c>
      <c r="F1219" t="s">
        <v>86</v>
      </c>
      <c r="G1219" s="2">
        <v>0</v>
      </c>
      <c r="H1219" s="2">
        <v>0</v>
      </c>
      <c r="I1219" s="2">
        <v>0</v>
      </c>
      <c r="J1219" s="2">
        <v>11022.999999999998</v>
      </c>
      <c r="K1219" s="2">
        <v>11022.999999999998</v>
      </c>
      <c r="L1219" s="2" t="str">
        <f>_xlfn.XLOOKUP(Data_Nhập[[#This Row],[Main SKU]],MD_Main_SKU[Main SKU],MD_Main_SKU[SKU name_gom])</f>
        <v>iSS01084</v>
      </c>
      <c r="M1219" s="2" t="str">
        <f>_xlfn.XLOOKUP(Data_Nhập[[#This Row],[Material-Nhập]],MD_Main_SKU[Main SKU],MD_Main_SKU[SKU name_gom])</f>
        <v>Phó sản</v>
      </c>
    </row>
    <row r="1220" spans="1:13" x14ac:dyDescent="0.35">
      <c r="A1220">
        <v>2026</v>
      </c>
      <c r="B1220">
        <v>4</v>
      </c>
      <c r="C1220" t="s">
        <v>16</v>
      </c>
      <c r="D1220" t="s">
        <v>17</v>
      </c>
      <c r="E1220" t="s">
        <v>16</v>
      </c>
      <c r="F1220" t="s">
        <v>17</v>
      </c>
      <c r="G1220" s="2">
        <v>1982200.0000000005</v>
      </c>
      <c r="H1220" s="2">
        <v>0</v>
      </c>
      <c r="I1220" s="2">
        <v>1982200.0000000005</v>
      </c>
      <c r="J1220" s="2">
        <v>0</v>
      </c>
      <c r="K1220" s="2">
        <v>1982200.0000000005</v>
      </c>
      <c r="L1220" s="2" t="str">
        <f>_xlfn.XLOOKUP(Data_Nhập[[#This Row],[Main SKU]],MD_Main_SKU[Main SKU],MD_Main_SKU[SKU name_gom])</f>
        <v>WSS01</v>
      </c>
      <c r="M1220" s="2" t="str">
        <f>_xlfn.XLOOKUP(Data_Nhập[[#This Row],[Material-Nhập]],MD_Main_SKU[Main SKU],MD_Main_SKU[SKU name_gom])</f>
        <v>WSS01</v>
      </c>
    </row>
    <row r="1221" spans="1:13" x14ac:dyDescent="0.35">
      <c r="A1221">
        <v>2026</v>
      </c>
      <c r="B1221">
        <v>4</v>
      </c>
      <c r="C1221" t="s">
        <v>16</v>
      </c>
      <c r="D1221" t="s">
        <v>17</v>
      </c>
      <c r="E1221" t="s">
        <v>18</v>
      </c>
      <c r="F1221" t="s">
        <v>19</v>
      </c>
      <c r="G1221" s="2">
        <v>0</v>
      </c>
      <c r="H1221" s="2">
        <v>32999.999999999993</v>
      </c>
      <c r="I1221" s="2">
        <v>32999.999999999993</v>
      </c>
      <c r="J1221" s="2">
        <v>0</v>
      </c>
      <c r="K1221" s="2">
        <v>32999.999999999993</v>
      </c>
      <c r="L1221" s="2" t="str">
        <f>_xlfn.XLOOKUP(Data_Nhập[[#This Row],[Main SKU]],MD_Main_SKU[Main SKU],MD_Main_SKU[SKU name_gom])</f>
        <v>WSS01</v>
      </c>
      <c r="M1221" s="2" t="str">
        <f>_xlfn.XLOOKUP(Data_Nhập[[#This Row],[Material-Nhập]],MD_Main_SKU[Main SKU],MD_Main_SKU[SKU name_gom])</f>
        <v>iSS01</v>
      </c>
    </row>
    <row r="1222" spans="1:13" x14ac:dyDescent="0.35">
      <c r="A1222">
        <v>2026</v>
      </c>
      <c r="B1222">
        <v>4</v>
      </c>
      <c r="C1222" t="s">
        <v>16</v>
      </c>
      <c r="D1222" t="s">
        <v>17</v>
      </c>
      <c r="E1222" t="s">
        <v>22</v>
      </c>
      <c r="F1222" t="s">
        <v>23</v>
      </c>
      <c r="G1222" s="2">
        <v>0</v>
      </c>
      <c r="H1222" s="2">
        <v>39600</v>
      </c>
      <c r="I1222" s="2">
        <v>39600</v>
      </c>
      <c r="J1222" s="2">
        <v>0</v>
      </c>
      <c r="K1222" s="2">
        <v>39600</v>
      </c>
      <c r="L1222" s="2" t="str">
        <f>_xlfn.XLOOKUP(Data_Nhập[[#This Row],[Main SKU]],MD_Main_SKU[Main SKU],MD_Main_SKU[SKU name_gom])</f>
        <v>WSS01</v>
      </c>
      <c r="M1222" s="2" t="str">
        <f>_xlfn.XLOOKUP(Data_Nhập[[#This Row],[Material-Nhập]],MD_Main_SKU[Main SKU],MD_Main_SKU[SKU name_gom])</f>
        <v>WSS03</v>
      </c>
    </row>
    <row r="1223" spans="1:13" x14ac:dyDescent="0.35">
      <c r="A1223">
        <v>2026</v>
      </c>
      <c r="B1223">
        <v>4</v>
      </c>
      <c r="C1223" t="s">
        <v>16</v>
      </c>
      <c r="D1223" t="s">
        <v>17</v>
      </c>
      <c r="E1223" t="s">
        <v>40</v>
      </c>
      <c r="F1223" t="s">
        <v>41</v>
      </c>
      <c r="G1223" s="2">
        <v>0</v>
      </c>
      <c r="H1223" s="2">
        <v>5500.0000000000009</v>
      </c>
      <c r="I1223" s="2">
        <v>5500.0000000000009</v>
      </c>
      <c r="J1223" s="2">
        <v>0</v>
      </c>
      <c r="K1223" s="2">
        <v>5500.0000000000009</v>
      </c>
      <c r="L1223" s="2" t="str">
        <f>_xlfn.XLOOKUP(Data_Nhập[[#This Row],[Main SKU]],MD_Main_SKU[Main SKU],MD_Main_SKU[SKU name_gom])</f>
        <v>WSS01</v>
      </c>
      <c r="M1223" s="2" t="str">
        <f>_xlfn.XLOOKUP(Data_Nhập[[#This Row],[Material-Nhập]],MD_Main_SKU[Main SKU],MD_Main_SKU[SKU name_gom])</f>
        <v>WSS01-PL</v>
      </c>
    </row>
    <row r="1224" spans="1:13" x14ac:dyDescent="0.35">
      <c r="A1224">
        <v>2026</v>
      </c>
      <c r="B1224">
        <v>4</v>
      </c>
      <c r="C1224" t="s">
        <v>16</v>
      </c>
      <c r="D1224" t="s">
        <v>17</v>
      </c>
      <c r="E1224" t="s">
        <v>87</v>
      </c>
      <c r="F1224" t="s">
        <v>88</v>
      </c>
      <c r="G1224" s="2">
        <v>0</v>
      </c>
      <c r="H1224" s="2">
        <v>0</v>
      </c>
      <c r="I1224" s="2">
        <v>0</v>
      </c>
      <c r="J1224" s="2">
        <v>42136.000000000007</v>
      </c>
      <c r="K1224" s="2">
        <v>42136.000000000007</v>
      </c>
      <c r="L1224" s="2" t="str">
        <f>_xlfn.XLOOKUP(Data_Nhập[[#This Row],[Main SKU]],MD_Main_SKU[Main SKU],MD_Main_SKU[SKU name_gom])</f>
        <v>WSS01</v>
      </c>
      <c r="M1224" s="2" t="str">
        <f>_xlfn.XLOOKUP(Data_Nhập[[#This Row],[Material-Nhập]],MD_Main_SKU[Main SKU],MD_Main_SKU[SKU name_gom])</f>
        <v>Phó sản</v>
      </c>
    </row>
    <row r="1225" spans="1:13" x14ac:dyDescent="0.35">
      <c r="A1225">
        <v>2026</v>
      </c>
      <c r="B1225">
        <v>4</v>
      </c>
      <c r="C1225" t="s">
        <v>16</v>
      </c>
      <c r="D1225" t="s">
        <v>17</v>
      </c>
      <c r="E1225" t="s">
        <v>91</v>
      </c>
      <c r="F1225" t="s">
        <v>92</v>
      </c>
      <c r="G1225" s="2">
        <v>0</v>
      </c>
      <c r="H1225" s="2">
        <v>0</v>
      </c>
      <c r="I1225" s="2">
        <v>0</v>
      </c>
      <c r="J1225" s="2">
        <v>3299.9999999999995</v>
      </c>
      <c r="K1225" s="2">
        <v>3299.9999999999995</v>
      </c>
      <c r="L1225" s="2" t="str">
        <f>_xlfn.XLOOKUP(Data_Nhập[[#This Row],[Main SKU]],MD_Main_SKU[Main SKU],MD_Main_SKU[SKU name_gom])</f>
        <v>WSS01</v>
      </c>
      <c r="M1225" s="2" t="str">
        <f>_xlfn.XLOOKUP(Data_Nhập[[#This Row],[Material-Nhập]],MD_Main_SKU[Main SKU],MD_Main_SKU[SKU name_gom])</f>
        <v>Phó sản</v>
      </c>
    </row>
    <row r="1226" spans="1:13" x14ac:dyDescent="0.35">
      <c r="A1226">
        <v>2026</v>
      </c>
      <c r="B1226">
        <v>4</v>
      </c>
      <c r="C1226" t="s">
        <v>16</v>
      </c>
      <c r="D1226" t="s">
        <v>17</v>
      </c>
      <c r="E1226" t="s">
        <v>93</v>
      </c>
      <c r="F1226" t="s">
        <v>94</v>
      </c>
      <c r="G1226" s="2">
        <v>0</v>
      </c>
      <c r="H1226" s="2">
        <v>0</v>
      </c>
      <c r="I1226" s="2">
        <v>0</v>
      </c>
      <c r="J1226" s="2">
        <v>200</v>
      </c>
      <c r="K1226" s="2">
        <v>200</v>
      </c>
      <c r="L1226" s="2" t="str">
        <f>_xlfn.XLOOKUP(Data_Nhập[[#This Row],[Main SKU]],MD_Main_SKU[Main SKU],MD_Main_SKU[SKU name_gom])</f>
        <v>WSS01</v>
      </c>
      <c r="M1226" s="2" t="str">
        <f>_xlfn.XLOOKUP(Data_Nhập[[#This Row],[Material-Nhập]],MD_Main_SKU[Main SKU],MD_Main_SKU[SKU name_gom])</f>
        <v>Phó sản</v>
      </c>
    </row>
    <row r="1227" spans="1:13" x14ac:dyDescent="0.35">
      <c r="A1227">
        <v>2026</v>
      </c>
      <c r="B1227">
        <v>4</v>
      </c>
      <c r="C1227" t="s">
        <v>16</v>
      </c>
      <c r="D1227" t="s">
        <v>17</v>
      </c>
      <c r="E1227" t="s">
        <v>117</v>
      </c>
      <c r="F1227" t="s">
        <v>86</v>
      </c>
      <c r="G1227" s="2">
        <v>0</v>
      </c>
      <c r="H1227" s="2">
        <v>0</v>
      </c>
      <c r="I1227" s="2">
        <v>0</v>
      </c>
      <c r="J1227" s="2">
        <v>26642.000000000007</v>
      </c>
      <c r="K1227" s="2">
        <v>26642.000000000007</v>
      </c>
      <c r="L1227" s="2" t="str">
        <f>_xlfn.XLOOKUP(Data_Nhập[[#This Row],[Main SKU]],MD_Main_SKU[Main SKU],MD_Main_SKU[SKU name_gom])</f>
        <v>WSS01</v>
      </c>
      <c r="M1227" s="2" t="str">
        <f>_xlfn.XLOOKUP(Data_Nhập[[#This Row],[Material-Nhập]],MD_Main_SKU[Main SKU],MD_Main_SKU[SKU name_gom])</f>
        <v>Phó sản</v>
      </c>
    </row>
    <row r="1228" spans="1:13" x14ac:dyDescent="0.35">
      <c r="A1228">
        <v>2026</v>
      </c>
      <c r="B1228">
        <v>4</v>
      </c>
      <c r="C1228" t="s">
        <v>16</v>
      </c>
      <c r="D1228" t="s">
        <v>17</v>
      </c>
      <c r="E1228" t="s">
        <v>128</v>
      </c>
      <c r="F1228" t="s">
        <v>129</v>
      </c>
      <c r="G1228" s="2">
        <v>0</v>
      </c>
      <c r="H1228" s="2">
        <v>0</v>
      </c>
      <c r="I1228" s="2">
        <v>0</v>
      </c>
      <c r="J1228" s="2">
        <v>6800</v>
      </c>
      <c r="K1228" s="2">
        <v>6800</v>
      </c>
      <c r="L1228" s="2" t="str">
        <f>_xlfn.XLOOKUP(Data_Nhập[[#This Row],[Main SKU]],MD_Main_SKU[Main SKU],MD_Main_SKU[SKU name_gom])</f>
        <v>WSS01</v>
      </c>
      <c r="M1228" s="2" t="str">
        <f>_xlfn.XLOOKUP(Data_Nhập[[#This Row],[Material-Nhập]],MD_Main_SKU[Main SKU],MD_Main_SKU[SKU name_gom])</f>
        <v>Phó sản</v>
      </c>
    </row>
    <row r="1229" spans="1:13" x14ac:dyDescent="0.35">
      <c r="A1229">
        <v>2026</v>
      </c>
      <c r="B1229">
        <v>4</v>
      </c>
      <c r="C1229" t="s">
        <v>22</v>
      </c>
      <c r="D1229" t="s">
        <v>23</v>
      </c>
      <c r="E1229" t="s">
        <v>22</v>
      </c>
      <c r="F1229" t="s">
        <v>23</v>
      </c>
      <c r="G1229" s="2">
        <v>1030700</v>
      </c>
      <c r="H1229" s="2">
        <v>0</v>
      </c>
      <c r="I1229" s="2">
        <v>1030700</v>
      </c>
      <c r="J1229" s="2">
        <v>0</v>
      </c>
      <c r="K1229" s="2">
        <v>1030700</v>
      </c>
      <c r="L1229" s="2" t="str">
        <f>_xlfn.XLOOKUP(Data_Nhập[[#This Row],[Main SKU]],MD_Main_SKU[Main SKU],MD_Main_SKU[SKU name_gom])</f>
        <v>WSS03</v>
      </c>
      <c r="M1229" s="2" t="str">
        <f>_xlfn.XLOOKUP(Data_Nhập[[#This Row],[Material-Nhập]],MD_Main_SKU[Main SKU],MD_Main_SKU[SKU name_gom])</f>
        <v>WSS03</v>
      </c>
    </row>
    <row r="1230" spans="1:13" x14ac:dyDescent="0.35">
      <c r="A1230">
        <v>2026</v>
      </c>
      <c r="B1230">
        <v>4</v>
      </c>
      <c r="C1230" t="s">
        <v>22</v>
      </c>
      <c r="D1230" t="s">
        <v>23</v>
      </c>
      <c r="E1230" t="s">
        <v>34</v>
      </c>
      <c r="F1230" t="s">
        <v>35</v>
      </c>
      <c r="G1230" s="2">
        <v>0</v>
      </c>
      <c r="H1230" s="2">
        <v>7700</v>
      </c>
      <c r="I1230" s="2">
        <v>7700</v>
      </c>
      <c r="J1230" s="2">
        <v>0</v>
      </c>
      <c r="K1230" s="2">
        <v>7700</v>
      </c>
      <c r="L1230" s="2" t="str">
        <f>_xlfn.XLOOKUP(Data_Nhập[[#This Row],[Main SKU]],MD_Main_SKU[Main SKU],MD_Main_SKU[SKU name_gom])</f>
        <v>WSS03</v>
      </c>
      <c r="M1230" s="2" t="str">
        <f>_xlfn.XLOOKUP(Data_Nhập[[#This Row],[Material-Nhập]],MD_Main_SKU[Main SKU],MD_Main_SKU[SKU name_gom])</f>
        <v>WSS03-PL</v>
      </c>
    </row>
    <row r="1231" spans="1:13" x14ac:dyDescent="0.35">
      <c r="A1231">
        <v>2026</v>
      </c>
      <c r="B1231">
        <v>4</v>
      </c>
      <c r="C1231" t="s">
        <v>22</v>
      </c>
      <c r="D1231" t="s">
        <v>23</v>
      </c>
      <c r="E1231" t="s">
        <v>87</v>
      </c>
      <c r="F1231" t="s">
        <v>88</v>
      </c>
      <c r="G1231" s="2">
        <v>0</v>
      </c>
      <c r="H1231" s="2">
        <v>0</v>
      </c>
      <c r="I1231" s="2">
        <v>0</v>
      </c>
      <c r="J1231" s="2">
        <v>9600</v>
      </c>
      <c r="K1231" s="2">
        <v>9600</v>
      </c>
      <c r="L1231" s="2" t="str">
        <f>_xlfn.XLOOKUP(Data_Nhập[[#This Row],[Main SKU]],MD_Main_SKU[Main SKU],MD_Main_SKU[SKU name_gom])</f>
        <v>WSS03</v>
      </c>
      <c r="M1231" s="2" t="str">
        <f>_xlfn.XLOOKUP(Data_Nhập[[#This Row],[Material-Nhập]],MD_Main_SKU[Main SKU],MD_Main_SKU[SKU name_gom])</f>
        <v>Phó sản</v>
      </c>
    </row>
    <row r="1232" spans="1:13" x14ac:dyDescent="0.35">
      <c r="A1232">
        <v>2026</v>
      </c>
      <c r="B1232">
        <v>4</v>
      </c>
      <c r="C1232" t="s">
        <v>22</v>
      </c>
      <c r="D1232" t="s">
        <v>23</v>
      </c>
      <c r="E1232" t="s">
        <v>117</v>
      </c>
      <c r="F1232" t="s">
        <v>86</v>
      </c>
      <c r="G1232" s="2">
        <v>0</v>
      </c>
      <c r="H1232" s="2">
        <v>0</v>
      </c>
      <c r="I1232" s="2">
        <v>0</v>
      </c>
      <c r="J1232" s="2">
        <v>10239</v>
      </c>
      <c r="K1232" s="2">
        <v>10239</v>
      </c>
      <c r="L1232" s="2" t="str">
        <f>_xlfn.XLOOKUP(Data_Nhập[[#This Row],[Main SKU]],MD_Main_SKU[Main SKU],MD_Main_SKU[SKU name_gom])</f>
        <v>WSS03</v>
      </c>
      <c r="M1232" s="2" t="str">
        <f>_xlfn.XLOOKUP(Data_Nhập[[#This Row],[Material-Nhập]],MD_Main_SKU[Main SKU],MD_Main_SKU[SKU name_gom])</f>
        <v>Phó sản</v>
      </c>
    </row>
    <row r="1233" spans="1:13" x14ac:dyDescent="0.35">
      <c r="A1233">
        <v>2026</v>
      </c>
      <c r="B1233">
        <v>4</v>
      </c>
      <c r="C1233" t="s">
        <v>22</v>
      </c>
      <c r="D1233" t="s">
        <v>23</v>
      </c>
      <c r="E1233" t="s">
        <v>138</v>
      </c>
      <c r="F1233" t="s">
        <v>139</v>
      </c>
      <c r="G1233" s="2">
        <v>0</v>
      </c>
      <c r="H1233" s="2">
        <v>0</v>
      </c>
      <c r="I1233" s="2">
        <v>0</v>
      </c>
      <c r="J1233" s="2">
        <v>5500</v>
      </c>
      <c r="K1233" s="2">
        <v>5500</v>
      </c>
      <c r="L1233" s="2" t="str">
        <f>_xlfn.XLOOKUP(Data_Nhập[[#This Row],[Main SKU]],MD_Main_SKU[Main SKU],MD_Main_SKU[SKU name_gom])</f>
        <v>WSS03</v>
      </c>
      <c r="M1233" s="2" t="str">
        <f>_xlfn.XLOOKUP(Data_Nhập[[#This Row],[Material-Nhập]],MD_Main_SKU[Main SKU],MD_Main_SKU[SKU name_gom])</f>
        <v>Phó sản</v>
      </c>
    </row>
    <row r="1234" spans="1:13" x14ac:dyDescent="0.35">
      <c r="A1234">
        <v>2026</v>
      </c>
      <c r="B1234">
        <v>4</v>
      </c>
      <c r="C1234" t="s">
        <v>99</v>
      </c>
      <c r="D1234" t="s">
        <v>100</v>
      </c>
      <c r="E1234" t="s">
        <v>140</v>
      </c>
      <c r="F1234" t="s">
        <v>141</v>
      </c>
      <c r="G1234" s="2">
        <v>0</v>
      </c>
      <c r="H1234" s="2">
        <v>1402</v>
      </c>
      <c r="I1234" s="2">
        <v>1402</v>
      </c>
      <c r="J1234" s="2">
        <v>0</v>
      </c>
      <c r="K1234" s="2">
        <v>1402</v>
      </c>
      <c r="L1234" s="2" t="str">
        <f>_xlfn.XLOOKUP(Data_Nhập[[#This Row],[Main SKU]],MD_Main_SKU[Main SKU],MD_Main_SKU[SKU name_gom])</f>
        <v>WSS04</v>
      </c>
      <c r="M1234" s="2" t="str">
        <f>_xlfn.XLOOKUP(Data_Nhập[[#This Row],[Material-Nhập]],MD_Main_SKU[Main SKU],MD_Main_SKU[SKU name_gom])</f>
        <v>WSS05 PL</v>
      </c>
    </row>
    <row r="1235" spans="1:13" x14ac:dyDescent="0.35">
      <c r="A1235">
        <v>2026</v>
      </c>
      <c r="B1235">
        <v>4</v>
      </c>
      <c r="C1235" t="s">
        <v>99</v>
      </c>
      <c r="D1235" t="s">
        <v>100</v>
      </c>
      <c r="E1235" t="s">
        <v>117</v>
      </c>
      <c r="F1235" t="s">
        <v>86</v>
      </c>
      <c r="G1235" s="2">
        <v>0</v>
      </c>
      <c r="H1235" s="2">
        <v>0</v>
      </c>
      <c r="I1235" s="2">
        <v>0</v>
      </c>
      <c r="J1235" s="2">
        <v>120</v>
      </c>
      <c r="K1235" s="2">
        <v>120</v>
      </c>
      <c r="L1235" s="2" t="str">
        <f>_xlfn.XLOOKUP(Data_Nhập[[#This Row],[Main SKU]],MD_Main_SKU[Main SKU],MD_Main_SKU[SKU name_gom])</f>
        <v>WSS04</v>
      </c>
      <c r="M1235" s="2" t="str">
        <f>_xlfn.XLOOKUP(Data_Nhập[[#This Row],[Material-Nhập]],MD_Main_SKU[Main SKU],MD_Main_SKU[SKU name_gom])</f>
        <v>Phó sản</v>
      </c>
    </row>
    <row r="1236" spans="1:13" x14ac:dyDescent="0.35">
      <c r="A1236">
        <v>2026</v>
      </c>
      <c r="B1236">
        <v>4</v>
      </c>
      <c r="C1236" t="s">
        <v>115</v>
      </c>
      <c r="D1236" t="s">
        <v>116</v>
      </c>
      <c r="E1236" t="s">
        <v>115</v>
      </c>
      <c r="F1236" t="s">
        <v>116</v>
      </c>
      <c r="G1236" s="2">
        <v>35700</v>
      </c>
      <c r="H1236" s="2">
        <v>0</v>
      </c>
      <c r="I1236" s="2">
        <v>35700</v>
      </c>
      <c r="J1236" s="2">
        <v>0</v>
      </c>
      <c r="K1236" s="2">
        <v>35700</v>
      </c>
      <c r="L1236" s="2" t="str">
        <f>_xlfn.XLOOKUP(Data_Nhập[[#This Row],[Main SKU]],MD_Main_SKU[Main SKU],MD_Main_SKU[SKU name_gom])</f>
        <v>WSS05</v>
      </c>
      <c r="M1236" s="2" t="str">
        <f>_xlfn.XLOOKUP(Data_Nhập[[#This Row],[Material-Nhập]],MD_Main_SKU[Main SKU],MD_Main_SKU[SKU name_gom])</f>
        <v>WSS05</v>
      </c>
    </row>
    <row r="1237" spans="1:13" x14ac:dyDescent="0.35">
      <c r="A1237">
        <v>2026</v>
      </c>
      <c r="B1237">
        <v>4</v>
      </c>
      <c r="C1237" t="s">
        <v>115</v>
      </c>
      <c r="D1237" t="s">
        <v>116</v>
      </c>
      <c r="E1237" t="s">
        <v>140</v>
      </c>
      <c r="F1237" t="s">
        <v>141</v>
      </c>
      <c r="G1237" s="2">
        <v>0</v>
      </c>
      <c r="H1237" s="2">
        <v>455</v>
      </c>
      <c r="I1237" s="2">
        <v>455</v>
      </c>
      <c r="J1237" s="2">
        <v>0</v>
      </c>
      <c r="K1237" s="2">
        <v>455</v>
      </c>
      <c r="L1237" s="2" t="str">
        <f>_xlfn.XLOOKUP(Data_Nhập[[#This Row],[Main SKU]],MD_Main_SKU[Main SKU],MD_Main_SKU[SKU name_gom])</f>
        <v>WSS05</v>
      </c>
      <c r="M1237" s="2" t="str">
        <f>_xlfn.XLOOKUP(Data_Nhập[[#This Row],[Material-Nhập]],MD_Main_SKU[Main SKU],MD_Main_SKU[SKU name_gom])</f>
        <v>WSS05 PL</v>
      </c>
    </row>
    <row r="1238" spans="1:13" x14ac:dyDescent="0.35">
      <c r="A1238">
        <v>2026</v>
      </c>
      <c r="B1238">
        <v>4</v>
      </c>
      <c r="C1238" t="s">
        <v>115</v>
      </c>
      <c r="D1238" t="s">
        <v>116</v>
      </c>
      <c r="E1238" t="s">
        <v>87</v>
      </c>
      <c r="F1238" t="s">
        <v>88</v>
      </c>
      <c r="G1238" s="2">
        <v>0</v>
      </c>
      <c r="H1238" s="2">
        <v>0</v>
      </c>
      <c r="I1238" s="2">
        <v>0</v>
      </c>
      <c r="J1238" s="2">
        <v>1050</v>
      </c>
      <c r="K1238" s="2">
        <v>1050</v>
      </c>
      <c r="L1238" s="2" t="str">
        <f>_xlfn.XLOOKUP(Data_Nhập[[#This Row],[Main SKU]],MD_Main_SKU[Main SKU],MD_Main_SKU[SKU name_gom])</f>
        <v>WSS05</v>
      </c>
      <c r="M1238" s="2" t="str">
        <f>_xlfn.XLOOKUP(Data_Nhập[[#This Row],[Material-Nhập]],MD_Main_SKU[Main SKU],MD_Main_SKU[SKU name_gom])</f>
        <v>Phó sản</v>
      </c>
    </row>
    <row r="1239" spans="1:13" x14ac:dyDescent="0.35">
      <c r="A1239">
        <v>2026</v>
      </c>
      <c r="B1239">
        <v>4</v>
      </c>
      <c r="C1239" t="s">
        <v>115</v>
      </c>
      <c r="D1239" t="s">
        <v>116</v>
      </c>
      <c r="E1239" t="s">
        <v>117</v>
      </c>
      <c r="F1239" t="s">
        <v>86</v>
      </c>
      <c r="G1239" s="2">
        <v>0</v>
      </c>
      <c r="H1239" s="2">
        <v>0</v>
      </c>
      <c r="I1239" s="2">
        <v>0</v>
      </c>
      <c r="J1239" s="2">
        <v>1005</v>
      </c>
      <c r="K1239" s="2">
        <v>1005</v>
      </c>
      <c r="L1239" s="2" t="str">
        <f>_xlfn.XLOOKUP(Data_Nhập[[#This Row],[Main SKU]],MD_Main_SKU[Main SKU],MD_Main_SKU[SKU name_gom])</f>
        <v>WSS05</v>
      </c>
      <c r="M1239" s="2" t="str">
        <f>_xlfn.XLOOKUP(Data_Nhập[[#This Row],[Material-Nhập]],MD_Main_SKU[Main SKU],MD_Main_SKU[SKU name_gom])</f>
        <v>Phó sản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94A4-312C-4C82-B0FA-22EF29621402}">
  <dimension ref="A1:H1239"/>
  <sheetViews>
    <sheetView showGridLines="0" workbookViewId="0">
      <pane xSplit="6" ySplit="2" topLeftCell="G993" activePane="bottomRight" state="frozen"/>
      <selection pane="topRight" activeCell="G1" sqref="G1"/>
      <selection pane="bottomLeft" activeCell="A3" sqref="A3"/>
      <selection pane="bottomRight" activeCell="G1210" sqref="G1210"/>
    </sheetView>
  </sheetViews>
  <sheetFormatPr defaultRowHeight="14.5" x14ac:dyDescent="0.35"/>
  <cols>
    <col min="1" max="1" width="6.6640625" customWidth="1"/>
    <col min="2" max="2" width="8.4140625" customWidth="1"/>
    <col min="3" max="3" width="11" customWidth="1"/>
    <col min="4" max="4" width="27.08203125" bestFit="1" customWidth="1"/>
    <col min="5" max="5" width="15.25" customWidth="1"/>
    <col min="6" max="6" width="35.58203125" bestFit="1" customWidth="1"/>
    <col min="7" max="7" width="13.58203125" bestFit="1" customWidth="1"/>
    <col min="8" max="8" width="21.9140625" bestFit="1" customWidth="1"/>
  </cols>
  <sheetData>
    <row r="1" spans="1:8" x14ac:dyDescent="0.35">
      <c r="G1" s="21">
        <f>SUBTOTAL(9,Data_Xuất[Xuất-NX])</f>
        <v>96656655.812999919</v>
      </c>
    </row>
    <row r="2" spans="1:8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64</v>
      </c>
      <c r="G2" s="3" t="s">
        <v>153</v>
      </c>
      <c r="H2" s="4" t="s">
        <v>65</v>
      </c>
    </row>
    <row r="3" spans="1:8" x14ac:dyDescent="0.35">
      <c r="A3">
        <v>2024</v>
      </c>
      <c r="B3">
        <v>1</v>
      </c>
      <c r="C3" t="s">
        <v>8</v>
      </c>
      <c r="D3" t="s">
        <v>9</v>
      </c>
      <c r="E3" t="s">
        <v>8</v>
      </c>
      <c r="F3" t="s">
        <v>9</v>
      </c>
      <c r="G3" s="2">
        <v>692138.9887984955</v>
      </c>
      <c r="H3" t="str">
        <f>_xlfn.XLOOKUP(Data_Xuất[[#This Row],[Main SKU]],MD_Main_SKU[Main SKU],MD_Main_SKU[SKU name_gom])</f>
        <v>WSS01</v>
      </c>
    </row>
    <row r="4" spans="1:8" x14ac:dyDescent="0.35">
      <c r="A4">
        <v>2024</v>
      </c>
      <c r="B4">
        <v>1</v>
      </c>
      <c r="C4" t="s">
        <v>8</v>
      </c>
      <c r="D4" t="s">
        <v>9</v>
      </c>
      <c r="E4" t="s">
        <v>10</v>
      </c>
      <c r="F4" t="s">
        <v>11</v>
      </c>
      <c r="G4" s="2">
        <v>74129.346111597188</v>
      </c>
      <c r="H4" t="str">
        <f>_xlfn.XLOOKUP(Data_Xuất[[#This Row],[Main SKU]],MD_Main_SKU[Main SKU],MD_Main_SKU[SKU name_gom])</f>
        <v>WSS01</v>
      </c>
    </row>
    <row r="5" spans="1:8" x14ac:dyDescent="0.35">
      <c r="A5">
        <v>2024</v>
      </c>
      <c r="B5">
        <v>1</v>
      </c>
      <c r="C5" t="s">
        <v>8</v>
      </c>
      <c r="D5" t="s">
        <v>9</v>
      </c>
      <c r="E5" t="s">
        <v>12</v>
      </c>
      <c r="F5" t="s">
        <v>13</v>
      </c>
      <c r="G5" s="2">
        <v>3315.3387958647327</v>
      </c>
      <c r="H5" t="str">
        <f>_xlfn.XLOOKUP(Data_Xuất[[#This Row],[Main SKU]],MD_Main_SKU[Main SKU],MD_Main_SKU[SKU name_gom])</f>
        <v>WSS01</v>
      </c>
    </row>
    <row r="6" spans="1:8" x14ac:dyDescent="0.35">
      <c r="A6">
        <v>2024</v>
      </c>
      <c r="B6">
        <v>1</v>
      </c>
      <c r="C6" t="s">
        <v>8</v>
      </c>
      <c r="D6" t="s">
        <v>9</v>
      </c>
      <c r="E6" t="s">
        <v>85</v>
      </c>
      <c r="F6" t="s">
        <v>86</v>
      </c>
      <c r="G6" s="2">
        <v>6910.9669890519926</v>
      </c>
      <c r="H6" t="str">
        <f>_xlfn.XLOOKUP(Data_Xuất[[#This Row],[Main SKU]],MD_Main_SKU[Main SKU],MD_Main_SKU[SKU name_gom])</f>
        <v>WSS01</v>
      </c>
    </row>
    <row r="7" spans="1:8" x14ac:dyDescent="0.35">
      <c r="A7">
        <v>2024</v>
      </c>
      <c r="B7">
        <v>1</v>
      </c>
      <c r="C7" t="s">
        <v>8</v>
      </c>
      <c r="D7" t="s">
        <v>9</v>
      </c>
      <c r="E7" t="s">
        <v>87</v>
      </c>
      <c r="F7" t="s">
        <v>88</v>
      </c>
      <c r="G7" s="2">
        <v>9410.5830951949538</v>
      </c>
      <c r="H7" t="str">
        <f>_xlfn.XLOOKUP(Data_Xuất[[#This Row],[Main SKU]],MD_Main_SKU[Main SKU],MD_Main_SKU[SKU name_gom])</f>
        <v>WSS01</v>
      </c>
    </row>
    <row r="8" spans="1:8" x14ac:dyDescent="0.35">
      <c r="A8">
        <v>2024</v>
      </c>
      <c r="B8">
        <v>1</v>
      </c>
      <c r="C8" t="s">
        <v>8</v>
      </c>
      <c r="D8" t="s">
        <v>9</v>
      </c>
      <c r="E8" t="s">
        <v>89</v>
      </c>
      <c r="F8" t="s">
        <v>90</v>
      </c>
      <c r="G8" s="2">
        <v>1669.8576915464068</v>
      </c>
      <c r="H8" t="str">
        <f>_xlfn.XLOOKUP(Data_Xuất[[#This Row],[Main SKU]],MD_Main_SKU[Main SKU],MD_Main_SKU[SKU name_gom])</f>
        <v>WSS01</v>
      </c>
    </row>
    <row r="9" spans="1:8" x14ac:dyDescent="0.35">
      <c r="A9">
        <v>2024</v>
      </c>
      <c r="B9">
        <v>1</v>
      </c>
      <c r="C9" t="s">
        <v>8</v>
      </c>
      <c r="D9" t="s">
        <v>9</v>
      </c>
      <c r="E9" t="s">
        <v>91</v>
      </c>
      <c r="F9" t="s">
        <v>92</v>
      </c>
      <c r="G9" s="2">
        <v>3293.2771146491627</v>
      </c>
      <c r="H9" t="str">
        <f>_xlfn.XLOOKUP(Data_Xuất[[#This Row],[Main SKU]],MD_Main_SKU[Main SKU],MD_Main_SKU[SKU name_gom])</f>
        <v>WSS01</v>
      </c>
    </row>
    <row r="10" spans="1:8" x14ac:dyDescent="0.35">
      <c r="A10">
        <v>2024</v>
      </c>
      <c r="B10">
        <v>1</v>
      </c>
      <c r="C10" t="s">
        <v>8</v>
      </c>
      <c r="D10" t="s">
        <v>9</v>
      </c>
      <c r="E10" t="s">
        <v>93</v>
      </c>
      <c r="F10" t="s">
        <v>94</v>
      </c>
      <c r="G10" s="2">
        <v>131.64140359997938</v>
      </c>
      <c r="H10" t="str">
        <f>_xlfn.XLOOKUP(Data_Xuất[[#This Row],[Main SKU]],MD_Main_SKU[Main SKU],MD_Main_SKU[SKU name_gom])</f>
        <v>WSS01</v>
      </c>
    </row>
    <row r="11" spans="1:8" x14ac:dyDescent="0.35">
      <c r="A11">
        <v>2024</v>
      </c>
      <c r="B11">
        <v>1</v>
      </c>
      <c r="C11" t="s">
        <v>14</v>
      </c>
      <c r="D11" t="s">
        <v>15</v>
      </c>
      <c r="E11" t="s">
        <v>14</v>
      </c>
      <c r="F11" t="s">
        <v>15</v>
      </c>
      <c r="G11" s="2">
        <v>231358.2427950571</v>
      </c>
      <c r="H11" t="str">
        <f>_xlfn.XLOOKUP(Data_Xuất[[#This Row],[Main SKU]],MD_Main_SKU[Main SKU],MD_Main_SKU[SKU name_gom])</f>
        <v>iSS01084</v>
      </c>
    </row>
    <row r="12" spans="1:8" x14ac:dyDescent="0.35">
      <c r="A12">
        <v>2024</v>
      </c>
      <c r="B12">
        <v>1</v>
      </c>
      <c r="C12" t="s">
        <v>14</v>
      </c>
      <c r="D12" t="s">
        <v>15</v>
      </c>
      <c r="E12" t="s">
        <v>16</v>
      </c>
      <c r="F12" t="s">
        <v>17</v>
      </c>
      <c r="G12" s="2">
        <v>2164.1524530222505</v>
      </c>
      <c r="H12" t="str">
        <f>_xlfn.XLOOKUP(Data_Xuất[[#This Row],[Main SKU]],MD_Main_SKU[Main SKU],MD_Main_SKU[SKU name_gom])</f>
        <v>iSS01084</v>
      </c>
    </row>
    <row r="13" spans="1:8" x14ac:dyDescent="0.35">
      <c r="A13">
        <v>2024</v>
      </c>
      <c r="B13">
        <v>1</v>
      </c>
      <c r="C13" t="s">
        <v>14</v>
      </c>
      <c r="D13" t="s">
        <v>15</v>
      </c>
      <c r="E13" t="s">
        <v>18</v>
      </c>
      <c r="F13" t="s">
        <v>19</v>
      </c>
      <c r="G13" s="2">
        <v>12106.832187572629</v>
      </c>
      <c r="H13" t="str">
        <f>_xlfn.XLOOKUP(Data_Xuất[[#This Row],[Main SKU]],MD_Main_SKU[Main SKU],MD_Main_SKU[SKU name_gom])</f>
        <v>iSS01084</v>
      </c>
    </row>
    <row r="14" spans="1:8" x14ac:dyDescent="0.35">
      <c r="A14">
        <v>2024</v>
      </c>
      <c r="B14">
        <v>1</v>
      </c>
      <c r="C14" t="s">
        <v>14</v>
      </c>
      <c r="D14" t="s">
        <v>15</v>
      </c>
      <c r="E14" t="s">
        <v>20</v>
      </c>
      <c r="F14" t="s">
        <v>21</v>
      </c>
      <c r="G14" s="2">
        <v>5496.9601542416449</v>
      </c>
      <c r="H14" t="str">
        <f>_xlfn.XLOOKUP(Data_Xuất[[#This Row],[Main SKU]],MD_Main_SKU[Main SKU],MD_Main_SKU[SKU name_gom])</f>
        <v>iSS01084</v>
      </c>
    </row>
    <row r="15" spans="1:8" x14ac:dyDescent="0.35">
      <c r="A15">
        <v>2024</v>
      </c>
      <c r="B15">
        <v>1</v>
      </c>
      <c r="C15" t="s">
        <v>14</v>
      </c>
      <c r="D15" t="s">
        <v>15</v>
      </c>
      <c r="E15" t="s">
        <v>85</v>
      </c>
      <c r="F15" t="s">
        <v>86</v>
      </c>
      <c r="G15" s="2">
        <v>3951.7294001887462</v>
      </c>
      <c r="H15" t="str">
        <f>_xlfn.XLOOKUP(Data_Xuất[[#This Row],[Main SKU]],MD_Main_SKU[Main SKU],MD_Main_SKU[SKU name_gom])</f>
        <v>iSS01084</v>
      </c>
    </row>
    <row r="16" spans="1:8" x14ac:dyDescent="0.35">
      <c r="A16">
        <v>2024</v>
      </c>
      <c r="B16">
        <v>1</v>
      </c>
      <c r="C16" t="s">
        <v>14</v>
      </c>
      <c r="D16" t="s">
        <v>15</v>
      </c>
      <c r="E16" t="s">
        <v>87</v>
      </c>
      <c r="F16" t="s">
        <v>88</v>
      </c>
      <c r="G16" s="2">
        <v>2272.392443189292</v>
      </c>
      <c r="H16" t="str">
        <f>_xlfn.XLOOKUP(Data_Xuất[[#This Row],[Main SKU]],MD_Main_SKU[Main SKU],MD_Main_SKU[SKU name_gom])</f>
        <v>iSS01084</v>
      </c>
    </row>
    <row r="17" spans="1:8" x14ac:dyDescent="0.35">
      <c r="A17">
        <v>2024</v>
      </c>
      <c r="B17">
        <v>1</v>
      </c>
      <c r="C17" t="s">
        <v>14</v>
      </c>
      <c r="D17" t="s">
        <v>15</v>
      </c>
      <c r="E17" t="s">
        <v>89</v>
      </c>
      <c r="F17" t="s">
        <v>90</v>
      </c>
      <c r="G17" s="2">
        <v>614.61932282152054</v>
      </c>
      <c r="H17" t="str">
        <f>_xlfn.XLOOKUP(Data_Xuất[[#This Row],[Main SKU]],MD_Main_SKU[Main SKU],MD_Main_SKU[SKU name_gom])</f>
        <v>iSS01084</v>
      </c>
    </row>
    <row r="18" spans="1:8" x14ac:dyDescent="0.35">
      <c r="A18">
        <v>2024</v>
      </c>
      <c r="B18">
        <v>1</v>
      </c>
      <c r="C18" t="s">
        <v>14</v>
      </c>
      <c r="D18" t="s">
        <v>15</v>
      </c>
      <c r="E18" t="s">
        <v>93</v>
      </c>
      <c r="F18" t="s">
        <v>94</v>
      </c>
      <c r="G18" s="2">
        <v>49.071243906814715</v>
      </c>
      <c r="H18" t="str">
        <f>_xlfn.XLOOKUP(Data_Xuất[[#This Row],[Main SKU]],MD_Main_SKU[Main SKU],MD_Main_SKU[SKU name_gom])</f>
        <v>iSS01084</v>
      </c>
    </row>
    <row r="19" spans="1:8" x14ac:dyDescent="0.35">
      <c r="A19">
        <v>2024</v>
      </c>
      <c r="B19">
        <v>1</v>
      </c>
      <c r="C19" t="s">
        <v>16</v>
      </c>
      <c r="D19" t="s">
        <v>17</v>
      </c>
      <c r="E19" t="s">
        <v>14</v>
      </c>
      <c r="F19" t="s">
        <v>15</v>
      </c>
      <c r="G19" s="2">
        <v>1098.8901209778123</v>
      </c>
      <c r="H19" t="str">
        <f>_xlfn.XLOOKUP(Data_Xuất[[#This Row],[Main SKU]],MD_Main_SKU[Main SKU],MD_Main_SKU[SKU name_gom])</f>
        <v>WSS01</v>
      </c>
    </row>
    <row r="20" spans="1:8" x14ac:dyDescent="0.35">
      <c r="A20">
        <v>2024</v>
      </c>
      <c r="B20">
        <v>1</v>
      </c>
      <c r="C20" t="s">
        <v>16</v>
      </c>
      <c r="D20" t="s">
        <v>17</v>
      </c>
      <c r="E20" t="s">
        <v>16</v>
      </c>
      <c r="F20" t="s">
        <v>17</v>
      </c>
      <c r="G20" s="2">
        <v>1449737.9609533662</v>
      </c>
      <c r="H20" t="str">
        <f>_xlfn.XLOOKUP(Data_Xuất[[#This Row],[Main SKU]],MD_Main_SKU[Main SKU],MD_Main_SKU[SKU name_gom])</f>
        <v>WSS01</v>
      </c>
    </row>
    <row r="21" spans="1:8" x14ac:dyDescent="0.35">
      <c r="A21">
        <v>2024</v>
      </c>
      <c r="B21">
        <v>1</v>
      </c>
      <c r="C21" t="s">
        <v>16</v>
      </c>
      <c r="D21" t="s">
        <v>17</v>
      </c>
      <c r="E21" t="s">
        <v>18</v>
      </c>
      <c r="F21" t="s">
        <v>19</v>
      </c>
      <c r="G21" s="2">
        <v>434945.37312679482</v>
      </c>
      <c r="H21" t="str">
        <f>_xlfn.XLOOKUP(Data_Xuất[[#This Row],[Main SKU]],MD_Main_SKU[Main SKU],MD_Main_SKU[SKU name_gom])</f>
        <v>WSS01</v>
      </c>
    </row>
    <row r="22" spans="1:8" x14ac:dyDescent="0.35">
      <c r="A22">
        <v>2024</v>
      </c>
      <c r="B22">
        <v>1</v>
      </c>
      <c r="C22" t="s">
        <v>16</v>
      </c>
      <c r="D22" t="s">
        <v>17</v>
      </c>
      <c r="E22" t="s">
        <v>20</v>
      </c>
      <c r="F22" t="s">
        <v>21</v>
      </c>
      <c r="G22" s="2">
        <v>57662.473844919252</v>
      </c>
      <c r="H22" t="str">
        <f>_xlfn.XLOOKUP(Data_Xuất[[#This Row],[Main SKU]],MD_Main_SKU[Main SKU],MD_Main_SKU[SKU name_gom])</f>
        <v>WSS01</v>
      </c>
    </row>
    <row r="23" spans="1:8" x14ac:dyDescent="0.35">
      <c r="A23">
        <v>2024</v>
      </c>
      <c r="B23">
        <v>1</v>
      </c>
      <c r="C23" t="s">
        <v>16</v>
      </c>
      <c r="D23" t="s">
        <v>17</v>
      </c>
      <c r="E23" t="s">
        <v>22</v>
      </c>
      <c r="F23" t="s">
        <v>23</v>
      </c>
      <c r="G23" s="2">
        <v>15472.985171298</v>
      </c>
      <c r="H23" t="str">
        <f>_xlfn.XLOOKUP(Data_Xuất[[#This Row],[Main SKU]],MD_Main_SKU[Main SKU],MD_Main_SKU[SKU name_gom])</f>
        <v>WSS01</v>
      </c>
    </row>
    <row r="24" spans="1:8" x14ac:dyDescent="0.35">
      <c r="A24">
        <v>2024</v>
      </c>
      <c r="B24">
        <v>1</v>
      </c>
      <c r="C24" t="s">
        <v>16</v>
      </c>
      <c r="D24" t="s">
        <v>17</v>
      </c>
      <c r="E24" t="s">
        <v>85</v>
      </c>
      <c r="F24" t="s">
        <v>86</v>
      </c>
      <c r="G24" s="2">
        <v>21749.535522831513</v>
      </c>
      <c r="H24" t="str">
        <f>_xlfn.XLOOKUP(Data_Xuất[[#This Row],[Main SKU]],MD_Main_SKU[Main SKU],MD_Main_SKU[SKU name_gom])</f>
        <v>WSS01</v>
      </c>
    </row>
    <row r="25" spans="1:8" x14ac:dyDescent="0.35">
      <c r="A25">
        <v>2024</v>
      </c>
      <c r="B25">
        <v>1</v>
      </c>
      <c r="C25" t="s">
        <v>16</v>
      </c>
      <c r="D25" t="s">
        <v>17</v>
      </c>
      <c r="E25" t="s">
        <v>87</v>
      </c>
      <c r="F25" t="s">
        <v>88</v>
      </c>
      <c r="G25" s="2">
        <v>20445.608631350045</v>
      </c>
      <c r="H25" t="str">
        <f>_xlfn.XLOOKUP(Data_Xuất[[#This Row],[Main SKU]],MD_Main_SKU[Main SKU],MD_Main_SKU[SKU name_gom])</f>
        <v>WSS01</v>
      </c>
    </row>
    <row r="26" spans="1:8" x14ac:dyDescent="0.35">
      <c r="A26">
        <v>2024</v>
      </c>
      <c r="B26">
        <v>1</v>
      </c>
      <c r="C26" t="s">
        <v>16</v>
      </c>
      <c r="D26" t="s">
        <v>17</v>
      </c>
      <c r="E26" t="s">
        <v>89</v>
      </c>
      <c r="F26" t="s">
        <v>90</v>
      </c>
      <c r="G26" s="2">
        <v>4603.3984501656278</v>
      </c>
      <c r="H26" t="str">
        <f>_xlfn.XLOOKUP(Data_Xuất[[#This Row],[Main SKU]],MD_Main_SKU[Main SKU],MD_Main_SKU[SKU name_gom])</f>
        <v>WSS01</v>
      </c>
    </row>
    <row r="27" spans="1:8" x14ac:dyDescent="0.35">
      <c r="A27">
        <v>2024</v>
      </c>
      <c r="B27">
        <v>1</v>
      </c>
      <c r="C27" t="s">
        <v>16</v>
      </c>
      <c r="D27" t="s">
        <v>17</v>
      </c>
      <c r="E27" t="s">
        <v>91</v>
      </c>
      <c r="F27" t="s">
        <v>92</v>
      </c>
      <c r="G27" s="2">
        <v>2249.0851712282138</v>
      </c>
      <c r="H27" t="str">
        <f>_xlfn.XLOOKUP(Data_Xuất[[#This Row],[Main SKU]],MD_Main_SKU[Main SKU],MD_Main_SKU[SKU name_gom])</f>
        <v>WSS01</v>
      </c>
    </row>
    <row r="28" spans="1:8" x14ac:dyDescent="0.35">
      <c r="A28">
        <v>2024</v>
      </c>
      <c r="B28">
        <v>1</v>
      </c>
      <c r="C28" t="s">
        <v>16</v>
      </c>
      <c r="D28" t="s">
        <v>17</v>
      </c>
      <c r="E28" t="s">
        <v>93</v>
      </c>
      <c r="F28" t="s">
        <v>94</v>
      </c>
      <c r="G28" s="2">
        <v>561.68900706832108</v>
      </c>
      <c r="H28" t="str">
        <f>_xlfn.XLOOKUP(Data_Xuất[[#This Row],[Main SKU]],MD_Main_SKU[Main SKU],MD_Main_SKU[SKU name_gom])</f>
        <v>WSS01</v>
      </c>
    </row>
    <row r="29" spans="1:8" x14ac:dyDescent="0.35">
      <c r="A29">
        <v>2024</v>
      </c>
      <c r="B29">
        <v>1</v>
      </c>
      <c r="C29" t="s">
        <v>18</v>
      </c>
      <c r="D29" t="s">
        <v>19</v>
      </c>
      <c r="E29" t="s">
        <v>16</v>
      </c>
      <c r="F29" t="s">
        <v>17</v>
      </c>
      <c r="G29" s="2">
        <v>2224.6613209752331</v>
      </c>
      <c r="H29" t="str">
        <f>_xlfn.XLOOKUP(Data_Xuất[[#This Row],[Main SKU]],MD_Main_SKU[Main SKU],MD_Main_SKU[SKU name_gom])</f>
        <v>iSS01</v>
      </c>
    </row>
    <row r="30" spans="1:8" x14ac:dyDescent="0.35">
      <c r="A30">
        <v>2024</v>
      </c>
      <c r="B30">
        <v>1</v>
      </c>
      <c r="C30" t="s">
        <v>18</v>
      </c>
      <c r="D30" t="s">
        <v>19</v>
      </c>
      <c r="E30" t="s">
        <v>18</v>
      </c>
      <c r="F30" t="s">
        <v>19</v>
      </c>
      <c r="G30" s="2">
        <v>185759.22030143195</v>
      </c>
      <c r="H30" t="str">
        <f>_xlfn.XLOOKUP(Data_Xuất[[#This Row],[Main SKU]],MD_Main_SKU[Main SKU],MD_Main_SKU[SKU name_gom])</f>
        <v>iSS01</v>
      </c>
    </row>
    <row r="31" spans="1:8" x14ac:dyDescent="0.35">
      <c r="A31">
        <v>2024</v>
      </c>
      <c r="B31">
        <v>1</v>
      </c>
      <c r="C31" t="s">
        <v>18</v>
      </c>
      <c r="D31" t="s">
        <v>19</v>
      </c>
      <c r="E31" t="s">
        <v>22</v>
      </c>
      <c r="F31" t="s">
        <v>23</v>
      </c>
      <c r="G31" s="2">
        <v>2224.6613209752331</v>
      </c>
      <c r="H31" t="str">
        <f>_xlfn.XLOOKUP(Data_Xuất[[#This Row],[Main SKU]],MD_Main_SKU[Main SKU],MD_Main_SKU[SKU name_gom])</f>
        <v>iSS01</v>
      </c>
    </row>
    <row r="32" spans="1:8" x14ac:dyDescent="0.35">
      <c r="A32">
        <v>2024</v>
      </c>
      <c r="B32">
        <v>1</v>
      </c>
      <c r="C32" t="s">
        <v>18</v>
      </c>
      <c r="D32" t="s">
        <v>19</v>
      </c>
      <c r="E32" t="s">
        <v>85</v>
      </c>
      <c r="F32" t="s">
        <v>86</v>
      </c>
      <c r="G32" s="2">
        <v>4662.6878868258173</v>
      </c>
      <c r="H32" t="str">
        <f>_xlfn.XLOOKUP(Data_Xuất[[#This Row],[Main SKU]],MD_Main_SKU[Main SKU],MD_Main_SKU[SKU name_gom])</f>
        <v>iSS01</v>
      </c>
    </row>
    <row r="33" spans="1:8" x14ac:dyDescent="0.35">
      <c r="A33">
        <v>2024</v>
      </c>
      <c r="B33">
        <v>1</v>
      </c>
      <c r="C33" t="s">
        <v>18</v>
      </c>
      <c r="D33" t="s">
        <v>19</v>
      </c>
      <c r="E33" t="s">
        <v>87</v>
      </c>
      <c r="F33" t="s">
        <v>88</v>
      </c>
      <c r="G33" s="2">
        <v>1757.482443570434</v>
      </c>
      <c r="H33" t="str">
        <f>_xlfn.XLOOKUP(Data_Xuất[[#This Row],[Main SKU]],MD_Main_SKU[Main SKU],MD_Main_SKU[SKU name_gom])</f>
        <v>iSS01</v>
      </c>
    </row>
    <row r="34" spans="1:8" x14ac:dyDescent="0.35">
      <c r="A34">
        <v>2024</v>
      </c>
      <c r="B34">
        <v>1</v>
      </c>
      <c r="C34" t="s">
        <v>18</v>
      </c>
      <c r="D34" t="s">
        <v>19</v>
      </c>
      <c r="E34" t="s">
        <v>89</v>
      </c>
      <c r="F34" t="s">
        <v>90</v>
      </c>
      <c r="G34" s="2">
        <v>47.526855493561797</v>
      </c>
      <c r="H34" t="str">
        <f>_xlfn.XLOOKUP(Data_Xuất[[#This Row],[Main SKU]],MD_Main_SKU[Main SKU],MD_Main_SKU[SKU name_gom])</f>
        <v>iSS01</v>
      </c>
    </row>
    <row r="35" spans="1:8" x14ac:dyDescent="0.35">
      <c r="A35">
        <v>2024</v>
      </c>
      <c r="B35">
        <v>1</v>
      </c>
      <c r="C35" t="s">
        <v>18</v>
      </c>
      <c r="D35" t="s">
        <v>19</v>
      </c>
      <c r="E35" t="s">
        <v>91</v>
      </c>
      <c r="F35" t="s">
        <v>92</v>
      </c>
      <c r="G35" s="2">
        <v>2319.7150319623565</v>
      </c>
      <c r="H35" t="str">
        <f>_xlfn.XLOOKUP(Data_Xuất[[#This Row],[Main SKU]],MD_Main_SKU[Main SKU],MD_Main_SKU[SKU name_gom])</f>
        <v>iSS01</v>
      </c>
    </row>
    <row r="36" spans="1:8" x14ac:dyDescent="0.35">
      <c r="A36">
        <v>2024</v>
      </c>
      <c r="B36">
        <v>1</v>
      </c>
      <c r="C36" t="s">
        <v>18</v>
      </c>
      <c r="D36" t="s">
        <v>19</v>
      </c>
      <c r="E36" t="s">
        <v>93</v>
      </c>
      <c r="F36" t="s">
        <v>94</v>
      </c>
      <c r="G36" s="2">
        <v>4.0448387654095148</v>
      </c>
      <c r="H36" t="str">
        <f>_xlfn.XLOOKUP(Data_Xuất[[#This Row],[Main SKU]],MD_Main_SKU[Main SKU],MD_Main_SKU[SKU name_gom])</f>
        <v>iSS01</v>
      </c>
    </row>
    <row r="37" spans="1:8" x14ac:dyDescent="0.35">
      <c r="A37">
        <v>2024</v>
      </c>
      <c r="B37">
        <v>1</v>
      </c>
      <c r="C37" t="s">
        <v>24</v>
      </c>
      <c r="D37" t="s">
        <v>25</v>
      </c>
      <c r="E37" t="s">
        <v>20</v>
      </c>
      <c r="F37" t="s">
        <v>21</v>
      </c>
      <c r="G37" s="2">
        <v>33086.776070952023</v>
      </c>
      <c r="H37" t="str">
        <f>_xlfn.XLOOKUP(Data_Xuất[[#This Row],[Main SKU]],MD_Main_SKU[Main SKU],MD_Main_SKU[SKU name_gom])</f>
        <v>WSS01</v>
      </c>
    </row>
    <row r="38" spans="1:8" x14ac:dyDescent="0.35">
      <c r="A38">
        <v>2024</v>
      </c>
      <c r="B38">
        <v>1</v>
      </c>
      <c r="C38" t="s">
        <v>24</v>
      </c>
      <c r="D38" t="s">
        <v>25</v>
      </c>
      <c r="E38" t="s">
        <v>22</v>
      </c>
      <c r="F38" t="s">
        <v>23</v>
      </c>
      <c r="G38" s="2">
        <v>2201.0124657342376</v>
      </c>
      <c r="H38" t="str">
        <f>_xlfn.XLOOKUP(Data_Xuất[[#This Row],[Main SKU]],MD_Main_SKU[Main SKU],MD_Main_SKU[SKU name_gom])</f>
        <v>WSS01</v>
      </c>
    </row>
    <row r="39" spans="1:8" x14ac:dyDescent="0.35">
      <c r="A39">
        <v>2024</v>
      </c>
      <c r="B39">
        <v>1</v>
      </c>
      <c r="C39" t="s">
        <v>24</v>
      </c>
      <c r="D39" t="s">
        <v>25</v>
      </c>
      <c r="E39" t="s">
        <v>24</v>
      </c>
      <c r="F39" t="s">
        <v>25</v>
      </c>
      <c r="G39" s="2">
        <v>1142581.9306316725</v>
      </c>
      <c r="H39" t="str">
        <f>_xlfn.XLOOKUP(Data_Xuất[[#This Row],[Main SKU]],MD_Main_SKU[Main SKU],MD_Main_SKU[SKU name_gom])</f>
        <v>WSS01</v>
      </c>
    </row>
    <row r="40" spans="1:8" x14ac:dyDescent="0.35">
      <c r="A40">
        <v>2024</v>
      </c>
      <c r="B40">
        <v>1</v>
      </c>
      <c r="C40" t="s">
        <v>24</v>
      </c>
      <c r="D40" t="s">
        <v>25</v>
      </c>
      <c r="E40" t="s">
        <v>26</v>
      </c>
      <c r="F40" t="s">
        <v>27</v>
      </c>
      <c r="G40" s="2">
        <v>29866.832521138989</v>
      </c>
      <c r="H40" t="str">
        <f>_xlfn.XLOOKUP(Data_Xuất[[#This Row],[Main SKU]],MD_Main_SKU[Main SKU],MD_Main_SKU[SKU name_gom])</f>
        <v>WSS01</v>
      </c>
    </row>
    <row r="41" spans="1:8" x14ac:dyDescent="0.35">
      <c r="A41">
        <v>2024</v>
      </c>
      <c r="B41">
        <v>1</v>
      </c>
      <c r="C41" t="s">
        <v>24</v>
      </c>
      <c r="D41" t="s">
        <v>25</v>
      </c>
      <c r="E41" t="s">
        <v>85</v>
      </c>
      <c r="F41" t="s">
        <v>86</v>
      </c>
      <c r="G41" s="2">
        <v>15162.185278250667</v>
      </c>
      <c r="H41" t="str">
        <f>_xlfn.XLOOKUP(Data_Xuất[[#This Row],[Main SKU]],MD_Main_SKU[Main SKU],MD_Main_SKU[SKU name_gom])</f>
        <v>WSS01</v>
      </c>
    </row>
    <row r="42" spans="1:8" x14ac:dyDescent="0.35">
      <c r="A42">
        <v>2024</v>
      </c>
      <c r="B42">
        <v>1</v>
      </c>
      <c r="C42" t="s">
        <v>24</v>
      </c>
      <c r="D42" t="s">
        <v>25</v>
      </c>
      <c r="E42" t="s">
        <v>87</v>
      </c>
      <c r="F42" t="s">
        <v>88</v>
      </c>
      <c r="G42" s="2">
        <v>14863.188178869832</v>
      </c>
      <c r="H42" t="str">
        <f>_xlfn.XLOOKUP(Data_Xuất[[#This Row],[Main SKU]],MD_Main_SKU[Main SKU],MD_Main_SKU[SKU name_gom])</f>
        <v>WSS01</v>
      </c>
    </row>
    <row r="43" spans="1:8" x14ac:dyDescent="0.35">
      <c r="A43">
        <v>2024</v>
      </c>
      <c r="B43">
        <v>1</v>
      </c>
      <c r="C43" t="s">
        <v>24</v>
      </c>
      <c r="D43" t="s">
        <v>25</v>
      </c>
      <c r="E43" t="s">
        <v>89</v>
      </c>
      <c r="F43" t="s">
        <v>90</v>
      </c>
      <c r="G43" s="2">
        <v>2353.1599621930714</v>
      </c>
      <c r="H43" t="str">
        <f>_xlfn.XLOOKUP(Data_Xuất[[#This Row],[Main SKU]],MD_Main_SKU[Main SKU],MD_Main_SKU[SKU name_gom])</f>
        <v>WSS01</v>
      </c>
    </row>
    <row r="44" spans="1:8" x14ac:dyDescent="0.35">
      <c r="A44">
        <v>2024</v>
      </c>
      <c r="B44">
        <v>1</v>
      </c>
      <c r="C44" t="s">
        <v>24</v>
      </c>
      <c r="D44" t="s">
        <v>25</v>
      </c>
      <c r="E44" t="s">
        <v>91</v>
      </c>
      <c r="F44" t="s">
        <v>92</v>
      </c>
      <c r="G44" s="2">
        <v>4031.0427397928493</v>
      </c>
      <c r="H44" t="str">
        <f>_xlfn.XLOOKUP(Data_Xuất[[#This Row],[Main SKU]],MD_Main_SKU[Main SKU],MD_Main_SKU[SKU name_gom])</f>
        <v>WSS01</v>
      </c>
    </row>
    <row r="45" spans="1:8" x14ac:dyDescent="0.35">
      <c r="A45">
        <v>2024</v>
      </c>
      <c r="B45">
        <v>1</v>
      </c>
      <c r="C45" t="s">
        <v>24</v>
      </c>
      <c r="D45" t="s">
        <v>25</v>
      </c>
      <c r="E45" t="s">
        <v>93</v>
      </c>
      <c r="F45" t="s">
        <v>94</v>
      </c>
      <c r="G45" s="2">
        <v>403.87215139589841</v>
      </c>
      <c r="H45" t="str">
        <f>_xlfn.XLOOKUP(Data_Xuất[[#This Row],[Main SKU]],MD_Main_SKU[Main SKU],MD_Main_SKU[SKU name_gom])</f>
        <v>WSS01</v>
      </c>
    </row>
    <row r="46" spans="1:8" x14ac:dyDescent="0.35">
      <c r="A46">
        <v>2024</v>
      </c>
      <c r="B46">
        <v>1</v>
      </c>
      <c r="C46" t="s">
        <v>26</v>
      </c>
      <c r="D46" t="s">
        <v>27</v>
      </c>
      <c r="E46" t="s">
        <v>26</v>
      </c>
      <c r="F46" t="s">
        <v>27</v>
      </c>
      <c r="G46" s="2">
        <v>98081.433934352317</v>
      </c>
      <c r="H46" t="str">
        <f>_xlfn.XLOOKUP(Data_Xuất[[#This Row],[Main SKU]],MD_Main_SKU[Main SKU],MD_Main_SKU[SKU name_gom])</f>
        <v>iSS01</v>
      </c>
    </row>
    <row r="47" spans="1:8" x14ac:dyDescent="0.35">
      <c r="A47">
        <v>2024</v>
      </c>
      <c r="B47">
        <v>1</v>
      </c>
      <c r="C47" t="s">
        <v>26</v>
      </c>
      <c r="D47" t="s">
        <v>27</v>
      </c>
      <c r="E47" t="s">
        <v>85</v>
      </c>
      <c r="F47" t="s">
        <v>86</v>
      </c>
      <c r="G47" s="2">
        <v>1107.4690835769327</v>
      </c>
      <c r="H47" t="str">
        <f>_xlfn.XLOOKUP(Data_Xuất[[#This Row],[Main SKU]],MD_Main_SKU[Main SKU],MD_Main_SKU[SKU name_gom])</f>
        <v>iSS01</v>
      </c>
    </row>
    <row r="48" spans="1:8" x14ac:dyDescent="0.35">
      <c r="A48">
        <v>2024</v>
      </c>
      <c r="B48">
        <v>1</v>
      </c>
      <c r="C48" t="s">
        <v>26</v>
      </c>
      <c r="D48" t="s">
        <v>27</v>
      </c>
      <c r="E48" t="s">
        <v>89</v>
      </c>
      <c r="F48" t="s">
        <v>90</v>
      </c>
      <c r="G48" s="2">
        <v>68.393561886041127</v>
      </c>
      <c r="H48" t="str">
        <f>_xlfn.XLOOKUP(Data_Xuất[[#This Row],[Main SKU]],MD_Main_SKU[Main SKU],MD_Main_SKU[SKU name_gom])</f>
        <v>iSS01</v>
      </c>
    </row>
    <row r="49" spans="1:8" x14ac:dyDescent="0.35">
      <c r="A49">
        <v>2024</v>
      </c>
      <c r="B49">
        <v>1</v>
      </c>
      <c r="C49" t="s">
        <v>26</v>
      </c>
      <c r="D49" t="s">
        <v>27</v>
      </c>
      <c r="E49" t="s">
        <v>91</v>
      </c>
      <c r="F49" t="s">
        <v>92</v>
      </c>
      <c r="G49" s="2">
        <v>726.49161292283691</v>
      </c>
      <c r="H49" t="str">
        <f>_xlfn.XLOOKUP(Data_Xuất[[#This Row],[Main SKU]],MD_Main_SKU[Main SKU],MD_Main_SKU[SKU name_gom])</f>
        <v>iSS01</v>
      </c>
    </row>
    <row r="50" spans="1:8" x14ac:dyDescent="0.35">
      <c r="A50">
        <v>2024</v>
      </c>
      <c r="B50">
        <v>1</v>
      </c>
      <c r="C50" t="s">
        <v>26</v>
      </c>
      <c r="D50" t="s">
        <v>27</v>
      </c>
      <c r="E50" t="s">
        <v>93</v>
      </c>
      <c r="F50" t="s">
        <v>94</v>
      </c>
      <c r="G50" s="2">
        <v>16.211807261876416</v>
      </c>
      <c r="H50" t="str">
        <f>_xlfn.XLOOKUP(Data_Xuất[[#This Row],[Main SKU]],MD_Main_SKU[Main SKU],MD_Main_SKU[SKU name_gom])</f>
        <v>iSS01</v>
      </c>
    </row>
    <row r="51" spans="1:8" x14ac:dyDescent="0.35">
      <c r="A51">
        <v>2024</v>
      </c>
      <c r="B51">
        <v>1</v>
      </c>
      <c r="C51" t="s">
        <v>95</v>
      </c>
      <c r="D51" t="s">
        <v>96</v>
      </c>
      <c r="E51" t="s">
        <v>97</v>
      </c>
      <c r="F51" t="s">
        <v>98</v>
      </c>
      <c r="G51" s="2">
        <v>4726.9960299955892</v>
      </c>
      <c r="H51" t="str">
        <f>_xlfn.XLOOKUP(Data_Xuất[[#This Row],[Main SKU]],MD_Main_SKU[Main SKU],MD_Main_SKU[SKU name_gom])</f>
        <v>WSS04</v>
      </c>
    </row>
    <row r="52" spans="1:8" x14ac:dyDescent="0.35">
      <c r="A52">
        <v>2024</v>
      </c>
      <c r="B52">
        <v>1</v>
      </c>
      <c r="C52" t="s">
        <v>95</v>
      </c>
      <c r="D52" t="s">
        <v>96</v>
      </c>
      <c r="E52" t="s">
        <v>87</v>
      </c>
      <c r="F52" t="s">
        <v>88</v>
      </c>
      <c r="G52" s="2">
        <v>323.00397000441114</v>
      </c>
      <c r="H52" t="str">
        <f>_xlfn.XLOOKUP(Data_Xuất[[#This Row],[Main SKU]],MD_Main_SKU[Main SKU],MD_Main_SKU[SKU name_gom])</f>
        <v>WSS04</v>
      </c>
    </row>
    <row r="53" spans="1:8" x14ac:dyDescent="0.35">
      <c r="A53">
        <v>2024</v>
      </c>
      <c r="B53">
        <v>1</v>
      </c>
      <c r="C53" t="s">
        <v>99</v>
      </c>
      <c r="D53" t="s">
        <v>100</v>
      </c>
      <c r="E53" t="s">
        <v>97</v>
      </c>
      <c r="F53" t="s">
        <v>98</v>
      </c>
      <c r="G53" s="2">
        <v>350</v>
      </c>
      <c r="H53" t="str">
        <f>_xlfn.XLOOKUP(Data_Xuất[[#This Row],[Main SKU]],MD_Main_SKU[Main SKU],MD_Main_SKU[SKU name_gom])</f>
        <v>WSS04</v>
      </c>
    </row>
    <row r="54" spans="1:8" x14ac:dyDescent="0.35">
      <c r="A54">
        <v>2024</v>
      </c>
      <c r="B54">
        <v>1</v>
      </c>
      <c r="C54" t="s">
        <v>101</v>
      </c>
      <c r="D54" t="s">
        <v>102</v>
      </c>
      <c r="E54" t="s">
        <v>97</v>
      </c>
      <c r="F54" t="s">
        <v>98</v>
      </c>
      <c r="G54" s="2">
        <v>4209.2978002530845</v>
      </c>
      <c r="H54" t="str">
        <f>_xlfn.XLOOKUP(Data_Xuất[[#This Row],[Main SKU]],MD_Main_SKU[Main SKU],MD_Main_SKU[SKU name_gom])</f>
        <v>WSS03</v>
      </c>
    </row>
    <row r="55" spans="1:8" x14ac:dyDescent="0.35">
      <c r="A55">
        <v>2024</v>
      </c>
      <c r="B55">
        <v>1</v>
      </c>
      <c r="C55" t="s">
        <v>101</v>
      </c>
      <c r="D55" t="s">
        <v>102</v>
      </c>
      <c r="E55" t="s">
        <v>101</v>
      </c>
      <c r="F55" t="s">
        <v>102</v>
      </c>
      <c r="G55" s="2">
        <v>571.2830957230143</v>
      </c>
      <c r="H55" t="str">
        <f>_xlfn.XLOOKUP(Data_Xuất[[#This Row],[Main SKU]],MD_Main_SKU[Main SKU],MD_Main_SKU[SKU name_gom])</f>
        <v>WSS03</v>
      </c>
    </row>
    <row r="56" spans="1:8" x14ac:dyDescent="0.35">
      <c r="A56">
        <v>2024</v>
      </c>
      <c r="B56">
        <v>1</v>
      </c>
      <c r="C56" t="s">
        <v>101</v>
      </c>
      <c r="D56" t="s">
        <v>102</v>
      </c>
      <c r="E56" t="s">
        <v>85</v>
      </c>
      <c r="F56" t="s">
        <v>86</v>
      </c>
      <c r="G56" s="2">
        <v>717.38007110808417</v>
      </c>
      <c r="H56" t="str">
        <f>_xlfn.XLOOKUP(Data_Xuất[[#This Row],[Main SKU]],MD_Main_SKU[Main SKU],MD_Main_SKU[SKU name_gom])</f>
        <v>WSS03</v>
      </c>
    </row>
    <row r="57" spans="1:8" x14ac:dyDescent="0.35">
      <c r="A57">
        <v>2024</v>
      </c>
      <c r="B57">
        <v>1</v>
      </c>
      <c r="C57" t="s">
        <v>101</v>
      </c>
      <c r="D57" t="s">
        <v>102</v>
      </c>
      <c r="E57" t="s">
        <v>93</v>
      </c>
      <c r="F57" t="s">
        <v>94</v>
      </c>
      <c r="G57" s="2">
        <v>2.0390329158170695</v>
      </c>
      <c r="H57" t="str">
        <f>_xlfn.XLOOKUP(Data_Xuất[[#This Row],[Main SKU]],MD_Main_SKU[Main SKU],MD_Main_SKU[SKU name_gom])</f>
        <v>WSS03</v>
      </c>
    </row>
    <row r="58" spans="1:8" x14ac:dyDescent="0.35">
      <c r="A58">
        <v>2024</v>
      </c>
      <c r="B58">
        <v>2</v>
      </c>
      <c r="C58" t="s">
        <v>8</v>
      </c>
      <c r="D58" t="s">
        <v>9</v>
      </c>
      <c r="E58" t="s">
        <v>8</v>
      </c>
      <c r="F58" t="s">
        <v>9</v>
      </c>
      <c r="G58" s="2">
        <v>306314.35166528198</v>
      </c>
      <c r="H58" t="str">
        <f>_xlfn.XLOOKUP(Data_Xuất[[#This Row],[Main SKU]],MD_Main_SKU[Main SKU],MD_Main_SKU[SKU name_gom])</f>
        <v>WSS01</v>
      </c>
    </row>
    <row r="59" spans="1:8" x14ac:dyDescent="0.35">
      <c r="A59">
        <v>2024</v>
      </c>
      <c r="B59">
        <v>2</v>
      </c>
      <c r="C59" t="s">
        <v>8</v>
      </c>
      <c r="D59" t="s">
        <v>9</v>
      </c>
      <c r="E59" t="s">
        <v>12</v>
      </c>
      <c r="F59" t="s">
        <v>13</v>
      </c>
      <c r="G59" s="2">
        <v>1097.3462867575145</v>
      </c>
      <c r="H59" t="str">
        <f>_xlfn.XLOOKUP(Data_Xuất[[#This Row],[Main SKU]],MD_Main_SKU[Main SKU],MD_Main_SKU[SKU name_gom])</f>
        <v>WSS01</v>
      </c>
    </row>
    <row r="60" spans="1:8" x14ac:dyDescent="0.35">
      <c r="A60">
        <v>2024</v>
      </c>
      <c r="B60">
        <v>2</v>
      </c>
      <c r="C60" t="s">
        <v>8</v>
      </c>
      <c r="D60" t="s">
        <v>9</v>
      </c>
      <c r="E60" t="s">
        <v>85</v>
      </c>
      <c r="F60" t="s">
        <v>86</v>
      </c>
      <c r="G60" s="2">
        <v>3578.0304401596959</v>
      </c>
      <c r="H60" t="str">
        <f>_xlfn.XLOOKUP(Data_Xuất[[#This Row],[Main SKU]],MD_Main_SKU[Main SKU],MD_Main_SKU[SKU name_gom])</f>
        <v>WSS01</v>
      </c>
    </row>
    <row r="61" spans="1:8" x14ac:dyDescent="0.35">
      <c r="A61">
        <v>2024</v>
      </c>
      <c r="B61">
        <v>2</v>
      </c>
      <c r="C61" t="s">
        <v>8</v>
      </c>
      <c r="D61" t="s">
        <v>9</v>
      </c>
      <c r="E61" t="s">
        <v>87</v>
      </c>
      <c r="F61" t="s">
        <v>88</v>
      </c>
      <c r="G61" s="2">
        <v>1561.870377783393</v>
      </c>
      <c r="H61" t="str">
        <f>_xlfn.XLOOKUP(Data_Xuất[[#This Row],[Main SKU]],MD_Main_SKU[Main SKU],MD_Main_SKU[SKU name_gom])</f>
        <v>WSS01</v>
      </c>
    </row>
    <row r="62" spans="1:8" x14ac:dyDescent="0.35">
      <c r="A62">
        <v>2024</v>
      </c>
      <c r="B62">
        <v>2</v>
      </c>
      <c r="C62" t="s">
        <v>8</v>
      </c>
      <c r="D62" t="s">
        <v>9</v>
      </c>
      <c r="E62" t="s">
        <v>89</v>
      </c>
      <c r="F62" t="s">
        <v>90</v>
      </c>
      <c r="G62" s="2">
        <v>418.0575299841986</v>
      </c>
      <c r="H62" t="str">
        <f>_xlfn.XLOOKUP(Data_Xuất[[#This Row],[Main SKU]],MD_Main_SKU[Main SKU],MD_Main_SKU[SKU name_gom])</f>
        <v>WSS01</v>
      </c>
    </row>
    <row r="63" spans="1:8" x14ac:dyDescent="0.35">
      <c r="A63">
        <v>2024</v>
      </c>
      <c r="B63">
        <v>2</v>
      </c>
      <c r="C63" t="s">
        <v>8</v>
      </c>
      <c r="D63" t="s">
        <v>9</v>
      </c>
      <c r="E63" t="s">
        <v>93</v>
      </c>
      <c r="F63" t="s">
        <v>94</v>
      </c>
      <c r="G63" s="2">
        <v>30.343700033200477</v>
      </c>
      <c r="H63" t="str">
        <f>_xlfn.XLOOKUP(Data_Xuất[[#This Row],[Main SKU]],MD_Main_SKU[Main SKU],MD_Main_SKU[SKU name_gom])</f>
        <v>WSS01</v>
      </c>
    </row>
    <row r="64" spans="1:8" x14ac:dyDescent="0.35">
      <c r="A64">
        <v>2024</v>
      </c>
      <c r="B64">
        <v>2</v>
      </c>
      <c r="C64" t="s">
        <v>14</v>
      </c>
      <c r="D64" t="s">
        <v>15</v>
      </c>
      <c r="E64" t="s">
        <v>14</v>
      </c>
      <c r="F64" t="s">
        <v>15</v>
      </c>
      <c r="G64" s="2">
        <v>234517.55759388523</v>
      </c>
      <c r="H64" t="str">
        <f>_xlfn.XLOOKUP(Data_Xuất[[#This Row],[Main SKU]],MD_Main_SKU[Main SKU],MD_Main_SKU[SKU name_gom])</f>
        <v>iSS01084</v>
      </c>
    </row>
    <row r="65" spans="1:8" x14ac:dyDescent="0.35">
      <c r="A65">
        <v>2024</v>
      </c>
      <c r="B65">
        <v>2</v>
      </c>
      <c r="C65" t="s">
        <v>14</v>
      </c>
      <c r="D65" t="s">
        <v>15</v>
      </c>
      <c r="E65" t="s">
        <v>16</v>
      </c>
      <c r="F65" t="s">
        <v>17</v>
      </c>
      <c r="G65" s="2">
        <v>2220.3542155948185</v>
      </c>
      <c r="H65" t="str">
        <f>_xlfn.XLOOKUP(Data_Xuất[[#This Row],[Main SKU]],MD_Main_SKU[Main SKU],MD_Main_SKU[SKU name_gom])</f>
        <v>iSS01084</v>
      </c>
    </row>
    <row r="66" spans="1:8" x14ac:dyDescent="0.35">
      <c r="A66">
        <v>2024</v>
      </c>
      <c r="B66">
        <v>2</v>
      </c>
      <c r="C66" t="s">
        <v>14</v>
      </c>
      <c r="D66" t="s">
        <v>15</v>
      </c>
      <c r="E66" t="s">
        <v>18</v>
      </c>
      <c r="F66" t="s">
        <v>19</v>
      </c>
      <c r="G66" s="2">
        <v>38876.901849323869</v>
      </c>
      <c r="H66" t="str">
        <f>_xlfn.XLOOKUP(Data_Xuất[[#This Row],[Main SKU]],MD_Main_SKU[Main SKU],MD_Main_SKU[SKU name_gom])</f>
        <v>iSS01084</v>
      </c>
    </row>
    <row r="67" spans="1:8" x14ac:dyDescent="0.35">
      <c r="A67">
        <v>2024</v>
      </c>
      <c r="B67">
        <v>2</v>
      </c>
      <c r="C67" t="s">
        <v>14</v>
      </c>
      <c r="D67" t="s">
        <v>15</v>
      </c>
      <c r="E67" t="s">
        <v>20</v>
      </c>
      <c r="F67" t="s">
        <v>21</v>
      </c>
      <c r="G67" s="2">
        <v>6663.3166941573581</v>
      </c>
      <c r="H67" t="str">
        <f>_xlfn.XLOOKUP(Data_Xuất[[#This Row],[Main SKU]],MD_Main_SKU[Main SKU],MD_Main_SKU[SKU name_gom])</f>
        <v>iSS01084</v>
      </c>
    </row>
    <row r="68" spans="1:8" x14ac:dyDescent="0.35">
      <c r="A68">
        <v>2024</v>
      </c>
      <c r="B68">
        <v>2</v>
      </c>
      <c r="C68" t="s">
        <v>14</v>
      </c>
      <c r="D68" t="s">
        <v>15</v>
      </c>
      <c r="E68" t="s">
        <v>22</v>
      </c>
      <c r="F68" t="s">
        <v>23</v>
      </c>
      <c r="G68" s="2">
        <v>2221.9777045207447</v>
      </c>
      <c r="H68" t="str">
        <f>_xlfn.XLOOKUP(Data_Xuất[[#This Row],[Main SKU]],MD_Main_SKU[Main SKU],MD_Main_SKU[SKU name_gom])</f>
        <v>iSS01084</v>
      </c>
    </row>
    <row r="69" spans="1:8" x14ac:dyDescent="0.35">
      <c r="A69">
        <v>2024</v>
      </c>
      <c r="B69">
        <v>2</v>
      </c>
      <c r="C69" t="s">
        <v>14</v>
      </c>
      <c r="D69" t="s">
        <v>15</v>
      </c>
      <c r="E69" t="s">
        <v>85</v>
      </c>
      <c r="F69" t="s">
        <v>86</v>
      </c>
      <c r="G69" s="2">
        <v>5291.8570201386992</v>
      </c>
      <c r="H69" t="str">
        <f>_xlfn.XLOOKUP(Data_Xuất[[#This Row],[Main SKU]],MD_Main_SKU[Main SKU],MD_Main_SKU[SKU name_gom])</f>
        <v>iSS01084</v>
      </c>
    </row>
    <row r="70" spans="1:8" x14ac:dyDescent="0.35">
      <c r="A70">
        <v>2024</v>
      </c>
      <c r="B70">
        <v>2</v>
      </c>
      <c r="C70" t="s">
        <v>14</v>
      </c>
      <c r="D70" t="s">
        <v>15</v>
      </c>
      <c r="E70" t="s">
        <v>87</v>
      </c>
      <c r="F70" t="s">
        <v>88</v>
      </c>
      <c r="G70" s="2">
        <v>4432.4558133964392</v>
      </c>
      <c r="H70" t="str">
        <f>_xlfn.XLOOKUP(Data_Xuất[[#This Row],[Main SKU]],MD_Main_SKU[Main SKU],MD_Main_SKU[SKU name_gom])</f>
        <v>iSS01084</v>
      </c>
    </row>
    <row r="71" spans="1:8" x14ac:dyDescent="0.35">
      <c r="A71">
        <v>2024</v>
      </c>
      <c r="B71">
        <v>2</v>
      </c>
      <c r="C71" t="s">
        <v>14</v>
      </c>
      <c r="D71" t="s">
        <v>15</v>
      </c>
      <c r="E71" t="s">
        <v>89</v>
      </c>
      <c r="F71" t="s">
        <v>90</v>
      </c>
      <c r="G71" s="2">
        <v>699.83194793759844</v>
      </c>
      <c r="H71" t="str">
        <f>_xlfn.XLOOKUP(Data_Xuất[[#This Row],[Main SKU]],MD_Main_SKU[Main SKU],MD_Main_SKU[SKU name_gom])</f>
        <v>iSS01084</v>
      </c>
    </row>
    <row r="72" spans="1:8" x14ac:dyDescent="0.35">
      <c r="A72">
        <v>2024</v>
      </c>
      <c r="B72">
        <v>2</v>
      </c>
      <c r="C72" t="s">
        <v>14</v>
      </c>
      <c r="D72" t="s">
        <v>15</v>
      </c>
      <c r="E72" t="s">
        <v>93</v>
      </c>
      <c r="F72" t="s">
        <v>94</v>
      </c>
      <c r="G72" s="2">
        <v>75.747161045256789</v>
      </c>
      <c r="H72" t="str">
        <f>_xlfn.XLOOKUP(Data_Xuất[[#This Row],[Main SKU]],MD_Main_SKU[Main SKU],MD_Main_SKU[SKU name_gom])</f>
        <v>iSS01084</v>
      </c>
    </row>
    <row r="73" spans="1:8" x14ac:dyDescent="0.35">
      <c r="A73">
        <v>2024</v>
      </c>
      <c r="B73">
        <v>2</v>
      </c>
      <c r="C73" t="s">
        <v>16</v>
      </c>
      <c r="D73" t="s">
        <v>17</v>
      </c>
      <c r="E73" t="s">
        <v>16</v>
      </c>
      <c r="F73" t="s">
        <v>17</v>
      </c>
      <c r="G73" s="2">
        <v>1376822.6873907719</v>
      </c>
      <c r="H73" t="str">
        <f>_xlfn.XLOOKUP(Data_Xuất[[#This Row],[Main SKU]],MD_Main_SKU[Main SKU],MD_Main_SKU[SKU name_gom])</f>
        <v>WSS01</v>
      </c>
    </row>
    <row r="74" spans="1:8" x14ac:dyDescent="0.35">
      <c r="A74">
        <v>2024</v>
      </c>
      <c r="B74">
        <v>2</v>
      </c>
      <c r="C74" t="s">
        <v>16</v>
      </c>
      <c r="D74" t="s">
        <v>17</v>
      </c>
      <c r="E74" t="s">
        <v>18</v>
      </c>
      <c r="F74" t="s">
        <v>19</v>
      </c>
      <c r="G74" s="2">
        <v>135126.69528961045</v>
      </c>
      <c r="H74" t="str">
        <f>_xlfn.XLOOKUP(Data_Xuất[[#This Row],[Main SKU]],MD_Main_SKU[Main SKU],MD_Main_SKU[SKU name_gom])</f>
        <v>WSS01</v>
      </c>
    </row>
    <row r="75" spans="1:8" x14ac:dyDescent="0.35">
      <c r="A75">
        <v>2024</v>
      </c>
      <c r="B75">
        <v>2</v>
      </c>
      <c r="C75" t="s">
        <v>16</v>
      </c>
      <c r="D75" t="s">
        <v>17</v>
      </c>
      <c r="E75" t="s">
        <v>20</v>
      </c>
      <c r="F75" t="s">
        <v>21</v>
      </c>
      <c r="G75" s="2">
        <v>94967.61650298562</v>
      </c>
      <c r="H75" t="str">
        <f>_xlfn.XLOOKUP(Data_Xuất[[#This Row],[Main SKU]],MD_Main_SKU[Main SKU],MD_Main_SKU[SKU name_gom])</f>
        <v>WSS01</v>
      </c>
    </row>
    <row r="76" spans="1:8" x14ac:dyDescent="0.35">
      <c r="A76">
        <v>2024</v>
      </c>
      <c r="B76">
        <v>2</v>
      </c>
      <c r="C76" t="s">
        <v>16</v>
      </c>
      <c r="D76" t="s">
        <v>17</v>
      </c>
      <c r="E76" t="s">
        <v>22</v>
      </c>
      <c r="F76" t="s">
        <v>23</v>
      </c>
      <c r="G76" s="2">
        <v>4354.2660502990057</v>
      </c>
      <c r="H76" t="str">
        <f>_xlfn.XLOOKUP(Data_Xuất[[#This Row],[Main SKU]],MD_Main_SKU[Main SKU],MD_Main_SKU[SKU name_gom])</f>
        <v>WSS01</v>
      </c>
    </row>
    <row r="77" spans="1:8" x14ac:dyDescent="0.35">
      <c r="A77">
        <v>2024</v>
      </c>
      <c r="B77">
        <v>2</v>
      </c>
      <c r="C77" t="s">
        <v>16</v>
      </c>
      <c r="D77" t="s">
        <v>17</v>
      </c>
      <c r="E77" t="s">
        <v>85</v>
      </c>
      <c r="F77" t="s">
        <v>86</v>
      </c>
      <c r="G77" s="2">
        <v>15623.889472702287</v>
      </c>
      <c r="H77" t="str">
        <f>_xlfn.XLOOKUP(Data_Xuất[[#This Row],[Main SKU]],MD_Main_SKU[Main SKU],MD_Main_SKU[SKU name_gom])</f>
        <v>WSS01</v>
      </c>
    </row>
    <row r="78" spans="1:8" x14ac:dyDescent="0.35">
      <c r="A78">
        <v>2024</v>
      </c>
      <c r="B78">
        <v>2</v>
      </c>
      <c r="C78" t="s">
        <v>16</v>
      </c>
      <c r="D78" t="s">
        <v>17</v>
      </c>
      <c r="E78" t="s">
        <v>87</v>
      </c>
      <c r="F78" t="s">
        <v>88</v>
      </c>
      <c r="G78" s="2">
        <v>17897.441244001588</v>
      </c>
      <c r="H78" t="str">
        <f>_xlfn.XLOOKUP(Data_Xuất[[#This Row],[Main SKU]],MD_Main_SKU[Main SKU],MD_Main_SKU[SKU name_gom])</f>
        <v>WSS01</v>
      </c>
    </row>
    <row r="79" spans="1:8" x14ac:dyDescent="0.35">
      <c r="A79">
        <v>2024</v>
      </c>
      <c r="B79">
        <v>2</v>
      </c>
      <c r="C79" t="s">
        <v>16</v>
      </c>
      <c r="D79" t="s">
        <v>17</v>
      </c>
      <c r="E79" t="s">
        <v>89</v>
      </c>
      <c r="F79" t="s">
        <v>90</v>
      </c>
      <c r="G79" s="2">
        <v>4548.060078990271</v>
      </c>
      <c r="H79" t="str">
        <f>_xlfn.XLOOKUP(Data_Xuất[[#This Row],[Main SKU]],MD_Main_SKU[Main SKU],MD_Main_SKU[SKU name_gom])</f>
        <v>WSS01</v>
      </c>
    </row>
    <row r="80" spans="1:8" x14ac:dyDescent="0.35">
      <c r="A80">
        <v>2024</v>
      </c>
      <c r="B80">
        <v>2</v>
      </c>
      <c r="C80" t="s">
        <v>16</v>
      </c>
      <c r="D80" t="s">
        <v>17</v>
      </c>
      <c r="E80" t="s">
        <v>93</v>
      </c>
      <c r="F80" t="s">
        <v>94</v>
      </c>
      <c r="G80" s="2">
        <v>873.84397063874792</v>
      </c>
      <c r="H80" t="str">
        <f>_xlfn.XLOOKUP(Data_Xuất[[#This Row],[Main SKU]],MD_Main_SKU[Main SKU],MD_Main_SKU[SKU name_gom])</f>
        <v>WSS01</v>
      </c>
    </row>
    <row r="81" spans="1:8" x14ac:dyDescent="0.35">
      <c r="A81">
        <v>2024</v>
      </c>
      <c r="B81">
        <v>2</v>
      </c>
      <c r="C81" t="s">
        <v>24</v>
      </c>
      <c r="D81" t="s">
        <v>25</v>
      </c>
      <c r="E81" t="s">
        <v>20</v>
      </c>
      <c r="F81" t="s">
        <v>21</v>
      </c>
      <c r="G81" s="2">
        <v>57003.866581261755</v>
      </c>
      <c r="H81" t="str">
        <f>_xlfn.XLOOKUP(Data_Xuất[[#This Row],[Main SKU]],MD_Main_SKU[Main SKU],MD_Main_SKU[SKU name_gom])</f>
        <v>WSS01</v>
      </c>
    </row>
    <row r="82" spans="1:8" x14ac:dyDescent="0.35">
      <c r="A82">
        <v>2024</v>
      </c>
      <c r="B82">
        <v>2</v>
      </c>
      <c r="C82" t="s">
        <v>24</v>
      </c>
      <c r="D82" t="s">
        <v>25</v>
      </c>
      <c r="E82" t="s">
        <v>24</v>
      </c>
      <c r="F82" t="s">
        <v>25</v>
      </c>
      <c r="G82" s="2">
        <v>767042.1045487182</v>
      </c>
      <c r="H82" t="str">
        <f>_xlfn.XLOOKUP(Data_Xuất[[#This Row],[Main SKU]],MD_Main_SKU[Main SKU],MD_Main_SKU[SKU name_gom])</f>
        <v>WSS01</v>
      </c>
    </row>
    <row r="83" spans="1:8" x14ac:dyDescent="0.35">
      <c r="A83">
        <v>2024</v>
      </c>
      <c r="B83">
        <v>2</v>
      </c>
      <c r="C83" t="s">
        <v>24</v>
      </c>
      <c r="D83" t="s">
        <v>25</v>
      </c>
      <c r="E83" t="s">
        <v>26</v>
      </c>
      <c r="F83" t="s">
        <v>27</v>
      </c>
      <c r="G83" s="2">
        <v>28589.00485248338</v>
      </c>
      <c r="H83" t="str">
        <f>_xlfn.XLOOKUP(Data_Xuất[[#This Row],[Main SKU]],MD_Main_SKU[Main SKU],MD_Main_SKU[SKU name_gom])</f>
        <v>WSS01</v>
      </c>
    </row>
    <row r="84" spans="1:8" x14ac:dyDescent="0.35">
      <c r="A84">
        <v>2024</v>
      </c>
      <c r="B84">
        <v>2</v>
      </c>
      <c r="C84" t="s">
        <v>24</v>
      </c>
      <c r="D84" t="s">
        <v>25</v>
      </c>
      <c r="E84" t="s">
        <v>85</v>
      </c>
      <c r="F84" t="s">
        <v>86</v>
      </c>
      <c r="G84" s="2">
        <v>10714.429734071588</v>
      </c>
      <c r="H84" t="str">
        <f>_xlfn.XLOOKUP(Data_Xuất[[#This Row],[Main SKU]],MD_Main_SKU[Main SKU],MD_Main_SKU[SKU name_gom])</f>
        <v>WSS01</v>
      </c>
    </row>
    <row r="85" spans="1:8" x14ac:dyDescent="0.35">
      <c r="A85">
        <v>2024</v>
      </c>
      <c r="B85">
        <v>2</v>
      </c>
      <c r="C85" t="s">
        <v>24</v>
      </c>
      <c r="D85" t="s">
        <v>25</v>
      </c>
      <c r="E85" t="s">
        <v>87</v>
      </c>
      <c r="F85" t="s">
        <v>88</v>
      </c>
      <c r="G85" s="2">
        <v>13326.334716347399</v>
      </c>
      <c r="H85" t="str">
        <f>_xlfn.XLOOKUP(Data_Xuất[[#This Row],[Main SKU]],MD_Main_SKU[Main SKU],MD_Main_SKU[SKU name_gom])</f>
        <v>WSS01</v>
      </c>
    </row>
    <row r="86" spans="1:8" x14ac:dyDescent="0.35">
      <c r="A86">
        <v>2024</v>
      </c>
      <c r="B86">
        <v>2</v>
      </c>
      <c r="C86" t="s">
        <v>24</v>
      </c>
      <c r="D86" t="s">
        <v>25</v>
      </c>
      <c r="E86" t="s">
        <v>89</v>
      </c>
      <c r="F86" t="s">
        <v>90</v>
      </c>
      <c r="G86" s="2">
        <v>747.1429739690218</v>
      </c>
      <c r="H86" t="str">
        <f>_xlfn.XLOOKUP(Data_Xuất[[#This Row],[Main SKU]],MD_Main_SKU[Main SKU],MD_Main_SKU[SKU name_gom])</f>
        <v>WSS01</v>
      </c>
    </row>
    <row r="87" spans="1:8" x14ac:dyDescent="0.35">
      <c r="A87">
        <v>2024</v>
      </c>
      <c r="B87">
        <v>2</v>
      </c>
      <c r="C87" t="s">
        <v>24</v>
      </c>
      <c r="D87" t="s">
        <v>25</v>
      </c>
      <c r="E87" t="s">
        <v>93</v>
      </c>
      <c r="F87" t="s">
        <v>94</v>
      </c>
      <c r="G87" s="2">
        <v>177.11659314880018</v>
      </c>
      <c r="H87" t="str">
        <f>_xlfn.XLOOKUP(Data_Xuất[[#This Row],[Main SKU]],MD_Main_SKU[Main SKU],MD_Main_SKU[SKU name_gom])</f>
        <v>WSS01</v>
      </c>
    </row>
    <row r="88" spans="1:8" x14ac:dyDescent="0.35">
      <c r="A88">
        <v>2024</v>
      </c>
      <c r="B88">
        <v>2</v>
      </c>
      <c r="C88" t="s">
        <v>97</v>
      </c>
      <c r="D88" t="s">
        <v>98</v>
      </c>
      <c r="E88" t="s">
        <v>97</v>
      </c>
      <c r="F88" t="s">
        <v>98</v>
      </c>
      <c r="G88" s="2">
        <v>1475.8467023172905</v>
      </c>
      <c r="H88" t="str">
        <f>_xlfn.XLOOKUP(Data_Xuất[[#This Row],[Main SKU]],MD_Main_SKU[Main SKU],MD_Main_SKU[SKU name_gom])</f>
        <v>WSS05</v>
      </c>
    </row>
    <row r="89" spans="1:8" x14ac:dyDescent="0.35">
      <c r="A89">
        <v>2024</v>
      </c>
      <c r="B89">
        <v>2</v>
      </c>
      <c r="C89" t="s">
        <v>97</v>
      </c>
      <c r="D89" t="s">
        <v>98</v>
      </c>
      <c r="E89" t="s">
        <v>85</v>
      </c>
      <c r="F89" t="s">
        <v>86</v>
      </c>
      <c r="G89" s="2">
        <v>998.54426619132505</v>
      </c>
      <c r="H89" t="str">
        <f>_xlfn.XLOOKUP(Data_Xuất[[#This Row],[Main SKU]],MD_Main_SKU[Main SKU],MD_Main_SKU[SKU name_gom])</f>
        <v>WSS05</v>
      </c>
    </row>
    <row r="90" spans="1:8" x14ac:dyDescent="0.35">
      <c r="A90">
        <v>2024</v>
      </c>
      <c r="B90">
        <v>2</v>
      </c>
      <c r="C90" t="s">
        <v>97</v>
      </c>
      <c r="D90" t="s">
        <v>98</v>
      </c>
      <c r="E90" t="s">
        <v>87</v>
      </c>
      <c r="F90" t="s">
        <v>88</v>
      </c>
      <c r="G90" s="2">
        <v>425.60903149138443</v>
      </c>
      <c r="H90" t="str">
        <f>_xlfn.XLOOKUP(Data_Xuất[[#This Row],[Main SKU]],MD_Main_SKU[Main SKU],MD_Main_SKU[SKU name_gom])</f>
        <v>WSS05</v>
      </c>
    </row>
    <row r="91" spans="1:8" x14ac:dyDescent="0.35">
      <c r="A91">
        <v>2024</v>
      </c>
      <c r="B91">
        <v>2</v>
      </c>
      <c r="C91" t="s">
        <v>101</v>
      </c>
      <c r="D91" t="s">
        <v>102</v>
      </c>
      <c r="E91" t="s">
        <v>97</v>
      </c>
      <c r="F91" t="s">
        <v>98</v>
      </c>
      <c r="G91" s="2">
        <v>2864</v>
      </c>
      <c r="H91" t="str">
        <f>_xlfn.XLOOKUP(Data_Xuất[[#This Row],[Main SKU]],MD_Main_SKU[Main SKU],MD_Main_SKU[SKU name_gom])</f>
        <v>WSS03</v>
      </c>
    </row>
    <row r="92" spans="1:8" x14ac:dyDescent="0.35">
      <c r="A92">
        <v>2024</v>
      </c>
      <c r="B92">
        <v>2</v>
      </c>
      <c r="C92" t="s">
        <v>101</v>
      </c>
      <c r="D92" t="s">
        <v>102</v>
      </c>
      <c r="E92" t="s">
        <v>85</v>
      </c>
      <c r="F92" t="s">
        <v>86</v>
      </c>
      <c r="G92" s="2">
        <v>692</v>
      </c>
      <c r="H92" t="str">
        <f>_xlfn.XLOOKUP(Data_Xuất[[#This Row],[Main SKU]],MD_Main_SKU[Main SKU],MD_Main_SKU[SKU name_gom])</f>
        <v>WSS03</v>
      </c>
    </row>
    <row r="93" spans="1:8" x14ac:dyDescent="0.35">
      <c r="A93">
        <v>2024</v>
      </c>
      <c r="B93">
        <v>2</v>
      </c>
      <c r="C93" t="s">
        <v>101</v>
      </c>
      <c r="D93" t="s">
        <v>102</v>
      </c>
      <c r="E93" t="s">
        <v>87</v>
      </c>
      <c r="F93" t="s">
        <v>88</v>
      </c>
      <c r="G93" s="2">
        <v>24</v>
      </c>
      <c r="H93" t="str">
        <f>_xlfn.XLOOKUP(Data_Xuất[[#This Row],[Main SKU]],MD_Main_SKU[Main SKU],MD_Main_SKU[SKU name_gom])</f>
        <v>WSS03</v>
      </c>
    </row>
    <row r="94" spans="1:8" x14ac:dyDescent="0.35">
      <c r="A94">
        <v>2024</v>
      </c>
      <c r="B94">
        <v>2</v>
      </c>
      <c r="C94" t="s">
        <v>101</v>
      </c>
      <c r="D94" t="s">
        <v>102</v>
      </c>
      <c r="E94" t="s">
        <v>103</v>
      </c>
      <c r="F94" t="s">
        <v>151</v>
      </c>
      <c r="G94" s="2">
        <v>15</v>
      </c>
      <c r="H94" t="str">
        <f>_xlfn.XLOOKUP(Data_Xuất[[#This Row],[Main SKU]],MD_Main_SKU[Main SKU],MD_Main_SKU[SKU name_gom])</f>
        <v>WSS03</v>
      </c>
    </row>
    <row r="95" spans="1:8" x14ac:dyDescent="0.35">
      <c r="A95">
        <v>2024</v>
      </c>
      <c r="B95">
        <v>2</v>
      </c>
      <c r="C95" t="s">
        <v>101</v>
      </c>
      <c r="D95" t="s">
        <v>102</v>
      </c>
      <c r="E95" t="s">
        <v>105</v>
      </c>
      <c r="F95" t="s">
        <v>106</v>
      </c>
      <c r="G95" s="2">
        <v>5</v>
      </c>
      <c r="H95" t="str">
        <f>_xlfn.XLOOKUP(Data_Xuất[[#This Row],[Main SKU]],MD_Main_SKU[Main SKU],MD_Main_SKU[SKU name_gom])</f>
        <v>WSS03</v>
      </c>
    </row>
    <row r="96" spans="1:8" x14ac:dyDescent="0.35">
      <c r="A96">
        <v>2024</v>
      </c>
      <c r="B96">
        <v>3</v>
      </c>
      <c r="C96" t="s">
        <v>8</v>
      </c>
      <c r="D96" t="s">
        <v>9</v>
      </c>
      <c r="E96" t="s">
        <v>8</v>
      </c>
      <c r="F96" t="s">
        <v>9</v>
      </c>
      <c r="G96" s="2">
        <v>86522.52823546133</v>
      </c>
      <c r="H96" t="str">
        <f>_xlfn.XLOOKUP(Data_Xuất[[#This Row],[Main SKU]],MD_Main_SKU[Main SKU],MD_Main_SKU[SKU name_gom])</f>
        <v>WSS01</v>
      </c>
    </row>
    <row r="97" spans="1:8" x14ac:dyDescent="0.35">
      <c r="A97">
        <v>2024</v>
      </c>
      <c r="B97">
        <v>3</v>
      </c>
      <c r="C97" t="s">
        <v>8</v>
      </c>
      <c r="D97" t="s">
        <v>9</v>
      </c>
      <c r="E97" t="s">
        <v>12</v>
      </c>
      <c r="F97" t="s">
        <v>13</v>
      </c>
      <c r="G97" s="2">
        <v>1082.4049069022446</v>
      </c>
      <c r="H97" t="str">
        <f>_xlfn.XLOOKUP(Data_Xuất[[#This Row],[Main SKU]],MD_Main_SKU[Main SKU],MD_Main_SKU[SKU name_gom])</f>
        <v>WSS01</v>
      </c>
    </row>
    <row r="98" spans="1:8" x14ac:dyDescent="0.35">
      <c r="A98">
        <v>2024</v>
      </c>
      <c r="B98">
        <v>3</v>
      </c>
      <c r="C98" t="s">
        <v>8</v>
      </c>
      <c r="D98" t="s">
        <v>9</v>
      </c>
      <c r="E98" t="s">
        <v>85</v>
      </c>
      <c r="F98" t="s">
        <v>86</v>
      </c>
      <c r="G98" s="2">
        <v>376.87370849414515</v>
      </c>
      <c r="H98" t="str">
        <f>_xlfn.XLOOKUP(Data_Xuất[[#This Row],[Main SKU]],MD_Main_SKU[Main SKU],MD_Main_SKU[SKU name_gom])</f>
        <v>WSS01</v>
      </c>
    </row>
    <row r="99" spans="1:8" x14ac:dyDescent="0.35">
      <c r="A99">
        <v>2024</v>
      </c>
      <c r="B99">
        <v>3</v>
      </c>
      <c r="C99" t="s">
        <v>8</v>
      </c>
      <c r="D99" t="s">
        <v>9</v>
      </c>
      <c r="E99" t="s">
        <v>87</v>
      </c>
      <c r="F99" t="s">
        <v>88</v>
      </c>
      <c r="G99" s="2">
        <v>688.80312257415562</v>
      </c>
      <c r="H99" t="str">
        <f>_xlfn.XLOOKUP(Data_Xuất[[#This Row],[Main SKU]],MD_Main_SKU[Main SKU],MD_Main_SKU[SKU name_gom])</f>
        <v>WSS01</v>
      </c>
    </row>
    <row r="100" spans="1:8" x14ac:dyDescent="0.35">
      <c r="A100">
        <v>2024</v>
      </c>
      <c r="B100">
        <v>3</v>
      </c>
      <c r="C100" t="s">
        <v>8</v>
      </c>
      <c r="D100" t="s">
        <v>9</v>
      </c>
      <c r="E100" t="s">
        <v>89</v>
      </c>
      <c r="F100" t="s">
        <v>90</v>
      </c>
      <c r="G100" s="2">
        <v>1317.5819730382777</v>
      </c>
      <c r="H100" t="str">
        <f>_xlfn.XLOOKUP(Data_Xuất[[#This Row],[Main SKU]],MD_Main_SKU[Main SKU],MD_Main_SKU[SKU name_gom])</f>
        <v>WSS01</v>
      </c>
    </row>
    <row r="101" spans="1:8" x14ac:dyDescent="0.35">
      <c r="A101">
        <v>2024</v>
      </c>
      <c r="B101">
        <v>3</v>
      </c>
      <c r="C101" t="s">
        <v>8</v>
      </c>
      <c r="D101" t="s">
        <v>9</v>
      </c>
      <c r="E101" t="s">
        <v>93</v>
      </c>
      <c r="F101" t="s">
        <v>94</v>
      </c>
      <c r="G101" s="2">
        <v>11.808053529842669</v>
      </c>
      <c r="H101" t="str">
        <f>_xlfn.XLOOKUP(Data_Xuất[[#This Row],[Main SKU]],MD_Main_SKU[Main SKU],MD_Main_SKU[SKU name_gom])</f>
        <v>WSS01</v>
      </c>
    </row>
    <row r="102" spans="1:8" x14ac:dyDescent="0.35">
      <c r="A102">
        <v>2024</v>
      </c>
      <c r="B102">
        <v>3</v>
      </c>
      <c r="C102" t="s">
        <v>14</v>
      </c>
      <c r="D102" t="s">
        <v>15</v>
      </c>
      <c r="E102" t="s">
        <v>14</v>
      </c>
      <c r="F102" t="s">
        <v>15</v>
      </c>
      <c r="G102" s="2">
        <v>29023.19978584813</v>
      </c>
      <c r="H102" t="str">
        <f>_xlfn.XLOOKUP(Data_Xuất[[#This Row],[Main SKU]],MD_Main_SKU[Main SKU],MD_Main_SKU[SKU name_gom])</f>
        <v>iSS01084</v>
      </c>
    </row>
    <row r="103" spans="1:8" x14ac:dyDescent="0.35">
      <c r="A103">
        <v>2024</v>
      </c>
      <c r="B103">
        <v>3</v>
      </c>
      <c r="C103" t="s">
        <v>14</v>
      </c>
      <c r="D103" t="s">
        <v>15</v>
      </c>
      <c r="E103" t="s">
        <v>16</v>
      </c>
      <c r="F103" t="s">
        <v>17</v>
      </c>
      <c r="G103" s="2">
        <v>1177.8352815204782</v>
      </c>
      <c r="H103" t="str">
        <f>_xlfn.XLOOKUP(Data_Xuất[[#This Row],[Main SKU]],MD_Main_SKU[Main SKU],MD_Main_SKU[SKU name_gom])</f>
        <v>iSS01084</v>
      </c>
    </row>
    <row r="104" spans="1:8" x14ac:dyDescent="0.35">
      <c r="A104">
        <v>2024</v>
      </c>
      <c r="B104">
        <v>3</v>
      </c>
      <c r="C104" t="s">
        <v>14</v>
      </c>
      <c r="D104" t="s">
        <v>15</v>
      </c>
      <c r="E104" t="s">
        <v>18</v>
      </c>
      <c r="F104" t="s">
        <v>19</v>
      </c>
      <c r="G104" s="2">
        <v>9355.670563040956</v>
      </c>
      <c r="H104" t="str">
        <f>_xlfn.XLOOKUP(Data_Xuất[[#This Row],[Main SKU]],MD_Main_SKU[Main SKU],MD_Main_SKU[SKU name_gom])</f>
        <v>iSS01084</v>
      </c>
    </row>
    <row r="105" spans="1:8" x14ac:dyDescent="0.35">
      <c r="A105">
        <v>2024</v>
      </c>
      <c r="B105">
        <v>3</v>
      </c>
      <c r="C105" t="s">
        <v>14</v>
      </c>
      <c r="D105" t="s">
        <v>15</v>
      </c>
      <c r="E105" t="s">
        <v>22</v>
      </c>
      <c r="F105" t="s">
        <v>23</v>
      </c>
      <c r="G105" s="2">
        <v>2000</v>
      </c>
      <c r="H105" t="str">
        <f>_xlfn.XLOOKUP(Data_Xuất[[#This Row],[Main SKU]],MD_Main_SKU[Main SKU],MD_Main_SKU[SKU name_gom])</f>
        <v>iSS01084</v>
      </c>
    </row>
    <row r="106" spans="1:8" x14ac:dyDescent="0.35">
      <c r="A106">
        <v>2024</v>
      </c>
      <c r="B106">
        <v>3</v>
      </c>
      <c r="C106" t="s">
        <v>14</v>
      </c>
      <c r="D106" t="s">
        <v>15</v>
      </c>
      <c r="E106" t="s">
        <v>87</v>
      </c>
      <c r="F106" t="s">
        <v>88</v>
      </c>
      <c r="G106" s="2">
        <v>428.30373873471939</v>
      </c>
      <c r="H106" t="str">
        <f>_xlfn.XLOOKUP(Data_Xuất[[#This Row],[Main SKU]],MD_Main_SKU[Main SKU],MD_Main_SKU[SKU name_gom])</f>
        <v>iSS01084</v>
      </c>
    </row>
    <row r="107" spans="1:8" x14ac:dyDescent="0.35">
      <c r="A107">
        <v>2024</v>
      </c>
      <c r="B107">
        <v>3</v>
      </c>
      <c r="C107" t="s">
        <v>14</v>
      </c>
      <c r="D107" t="s">
        <v>15</v>
      </c>
      <c r="E107" t="s">
        <v>89</v>
      </c>
      <c r="F107" t="s">
        <v>90</v>
      </c>
      <c r="G107" s="2">
        <v>10.707593468367985</v>
      </c>
      <c r="H107" t="str">
        <f>_xlfn.XLOOKUP(Data_Xuất[[#This Row],[Main SKU]],MD_Main_SKU[Main SKU],MD_Main_SKU[SKU name_gom])</f>
        <v>iSS01084</v>
      </c>
    </row>
    <row r="108" spans="1:8" x14ac:dyDescent="0.35">
      <c r="A108">
        <v>2024</v>
      </c>
      <c r="B108">
        <v>3</v>
      </c>
      <c r="C108" t="s">
        <v>14</v>
      </c>
      <c r="D108" t="s">
        <v>15</v>
      </c>
      <c r="E108" t="s">
        <v>93</v>
      </c>
      <c r="F108" t="s">
        <v>94</v>
      </c>
      <c r="G108" s="2">
        <v>4.2830373873471936</v>
      </c>
      <c r="H108" t="str">
        <f>_xlfn.XLOOKUP(Data_Xuất[[#This Row],[Main SKU]],MD_Main_SKU[Main SKU],MD_Main_SKU[SKU name_gom])</f>
        <v>iSS01084</v>
      </c>
    </row>
    <row r="109" spans="1:8" x14ac:dyDescent="0.35">
      <c r="A109">
        <v>2024</v>
      </c>
      <c r="B109">
        <v>3</v>
      </c>
      <c r="C109" t="s">
        <v>16</v>
      </c>
      <c r="D109" t="s">
        <v>17</v>
      </c>
      <c r="E109" t="s">
        <v>16</v>
      </c>
      <c r="F109" t="s">
        <v>17</v>
      </c>
      <c r="G109" s="2">
        <v>2322341.9846646362</v>
      </c>
      <c r="H109" t="str">
        <f>_xlfn.XLOOKUP(Data_Xuất[[#This Row],[Main SKU]],MD_Main_SKU[Main SKU],MD_Main_SKU[SKU name_gom])</f>
        <v>WSS01</v>
      </c>
    </row>
    <row r="110" spans="1:8" x14ac:dyDescent="0.35">
      <c r="A110">
        <v>2024</v>
      </c>
      <c r="B110">
        <v>3</v>
      </c>
      <c r="C110" t="s">
        <v>16</v>
      </c>
      <c r="D110" t="s">
        <v>17</v>
      </c>
      <c r="E110" t="s">
        <v>18</v>
      </c>
      <c r="F110" t="s">
        <v>19</v>
      </c>
      <c r="G110" s="2">
        <v>368110.37050522031</v>
      </c>
      <c r="H110" t="str">
        <f>_xlfn.XLOOKUP(Data_Xuất[[#This Row],[Main SKU]],MD_Main_SKU[Main SKU],MD_Main_SKU[SKU name_gom])</f>
        <v>WSS01</v>
      </c>
    </row>
    <row r="111" spans="1:8" x14ac:dyDescent="0.35">
      <c r="A111">
        <v>2024</v>
      </c>
      <c r="B111">
        <v>3</v>
      </c>
      <c r="C111" t="s">
        <v>16</v>
      </c>
      <c r="D111" t="s">
        <v>17</v>
      </c>
      <c r="E111" t="s">
        <v>20</v>
      </c>
      <c r="F111" t="s">
        <v>21</v>
      </c>
      <c r="G111" s="2">
        <v>83468.468552757346</v>
      </c>
      <c r="H111" t="str">
        <f>_xlfn.XLOOKUP(Data_Xuất[[#This Row],[Main SKU]],MD_Main_SKU[Main SKU],MD_Main_SKU[SKU name_gom])</f>
        <v>WSS01</v>
      </c>
    </row>
    <row r="112" spans="1:8" x14ac:dyDescent="0.35">
      <c r="A112">
        <v>2024</v>
      </c>
      <c r="B112">
        <v>3</v>
      </c>
      <c r="C112" t="s">
        <v>16</v>
      </c>
      <c r="D112" t="s">
        <v>17</v>
      </c>
      <c r="E112" t="s">
        <v>22</v>
      </c>
      <c r="F112" t="s">
        <v>23</v>
      </c>
      <c r="G112" s="2">
        <v>14282.575706970907</v>
      </c>
      <c r="H112" t="str">
        <f>_xlfn.XLOOKUP(Data_Xuất[[#This Row],[Main SKU]],MD_Main_SKU[Main SKU],MD_Main_SKU[SKU name_gom])</f>
        <v>WSS01</v>
      </c>
    </row>
    <row r="113" spans="1:8" x14ac:dyDescent="0.35">
      <c r="A113">
        <v>2024</v>
      </c>
      <c r="B113">
        <v>3</v>
      </c>
      <c r="C113" t="s">
        <v>16</v>
      </c>
      <c r="D113" t="s">
        <v>17</v>
      </c>
      <c r="E113" t="s">
        <v>85</v>
      </c>
      <c r="F113" t="s">
        <v>86</v>
      </c>
      <c r="G113" s="2">
        <v>36771.210513990642</v>
      </c>
      <c r="H113" t="str">
        <f>_xlfn.XLOOKUP(Data_Xuất[[#This Row],[Main SKU]],MD_Main_SKU[Main SKU],MD_Main_SKU[SKU name_gom])</f>
        <v>WSS01</v>
      </c>
    </row>
    <row r="114" spans="1:8" x14ac:dyDescent="0.35">
      <c r="A114">
        <v>2024</v>
      </c>
      <c r="B114">
        <v>3</v>
      </c>
      <c r="C114" t="s">
        <v>16</v>
      </c>
      <c r="D114" t="s">
        <v>17</v>
      </c>
      <c r="E114" t="s">
        <v>87</v>
      </c>
      <c r="F114" t="s">
        <v>88</v>
      </c>
      <c r="G114" s="2">
        <v>44269.778555686884</v>
      </c>
      <c r="H114" t="str">
        <f>_xlfn.XLOOKUP(Data_Xuất[[#This Row],[Main SKU]],MD_Main_SKU[Main SKU],MD_Main_SKU[SKU name_gom])</f>
        <v>WSS01</v>
      </c>
    </row>
    <row r="115" spans="1:8" x14ac:dyDescent="0.35">
      <c r="A115">
        <v>2024</v>
      </c>
      <c r="B115">
        <v>3</v>
      </c>
      <c r="C115" t="s">
        <v>16</v>
      </c>
      <c r="D115" t="s">
        <v>17</v>
      </c>
      <c r="E115" t="s">
        <v>89</v>
      </c>
      <c r="F115" t="s">
        <v>90</v>
      </c>
      <c r="G115" s="2">
        <v>16522.91171513436</v>
      </c>
      <c r="H115" t="str">
        <f>_xlfn.XLOOKUP(Data_Xuất[[#This Row],[Main SKU]],MD_Main_SKU[Main SKU],MD_Main_SKU[SKU name_gom])</f>
        <v>WSS01</v>
      </c>
    </row>
    <row r="116" spans="1:8" x14ac:dyDescent="0.35">
      <c r="A116">
        <v>2024</v>
      </c>
      <c r="B116">
        <v>3</v>
      </c>
      <c r="C116" t="s">
        <v>16</v>
      </c>
      <c r="D116" t="s">
        <v>17</v>
      </c>
      <c r="E116" t="s">
        <v>93</v>
      </c>
      <c r="F116" t="s">
        <v>94</v>
      </c>
      <c r="G116" s="2">
        <v>732.69978560356628</v>
      </c>
      <c r="H116" t="str">
        <f>_xlfn.XLOOKUP(Data_Xuất[[#This Row],[Main SKU]],MD_Main_SKU[Main SKU],MD_Main_SKU[SKU name_gom])</f>
        <v>WSS01</v>
      </c>
    </row>
    <row r="117" spans="1:8" x14ac:dyDescent="0.35">
      <c r="A117">
        <v>2024</v>
      </c>
      <c r="B117">
        <v>3</v>
      </c>
      <c r="C117" t="s">
        <v>24</v>
      </c>
      <c r="D117" t="s">
        <v>25</v>
      </c>
      <c r="E117" t="s">
        <v>20</v>
      </c>
      <c r="F117" t="s">
        <v>21</v>
      </c>
      <c r="G117" s="2">
        <v>35093.053602148226</v>
      </c>
      <c r="H117" t="str">
        <f>_xlfn.XLOOKUP(Data_Xuất[[#This Row],[Main SKU]],MD_Main_SKU[Main SKU],MD_Main_SKU[SKU name_gom])</f>
        <v>WSS01</v>
      </c>
    </row>
    <row r="118" spans="1:8" x14ac:dyDescent="0.35">
      <c r="A118">
        <v>2024</v>
      </c>
      <c r="B118">
        <v>3</v>
      </c>
      <c r="C118" t="s">
        <v>24</v>
      </c>
      <c r="D118" t="s">
        <v>25</v>
      </c>
      <c r="E118" t="s">
        <v>24</v>
      </c>
      <c r="F118" t="s">
        <v>25</v>
      </c>
      <c r="G118" s="2">
        <v>943128.69580105809</v>
      </c>
      <c r="H118" t="str">
        <f>_xlfn.XLOOKUP(Data_Xuất[[#This Row],[Main SKU]],MD_Main_SKU[Main SKU],MD_Main_SKU[SKU name_gom])</f>
        <v>WSS01</v>
      </c>
    </row>
    <row r="119" spans="1:8" x14ac:dyDescent="0.35">
      <c r="A119">
        <v>2024</v>
      </c>
      <c r="B119">
        <v>3</v>
      </c>
      <c r="C119" t="s">
        <v>24</v>
      </c>
      <c r="D119" t="s">
        <v>25</v>
      </c>
      <c r="E119" t="s">
        <v>26</v>
      </c>
      <c r="F119" t="s">
        <v>27</v>
      </c>
      <c r="G119" s="2">
        <v>65355.575087639059</v>
      </c>
      <c r="H119" t="str">
        <f>_xlfn.XLOOKUP(Data_Xuất[[#This Row],[Main SKU]],MD_Main_SKU[Main SKU],MD_Main_SKU[SKU name_gom])</f>
        <v>WSS01</v>
      </c>
    </row>
    <row r="120" spans="1:8" x14ac:dyDescent="0.35">
      <c r="A120">
        <v>2024</v>
      </c>
      <c r="B120">
        <v>3</v>
      </c>
      <c r="C120" t="s">
        <v>24</v>
      </c>
      <c r="D120" t="s">
        <v>25</v>
      </c>
      <c r="E120" t="s">
        <v>85</v>
      </c>
      <c r="F120" t="s">
        <v>86</v>
      </c>
      <c r="G120" s="2">
        <v>13122.432776727668</v>
      </c>
      <c r="H120" t="str">
        <f>_xlfn.XLOOKUP(Data_Xuất[[#This Row],[Main SKU]],MD_Main_SKU[Main SKU],MD_Main_SKU[SKU name_gom])</f>
        <v>WSS01</v>
      </c>
    </row>
    <row r="121" spans="1:8" x14ac:dyDescent="0.35">
      <c r="A121">
        <v>2024</v>
      </c>
      <c r="B121">
        <v>3</v>
      </c>
      <c r="C121" t="s">
        <v>24</v>
      </c>
      <c r="D121" t="s">
        <v>25</v>
      </c>
      <c r="E121" t="s">
        <v>87</v>
      </c>
      <c r="F121" t="s">
        <v>88</v>
      </c>
      <c r="G121" s="2">
        <v>17075.383338051037</v>
      </c>
      <c r="H121" t="str">
        <f>_xlfn.XLOOKUP(Data_Xuất[[#This Row],[Main SKU]],MD_Main_SKU[Main SKU],MD_Main_SKU[SKU name_gom])</f>
        <v>WSS01</v>
      </c>
    </row>
    <row r="122" spans="1:8" x14ac:dyDescent="0.35">
      <c r="A122">
        <v>2024</v>
      </c>
      <c r="B122">
        <v>3</v>
      </c>
      <c r="C122" t="s">
        <v>24</v>
      </c>
      <c r="D122" t="s">
        <v>25</v>
      </c>
      <c r="E122" t="s">
        <v>89</v>
      </c>
      <c r="F122" t="s">
        <v>90</v>
      </c>
      <c r="G122" s="2">
        <v>9551.6634375870308</v>
      </c>
      <c r="H122" t="str">
        <f>_xlfn.XLOOKUP(Data_Xuất[[#This Row],[Main SKU]],MD_Main_SKU[Main SKU],MD_Main_SKU[SKU name_gom])</f>
        <v>WSS01</v>
      </c>
    </row>
    <row r="123" spans="1:8" x14ac:dyDescent="0.35">
      <c r="A123">
        <v>2024</v>
      </c>
      <c r="B123">
        <v>3</v>
      </c>
      <c r="C123" t="s">
        <v>24</v>
      </c>
      <c r="D123" t="s">
        <v>25</v>
      </c>
      <c r="E123" t="s">
        <v>93</v>
      </c>
      <c r="F123" t="s">
        <v>94</v>
      </c>
      <c r="G123" s="2">
        <v>173.19595678885244</v>
      </c>
      <c r="H123" t="str">
        <f>_xlfn.XLOOKUP(Data_Xuất[[#This Row],[Main SKU]],MD_Main_SKU[Main SKU],MD_Main_SKU[SKU name_gom])</f>
        <v>WSS01</v>
      </c>
    </row>
    <row r="124" spans="1:8" x14ac:dyDescent="0.35">
      <c r="A124">
        <v>2024</v>
      </c>
      <c r="B124">
        <v>3</v>
      </c>
      <c r="C124" t="s">
        <v>99</v>
      </c>
      <c r="D124" t="s">
        <v>100</v>
      </c>
      <c r="E124" t="s">
        <v>97</v>
      </c>
      <c r="F124" t="s">
        <v>98</v>
      </c>
      <c r="G124" s="2">
        <v>1284.0466926070039</v>
      </c>
      <c r="H124" t="str">
        <f>_xlfn.XLOOKUP(Data_Xuất[[#This Row],[Main SKU]],MD_Main_SKU[Main SKU],MD_Main_SKU[SKU name_gom])</f>
        <v>WSS04</v>
      </c>
    </row>
    <row r="125" spans="1:8" x14ac:dyDescent="0.35">
      <c r="A125">
        <v>2024</v>
      </c>
      <c r="B125">
        <v>3</v>
      </c>
      <c r="C125" t="s">
        <v>99</v>
      </c>
      <c r="D125" t="s">
        <v>100</v>
      </c>
      <c r="E125" t="s">
        <v>85</v>
      </c>
      <c r="F125" t="s">
        <v>86</v>
      </c>
      <c r="G125" s="2">
        <v>207.78210116731518</v>
      </c>
      <c r="H125" t="str">
        <f>_xlfn.XLOOKUP(Data_Xuất[[#This Row],[Main SKU]],MD_Main_SKU[Main SKU],MD_Main_SKU[SKU name_gom])</f>
        <v>WSS04</v>
      </c>
    </row>
    <row r="126" spans="1:8" x14ac:dyDescent="0.35">
      <c r="A126">
        <v>2024</v>
      </c>
      <c r="B126">
        <v>3</v>
      </c>
      <c r="C126" t="s">
        <v>99</v>
      </c>
      <c r="D126" t="s">
        <v>100</v>
      </c>
      <c r="E126" t="s">
        <v>87</v>
      </c>
      <c r="F126" t="s">
        <v>88</v>
      </c>
      <c r="G126" s="2">
        <v>8.1712062256809332</v>
      </c>
      <c r="H126" t="str">
        <f>_xlfn.XLOOKUP(Data_Xuất[[#This Row],[Main SKU]],MD_Main_SKU[Main SKU],MD_Main_SKU[SKU name_gom])</f>
        <v>WSS04</v>
      </c>
    </row>
    <row r="127" spans="1:8" x14ac:dyDescent="0.35">
      <c r="A127">
        <v>2024</v>
      </c>
      <c r="B127">
        <v>3</v>
      </c>
      <c r="C127" t="s">
        <v>97</v>
      </c>
      <c r="D127" t="s">
        <v>98</v>
      </c>
      <c r="E127" t="s">
        <v>97</v>
      </c>
      <c r="F127" t="s">
        <v>98</v>
      </c>
      <c r="G127" s="2">
        <v>2473.3355415700562</v>
      </c>
      <c r="H127" t="str">
        <f>_xlfn.XLOOKUP(Data_Xuất[[#This Row],[Main SKU]],MD_Main_SKU[Main SKU],MD_Main_SKU[SKU name_gom])</f>
        <v>WSS05</v>
      </c>
    </row>
    <row r="128" spans="1:8" x14ac:dyDescent="0.35">
      <c r="A128">
        <v>2024</v>
      </c>
      <c r="B128">
        <v>3</v>
      </c>
      <c r="C128" t="s">
        <v>97</v>
      </c>
      <c r="D128" t="s">
        <v>98</v>
      </c>
      <c r="E128" t="s">
        <v>85</v>
      </c>
      <c r="F128" t="s">
        <v>86</v>
      </c>
      <c r="G128" s="2">
        <v>526.66445842994369</v>
      </c>
      <c r="H128" t="str">
        <f>_xlfn.XLOOKUP(Data_Xuất[[#This Row],[Main SKU]],MD_Main_SKU[Main SKU],MD_Main_SKU[SKU name_gom])</f>
        <v>WSS05</v>
      </c>
    </row>
    <row r="129" spans="1:8" x14ac:dyDescent="0.35">
      <c r="A129">
        <v>2024</v>
      </c>
      <c r="B129">
        <v>3</v>
      </c>
      <c r="C129" t="s">
        <v>101</v>
      </c>
      <c r="D129" t="s">
        <v>102</v>
      </c>
      <c r="E129" t="s">
        <v>101</v>
      </c>
      <c r="F129" t="s">
        <v>102</v>
      </c>
      <c r="G129" s="2">
        <v>1599.8098859315589</v>
      </c>
      <c r="H129" t="str">
        <f>_xlfn.XLOOKUP(Data_Xuất[[#This Row],[Main SKU]],MD_Main_SKU[Main SKU],MD_Main_SKU[SKU name_gom])</f>
        <v>WSS03</v>
      </c>
    </row>
    <row r="130" spans="1:8" x14ac:dyDescent="0.35">
      <c r="A130">
        <v>2024</v>
      </c>
      <c r="B130">
        <v>3</v>
      </c>
      <c r="C130" t="s">
        <v>101</v>
      </c>
      <c r="D130" t="s">
        <v>102</v>
      </c>
      <c r="E130" t="s">
        <v>85</v>
      </c>
      <c r="F130" t="s">
        <v>86</v>
      </c>
      <c r="G130" s="2">
        <v>471.57794676806083</v>
      </c>
      <c r="H130" t="str">
        <f>_xlfn.XLOOKUP(Data_Xuất[[#This Row],[Main SKU]],MD_Main_SKU[Main SKU],MD_Main_SKU[SKU name_gom])</f>
        <v>WSS03</v>
      </c>
    </row>
    <row r="131" spans="1:8" x14ac:dyDescent="0.35">
      <c r="A131">
        <v>2024</v>
      </c>
      <c r="B131">
        <v>3</v>
      </c>
      <c r="C131" t="s">
        <v>101</v>
      </c>
      <c r="D131" t="s">
        <v>102</v>
      </c>
      <c r="E131" t="s">
        <v>87</v>
      </c>
      <c r="F131" t="s">
        <v>88</v>
      </c>
      <c r="G131" s="2">
        <v>128.61216730038024</v>
      </c>
      <c r="H131" t="str">
        <f>_xlfn.XLOOKUP(Data_Xuất[[#This Row],[Main SKU]],MD_Main_SKU[Main SKU],MD_Main_SKU[SKU name_gom])</f>
        <v>WSS03</v>
      </c>
    </row>
    <row r="132" spans="1:8" x14ac:dyDescent="0.35">
      <c r="A132">
        <v>2024</v>
      </c>
      <c r="B132">
        <v>3</v>
      </c>
      <c r="C132" t="s">
        <v>107</v>
      </c>
      <c r="D132" t="s">
        <v>108</v>
      </c>
      <c r="E132" t="s">
        <v>107</v>
      </c>
      <c r="F132" t="s">
        <v>108</v>
      </c>
      <c r="G132" s="2">
        <v>11073.86900278141</v>
      </c>
      <c r="H132" t="str">
        <f>_xlfn.XLOOKUP(Data_Xuất[[#This Row],[Main SKU]],MD_Main_SKU[Main SKU],MD_Main_SKU[SKU name_gom])</f>
        <v>WSS05</v>
      </c>
    </row>
    <row r="133" spans="1:8" x14ac:dyDescent="0.35">
      <c r="A133">
        <v>2024</v>
      </c>
      <c r="B133">
        <v>3</v>
      </c>
      <c r="C133" t="s">
        <v>107</v>
      </c>
      <c r="D133" t="s">
        <v>108</v>
      </c>
      <c r="E133" t="s">
        <v>85</v>
      </c>
      <c r="F133" t="s">
        <v>86</v>
      </c>
      <c r="G133" s="2">
        <v>5044.4144140330109</v>
      </c>
      <c r="H133" t="str">
        <f>_xlfn.XLOOKUP(Data_Xuất[[#This Row],[Main SKU]],MD_Main_SKU[Main SKU],MD_Main_SKU[SKU name_gom])</f>
        <v>WSS05</v>
      </c>
    </row>
    <row r="134" spans="1:8" x14ac:dyDescent="0.35">
      <c r="A134">
        <v>2024</v>
      </c>
      <c r="B134">
        <v>3</v>
      </c>
      <c r="C134" t="s">
        <v>107</v>
      </c>
      <c r="D134" t="s">
        <v>108</v>
      </c>
      <c r="E134" t="s">
        <v>87</v>
      </c>
      <c r="F134" t="s">
        <v>88</v>
      </c>
      <c r="G134" s="2">
        <v>1232.4769046042552</v>
      </c>
      <c r="H134" t="str">
        <f>_xlfn.XLOOKUP(Data_Xuất[[#This Row],[Main SKU]],MD_Main_SKU[Main SKU],MD_Main_SKU[SKU name_gom])</f>
        <v>WSS05</v>
      </c>
    </row>
    <row r="135" spans="1:8" x14ac:dyDescent="0.35">
      <c r="A135">
        <v>2024</v>
      </c>
      <c r="B135">
        <v>3</v>
      </c>
      <c r="C135" t="s">
        <v>107</v>
      </c>
      <c r="D135" t="s">
        <v>108</v>
      </c>
      <c r="E135" t="s">
        <v>89</v>
      </c>
      <c r="F135" t="s">
        <v>90</v>
      </c>
      <c r="G135" s="2">
        <v>111.23967858132447</v>
      </c>
      <c r="H135" t="str">
        <f>_xlfn.XLOOKUP(Data_Xuất[[#This Row],[Main SKU]],MD_Main_SKU[Main SKU],MD_Main_SKU[SKU name_gom])</f>
        <v>WSS05</v>
      </c>
    </row>
    <row r="136" spans="1:8" x14ac:dyDescent="0.35">
      <c r="A136">
        <v>2024</v>
      </c>
      <c r="B136">
        <v>4</v>
      </c>
      <c r="C136" t="s">
        <v>14</v>
      </c>
      <c r="D136" t="s">
        <v>15</v>
      </c>
      <c r="E136" t="s">
        <v>14</v>
      </c>
      <c r="F136" t="s">
        <v>15</v>
      </c>
      <c r="G136" s="2">
        <v>129324.5667727094</v>
      </c>
      <c r="H136" t="str">
        <f>_xlfn.XLOOKUP(Data_Xuất[[#This Row],[Main SKU]],MD_Main_SKU[Main SKU],MD_Main_SKU[SKU name_gom])</f>
        <v>iSS01084</v>
      </c>
    </row>
    <row r="137" spans="1:8" x14ac:dyDescent="0.35">
      <c r="A137">
        <v>2024</v>
      </c>
      <c r="B137">
        <v>4</v>
      </c>
      <c r="C137" t="s">
        <v>14</v>
      </c>
      <c r="D137" t="s">
        <v>15</v>
      </c>
      <c r="E137" t="s">
        <v>18</v>
      </c>
      <c r="F137" t="s">
        <v>19</v>
      </c>
      <c r="G137" s="2">
        <v>7911.9593626169808</v>
      </c>
      <c r="H137" t="str">
        <f>_xlfn.XLOOKUP(Data_Xuất[[#This Row],[Main SKU]],MD_Main_SKU[Main SKU],MD_Main_SKU[SKU name_gom])</f>
        <v>iSS01084</v>
      </c>
    </row>
    <row r="138" spans="1:8" x14ac:dyDescent="0.35">
      <c r="A138">
        <v>2024</v>
      </c>
      <c r="B138">
        <v>4</v>
      </c>
      <c r="C138" t="s">
        <v>14</v>
      </c>
      <c r="D138" t="s">
        <v>15</v>
      </c>
      <c r="E138" t="s">
        <v>85</v>
      </c>
      <c r="F138" t="s">
        <v>86</v>
      </c>
      <c r="G138" s="2">
        <v>2064.0661531110109</v>
      </c>
      <c r="H138" t="str">
        <f>_xlfn.XLOOKUP(Data_Xuất[[#This Row],[Main SKU]],MD_Main_SKU[Main SKU],MD_Main_SKU[SKU name_gom])</f>
        <v>iSS01084</v>
      </c>
    </row>
    <row r="139" spans="1:8" x14ac:dyDescent="0.35">
      <c r="A139">
        <v>2024</v>
      </c>
      <c r="B139">
        <v>4</v>
      </c>
      <c r="C139" t="s">
        <v>14</v>
      </c>
      <c r="D139" t="s">
        <v>15</v>
      </c>
      <c r="E139" t="s">
        <v>87</v>
      </c>
      <c r="F139" t="s">
        <v>88</v>
      </c>
      <c r="G139" s="2">
        <v>2714.0451435295054</v>
      </c>
      <c r="H139" t="str">
        <f>_xlfn.XLOOKUP(Data_Xuất[[#This Row],[Main SKU]],MD_Main_SKU[Main SKU],MD_Main_SKU[SKU name_gom])</f>
        <v>iSS01084</v>
      </c>
    </row>
    <row r="140" spans="1:8" x14ac:dyDescent="0.35">
      <c r="A140">
        <v>2024</v>
      </c>
      <c r="B140">
        <v>4</v>
      </c>
      <c r="C140" t="s">
        <v>14</v>
      </c>
      <c r="D140" t="s">
        <v>15</v>
      </c>
      <c r="E140" t="s">
        <v>89</v>
      </c>
      <c r="F140" t="s">
        <v>90</v>
      </c>
      <c r="G140" s="2">
        <v>358.62914029362076</v>
      </c>
      <c r="H140" t="str">
        <f>_xlfn.XLOOKUP(Data_Xuất[[#This Row],[Main SKU]],MD_Main_SKU[Main SKU],MD_Main_SKU[SKU name_gom])</f>
        <v>iSS01084</v>
      </c>
    </row>
    <row r="141" spans="1:8" x14ac:dyDescent="0.35">
      <c r="A141">
        <v>2024</v>
      </c>
      <c r="B141">
        <v>4</v>
      </c>
      <c r="C141" t="s">
        <v>14</v>
      </c>
      <c r="D141" t="s">
        <v>15</v>
      </c>
      <c r="E141" t="s">
        <v>93</v>
      </c>
      <c r="F141" t="s">
        <v>94</v>
      </c>
      <c r="G141" s="2">
        <v>26.733427739491546</v>
      </c>
      <c r="H141" t="str">
        <f>_xlfn.XLOOKUP(Data_Xuất[[#This Row],[Main SKU]],MD_Main_SKU[Main SKU],MD_Main_SKU[SKU name_gom])</f>
        <v>iSS01084</v>
      </c>
    </row>
    <row r="142" spans="1:8" x14ac:dyDescent="0.35">
      <c r="A142">
        <v>2024</v>
      </c>
      <c r="B142">
        <v>4</v>
      </c>
      <c r="C142" t="s">
        <v>16</v>
      </c>
      <c r="D142" t="s">
        <v>17</v>
      </c>
      <c r="E142" t="s">
        <v>14</v>
      </c>
      <c r="F142" t="s">
        <v>15</v>
      </c>
      <c r="G142" s="2">
        <v>1120.2105121391535</v>
      </c>
      <c r="H142" t="str">
        <f>_xlfn.XLOOKUP(Data_Xuất[[#This Row],[Main SKU]],MD_Main_SKU[Main SKU],MD_Main_SKU[SKU name_gom])</f>
        <v>WSS01</v>
      </c>
    </row>
    <row r="143" spans="1:8" x14ac:dyDescent="0.35">
      <c r="A143">
        <v>2024</v>
      </c>
      <c r="B143">
        <v>4</v>
      </c>
      <c r="C143" t="s">
        <v>16</v>
      </c>
      <c r="D143" t="s">
        <v>17</v>
      </c>
      <c r="E143" t="s">
        <v>16</v>
      </c>
      <c r="F143" t="s">
        <v>17</v>
      </c>
      <c r="G143" s="2">
        <v>698520.74932585144</v>
      </c>
      <c r="H143" t="str">
        <f>_xlfn.XLOOKUP(Data_Xuất[[#This Row],[Main SKU]],MD_Main_SKU[Main SKU],MD_Main_SKU[SKU name_gom])</f>
        <v>WSS01</v>
      </c>
    </row>
    <row r="144" spans="1:8" x14ac:dyDescent="0.35">
      <c r="A144">
        <v>2024</v>
      </c>
      <c r="B144">
        <v>4</v>
      </c>
      <c r="C144" t="s">
        <v>16</v>
      </c>
      <c r="D144" t="s">
        <v>17</v>
      </c>
      <c r="E144" t="s">
        <v>18</v>
      </c>
      <c r="F144" t="s">
        <v>19</v>
      </c>
      <c r="G144" s="2">
        <v>215836.99019689902</v>
      </c>
      <c r="H144" t="str">
        <f>_xlfn.XLOOKUP(Data_Xuất[[#This Row],[Main SKU]],MD_Main_SKU[Main SKU],MD_Main_SKU[SKU name_gom])</f>
        <v>WSS01</v>
      </c>
    </row>
    <row r="145" spans="1:8" x14ac:dyDescent="0.35">
      <c r="A145">
        <v>2024</v>
      </c>
      <c r="B145">
        <v>4</v>
      </c>
      <c r="C145" t="s">
        <v>16</v>
      </c>
      <c r="D145" t="s">
        <v>17</v>
      </c>
      <c r="E145" t="s">
        <v>20</v>
      </c>
      <c r="F145" t="s">
        <v>21</v>
      </c>
      <c r="G145" s="2">
        <v>39259.089393127149</v>
      </c>
      <c r="H145" t="str">
        <f>_xlfn.XLOOKUP(Data_Xuất[[#This Row],[Main SKU]],MD_Main_SKU[Main SKU],MD_Main_SKU[SKU name_gom])</f>
        <v>WSS01</v>
      </c>
    </row>
    <row r="146" spans="1:8" x14ac:dyDescent="0.35">
      <c r="A146">
        <v>2024</v>
      </c>
      <c r="B146">
        <v>4</v>
      </c>
      <c r="C146" t="s">
        <v>16</v>
      </c>
      <c r="D146" t="s">
        <v>17</v>
      </c>
      <c r="E146" t="s">
        <v>22</v>
      </c>
      <c r="F146" t="s">
        <v>23</v>
      </c>
      <c r="G146" s="2">
        <v>8829.4293457513049</v>
      </c>
      <c r="H146" t="str">
        <f>_xlfn.XLOOKUP(Data_Xuất[[#This Row],[Main SKU]],MD_Main_SKU[Main SKU],MD_Main_SKU[SKU name_gom])</f>
        <v>WSS01</v>
      </c>
    </row>
    <row r="147" spans="1:8" x14ac:dyDescent="0.35">
      <c r="A147">
        <v>2024</v>
      </c>
      <c r="B147">
        <v>4</v>
      </c>
      <c r="C147" t="s">
        <v>16</v>
      </c>
      <c r="D147" t="s">
        <v>17</v>
      </c>
      <c r="E147" t="s">
        <v>109</v>
      </c>
      <c r="F147" t="s">
        <v>110</v>
      </c>
      <c r="G147" s="2">
        <v>401.9357636907344</v>
      </c>
      <c r="H147" t="str">
        <f>_xlfn.XLOOKUP(Data_Xuất[[#This Row],[Main SKU]],MD_Main_SKU[Main SKU],MD_Main_SKU[SKU name_gom])</f>
        <v>WSS01</v>
      </c>
    </row>
    <row r="148" spans="1:8" x14ac:dyDescent="0.35">
      <c r="A148">
        <v>2024</v>
      </c>
      <c r="B148">
        <v>4</v>
      </c>
      <c r="C148" t="s">
        <v>16</v>
      </c>
      <c r="D148" t="s">
        <v>17</v>
      </c>
      <c r="E148" t="s">
        <v>85</v>
      </c>
      <c r="F148" t="s">
        <v>86</v>
      </c>
      <c r="G148" s="2">
        <v>7706.9573594690428</v>
      </c>
      <c r="H148" t="str">
        <f>_xlfn.XLOOKUP(Data_Xuất[[#This Row],[Main SKU]],MD_Main_SKU[Main SKU],MD_Main_SKU[SKU name_gom])</f>
        <v>WSS01</v>
      </c>
    </row>
    <row r="149" spans="1:8" x14ac:dyDescent="0.35">
      <c r="A149">
        <v>2024</v>
      </c>
      <c r="B149">
        <v>4</v>
      </c>
      <c r="C149" t="s">
        <v>16</v>
      </c>
      <c r="D149" t="s">
        <v>17</v>
      </c>
      <c r="E149" t="s">
        <v>87</v>
      </c>
      <c r="F149" t="s">
        <v>88</v>
      </c>
      <c r="G149" s="2">
        <v>14428.569672427882</v>
      </c>
      <c r="H149" t="str">
        <f>_xlfn.XLOOKUP(Data_Xuất[[#This Row],[Main SKU]],MD_Main_SKU[Main SKU],MD_Main_SKU[SKU name_gom])</f>
        <v>WSS01</v>
      </c>
    </row>
    <row r="150" spans="1:8" x14ac:dyDescent="0.35">
      <c r="A150">
        <v>2024</v>
      </c>
      <c r="B150">
        <v>4</v>
      </c>
      <c r="C150" t="s">
        <v>16</v>
      </c>
      <c r="D150" t="s">
        <v>17</v>
      </c>
      <c r="E150" t="s">
        <v>89</v>
      </c>
      <c r="F150" t="s">
        <v>90</v>
      </c>
      <c r="G150" s="2">
        <v>2394.9693164494784</v>
      </c>
      <c r="H150" t="str">
        <f>_xlfn.XLOOKUP(Data_Xuất[[#This Row],[Main SKU]],MD_Main_SKU[Main SKU],MD_Main_SKU[SKU name_gom])</f>
        <v>WSS01</v>
      </c>
    </row>
    <row r="151" spans="1:8" x14ac:dyDescent="0.35">
      <c r="A151">
        <v>2024</v>
      </c>
      <c r="B151">
        <v>4</v>
      </c>
      <c r="C151" t="s">
        <v>16</v>
      </c>
      <c r="D151" t="s">
        <v>17</v>
      </c>
      <c r="E151" t="s">
        <v>91</v>
      </c>
      <c r="F151" t="s">
        <v>92</v>
      </c>
      <c r="G151" s="2">
        <v>1120.2105121391535</v>
      </c>
      <c r="H151" t="str">
        <f>_xlfn.XLOOKUP(Data_Xuất[[#This Row],[Main SKU]],MD_Main_SKU[Main SKU],MD_Main_SKU[SKU name_gom])</f>
        <v>WSS01</v>
      </c>
    </row>
    <row r="152" spans="1:8" x14ac:dyDescent="0.35">
      <c r="A152">
        <v>2024</v>
      </c>
      <c r="B152">
        <v>4</v>
      </c>
      <c r="C152" t="s">
        <v>16</v>
      </c>
      <c r="D152" t="s">
        <v>17</v>
      </c>
      <c r="E152" t="s">
        <v>93</v>
      </c>
      <c r="F152" t="s">
        <v>94</v>
      </c>
      <c r="G152" s="2">
        <v>104.88860205562189</v>
      </c>
      <c r="H152" t="str">
        <f>_xlfn.XLOOKUP(Data_Xuất[[#This Row],[Main SKU]],MD_Main_SKU[Main SKU],MD_Main_SKU[SKU name_gom])</f>
        <v>WSS01</v>
      </c>
    </row>
    <row r="153" spans="1:8" x14ac:dyDescent="0.35">
      <c r="A153">
        <v>2024</v>
      </c>
      <c r="B153">
        <v>4</v>
      </c>
      <c r="C153" t="s">
        <v>24</v>
      </c>
      <c r="D153" t="s">
        <v>25</v>
      </c>
      <c r="E153" t="s">
        <v>20</v>
      </c>
      <c r="F153" t="s">
        <v>21</v>
      </c>
      <c r="G153" s="2">
        <v>7776.4698730403197</v>
      </c>
      <c r="H153" t="str">
        <f>_xlfn.XLOOKUP(Data_Xuất[[#This Row],[Main SKU]],MD_Main_SKU[Main SKU],MD_Main_SKU[SKU name_gom])</f>
        <v>WSS01</v>
      </c>
    </row>
    <row r="154" spans="1:8" x14ac:dyDescent="0.35">
      <c r="A154">
        <v>2024</v>
      </c>
      <c r="B154">
        <v>4</v>
      </c>
      <c r="C154" t="s">
        <v>24</v>
      </c>
      <c r="D154" t="s">
        <v>25</v>
      </c>
      <c r="E154" t="s">
        <v>22</v>
      </c>
      <c r="F154" t="s">
        <v>23</v>
      </c>
      <c r="G154" s="2">
        <v>6514.4480143422606</v>
      </c>
      <c r="H154" t="str">
        <f>_xlfn.XLOOKUP(Data_Xuất[[#This Row],[Main SKU]],MD_Main_SKU[Main SKU],MD_Main_SKU[SKU name_gom])</f>
        <v>WSS01</v>
      </c>
    </row>
    <row r="155" spans="1:8" x14ac:dyDescent="0.35">
      <c r="A155">
        <v>2024</v>
      </c>
      <c r="B155">
        <v>4</v>
      </c>
      <c r="C155" t="s">
        <v>24</v>
      </c>
      <c r="D155" t="s">
        <v>25</v>
      </c>
      <c r="E155" t="s">
        <v>24</v>
      </c>
      <c r="F155" t="s">
        <v>25</v>
      </c>
      <c r="G155" s="2">
        <v>346521.72135414684</v>
      </c>
      <c r="H155" t="str">
        <f>_xlfn.XLOOKUP(Data_Xuất[[#This Row],[Main SKU]],MD_Main_SKU[Main SKU],MD_Main_SKU[SKU name_gom])</f>
        <v>WSS01</v>
      </c>
    </row>
    <row r="156" spans="1:8" x14ac:dyDescent="0.35">
      <c r="A156">
        <v>2024</v>
      </c>
      <c r="B156">
        <v>4</v>
      </c>
      <c r="C156" t="s">
        <v>24</v>
      </c>
      <c r="D156" t="s">
        <v>25</v>
      </c>
      <c r="E156" t="s">
        <v>26</v>
      </c>
      <c r="F156" t="s">
        <v>27</v>
      </c>
      <c r="G156" s="2">
        <v>18715.90424279328</v>
      </c>
      <c r="H156" t="str">
        <f>_xlfn.XLOOKUP(Data_Xuất[[#This Row],[Main SKU]],MD_Main_SKU[Main SKU],MD_Main_SKU[SKU name_gom])</f>
        <v>WSS01</v>
      </c>
    </row>
    <row r="157" spans="1:8" x14ac:dyDescent="0.35">
      <c r="A157">
        <v>2024</v>
      </c>
      <c r="B157">
        <v>4</v>
      </c>
      <c r="C157" t="s">
        <v>24</v>
      </c>
      <c r="D157" t="s">
        <v>25</v>
      </c>
      <c r="E157" t="s">
        <v>85</v>
      </c>
      <c r="F157" t="s">
        <v>86</v>
      </c>
      <c r="G157" s="2">
        <v>2357.3261449499555</v>
      </c>
      <c r="H157" t="str">
        <f>_xlfn.XLOOKUP(Data_Xuất[[#This Row],[Main SKU]],MD_Main_SKU[Main SKU],MD_Main_SKU[SKU name_gom])</f>
        <v>WSS01</v>
      </c>
    </row>
    <row r="158" spans="1:8" x14ac:dyDescent="0.35">
      <c r="A158">
        <v>2024</v>
      </c>
      <c r="B158">
        <v>4</v>
      </c>
      <c r="C158" t="s">
        <v>24</v>
      </c>
      <c r="D158" t="s">
        <v>25</v>
      </c>
      <c r="E158" t="s">
        <v>87</v>
      </c>
      <c r="F158" t="s">
        <v>88</v>
      </c>
      <c r="G158" s="2">
        <v>6747.4887538144021</v>
      </c>
      <c r="H158" t="str">
        <f>_xlfn.XLOOKUP(Data_Xuất[[#This Row],[Main SKU]],MD_Main_SKU[Main SKU],MD_Main_SKU[SKU name_gom])</f>
        <v>WSS01</v>
      </c>
    </row>
    <row r="159" spans="1:8" x14ac:dyDescent="0.35">
      <c r="A159">
        <v>2024</v>
      </c>
      <c r="B159">
        <v>4</v>
      </c>
      <c r="C159" t="s">
        <v>24</v>
      </c>
      <c r="D159" t="s">
        <v>25</v>
      </c>
      <c r="E159" t="s">
        <v>89</v>
      </c>
      <c r="F159" t="s">
        <v>90</v>
      </c>
      <c r="G159" s="2">
        <v>2319.8701175163369</v>
      </c>
      <c r="H159" t="str">
        <f>_xlfn.XLOOKUP(Data_Xuất[[#This Row],[Main SKU]],MD_Main_SKU[Main SKU],MD_Main_SKU[SKU name_gom])</f>
        <v>WSS01</v>
      </c>
    </row>
    <row r="160" spans="1:8" x14ac:dyDescent="0.35">
      <c r="A160">
        <v>2024</v>
      </c>
      <c r="B160">
        <v>4</v>
      </c>
      <c r="C160" t="s">
        <v>24</v>
      </c>
      <c r="D160" t="s">
        <v>25</v>
      </c>
      <c r="E160" t="s">
        <v>91</v>
      </c>
      <c r="F160" t="s">
        <v>92</v>
      </c>
      <c r="G160" s="2">
        <v>1085.7413357237101</v>
      </c>
      <c r="H160" t="str">
        <f>_xlfn.XLOOKUP(Data_Xuất[[#This Row],[Main SKU]],MD_Main_SKU[Main SKU],MD_Main_SKU[SKU name_gom])</f>
        <v>WSS01</v>
      </c>
    </row>
    <row r="161" spans="1:8" x14ac:dyDescent="0.35">
      <c r="A161">
        <v>2024</v>
      </c>
      <c r="B161">
        <v>4</v>
      </c>
      <c r="C161" t="s">
        <v>24</v>
      </c>
      <c r="D161" t="s">
        <v>25</v>
      </c>
      <c r="E161" t="s">
        <v>93</v>
      </c>
      <c r="F161" t="s">
        <v>94</v>
      </c>
      <c r="G161" s="2">
        <v>57.030163672872462</v>
      </c>
      <c r="H161" t="str">
        <f>_xlfn.XLOOKUP(Data_Xuất[[#This Row],[Main SKU]],MD_Main_SKU[Main SKU],MD_Main_SKU[SKU name_gom])</f>
        <v>WSS01</v>
      </c>
    </row>
    <row r="162" spans="1:8" x14ac:dyDescent="0.35">
      <c r="A162">
        <v>2024</v>
      </c>
      <c r="B162">
        <v>5</v>
      </c>
      <c r="C162" t="s">
        <v>8</v>
      </c>
      <c r="D162" t="s">
        <v>9</v>
      </c>
      <c r="E162" t="s">
        <v>8</v>
      </c>
      <c r="F162" t="s">
        <v>9</v>
      </c>
      <c r="G162" s="2">
        <v>28047.987772362918</v>
      </c>
      <c r="H162" t="str">
        <f>_xlfn.XLOOKUP(Data_Xuất[[#This Row],[Main SKU]],MD_Main_SKU[Main SKU],MD_Main_SKU[SKU name_gom])</f>
        <v>WSS01</v>
      </c>
    </row>
    <row r="163" spans="1:8" x14ac:dyDescent="0.35">
      <c r="A163">
        <v>2024</v>
      </c>
      <c r="B163">
        <v>5</v>
      </c>
      <c r="C163" t="s">
        <v>8</v>
      </c>
      <c r="D163" t="s">
        <v>9</v>
      </c>
      <c r="E163" t="s">
        <v>10</v>
      </c>
      <c r="F163" t="s">
        <v>11</v>
      </c>
      <c r="G163" s="2">
        <v>7882.6625907876396</v>
      </c>
      <c r="H163" t="str">
        <f>_xlfn.XLOOKUP(Data_Xuất[[#This Row],[Main SKU]],MD_Main_SKU[Main SKU],MD_Main_SKU[SKU name_gom])</f>
        <v>WSS01</v>
      </c>
    </row>
    <row r="164" spans="1:8" x14ac:dyDescent="0.35">
      <c r="A164">
        <v>2024</v>
      </c>
      <c r="B164">
        <v>5</v>
      </c>
      <c r="C164" t="s">
        <v>8</v>
      </c>
      <c r="D164" t="s">
        <v>9</v>
      </c>
      <c r="E164" t="s">
        <v>85</v>
      </c>
      <c r="F164" t="s">
        <v>86</v>
      </c>
      <c r="G164" s="2">
        <v>1945.0725873372096</v>
      </c>
      <c r="H164" t="str">
        <f>_xlfn.XLOOKUP(Data_Xuất[[#This Row],[Main SKU]],MD_Main_SKU[Main SKU],MD_Main_SKU[SKU name_gom])</f>
        <v>WSS01</v>
      </c>
    </row>
    <row r="165" spans="1:8" x14ac:dyDescent="0.35">
      <c r="A165">
        <v>2024</v>
      </c>
      <c r="B165">
        <v>5</v>
      </c>
      <c r="C165" t="s">
        <v>8</v>
      </c>
      <c r="D165" t="s">
        <v>9</v>
      </c>
      <c r="E165" t="s">
        <v>87</v>
      </c>
      <c r="F165" t="s">
        <v>88</v>
      </c>
      <c r="G165" s="2">
        <v>716.60569007160359</v>
      </c>
      <c r="H165" t="str">
        <f>_xlfn.XLOOKUP(Data_Xuất[[#This Row],[Main SKU]],MD_Main_SKU[Main SKU],MD_Main_SKU[SKU name_gom])</f>
        <v>WSS01</v>
      </c>
    </row>
    <row r="166" spans="1:8" x14ac:dyDescent="0.35">
      <c r="A166">
        <v>2024</v>
      </c>
      <c r="B166">
        <v>5</v>
      </c>
      <c r="C166" t="s">
        <v>8</v>
      </c>
      <c r="D166" t="s">
        <v>9</v>
      </c>
      <c r="E166" t="s">
        <v>89</v>
      </c>
      <c r="F166" t="s">
        <v>90</v>
      </c>
      <c r="G166" s="2">
        <v>1699.3792078840884</v>
      </c>
      <c r="H166" t="str">
        <f>_xlfn.XLOOKUP(Data_Xuất[[#This Row],[Main SKU]],MD_Main_SKU[Main SKU],MD_Main_SKU[SKU name_gom])</f>
        <v>WSS01</v>
      </c>
    </row>
    <row r="167" spans="1:8" x14ac:dyDescent="0.35">
      <c r="A167">
        <v>2024</v>
      </c>
      <c r="B167">
        <v>5</v>
      </c>
      <c r="C167" t="s">
        <v>8</v>
      </c>
      <c r="D167" t="s">
        <v>9</v>
      </c>
      <c r="E167" t="s">
        <v>93</v>
      </c>
      <c r="F167" t="s">
        <v>94</v>
      </c>
      <c r="G167" s="2">
        <v>8.2921515565428408</v>
      </c>
      <c r="H167" t="str">
        <f>_xlfn.XLOOKUP(Data_Xuất[[#This Row],[Main SKU]],MD_Main_SKU[Main SKU],MD_Main_SKU[SKU name_gom])</f>
        <v>WSS01</v>
      </c>
    </row>
    <row r="168" spans="1:8" x14ac:dyDescent="0.35">
      <c r="A168">
        <v>2024</v>
      </c>
      <c r="B168">
        <v>5</v>
      </c>
      <c r="C168" t="s">
        <v>14</v>
      </c>
      <c r="D168" t="s">
        <v>15</v>
      </c>
      <c r="E168" t="s">
        <v>14</v>
      </c>
      <c r="F168" t="s">
        <v>15</v>
      </c>
      <c r="G168" s="2">
        <v>197622.37253531147</v>
      </c>
      <c r="H168" t="str">
        <f>_xlfn.XLOOKUP(Data_Xuất[[#This Row],[Main SKU]],MD_Main_SKU[Main SKU],MD_Main_SKU[SKU name_gom])</f>
        <v>iSS01084</v>
      </c>
    </row>
    <row r="169" spans="1:8" x14ac:dyDescent="0.35">
      <c r="A169">
        <v>2024</v>
      </c>
      <c r="B169">
        <v>5</v>
      </c>
      <c r="C169" t="s">
        <v>14</v>
      </c>
      <c r="D169" t="s">
        <v>15</v>
      </c>
      <c r="E169" t="s">
        <v>12</v>
      </c>
      <c r="F169" t="s">
        <v>13</v>
      </c>
      <c r="G169" s="2">
        <v>1113.1554737810488</v>
      </c>
      <c r="H169" t="str">
        <f>_xlfn.XLOOKUP(Data_Xuất[[#This Row],[Main SKU]],MD_Main_SKU[Main SKU],MD_Main_SKU[SKU name_gom])</f>
        <v>iSS01084</v>
      </c>
    </row>
    <row r="170" spans="1:8" x14ac:dyDescent="0.35">
      <c r="A170">
        <v>2024</v>
      </c>
      <c r="B170">
        <v>5</v>
      </c>
      <c r="C170" t="s">
        <v>14</v>
      </c>
      <c r="D170" t="s">
        <v>15</v>
      </c>
      <c r="E170" t="s">
        <v>18</v>
      </c>
      <c r="F170" t="s">
        <v>19</v>
      </c>
      <c r="G170" s="2">
        <v>43087.335695481328</v>
      </c>
      <c r="H170" t="str">
        <f>_xlfn.XLOOKUP(Data_Xuất[[#This Row],[Main SKU]],MD_Main_SKU[Main SKU],MD_Main_SKU[SKU name_gom])</f>
        <v>iSS01084</v>
      </c>
    </row>
    <row r="171" spans="1:8" x14ac:dyDescent="0.35">
      <c r="A171">
        <v>2024</v>
      </c>
      <c r="B171">
        <v>5</v>
      </c>
      <c r="C171" t="s">
        <v>14</v>
      </c>
      <c r="D171" t="s">
        <v>15</v>
      </c>
      <c r="E171" t="s">
        <v>20</v>
      </c>
      <c r="F171" t="s">
        <v>21</v>
      </c>
      <c r="G171" s="2">
        <v>4427.9219549157042</v>
      </c>
      <c r="H171" t="str">
        <f>_xlfn.XLOOKUP(Data_Xuất[[#This Row],[Main SKU]],MD_Main_SKU[Main SKU],MD_Main_SKU[SKU name_gom])</f>
        <v>iSS01084</v>
      </c>
    </row>
    <row r="172" spans="1:8" x14ac:dyDescent="0.35">
      <c r="A172">
        <v>2024</v>
      </c>
      <c r="B172">
        <v>5</v>
      </c>
      <c r="C172" t="s">
        <v>14</v>
      </c>
      <c r="D172" t="s">
        <v>15</v>
      </c>
      <c r="E172" t="s">
        <v>22</v>
      </c>
      <c r="F172" t="s">
        <v>23</v>
      </c>
      <c r="G172" s="2">
        <v>4428.3344285987259</v>
      </c>
      <c r="H172" t="str">
        <f>_xlfn.XLOOKUP(Data_Xuất[[#This Row],[Main SKU]],MD_Main_SKU[Main SKU],MD_Main_SKU[SKU name_gom])</f>
        <v>iSS01084</v>
      </c>
    </row>
    <row r="173" spans="1:8" x14ac:dyDescent="0.35">
      <c r="A173">
        <v>2024</v>
      </c>
      <c r="B173">
        <v>5</v>
      </c>
      <c r="C173" t="s">
        <v>14</v>
      </c>
      <c r="D173" t="s">
        <v>15</v>
      </c>
      <c r="E173" t="s">
        <v>85</v>
      </c>
      <c r="F173" t="s">
        <v>86</v>
      </c>
      <c r="G173" s="2">
        <v>3718.7606577925735</v>
      </c>
      <c r="H173" t="str">
        <f>_xlfn.XLOOKUP(Data_Xuất[[#This Row],[Main SKU]],MD_Main_SKU[Main SKU],MD_Main_SKU[SKU name_gom])</f>
        <v>iSS01084</v>
      </c>
    </row>
    <row r="174" spans="1:8" x14ac:dyDescent="0.35">
      <c r="A174">
        <v>2024</v>
      </c>
      <c r="B174">
        <v>5</v>
      </c>
      <c r="C174" t="s">
        <v>14</v>
      </c>
      <c r="D174" t="s">
        <v>15</v>
      </c>
      <c r="E174" t="s">
        <v>87</v>
      </c>
      <c r="F174" t="s">
        <v>88</v>
      </c>
      <c r="G174" s="2">
        <v>3607.5200719836853</v>
      </c>
      <c r="H174" t="str">
        <f>_xlfn.XLOOKUP(Data_Xuất[[#This Row],[Main SKU]],MD_Main_SKU[Main SKU],MD_Main_SKU[SKU name_gom])</f>
        <v>iSS01084</v>
      </c>
    </row>
    <row r="175" spans="1:8" x14ac:dyDescent="0.35">
      <c r="A175">
        <v>2024</v>
      </c>
      <c r="B175">
        <v>5</v>
      </c>
      <c r="C175" t="s">
        <v>14</v>
      </c>
      <c r="D175" t="s">
        <v>15</v>
      </c>
      <c r="E175" t="s">
        <v>89</v>
      </c>
      <c r="F175" t="s">
        <v>90</v>
      </c>
      <c r="G175" s="2">
        <v>1649.9495928674748</v>
      </c>
      <c r="H175" t="str">
        <f>_xlfn.XLOOKUP(Data_Xuất[[#This Row],[Main SKU]],MD_Main_SKU[Main SKU],MD_Main_SKU[SKU name_gom])</f>
        <v>iSS01084</v>
      </c>
    </row>
    <row r="176" spans="1:8" x14ac:dyDescent="0.35">
      <c r="A176">
        <v>2024</v>
      </c>
      <c r="B176">
        <v>5</v>
      </c>
      <c r="C176" t="s">
        <v>14</v>
      </c>
      <c r="D176" t="s">
        <v>15</v>
      </c>
      <c r="E176" t="s">
        <v>91</v>
      </c>
      <c r="F176" t="s">
        <v>92</v>
      </c>
      <c r="G176" s="2">
        <v>1101.0117405183141</v>
      </c>
      <c r="H176" t="str">
        <f>_xlfn.XLOOKUP(Data_Xuất[[#This Row],[Main SKU]],MD_Main_SKU[Main SKU],MD_Main_SKU[SKU name_gom])</f>
        <v>iSS01084</v>
      </c>
    </row>
    <row r="177" spans="1:8" x14ac:dyDescent="0.35">
      <c r="A177">
        <v>2024</v>
      </c>
      <c r="B177">
        <v>5</v>
      </c>
      <c r="C177" t="s">
        <v>14</v>
      </c>
      <c r="D177" t="s">
        <v>15</v>
      </c>
      <c r="E177" t="s">
        <v>93</v>
      </c>
      <c r="F177" t="s">
        <v>94</v>
      </c>
      <c r="G177" s="2">
        <v>43.637848749693021</v>
      </c>
      <c r="H177" t="str">
        <f>_xlfn.XLOOKUP(Data_Xuất[[#This Row],[Main SKU]],MD_Main_SKU[Main SKU],MD_Main_SKU[SKU name_gom])</f>
        <v>iSS01084</v>
      </c>
    </row>
    <row r="178" spans="1:8" x14ac:dyDescent="0.35">
      <c r="A178">
        <v>2024</v>
      </c>
      <c r="B178">
        <v>5</v>
      </c>
      <c r="C178" t="s">
        <v>16</v>
      </c>
      <c r="D178" t="s">
        <v>17</v>
      </c>
      <c r="E178" t="s">
        <v>16</v>
      </c>
      <c r="F178" t="s">
        <v>17</v>
      </c>
      <c r="G178" s="2">
        <v>2645994.0657049436</v>
      </c>
      <c r="H178" t="str">
        <f>_xlfn.XLOOKUP(Data_Xuất[[#This Row],[Main SKU]],MD_Main_SKU[Main SKU],MD_Main_SKU[SKU name_gom])</f>
        <v>WSS01</v>
      </c>
    </row>
    <row r="179" spans="1:8" x14ac:dyDescent="0.35">
      <c r="A179">
        <v>2024</v>
      </c>
      <c r="B179">
        <v>5</v>
      </c>
      <c r="C179" t="s">
        <v>16</v>
      </c>
      <c r="D179" t="s">
        <v>17</v>
      </c>
      <c r="E179" t="s">
        <v>18</v>
      </c>
      <c r="F179" t="s">
        <v>19</v>
      </c>
      <c r="G179" s="2">
        <v>380107.20156194794</v>
      </c>
      <c r="H179" t="str">
        <f>_xlfn.XLOOKUP(Data_Xuất[[#This Row],[Main SKU]],MD_Main_SKU[Main SKU],MD_Main_SKU[SKU name_gom])</f>
        <v>WSS01</v>
      </c>
    </row>
    <row r="180" spans="1:8" x14ac:dyDescent="0.35">
      <c r="A180">
        <v>2024</v>
      </c>
      <c r="B180">
        <v>5</v>
      </c>
      <c r="C180" t="s">
        <v>16</v>
      </c>
      <c r="D180" t="s">
        <v>17</v>
      </c>
      <c r="E180" t="s">
        <v>20</v>
      </c>
      <c r="F180" t="s">
        <v>21</v>
      </c>
      <c r="G180" s="2">
        <v>155060.25554468654</v>
      </c>
      <c r="H180" t="str">
        <f>_xlfn.XLOOKUP(Data_Xuất[[#This Row],[Main SKU]],MD_Main_SKU[Main SKU],MD_Main_SKU[SKU name_gom])</f>
        <v>WSS01</v>
      </c>
    </row>
    <row r="181" spans="1:8" x14ac:dyDescent="0.35">
      <c r="A181">
        <v>2024</v>
      </c>
      <c r="B181">
        <v>5</v>
      </c>
      <c r="C181" t="s">
        <v>16</v>
      </c>
      <c r="D181" t="s">
        <v>17</v>
      </c>
      <c r="E181" t="s">
        <v>22</v>
      </c>
      <c r="F181" t="s">
        <v>23</v>
      </c>
      <c r="G181" s="2">
        <v>175233.12381412444</v>
      </c>
      <c r="H181" t="str">
        <f>_xlfn.XLOOKUP(Data_Xuất[[#This Row],[Main SKU]],MD_Main_SKU[Main SKU],MD_Main_SKU[SKU name_gom])</f>
        <v>WSS01</v>
      </c>
    </row>
    <row r="182" spans="1:8" x14ac:dyDescent="0.35">
      <c r="A182">
        <v>2024</v>
      </c>
      <c r="B182">
        <v>5</v>
      </c>
      <c r="C182" t="s">
        <v>16</v>
      </c>
      <c r="D182" t="s">
        <v>17</v>
      </c>
      <c r="E182" t="s">
        <v>26</v>
      </c>
      <c r="F182" t="s">
        <v>27</v>
      </c>
      <c r="G182" s="2">
        <v>39606.86213959771</v>
      </c>
      <c r="H182" t="str">
        <f>_xlfn.XLOOKUP(Data_Xuất[[#This Row],[Main SKU]],MD_Main_SKU[Main SKU],MD_Main_SKU[SKU name_gom])</f>
        <v>WSS01</v>
      </c>
    </row>
    <row r="183" spans="1:8" x14ac:dyDescent="0.35">
      <c r="A183">
        <v>2024</v>
      </c>
      <c r="B183">
        <v>5</v>
      </c>
      <c r="C183" t="s">
        <v>16</v>
      </c>
      <c r="D183" t="s">
        <v>17</v>
      </c>
      <c r="E183" t="s">
        <v>109</v>
      </c>
      <c r="F183" t="s">
        <v>110</v>
      </c>
      <c r="G183" s="2">
        <v>3560.5318169244401</v>
      </c>
      <c r="H183" t="str">
        <f>_xlfn.XLOOKUP(Data_Xuất[[#This Row],[Main SKU]],MD_Main_SKU[Main SKU],MD_Main_SKU[SKU name_gom])</f>
        <v>WSS01</v>
      </c>
    </row>
    <row r="184" spans="1:8" x14ac:dyDescent="0.35">
      <c r="A184">
        <v>2024</v>
      </c>
      <c r="B184">
        <v>5</v>
      </c>
      <c r="C184" t="s">
        <v>16</v>
      </c>
      <c r="D184" t="s">
        <v>17</v>
      </c>
      <c r="E184" t="s">
        <v>111</v>
      </c>
      <c r="F184" t="s">
        <v>152</v>
      </c>
      <c r="G184" s="2">
        <v>8.1393815254342208</v>
      </c>
      <c r="H184" t="str">
        <f>_xlfn.XLOOKUP(Data_Xuất[[#This Row],[Main SKU]],MD_Main_SKU[Main SKU],MD_Main_SKU[SKU name_gom])</f>
        <v>WSS01</v>
      </c>
    </row>
    <row r="185" spans="1:8" x14ac:dyDescent="0.35">
      <c r="A185">
        <v>2024</v>
      </c>
      <c r="B185">
        <v>5</v>
      </c>
      <c r="C185" t="s">
        <v>16</v>
      </c>
      <c r="D185" t="s">
        <v>17</v>
      </c>
      <c r="E185" t="s">
        <v>113</v>
      </c>
      <c r="F185" t="s">
        <v>114</v>
      </c>
      <c r="G185" s="2">
        <v>9.4293431610469849</v>
      </c>
      <c r="H185" t="str">
        <f>_xlfn.XLOOKUP(Data_Xuất[[#This Row],[Main SKU]],MD_Main_SKU[Main SKU],MD_Main_SKU[SKU name_gom])</f>
        <v>WSS01</v>
      </c>
    </row>
    <row r="186" spans="1:8" x14ac:dyDescent="0.35">
      <c r="A186">
        <v>2024</v>
      </c>
      <c r="B186">
        <v>5</v>
      </c>
      <c r="C186" t="s">
        <v>16</v>
      </c>
      <c r="D186" t="s">
        <v>17</v>
      </c>
      <c r="E186" t="s">
        <v>85</v>
      </c>
      <c r="F186" t="s">
        <v>86</v>
      </c>
      <c r="G186" s="2">
        <v>37126.610149241766</v>
      </c>
      <c r="H186" t="str">
        <f>_xlfn.XLOOKUP(Data_Xuất[[#This Row],[Main SKU]],MD_Main_SKU[Main SKU],MD_Main_SKU[SKU name_gom])</f>
        <v>WSS01</v>
      </c>
    </row>
    <row r="187" spans="1:8" x14ac:dyDescent="0.35">
      <c r="A187">
        <v>2024</v>
      </c>
      <c r="B187">
        <v>5</v>
      </c>
      <c r="C187" t="s">
        <v>16</v>
      </c>
      <c r="D187" t="s">
        <v>17</v>
      </c>
      <c r="E187" t="s">
        <v>87</v>
      </c>
      <c r="F187" t="s">
        <v>88</v>
      </c>
      <c r="G187" s="2">
        <v>39197.067606048826</v>
      </c>
      <c r="H187" t="str">
        <f>_xlfn.XLOOKUP(Data_Xuất[[#This Row],[Main SKU]],MD_Main_SKU[Main SKU],MD_Main_SKU[SKU name_gom])</f>
        <v>WSS01</v>
      </c>
    </row>
    <row r="188" spans="1:8" x14ac:dyDescent="0.35">
      <c r="A188">
        <v>2024</v>
      </c>
      <c r="B188">
        <v>5</v>
      </c>
      <c r="C188" t="s">
        <v>16</v>
      </c>
      <c r="D188" t="s">
        <v>17</v>
      </c>
      <c r="E188" t="s">
        <v>89</v>
      </c>
      <c r="F188" t="s">
        <v>90</v>
      </c>
      <c r="G188" s="2">
        <v>11043.122266033535</v>
      </c>
      <c r="H188" t="str">
        <f>_xlfn.XLOOKUP(Data_Xuất[[#This Row],[Main SKU]],MD_Main_SKU[Main SKU],MD_Main_SKU[SKU name_gom])</f>
        <v>WSS01</v>
      </c>
    </row>
    <row r="189" spans="1:8" x14ac:dyDescent="0.35">
      <c r="A189">
        <v>2024</v>
      </c>
      <c r="B189">
        <v>5</v>
      </c>
      <c r="C189" t="s">
        <v>16</v>
      </c>
      <c r="D189" t="s">
        <v>17</v>
      </c>
      <c r="E189" t="s">
        <v>91</v>
      </c>
      <c r="F189" t="s">
        <v>92</v>
      </c>
      <c r="G189" s="2">
        <v>3312.682046153107</v>
      </c>
      <c r="H189" t="str">
        <f>_xlfn.XLOOKUP(Data_Xuất[[#This Row],[Main SKU]],MD_Main_SKU[Main SKU],MD_Main_SKU[SKU name_gom])</f>
        <v>WSS01</v>
      </c>
    </row>
    <row r="190" spans="1:8" x14ac:dyDescent="0.35">
      <c r="A190">
        <v>2024</v>
      </c>
      <c r="B190">
        <v>5</v>
      </c>
      <c r="C190" t="s">
        <v>16</v>
      </c>
      <c r="D190" t="s">
        <v>17</v>
      </c>
      <c r="E190" t="s">
        <v>93</v>
      </c>
      <c r="F190" t="s">
        <v>94</v>
      </c>
      <c r="G190" s="2">
        <v>502.50862561148097</v>
      </c>
      <c r="H190" t="str">
        <f>_xlfn.XLOOKUP(Data_Xuất[[#This Row],[Main SKU]],MD_Main_SKU[Main SKU],MD_Main_SKU[SKU name_gom])</f>
        <v>WSS01</v>
      </c>
    </row>
    <row r="191" spans="1:8" x14ac:dyDescent="0.35">
      <c r="A191">
        <v>2024</v>
      </c>
      <c r="B191">
        <v>5</v>
      </c>
      <c r="C191" t="s">
        <v>22</v>
      </c>
      <c r="D191" t="s">
        <v>23</v>
      </c>
      <c r="E191" t="s">
        <v>22</v>
      </c>
      <c r="F191" t="s">
        <v>23</v>
      </c>
      <c r="G191" s="2">
        <v>37400</v>
      </c>
      <c r="H191" t="str">
        <f>_xlfn.XLOOKUP(Data_Xuất[[#This Row],[Main SKU]],MD_Main_SKU[Main SKU],MD_Main_SKU[SKU name_gom])</f>
        <v>WSS03</v>
      </c>
    </row>
    <row r="192" spans="1:8" x14ac:dyDescent="0.35">
      <c r="A192">
        <v>2024</v>
      </c>
      <c r="B192">
        <v>5</v>
      </c>
      <c r="C192" t="s">
        <v>24</v>
      </c>
      <c r="D192" t="s">
        <v>25</v>
      </c>
      <c r="E192" t="s">
        <v>20</v>
      </c>
      <c r="F192" t="s">
        <v>21</v>
      </c>
      <c r="G192" s="2">
        <v>77114.786951280184</v>
      </c>
      <c r="H192" t="str">
        <f>_xlfn.XLOOKUP(Data_Xuất[[#This Row],[Main SKU]],MD_Main_SKU[Main SKU],MD_Main_SKU[SKU name_gom])</f>
        <v>WSS01</v>
      </c>
    </row>
    <row r="193" spans="1:8" x14ac:dyDescent="0.35">
      <c r="A193">
        <v>2024</v>
      </c>
      <c r="B193">
        <v>5</v>
      </c>
      <c r="C193" t="s">
        <v>24</v>
      </c>
      <c r="D193" t="s">
        <v>25</v>
      </c>
      <c r="E193" t="s">
        <v>22</v>
      </c>
      <c r="F193" t="s">
        <v>23</v>
      </c>
      <c r="G193" s="2">
        <v>102360.16123243727</v>
      </c>
      <c r="H193" t="str">
        <f>_xlfn.XLOOKUP(Data_Xuất[[#This Row],[Main SKU]],MD_Main_SKU[Main SKU],MD_Main_SKU[SKU name_gom])</f>
        <v>WSS01</v>
      </c>
    </row>
    <row r="194" spans="1:8" x14ac:dyDescent="0.35">
      <c r="A194">
        <v>2024</v>
      </c>
      <c r="B194">
        <v>5</v>
      </c>
      <c r="C194" t="s">
        <v>24</v>
      </c>
      <c r="D194" t="s">
        <v>25</v>
      </c>
      <c r="E194" t="s">
        <v>24</v>
      </c>
      <c r="F194" t="s">
        <v>25</v>
      </c>
      <c r="G194" s="2">
        <v>551698.59908765659</v>
      </c>
      <c r="H194" t="str">
        <f>_xlfn.XLOOKUP(Data_Xuất[[#This Row],[Main SKU]],MD_Main_SKU[Main SKU],MD_Main_SKU[SKU name_gom])</f>
        <v>WSS01</v>
      </c>
    </row>
    <row r="195" spans="1:8" x14ac:dyDescent="0.35">
      <c r="A195">
        <v>2024</v>
      </c>
      <c r="B195">
        <v>5</v>
      </c>
      <c r="C195" t="s">
        <v>24</v>
      </c>
      <c r="D195" t="s">
        <v>25</v>
      </c>
      <c r="E195" t="s">
        <v>26</v>
      </c>
      <c r="F195" t="s">
        <v>27</v>
      </c>
      <c r="G195" s="2">
        <v>14375.164006591192</v>
      </c>
      <c r="H195" t="str">
        <f>_xlfn.XLOOKUP(Data_Xuất[[#This Row],[Main SKU]],MD_Main_SKU[Main SKU],MD_Main_SKU[SKU name_gom])</f>
        <v>WSS01</v>
      </c>
    </row>
    <row r="196" spans="1:8" x14ac:dyDescent="0.35">
      <c r="A196">
        <v>2024</v>
      </c>
      <c r="B196">
        <v>5</v>
      </c>
      <c r="C196" t="s">
        <v>24</v>
      </c>
      <c r="D196" t="s">
        <v>25</v>
      </c>
      <c r="E196" t="s">
        <v>85</v>
      </c>
      <c r="F196" t="s">
        <v>86</v>
      </c>
      <c r="G196" s="2">
        <v>7799.8015660935353</v>
      </c>
      <c r="H196" t="str">
        <f>_xlfn.XLOOKUP(Data_Xuất[[#This Row],[Main SKU]],MD_Main_SKU[Main SKU],MD_Main_SKU[SKU name_gom])</f>
        <v>WSS01</v>
      </c>
    </row>
    <row r="197" spans="1:8" x14ac:dyDescent="0.35">
      <c r="A197">
        <v>2024</v>
      </c>
      <c r="B197">
        <v>5</v>
      </c>
      <c r="C197" t="s">
        <v>24</v>
      </c>
      <c r="D197" t="s">
        <v>25</v>
      </c>
      <c r="E197" t="s">
        <v>87</v>
      </c>
      <c r="F197" t="s">
        <v>88</v>
      </c>
      <c r="G197" s="2">
        <v>17144.188642554236</v>
      </c>
      <c r="H197" t="str">
        <f>_xlfn.XLOOKUP(Data_Xuất[[#This Row],[Main SKU]],MD_Main_SKU[Main SKU],MD_Main_SKU[SKU name_gom])</f>
        <v>WSS01</v>
      </c>
    </row>
    <row r="198" spans="1:8" x14ac:dyDescent="0.35">
      <c r="A198">
        <v>2024</v>
      </c>
      <c r="B198">
        <v>5</v>
      </c>
      <c r="C198" t="s">
        <v>24</v>
      </c>
      <c r="D198" t="s">
        <v>25</v>
      </c>
      <c r="E198" t="s">
        <v>89</v>
      </c>
      <c r="F198" t="s">
        <v>90</v>
      </c>
      <c r="G198" s="2">
        <v>1284.1123668954533</v>
      </c>
      <c r="H198" t="str">
        <f>_xlfn.XLOOKUP(Data_Xuất[[#This Row],[Main SKU]],MD_Main_SKU[Main SKU],MD_Main_SKU[SKU name_gom])</f>
        <v>WSS01</v>
      </c>
    </row>
    <row r="199" spans="1:8" x14ac:dyDescent="0.35">
      <c r="A199">
        <v>2024</v>
      </c>
      <c r="B199">
        <v>5</v>
      </c>
      <c r="C199" t="s">
        <v>24</v>
      </c>
      <c r="D199" t="s">
        <v>25</v>
      </c>
      <c r="E199" t="s">
        <v>93</v>
      </c>
      <c r="F199" t="s">
        <v>94</v>
      </c>
      <c r="G199" s="2">
        <v>121.18614649149757</v>
      </c>
      <c r="H199" t="str">
        <f>_xlfn.XLOOKUP(Data_Xuất[[#This Row],[Main SKU]],MD_Main_SKU[Main SKU],MD_Main_SKU[SKU name_gom])</f>
        <v>WSS01</v>
      </c>
    </row>
    <row r="200" spans="1:8" x14ac:dyDescent="0.35">
      <c r="A200">
        <v>2024</v>
      </c>
      <c r="B200">
        <v>5</v>
      </c>
      <c r="C200" t="s">
        <v>101</v>
      </c>
      <c r="D200" t="s">
        <v>102</v>
      </c>
      <c r="E200" t="s">
        <v>101</v>
      </c>
      <c r="F200" t="s">
        <v>102</v>
      </c>
      <c r="G200" s="2">
        <v>2200</v>
      </c>
      <c r="H200" t="str">
        <f>_xlfn.XLOOKUP(Data_Xuất[[#This Row],[Main SKU]],MD_Main_SKU[Main SKU],MD_Main_SKU[SKU name_gom])</f>
        <v>WSS03</v>
      </c>
    </row>
    <row r="201" spans="1:8" x14ac:dyDescent="0.35">
      <c r="A201">
        <v>2024</v>
      </c>
      <c r="B201">
        <v>5</v>
      </c>
      <c r="C201" t="s">
        <v>107</v>
      </c>
      <c r="D201" t="s">
        <v>108</v>
      </c>
      <c r="E201" t="s">
        <v>107</v>
      </c>
      <c r="F201" t="s">
        <v>108</v>
      </c>
      <c r="G201" s="2">
        <v>30190.030969671083</v>
      </c>
      <c r="H201" t="str">
        <f>_xlfn.XLOOKUP(Data_Xuất[[#This Row],[Main SKU]],MD_Main_SKU[Main SKU],MD_Main_SKU[SKU name_gom])</f>
        <v>WSS05</v>
      </c>
    </row>
    <row r="202" spans="1:8" x14ac:dyDescent="0.35">
      <c r="A202">
        <v>2024</v>
      </c>
      <c r="B202">
        <v>5</v>
      </c>
      <c r="C202" t="s">
        <v>107</v>
      </c>
      <c r="D202" t="s">
        <v>108</v>
      </c>
      <c r="E202" t="s">
        <v>85</v>
      </c>
      <c r="F202" t="s">
        <v>86</v>
      </c>
      <c r="G202" s="2">
        <v>6641.8068133276383</v>
      </c>
      <c r="H202" t="str">
        <f>_xlfn.XLOOKUP(Data_Xuất[[#This Row],[Main SKU]],MD_Main_SKU[Main SKU],MD_Main_SKU[SKU name_gom])</f>
        <v>WSS05</v>
      </c>
    </row>
    <row r="203" spans="1:8" x14ac:dyDescent="0.35">
      <c r="A203">
        <v>2024</v>
      </c>
      <c r="B203">
        <v>5</v>
      </c>
      <c r="C203" t="s">
        <v>107</v>
      </c>
      <c r="D203" t="s">
        <v>108</v>
      </c>
      <c r="E203" t="s">
        <v>87</v>
      </c>
      <c r="F203" t="s">
        <v>88</v>
      </c>
      <c r="G203" s="2">
        <v>1242.1622170012815</v>
      </c>
      <c r="H203" t="str">
        <f>_xlfn.XLOOKUP(Data_Xuất[[#This Row],[Main SKU]],MD_Main_SKU[Main SKU],MD_Main_SKU[SKU name_gom])</f>
        <v>WSS05</v>
      </c>
    </row>
    <row r="204" spans="1:8" x14ac:dyDescent="0.35">
      <c r="A204">
        <v>2024</v>
      </c>
      <c r="B204">
        <v>5</v>
      </c>
      <c r="C204" t="s">
        <v>115</v>
      </c>
      <c r="D204" t="s">
        <v>116</v>
      </c>
      <c r="E204" t="s">
        <v>97</v>
      </c>
      <c r="F204" t="s">
        <v>98</v>
      </c>
      <c r="G204" s="2">
        <v>47481.57894736842</v>
      </c>
      <c r="H204" t="str">
        <f>_xlfn.XLOOKUP(Data_Xuất[[#This Row],[Main SKU]],MD_Main_SKU[Main SKU],MD_Main_SKU[SKU name_gom])</f>
        <v>WSS05</v>
      </c>
    </row>
    <row r="205" spans="1:8" x14ac:dyDescent="0.35">
      <c r="A205">
        <v>2024</v>
      </c>
      <c r="B205">
        <v>5</v>
      </c>
      <c r="C205" t="s">
        <v>115</v>
      </c>
      <c r="D205" t="s">
        <v>116</v>
      </c>
      <c r="E205" t="s">
        <v>115</v>
      </c>
      <c r="F205" t="s">
        <v>116</v>
      </c>
      <c r="G205" s="2">
        <v>348768.42105263157</v>
      </c>
      <c r="H205" t="str">
        <f>_xlfn.XLOOKUP(Data_Xuất[[#This Row],[Main SKU]],MD_Main_SKU[Main SKU],MD_Main_SKU[SKU name_gom])</f>
        <v>WSS05</v>
      </c>
    </row>
    <row r="206" spans="1:8" x14ac:dyDescent="0.35">
      <c r="A206">
        <v>2024</v>
      </c>
      <c r="B206">
        <v>6</v>
      </c>
      <c r="C206" t="s">
        <v>8</v>
      </c>
      <c r="D206" t="s">
        <v>9</v>
      </c>
      <c r="E206" t="s">
        <v>8</v>
      </c>
      <c r="F206" t="s">
        <v>9</v>
      </c>
      <c r="G206" s="2">
        <v>12086.25</v>
      </c>
      <c r="H206" t="str">
        <f>_xlfn.XLOOKUP(Data_Xuất[[#This Row],[Main SKU]],MD_Main_SKU[Main SKU],MD_Main_SKU[SKU name_gom])</f>
        <v>WSS01</v>
      </c>
    </row>
    <row r="207" spans="1:8" x14ac:dyDescent="0.35">
      <c r="A207">
        <v>2024</v>
      </c>
      <c r="B207">
        <v>6</v>
      </c>
      <c r="C207" t="s">
        <v>8</v>
      </c>
      <c r="D207" t="s">
        <v>9</v>
      </c>
      <c r="E207" t="s">
        <v>10</v>
      </c>
      <c r="F207" t="s">
        <v>11</v>
      </c>
      <c r="G207" s="2">
        <v>1098.75</v>
      </c>
      <c r="H207" t="str">
        <f>_xlfn.XLOOKUP(Data_Xuất[[#This Row],[Main SKU]],MD_Main_SKU[Main SKU],MD_Main_SKU[SKU name_gom])</f>
        <v>WSS01</v>
      </c>
    </row>
    <row r="208" spans="1:8" x14ac:dyDescent="0.35">
      <c r="A208">
        <v>2024</v>
      </c>
      <c r="B208">
        <v>6</v>
      </c>
      <c r="C208" t="s">
        <v>14</v>
      </c>
      <c r="D208" t="s">
        <v>15</v>
      </c>
      <c r="E208" t="s">
        <v>14</v>
      </c>
      <c r="F208" t="s">
        <v>15</v>
      </c>
      <c r="G208" s="2">
        <v>194974.74678320202</v>
      </c>
      <c r="H208" t="str">
        <f>_xlfn.XLOOKUP(Data_Xuất[[#This Row],[Main SKU]],MD_Main_SKU[Main SKU],MD_Main_SKU[SKU name_gom])</f>
        <v>iSS01084</v>
      </c>
    </row>
    <row r="209" spans="1:8" x14ac:dyDescent="0.35">
      <c r="A209">
        <v>2024</v>
      </c>
      <c r="B209">
        <v>6</v>
      </c>
      <c r="C209" t="s">
        <v>14</v>
      </c>
      <c r="D209" t="s">
        <v>15</v>
      </c>
      <c r="E209" t="s">
        <v>18</v>
      </c>
      <c r="F209" t="s">
        <v>19</v>
      </c>
      <c r="G209" s="2">
        <v>4445.6353928303779</v>
      </c>
      <c r="H209" t="str">
        <f>_xlfn.XLOOKUP(Data_Xuất[[#This Row],[Main SKU]],MD_Main_SKU[Main SKU],MD_Main_SKU[SKU name_gom])</f>
        <v>iSS01084</v>
      </c>
    </row>
    <row r="210" spans="1:8" x14ac:dyDescent="0.35">
      <c r="A210">
        <v>2024</v>
      </c>
      <c r="B210">
        <v>6</v>
      </c>
      <c r="C210" t="s">
        <v>14</v>
      </c>
      <c r="D210" t="s">
        <v>15</v>
      </c>
      <c r="E210" t="s">
        <v>22</v>
      </c>
      <c r="F210" t="s">
        <v>23</v>
      </c>
      <c r="G210" s="2">
        <v>1119.8688306747613</v>
      </c>
      <c r="H210" t="str">
        <f>_xlfn.XLOOKUP(Data_Xuất[[#This Row],[Main SKU]],MD_Main_SKU[Main SKU],MD_Main_SKU[SKU name_gom])</f>
        <v>iSS01084</v>
      </c>
    </row>
    <row r="211" spans="1:8" x14ac:dyDescent="0.35">
      <c r="A211">
        <v>2024</v>
      </c>
      <c r="B211">
        <v>6</v>
      </c>
      <c r="C211" t="s">
        <v>14</v>
      </c>
      <c r="D211" t="s">
        <v>15</v>
      </c>
      <c r="E211" t="s">
        <v>85</v>
      </c>
      <c r="F211" t="s">
        <v>86</v>
      </c>
      <c r="G211" s="2">
        <v>4404.8568779708467</v>
      </c>
      <c r="H211" t="str">
        <f>_xlfn.XLOOKUP(Data_Xuất[[#This Row],[Main SKU]],MD_Main_SKU[Main SKU],MD_Main_SKU[SKU name_gom])</f>
        <v>iSS01084</v>
      </c>
    </row>
    <row r="212" spans="1:8" x14ac:dyDescent="0.35">
      <c r="A212">
        <v>2024</v>
      </c>
      <c r="B212">
        <v>6</v>
      </c>
      <c r="C212" t="s">
        <v>14</v>
      </c>
      <c r="D212" t="s">
        <v>15</v>
      </c>
      <c r="E212" t="s">
        <v>87</v>
      </c>
      <c r="F212" t="s">
        <v>88</v>
      </c>
      <c r="G212" s="2">
        <v>8582.5004515444889</v>
      </c>
      <c r="H212" t="str">
        <f>_xlfn.XLOOKUP(Data_Xuất[[#This Row],[Main SKU]],MD_Main_SKU[Main SKU],MD_Main_SKU[SKU name_gom])</f>
        <v>iSS01084</v>
      </c>
    </row>
    <row r="213" spans="1:8" x14ac:dyDescent="0.35">
      <c r="A213">
        <v>2024</v>
      </c>
      <c r="B213">
        <v>6</v>
      </c>
      <c r="C213" t="s">
        <v>14</v>
      </c>
      <c r="D213" t="s">
        <v>15</v>
      </c>
      <c r="E213" t="s">
        <v>89</v>
      </c>
      <c r="F213" t="s">
        <v>90</v>
      </c>
      <c r="G213" s="2">
        <v>740.59701409993613</v>
      </c>
      <c r="H213" t="str">
        <f>_xlfn.XLOOKUP(Data_Xuất[[#This Row],[Main SKU]],MD_Main_SKU[Main SKU],MD_Main_SKU[SKU name_gom])</f>
        <v>iSS01084</v>
      </c>
    </row>
    <row r="214" spans="1:8" x14ac:dyDescent="0.35">
      <c r="A214">
        <v>2024</v>
      </c>
      <c r="B214">
        <v>6</v>
      </c>
      <c r="C214" t="s">
        <v>14</v>
      </c>
      <c r="D214" t="s">
        <v>15</v>
      </c>
      <c r="E214" t="s">
        <v>93</v>
      </c>
      <c r="F214" t="s">
        <v>94</v>
      </c>
      <c r="G214" s="2">
        <v>31.794649677581901</v>
      </c>
      <c r="H214" t="str">
        <f>_xlfn.XLOOKUP(Data_Xuất[[#This Row],[Main SKU]],MD_Main_SKU[Main SKU],MD_Main_SKU[SKU name_gom])</f>
        <v>iSS01084</v>
      </c>
    </row>
    <row r="215" spans="1:8" x14ac:dyDescent="0.35">
      <c r="A215">
        <v>2024</v>
      </c>
      <c r="B215">
        <v>6</v>
      </c>
      <c r="C215" t="s">
        <v>16</v>
      </c>
      <c r="D215" t="s">
        <v>17</v>
      </c>
      <c r="E215" t="s">
        <v>16</v>
      </c>
      <c r="F215" t="s">
        <v>17</v>
      </c>
      <c r="G215" s="2">
        <v>2713632.2346768784</v>
      </c>
      <c r="H215" t="str">
        <f>_xlfn.XLOOKUP(Data_Xuất[[#This Row],[Main SKU]],MD_Main_SKU[Main SKU],MD_Main_SKU[SKU name_gom])</f>
        <v>WSS01</v>
      </c>
    </row>
    <row r="216" spans="1:8" x14ac:dyDescent="0.35">
      <c r="A216">
        <v>2024</v>
      </c>
      <c r="B216">
        <v>6</v>
      </c>
      <c r="C216" t="s">
        <v>16</v>
      </c>
      <c r="D216" t="s">
        <v>17</v>
      </c>
      <c r="E216" t="s">
        <v>18</v>
      </c>
      <c r="F216" t="s">
        <v>19</v>
      </c>
      <c r="G216" s="2">
        <v>459200.02135184954</v>
      </c>
      <c r="H216" t="str">
        <f>_xlfn.XLOOKUP(Data_Xuất[[#This Row],[Main SKU]],MD_Main_SKU[Main SKU],MD_Main_SKU[SKU name_gom])</f>
        <v>WSS01</v>
      </c>
    </row>
    <row r="217" spans="1:8" x14ac:dyDescent="0.35">
      <c r="A217">
        <v>2024</v>
      </c>
      <c r="B217">
        <v>6</v>
      </c>
      <c r="C217" t="s">
        <v>16</v>
      </c>
      <c r="D217" t="s">
        <v>17</v>
      </c>
      <c r="E217" t="s">
        <v>20</v>
      </c>
      <c r="F217" t="s">
        <v>21</v>
      </c>
      <c r="G217" s="2">
        <v>6657.6380997440419</v>
      </c>
      <c r="H217" t="str">
        <f>_xlfn.XLOOKUP(Data_Xuất[[#This Row],[Main SKU]],MD_Main_SKU[Main SKU],MD_Main_SKU[SKU name_gom])</f>
        <v>WSS01</v>
      </c>
    </row>
    <row r="218" spans="1:8" x14ac:dyDescent="0.35">
      <c r="A218">
        <v>2024</v>
      </c>
      <c r="B218">
        <v>6</v>
      </c>
      <c r="C218" t="s">
        <v>16</v>
      </c>
      <c r="D218" t="s">
        <v>17</v>
      </c>
      <c r="E218" t="s">
        <v>22</v>
      </c>
      <c r="F218" t="s">
        <v>23</v>
      </c>
      <c r="G218" s="2">
        <v>183042.27037161577</v>
      </c>
      <c r="H218" t="str">
        <f>_xlfn.XLOOKUP(Data_Xuất[[#This Row],[Main SKU]],MD_Main_SKU[Main SKU],MD_Main_SKU[SKU name_gom])</f>
        <v>WSS01</v>
      </c>
    </row>
    <row r="219" spans="1:8" x14ac:dyDescent="0.35">
      <c r="A219">
        <v>2024</v>
      </c>
      <c r="B219">
        <v>6</v>
      </c>
      <c r="C219" t="s">
        <v>16</v>
      </c>
      <c r="D219" t="s">
        <v>17</v>
      </c>
      <c r="E219" t="s">
        <v>26</v>
      </c>
      <c r="F219" t="s">
        <v>27</v>
      </c>
      <c r="G219" s="2">
        <v>3300</v>
      </c>
      <c r="H219" t="str">
        <f>_xlfn.XLOOKUP(Data_Xuất[[#This Row],[Main SKU]],MD_Main_SKU[Main SKU],MD_Main_SKU[SKU name_gom])</f>
        <v>WSS01</v>
      </c>
    </row>
    <row r="220" spans="1:8" x14ac:dyDescent="0.35">
      <c r="A220">
        <v>2024</v>
      </c>
      <c r="B220">
        <v>6</v>
      </c>
      <c r="C220" t="s">
        <v>16</v>
      </c>
      <c r="D220" t="s">
        <v>17</v>
      </c>
      <c r="E220" t="s">
        <v>111</v>
      </c>
      <c r="F220" t="s">
        <v>152</v>
      </c>
      <c r="G220" s="2">
        <v>350.93045869798385</v>
      </c>
      <c r="H220" t="str">
        <f>_xlfn.XLOOKUP(Data_Xuất[[#This Row],[Main SKU]],MD_Main_SKU[Main SKU],MD_Main_SKU[SKU name_gom])</f>
        <v>WSS01</v>
      </c>
    </row>
    <row r="221" spans="1:8" x14ac:dyDescent="0.35">
      <c r="A221">
        <v>2024</v>
      </c>
      <c r="B221">
        <v>6</v>
      </c>
      <c r="C221" t="s">
        <v>16</v>
      </c>
      <c r="D221" t="s">
        <v>17</v>
      </c>
      <c r="E221" t="s">
        <v>113</v>
      </c>
      <c r="F221" t="s">
        <v>114</v>
      </c>
      <c r="G221" s="2">
        <v>16.243066945449538</v>
      </c>
      <c r="H221" t="str">
        <f>_xlfn.XLOOKUP(Data_Xuất[[#This Row],[Main SKU]],MD_Main_SKU[Main SKU],MD_Main_SKU[SKU name_gom])</f>
        <v>WSS01</v>
      </c>
    </row>
    <row r="222" spans="1:8" x14ac:dyDescent="0.35">
      <c r="A222">
        <v>2024</v>
      </c>
      <c r="B222">
        <v>6</v>
      </c>
      <c r="C222" t="s">
        <v>16</v>
      </c>
      <c r="D222" t="s">
        <v>17</v>
      </c>
      <c r="E222" t="s">
        <v>85</v>
      </c>
      <c r="F222" t="s">
        <v>86</v>
      </c>
      <c r="G222" s="2">
        <v>49932.458241869208</v>
      </c>
      <c r="H222" t="str">
        <f>_xlfn.XLOOKUP(Data_Xuất[[#This Row],[Main SKU]],MD_Main_SKU[Main SKU],MD_Main_SKU[SKU name_gom])</f>
        <v>WSS01</v>
      </c>
    </row>
    <row r="223" spans="1:8" x14ac:dyDescent="0.35">
      <c r="A223">
        <v>2024</v>
      </c>
      <c r="B223">
        <v>6</v>
      </c>
      <c r="C223" t="s">
        <v>16</v>
      </c>
      <c r="D223" t="s">
        <v>17</v>
      </c>
      <c r="E223" t="s">
        <v>87</v>
      </c>
      <c r="F223" t="s">
        <v>88</v>
      </c>
      <c r="G223" s="2">
        <v>42498.681046277961</v>
      </c>
      <c r="H223" t="str">
        <f>_xlfn.XLOOKUP(Data_Xuất[[#This Row],[Main SKU]],MD_Main_SKU[Main SKU],MD_Main_SKU[SKU name_gom])</f>
        <v>WSS01</v>
      </c>
    </row>
    <row r="224" spans="1:8" x14ac:dyDescent="0.35">
      <c r="A224">
        <v>2024</v>
      </c>
      <c r="B224">
        <v>6</v>
      </c>
      <c r="C224" t="s">
        <v>16</v>
      </c>
      <c r="D224" t="s">
        <v>17</v>
      </c>
      <c r="E224" t="s">
        <v>89</v>
      </c>
      <c r="F224" t="s">
        <v>90</v>
      </c>
      <c r="G224" s="2">
        <v>4926.8296469455609</v>
      </c>
      <c r="H224" t="str">
        <f>_xlfn.XLOOKUP(Data_Xuất[[#This Row],[Main SKU]],MD_Main_SKU[Main SKU],MD_Main_SKU[SKU name_gom])</f>
        <v>WSS01</v>
      </c>
    </row>
    <row r="225" spans="1:8" x14ac:dyDescent="0.35">
      <c r="A225">
        <v>2024</v>
      </c>
      <c r="B225">
        <v>6</v>
      </c>
      <c r="C225" t="s">
        <v>16</v>
      </c>
      <c r="D225" t="s">
        <v>17</v>
      </c>
      <c r="E225" t="s">
        <v>91</v>
      </c>
      <c r="F225" t="s">
        <v>92</v>
      </c>
      <c r="G225" s="2">
        <v>1099.9999999999998</v>
      </c>
      <c r="H225" t="str">
        <f>_xlfn.XLOOKUP(Data_Xuất[[#This Row],[Main SKU]],MD_Main_SKU[Main SKU],MD_Main_SKU[SKU name_gom])</f>
        <v>WSS01</v>
      </c>
    </row>
    <row r="226" spans="1:8" x14ac:dyDescent="0.35">
      <c r="A226">
        <v>2024</v>
      </c>
      <c r="B226">
        <v>6</v>
      </c>
      <c r="C226" t="s">
        <v>16</v>
      </c>
      <c r="D226" t="s">
        <v>17</v>
      </c>
      <c r="E226" t="s">
        <v>93</v>
      </c>
      <c r="F226" t="s">
        <v>94</v>
      </c>
      <c r="G226" s="2">
        <v>266.6930391752694</v>
      </c>
      <c r="H226" t="str">
        <f>_xlfn.XLOOKUP(Data_Xuất[[#This Row],[Main SKU]],MD_Main_SKU[Main SKU],MD_Main_SKU[SKU name_gom])</f>
        <v>WSS01</v>
      </c>
    </row>
    <row r="227" spans="1:8" x14ac:dyDescent="0.35">
      <c r="A227">
        <v>2024</v>
      </c>
      <c r="B227">
        <v>6</v>
      </c>
      <c r="C227" t="s">
        <v>24</v>
      </c>
      <c r="D227" t="s">
        <v>25</v>
      </c>
      <c r="E227" t="s">
        <v>20</v>
      </c>
      <c r="F227" t="s">
        <v>21</v>
      </c>
      <c r="G227" s="2">
        <v>97891.713865863931</v>
      </c>
      <c r="H227" t="str">
        <f>_xlfn.XLOOKUP(Data_Xuất[[#This Row],[Main SKU]],MD_Main_SKU[Main SKU],MD_Main_SKU[SKU name_gom])</f>
        <v>WSS01</v>
      </c>
    </row>
    <row r="228" spans="1:8" x14ac:dyDescent="0.35">
      <c r="A228">
        <v>2024</v>
      </c>
      <c r="B228">
        <v>6</v>
      </c>
      <c r="C228" t="s">
        <v>24</v>
      </c>
      <c r="D228" t="s">
        <v>25</v>
      </c>
      <c r="E228" t="s">
        <v>22</v>
      </c>
      <c r="F228" t="s">
        <v>23</v>
      </c>
      <c r="G228" s="2">
        <v>204020.18833406491</v>
      </c>
      <c r="H228" t="str">
        <f>_xlfn.XLOOKUP(Data_Xuất[[#This Row],[Main SKU]],MD_Main_SKU[Main SKU],MD_Main_SKU[SKU name_gom])</f>
        <v>WSS01</v>
      </c>
    </row>
    <row r="229" spans="1:8" x14ac:dyDescent="0.35">
      <c r="A229">
        <v>2024</v>
      </c>
      <c r="B229">
        <v>6</v>
      </c>
      <c r="C229" t="s">
        <v>24</v>
      </c>
      <c r="D229" t="s">
        <v>25</v>
      </c>
      <c r="E229" t="s">
        <v>24</v>
      </c>
      <c r="F229" t="s">
        <v>25</v>
      </c>
      <c r="G229" s="2">
        <v>182088.81478734376</v>
      </c>
      <c r="H229" t="str">
        <f>_xlfn.XLOOKUP(Data_Xuất[[#This Row],[Main SKU]],MD_Main_SKU[Main SKU],MD_Main_SKU[SKU name_gom])</f>
        <v>WSS01</v>
      </c>
    </row>
    <row r="230" spans="1:8" x14ac:dyDescent="0.35">
      <c r="A230">
        <v>2024</v>
      </c>
      <c r="B230">
        <v>6</v>
      </c>
      <c r="C230" t="s">
        <v>24</v>
      </c>
      <c r="D230" t="s">
        <v>25</v>
      </c>
      <c r="E230" t="s">
        <v>26</v>
      </c>
      <c r="F230" t="s">
        <v>27</v>
      </c>
      <c r="G230" s="2">
        <v>5552.8623646143369</v>
      </c>
      <c r="H230" t="str">
        <f>_xlfn.XLOOKUP(Data_Xuất[[#This Row],[Main SKU]],MD_Main_SKU[Main SKU],MD_Main_SKU[SKU name_gom])</f>
        <v>WSS01</v>
      </c>
    </row>
    <row r="231" spans="1:8" x14ac:dyDescent="0.35">
      <c r="A231">
        <v>2024</v>
      </c>
      <c r="B231">
        <v>6</v>
      </c>
      <c r="C231" t="s">
        <v>24</v>
      </c>
      <c r="D231" t="s">
        <v>25</v>
      </c>
      <c r="E231" t="s">
        <v>113</v>
      </c>
      <c r="F231" t="s">
        <v>114</v>
      </c>
      <c r="G231" s="2">
        <v>9.1785780074579684</v>
      </c>
      <c r="H231" t="str">
        <f>_xlfn.XLOOKUP(Data_Xuất[[#This Row],[Main SKU]],MD_Main_SKU[Main SKU],MD_Main_SKU[SKU name_gom])</f>
        <v>WSS01</v>
      </c>
    </row>
    <row r="232" spans="1:8" x14ac:dyDescent="0.35">
      <c r="A232">
        <v>2024</v>
      </c>
      <c r="B232">
        <v>6</v>
      </c>
      <c r="C232" t="s">
        <v>24</v>
      </c>
      <c r="D232" t="s">
        <v>25</v>
      </c>
      <c r="E232" t="s">
        <v>85</v>
      </c>
      <c r="F232" t="s">
        <v>86</v>
      </c>
      <c r="G232" s="2">
        <v>13416.213307887785</v>
      </c>
      <c r="H232" t="str">
        <f>_xlfn.XLOOKUP(Data_Xuất[[#This Row],[Main SKU]],MD_Main_SKU[Main SKU],MD_Main_SKU[SKU name_gom])</f>
        <v>WSS01</v>
      </c>
    </row>
    <row r="233" spans="1:8" x14ac:dyDescent="0.35">
      <c r="A233">
        <v>2024</v>
      </c>
      <c r="B233">
        <v>6</v>
      </c>
      <c r="C233" t="s">
        <v>24</v>
      </c>
      <c r="D233" t="s">
        <v>25</v>
      </c>
      <c r="E233" t="s">
        <v>87</v>
      </c>
      <c r="F233" t="s">
        <v>88</v>
      </c>
      <c r="G233" s="2">
        <v>10916.938780977189</v>
      </c>
      <c r="H233" t="str">
        <f>_xlfn.XLOOKUP(Data_Xuất[[#This Row],[Main SKU]],MD_Main_SKU[Main SKU],MD_Main_SKU[SKU name_gom])</f>
        <v>WSS01</v>
      </c>
    </row>
    <row r="234" spans="1:8" x14ac:dyDescent="0.35">
      <c r="A234">
        <v>2024</v>
      </c>
      <c r="B234">
        <v>6</v>
      </c>
      <c r="C234" t="s">
        <v>24</v>
      </c>
      <c r="D234" t="s">
        <v>25</v>
      </c>
      <c r="E234" t="s">
        <v>89</v>
      </c>
      <c r="F234" t="s">
        <v>90</v>
      </c>
      <c r="G234" s="2">
        <v>720.66862940014244</v>
      </c>
      <c r="H234" t="str">
        <f>_xlfn.XLOOKUP(Data_Xuất[[#This Row],[Main SKU]],MD_Main_SKU[Main SKU],MD_Main_SKU[SKU name_gom])</f>
        <v>WSS01</v>
      </c>
    </row>
    <row r="235" spans="1:8" x14ac:dyDescent="0.35">
      <c r="A235">
        <v>2024</v>
      </c>
      <c r="B235">
        <v>6</v>
      </c>
      <c r="C235" t="s">
        <v>24</v>
      </c>
      <c r="D235" t="s">
        <v>25</v>
      </c>
      <c r="E235" t="s">
        <v>91</v>
      </c>
      <c r="F235" t="s">
        <v>92</v>
      </c>
      <c r="G235" s="2">
        <v>1100</v>
      </c>
      <c r="H235" t="str">
        <f>_xlfn.XLOOKUP(Data_Xuất[[#This Row],[Main SKU]],MD_Main_SKU[Main SKU],MD_Main_SKU[SKU name_gom])</f>
        <v>WSS01</v>
      </c>
    </row>
    <row r="236" spans="1:8" x14ac:dyDescent="0.35">
      <c r="A236">
        <v>2024</v>
      </c>
      <c r="B236">
        <v>6</v>
      </c>
      <c r="C236" t="s">
        <v>24</v>
      </c>
      <c r="D236" t="s">
        <v>25</v>
      </c>
      <c r="E236" t="s">
        <v>93</v>
      </c>
      <c r="F236" t="s">
        <v>94</v>
      </c>
      <c r="G236" s="2">
        <v>1017.7213518405481</v>
      </c>
      <c r="H236" t="str">
        <f>_xlfn.XLOOKUP(Data_Xuất[[#This Row],[Main SKU]],MD_Main_SKU[Main SKU],MD_Main_SKU[SKU name_gom])</f>
        <v>WSS01</v>
      </c>
    </row>
    <row r="237" spans="1:8" x14ac:dyDescent="0.35">
      <c r="A237">
        <v>2024</v>
      </c>
      <c r="B237">
        <v>6</v>
      </c>
      <c r="C237" t="s">
        <v>28</v>
      </c>
      <c r="D237" t="s">
        <v>29</v>
      </c>
      <c r="E237" t="s">
        <v>28</v>
      </c>
      <c r="F237" t="s">
        <v>29</v>
      </c>
      <c r="G237" s="2">
        <v>14300</v>
      </c>
      <c r="H237" t="str">
        <f>_xlfn.XLOOKUP(Data_Xuất[[#This Row],[Main SKU]],MD_Main_SKU[Main SKU],MD_Main_SKU[SKU name_gom])</f>
        <v>iSS01084</v>
      </c>
    </row>
    <row r="238" spans="1:8" x14ac:dyDescent="0.35">
      <c r="A238">
        <v>2024</v>
      </c>
      <c r="B238">
        <v>6</v>
      </c>
      <c r="C238" t="s">
        <v>28</v>
      </c>
      <c r="D238" t="s">
        <v>29</v>
      </c>
      <c r="E238" t="s">
        <v>30</v>
      </c>
      <c r="F238" t="s">
        <v>31</v>
      </c>
      <c r="G238" s="2">
        <v>17600</v>
      </c>
      <c r="H238" t="str">
        <f>_xlfn.XLOOKUP(Data_Xuất[[#This Row],[Main SKU]],MD_Main_SKU[Main SKU],MD_Main_SKU[SKU name_gom])</f>
        <v>iSS01084</v>
      </c>
    </row>
    <row r="239" spans="1:8" x14ac:dyDescent="0.35">
      <c r="A239">
        <v>2024</v>
      </c>
      <c r="B239">
        <v>6</v>
      </c>
      <c r="C239" t="s">
        <v>28</v>
      </c>
      <c r="D239" t="s">
        <v>29</v>
      </c>
      <c r="E239" t="s">
        <v>85</v>
      </c>
      <c r="F239" t="s">
        <v>86</v>
      </c>
      <c r="G239" s="2">
        <v>1280.3</v>
      </c>
      <c r="H239" t="str">
        <f>_xlfn.XLOOKUP(Data_Xuất[[#This Row],[Main SKU]],MD_Main_SKU[Main SKU],MD_Main_SKU[SKU name_gom])</f>
        <v>iSS01084</v>
      </c>
    </row>
    <row r="240" spans="1:8" x14ac:dyDescent="0.35">
      <c r="A240">
        <v>2024</v>
      </c>
      <c r="B240">
        <v>6</v>
      </c>
      <c r="C240" t="s">
        <v>28</v>
      </c>
      <c r="D240" t="s">
        <v>29</v>
      </c>
      <c r="E240" t="s">
        <v>87</v>
      </c>
      <c r="F240" t="s">
        <v>88</v>
      </c>
      <c r="G240" s="2">
        <v>700</v>
      </c>
      <c r="H240" t="str">
        <f>_xlfn.XLOOKUP(Data_Xuất[[#This Row],[Main SKU]],MD_Main_SKU[Main SKU],MD_Main_SKU[SKU name_gom])</f>
        <v>iSS01084</v>
      </c>
    </row>
    <row r="241" spans="1:8" x14ac:dyDescent="0.35">
      <c r="A241">
        <v>2024</v>
      </c>
      <c r="B241">
        <v>6</v>
      </c>
      <c r="C241" t="s">
        <v>28</v>
      </c>
      <c r="D241" t="s">
        <v>29</v>
      </c>
      <c r="E241" t="s">
        <v>93</v>
      </c>
      <c r="F241" t="s">
        <v>94</v>
      </c>
      <c r="G241" s="2">
        <v>2.7</v>
      </c>
      <c r="H241" t="str">
        <f>_xlfn.XLOOKUP(Data_Xuất[[#This Row],[Main SKU]],MD_Main_SKU[Main SKU],MD_Main_SKU[SKU name_gom])</f>
        <v>iSS01084</v>
      </c>
    </row>
    <row r="242" spans="1:8" x14ac:dyDescent="0.35">
      <c r="A242">
        <v>2024</v>
      </c>
      <c r="B242">
        <v>6</v>
      </c>
      <c r="C242" t="s">
        <v>101</v>
      </c>
      <c r="D242" t="s">
        <v>102</v>
      </c>
      <c r="E242" t="s">
        <v>101</v>
      </c>
      <c r="F242" t="s">
        <v>102</v>
      </c>
      <c r="G242" s="2">
        <v>1100</v>
      </c>
      <c r="H242" t="str">
        <f>_xlfn.XLOOKUP(Data_Xuất[[#This Row],[Main SKU]],MD_Main_SKU[Main SKU],MD_Main_SKU[SKU name_gom])</f>
        <v>WSS03</v>
      </c>
    </row>
    <row r="243" spans="1:8" x14ac:dyDescent="0.35">
      <c r="A243">
        <v>2024</v>
      </c>
      <c r="B243">
        <v>6</v>
      </c>
      <c r="C243" t="s">
        <v>107</v>
      </c>
      <c r="D243" t="s">
        <v>108</v>
      </c>
      <c r="E243" t="s">
        <v>107</v>
      </c>
      <c r="F243" t="s">
        <v>108</v>
      </c>
      <c r="G243" s="2">
        <v>2200</v>
      </c>
      <c r="H243" t="str">
        <f>_xlfn.XLOOKUP(Data_Xuất[[#This Row],[Main SKU]],MD_Main_SKU[Main SKU],MD_Main_SKU[SKU name_gom])</f>
        <v>WSS05</v>
      </c>
    </row>
    <row r="244" spans="1:8" x14ac:dyDescent="0.35">
      <c r="A244">
        <v>2024</v>
      </c>
      <c r="B244">
        <v>6</v>
      </c>
      <c r="C244" t="s">
        <v>115</v>
      </c>
      <c r="D244" t="s">
        <v>116</v>
      </c>
      <c r="E244" t="s">
        <v>97</v>
      </c>
      <c r="F244" t="s">
        <v>98</v>
      </c>
      <c r="G244" s="2">
        <v>26400</v>
      </c>
      <c r="H244" t="str">
        <f>_xlfn.XLOOKUP(Data_Xuất[[#This Row],[Main SKU]],MD_Main_SKU[Main SKU],MD_Main_SKU[SKU name_gom])</f>
        <v>WSS05</v>
      </c>
    </row>
    <row r="245" spans="1:8" x14ac:dyDescent="0.35">
      <c r="A245">
        <v>2024</v>
      </c>
      <c r="B245">
        <v>6</v>
      </c>
      <c r="C245" t="s">
        <v>115</v>
      </c>
      <c r="D245" t="s">
        <v>116</v>
      </c>
      <c r="E245" t="s">
        <v>115</v>
      </c>
      <c r="F245" t="s">
        <v>116</v>
      </c>
      <c r="G245" s="2">
        <v>246400</v>
      </c>
      <c r="H245" t="str">
        <f>_xlfn.XLOOKUP(Data_Xuất[[#This Row],[Main SKU]],MD_Main_SKU[Main SKU],MD_Main_SKU[SKU name_gom])</f>
        <v>WSS05</v>
      </c>
    </row>
    <row r="246" spans="1:8" x14ac:dyDescent="0.35">
      <c r="A246">
        <v>2024</v>
      </c>
      <c r="B246">
        <v>6</v>
      </c>
      <c r="C246" t="s">
        <v>115</v>
      </c>
      <c r="D246" t="s">
        <v>116</v>
      </c>
      <c r="E246" t="s">
        <v>85</v>
      </c>
      <c r="F246" t="s">
        <v>86</v>
      </c>
      <c r="G246" s="2">
        <v>1746</v>
      </c>
      <c r="H246" t="str">
        <f>_xlfn.XLOOKUP(Data_Xuất[[#This Row],[Main SKU]],MD_Main_SKU[Main SKU],MD_Main_SKU[SKU name_gom])</f>
        <v>WSS05</v>
      </c>
    </row>
    <row r="247" spans="1:8" x14ac:dyDescent="0.35">
      <c r="A247">
        <v>2024</v>
      </c>
      <c r="B247">
        <v>6</v>
      </c>
      <c r="C247" t="s">
        <v>115</v>
      </c>
      <c r="D247" t="s">
        <v>116</v>
      </c>
      <c r="E247" t="s">
        <v>87</v>
      </c>
      <c r="F247" t="s">
        <v>88</v>
      </c>
      <c r="G247" s="2">
        <v>700</v>
      </c>
      <c r="H247" t="str">
        <f>_xlfn.XLOOKUP(Data_Xuất[[#This Row],[Main SKU]],MD_Main_SKU[Main SKU],MD_Main_SKU[SKU name_gom])</f>
        <v>WSS05</v>
      </c>
    </row>
    <row r="248" spans="1:8" x14ac:dyDescent="0.35">
      <c r="A248">
        <v>2024</v>
      </c>
      <c r="B248">
        <v>7</v>
      </c>
      <c r="C248" t="s">
        <v>8</v>
      </c>
      <c r="D248" t="s">
        <v>9</v>
      </c>
      <c r="E248" t="s">
        <v>8</v>
      </c>
      <c r="F248" t="s">
        <v>9</v>
      </c>
      <c r="G248" s="2">
        <v>19772.115615015973</v>
      </c>
      <c r="H248" t="str">
        <f>_xlfn.XLOOKUP(Data_Xuất[[#This Row],[Main SKU]],MD_Main_SKU[Main SKU],MD_Main_SKU[SKU name_gom])</f>
        <v>WSS01</v>
      </c>
    </row>
    <row r="249" spans="1:8" x14ac:dyDescent="0.35">
      <c r="A249">
        <v>2024</v>
      </c>
      <c r="B249">
        <v>7</v>
      </c>
      <c r="C249" t="s">
        <v>8</v>
      </c>
      <c r="D249" t="s">
        <v>9</v>
      </c>
      <c r="E249" t="s">
        <v>10</v>
      </c>
      <c r="F249" t="s">
        <v>11</v>
      </c>
      <c r="G249" s="2">
        <v>3296.1328125</v>
      </c>
      <c r="H249" t="str">
        <f>_xlfn.XLOOKUP(Data_Xuất[[#This Row],[Main SKU]],MD_Main_SKU[Main SKU],MD_Main_SKU[SKU name_gom])</f>
        <v>WSS01</v>
      </c>
    </row>
    <row r="250" spans="1:8" x14ac:dyDescent="0.35">
      <c r="A250">
        <v>2024</v>
      </c>
      <c r="B250">
        <v>7</v>
      </c>
      <c r="C250" t="s">
        <v>8</v>
      </c>
      <c r="D250" t="s">
        <v>9</v>
      </c>
      <c r="E250" t="s">
        <v>85</v>
      </c>
      <c r="F250" t="s">
        <v>86</v>
      </c>
      <c r="G250" s="2">
        <v>699.1796875</v>
      </c>
      <c r="H250" t="str">
        <f>_xlfn.XLOOKUP(Data_Xuất[[#This Row],[Main SKU]],MD_Main_SKU[Main SKU],MD_Main_SKU[SKU name_gom])</f>
        <v>WSS01</v>
      </c>
    </row>
    <row r="251" spans="1:8" x14ac:dyDescent="0.35">
      <c r="A251">
        <v>2024</v>
      </c>
      <c r="B251">
        <v>7</v>
      </c>
      <c r="C251" t="s">
        <v>8</v>
      </c>
      <c r="D251" t="s">
        <v>9</v>
      </c>
      <c r="E251" t="s">
        <v>87</v>
      </c>
      <c r="F251" t="s">
        <v>88</v>
      </c>
      <c r="G251" s="2">
        <v>1517.5718849840255</v>
      </c>
      <c r="H251" t="str">
        <f>_xlfn.XLOOKUP(Data_Xuất[[#This Row],[Main SKU]],MD_Main_SKU[Main SKU],MD_Main_SKU[SKU name_gom])</f>
        <v>WSS01</v>
      </c>
    </row>
    <row r="252" spans="1:8" x14ac:dyDescent="0.35">
      <c r="A252">
        <v>2024</v>
      </c>
      <c r="B252">
        <v>7</v>
      </c>
      <c r="C252" t="s">
        <v>14</v>
      </c>
      <c r="D252" t="s">
        <v>15</v>
      </c>
      <c r="E252" t="s">
        <v>14</v>
      </c>
      <c r="F252" t="s">
        <v>15</v>
      </c>
      <c r="G252" s="2">
        <v>328897.47353314958</v>
      </c>
      <c r="H252" t="str">
        <f>_xlfn.XLOOKUP(Data_Xuất[[#This Row],[Main SKU]],MD_Main_SKU[Main SKU],MD_Main_SKU[SKU name_gom])</f>
        <v>iSS01084</v>
      </c>
    </row>
    <row r="253" spans="1:8" x14ac:dyDescent="0.35">
      <c r="A253">
        <v>2024</v>
      </c>
      <c r="B253">
        <v>7</v>
      </c>
      <c r="C253" t="s">
        <v>14</v>
      </c>
      <c r="D253" t="s">
        <v>15</v>
      </c>
      <c r="E253" t="s">
        <v>16</v>
      </c>
      <c r="F253" t="s">
        <v>17</v>
      </c>
      <c r="G253" s="2">
        <v>7699.7887038638091</v>
      </c>
      <c r="H253" t="str">
        <f>_xlfn.XLOOKUP(Data_Xuất[[#This Row],[Main SKU]],MD_Main_SKU[Main SKU],MD_Main_SKU[SKU name_gom])</f>
        <v>iSS01084</v>
      </c>
    </row>
    <row r="254" spans="1:8" x14ac:dyDescent="0.35">
      <c r="A254">
        <v>2024</v>
      </c>
      <c r="B254">
        <v>7</v>
      </c>
      <c r="C254" t="s">
        <v>14</v>
      </c>
      <c r="D254" t="s">
        <v>15</v>
      </c>
      <c r="E254" t="s">
        <v>18</v>
      </c>
      <c r="F254" t="s">
        <v>19</v>
      </c>
      <c r="G254" s="2">
        <v>67098.581710208338</v>
      </c>
      <c r="H254" t="str">
        <f>_xlfn.XLOOKUP(Data_Xuất[[#This Row],[Main SKU]],MD_Main_SKU[Main SKU],MD_Main_SKU[SKU name_gom])</f>
        <v>iSS01084</v>
      </c>
    </row>
    <row r="255" spans="1:8" x14ac:dyDescent="0.35">
      <c r="A255">
        <v>2024</v>
      </c>
      <c r="B255">
        <v>7</v>
      </c>
      <c r="C255" t="s">
        <v>14</v>
      </c>
      <c r="D255" t="s">
        <v>15</v>
      </c>
      <c r="E255" t="s">
        <v>22</v>
      </c>
      <c r="F255" t="s">
        <v>23</v>
      </c>
      <c r="G255" s="2">
        <v>4399.9177143606958</v>
      </c>
      <c r="H255" t="str">
        <f>_xlfn.XLOOKUP(Data_Xuất[[#This Row],[Main SKU]],MD_Main_SKU[Main SKU],MD_Main_SKU[SKU name_gom])</f>
        <v>iSS01084</v>
      </c>
    </row>
    <row r="256" spans="1:8" x14ac:dyDescent="0.35">
      <c r="A256">
        <v>2024</v>
      </c>
      <c r="B256">
        <v>7</v>
      </c>
      <c r="C256" t="s">
        <v>14</v>
      </c>
      <c r="D256" t="s">
        <v>15</v>
      </c>
      <c r="E256" t="s">
        <v>85</v>
      </c>
      <c r="F256" t="s">
        <v>86</v>
      </c>
      <c r="G256" s="2">
        <v>14976.057634511395</v>
      </c>
      <c r="H256" t="str">
        <f>_xlfn.XLOOKUP(Data_Xuất[[#This Row],[Main SKU]],MD_Main_SKU[Main SKU],MD_Main_SKU[SKU name_gom])</f>
        <v>iSS01084</v>
      </c>
    </row>
    <row r="257" spans="1:8" x14ac:dyDescent="0.35">
      <c r="A257">
        <v>2024</v>
      </c>
      <c r="B257">
        <v>7</v>
      </c>
      <c r="C257" t="s">
        <v>14</v>
      </c>
      <c r="D257" t="s">
        <v>15</v>
      </c>
      <c r="E257" t="s">
        <v>87</v>
      </c>
      <c r="F257" t="s">
        <v>88</v>
      </c>
      <c r="G257" s="2">
        <v>1399.9738182056758</v>
      </c>
      <c r="H257" t="str">
        <f>_xlfn.XLOOKUP(Data_Xuất[[#This Row],[Main SKU]],MD_Main_SKU[Main SKU],MD_Main_SKU[SKU name_gom])</f>
        <v>iSS01084</v>
      </c>
    </row>
    <row r="258" spans="1:8" x14ac:dyDescent="0.35">
      <c r="A258">
        <v>2024</v>
      </c>
      <c r="B258">
        <v>7</v>
      </c>
      <c r="C258" t="s">
        <v>14</v>
      </c>
      <c r="D258" t="s">
        <v>15</v>
      </c>
      <c r="E258" t="s">
        <v>89</v>
      </c>
      <c r="F258" t="s">
        <v>90</v>
      </c>
      <c r="G258" s="2">
        <v>499.98627947167603</v>
      </c>
      <c r="H258" t="str">
        <f>_xlfn.XLOOKUP(Data_Xuất[[#This Row],[Main SKU]],MD_Main_SKU[Main SKU],MD_Main_SKU[SKU name_gom])</f>
        <v>iSS01084</v>
      </c>
    </row>
    <row r="259" spans="1:8" x14ac:dyDescent="0.35">
      <c r="A259">
        <v>2024</v>
      </c>
      <c r="B259">
        <v>7</v>
      </c>
      <c r="C259" t="s">
        <v>14</v>
      </c>
      <c r="D259" t="s">
        <v>15</v>
      </c>
      <c r="E259" t="s">
        <v>93</v>
      </c>
      <c r="F259" t="s">
        <v>94</v>
      </c>
      <c r="G259" s="2">
        <v>5.3998518182941009</v>
      </c>
      <c r="H259" t="str">
        <f>_xlfn.XLOOKUP(Data_Xuất[[#This Row],[Main SKU]],MD_Main_SKU[Main SKU],MD_Main_SKU[SKU name_gom])</f>
        <v>iSS01084</v>
      </c>
    </row>
    <row r="260" spans="1:8" x14ac:dyDescent="0.35">
      <c r="A260">
        <v>2024</v>
      </c>
      <c r="B260">
        <v>7</v>
      </c>
      <c r="C260" t="s">
        <v>14</v>
      </c>
      <c r="D260" t="s">
        <v>15</v>
      </c>
      <c r="E260" t="s">
        <v>117</v>
      </c>
      <c r="F260" t="s">
        <v>86</v>
      </c>
      <c r="G260" s="2">
        <v>26570.199754410583</v>
      </c>
      <c r="H260" t="str">
        <f>_xlfn.XLOOKUP(Data_Xuất[[#This Row],[Main SKU]],MD_Main_SKU[Main SKU],MD_Main_SKU[SKU name_gom])</f>
        <v>iSS01084</v>
      </c>
    </row>
    <row r="261" spans="1:8" x14ac:dyDescent="0.35">
      <c r="A261">
        <v>2024</v>
      </c>
      <c r="B261">
        <v>7</v>
      </c>
      <c r="C261" t="s">
        <v>16</v>
      </c>
      <c r="D261" t="s">
        <v>17</v>
      </c>
      <c r="E261" t="s">
        <v>16</v>
      </c>
      <c r="F261" t="s">
        <v>17</v>
      </c>
      <c r="G261" s="2">
        <v>55004.701256517648</v>
      </c>
      <c r="H261" t="str">
        <f>_xlfn.XLOOKUP(Data_Xuất[[#This Row],[Main SKU]],MD_Main_SKU[Main SKU],MD_Main_SKU[SKU name_gom])</f>
        <v>WSS01</v>
      </c>
    </row>
    <row r="262" spans="1:8" x14ac:dyDescent="0.35">
      <c r="A262">
        <v>2024</v>
      </c>
      <c r="B262">
        <v>7</v>
      </c>
      <c r="C262" t="s">
        <v>16</v>
      </c>
      <c r="D262" t="s">
        <v>17</v>
      </c>
      <c r="E262" t="s">
        <v>91</v>
      </c>
      <c r="F262" t="s">
        <v>92</v>
      </c>
      <c r="G262" s="2">
        <v>500.04273869561501</v>
      </c>
      <c r="H262" t="str">
        <f>_xlfn.XLOOKUP(Data_Xuất[[#This Row],[Main SKU]],MD_Main_SKU[Main SKU],MD_Main_SKU[SKU name_gom])</f>
        <v>WSS01</v>
      </c>
    </row>
    <row r="263" spans="1:8" x14ac:dyDescent="0.35">
      <c r="A263">
        <v>2024</v>
      </c>
      <c r="B263">
        <v>7</v>
      </c>
      <c r="C263" t="s">
        <v>16</v>
      </c>
      <c r="D263" t="s">
        <v>17</v>
      </c>
      <c r="E263" t="s">
        <v>117</v>
      </c>
      <c r="F263" t="s">
        <v>86</v>
      </c>
      <c r="G263" s="2">
        <v>2995.2560047867337</v>
      </c>
      <c r="H263" t="str">
        <f>_xlfn.XLOOKUP(Data_Xuất[[#This Row],[Main SKU]],MD_Main_SKU[Main SKU],MD_Main_SKU[SKU name_gom])</f>
        <v>WSS01</v>
      </c>
    </row>
    <row r="264" spans="1:8" x14ac:dyDescent="0.35">
      <c r="A264">
        <v>2024</v>
      </c>
      <c r="B264">
        <v>7</v>
      </c>
      <c r="C264" t="s">
        <v>18</v>
      </c>
      <c r="D264" t="s">
        <v>19</v>
      </c>
      <c r="E264" t="s">
        <v>14</v>
      </c>
      <c r="F264" t="s">
        <v>15</v>
      </c>
      <c r="G264" s="2">
        <v>112219.17244355529</v>
      </c>
      <c r="H264" t="str">
        <f>_xlfn.XLOOKUP(Data_Xuất[[#This Row],[Main SKU]],MD_Main_SKU[Main SKU],MD_Main_SKU[SKU name_gom])</f>
        <v>iSS01</v>
      </c>
    </row>
    <row r="265" spans="1:8" x14ac:dyDescent="0.35">
      <c r="A265">
        <v>2024</v>
      </c>
      <c r="B265">
        <v>7</v>
      </c>
      <c r="C265" t="s">
        <v>18</v>
      </c>
      <c r="D265" t="s">
        <v>19</v>
      </c>
      <c r="E265" t="s">
        <v>18</v>
      </c>
      <c r="F265" t="s">
        <v>19</v>
      </c>
      <c r="G265" s="2">
        <v>214536.65320091456</v>
      </c>
      <c r="H265" t="str">
        <f>_xlfn.XLOOKUP(Data_Xuất[[#This Row],[Main SKU]],MD_Main_SKU[Main SKU],MD_Main_SKU[SKU name_gom])</f>
        <v>iSS01</v>
      </c>
    </row>
    <row r="266" spans="1:8" x14ac:dyDescent="0.35">
      <c r="A266">
        <v>2024</v>
      </c>
      <c r="B266">
        <v>7</v>
      </c>
      <c r="C266" t="s">
        <v>18</v>
      </c>
      <c r="D266" t="s">
        <v>19</v>
      </c>
      <c r="E266" t="s">
        <v>22</v>
      </c>
      <c r="F266" t="s">
        <v>23</v>
      </c>
      <c r="G266" s="2">
        <v>2200.3759302657904</v>
      </c>
      <c r="H266" t="str">
        <f>_xlfn.XLOOKUP(Data_Xuất[[#This Row],[Main SKU]],MD_Main_SKU[Main SKU],MD_Main_SKU[SKU name_gom])</f>
        <v>iSS01</v>
      </c>
    </row>
    <row r="267" spans="1:8" x14ac:dyDescent="0.35">
      <c r="A267">
        <v>2024</v>
      </c>
      <c r="B267">
        <v>7</v>
      </c>
      <c r="C267" t="s">
        <v>18</v>
      </c>
      <c r="D267" t="s">
        <v>19</v>
      </c>
      <c r="E267" t="s">
        <v>85</v>
      </c>
      <c r="F267" t="s">
        <v>86</v>
      </c>
      <c r="G267" s="2">
        <v>1000.1708773935411</v>
      </c>
      <c r="H267" t="str">
        <f>_xlfn.XLOOKUP(Data_Xuất[[#This Row],[Main SKU]],MD_Main_SKU[Main SKU],MD_Main_SKU[SKU name_gom])</f>
        <v>iSS01</v>
      </c>
    </row>
    <row r="268" spans="1:8" x14ac:dyDescent="0.35">
      <c r="A268">
        <v>2024</v>
      </c>
      <c r="B268">
        <v>7</v>
      </c>
      <c r="C268" t="s">
        <v>18</v>
      </c>
      <c r="D268" t="s">
        <v>19</v>
      </c>
      <c r="E268" t="s">
        <v>117</v>
      </c>
      <c r="F268" t="s">
        <v>86</v>
      </c>
      <c r="G268" s="2">
        <v>20003.41754787082</v>
      </c>
      <c r="H268" t="str">
        <f>_xlfn.XLOOKUP(Data_Xuất[[#This Row],[Main SKU]],MD_Main_SKU[Main SKU],MD_Main_SKU[SKU name_gom])</f>
        <v>iSS01</v>
      </c>
    </row>
    <row r="269" spans="1:8" x14ac:dyDescent="0.35">
      <c r="A269">
        <v>2024</v>
      </c>
      <c r="B269">
        <v>7</v>
      </c>
      <c r="C269" t="s">
        <v>24</v>
      </c>
      <c r="D269" t="s">
        <v>25</v>
      </c>
      <c r="E269" t="s">
        <v>22</v>
      </c>
      <c r="F269" t="s">
        <v>23</v>
      </c>
      <c r="G269" s="2">
        <v>42604.071326424324</v>
      </c>
      <c r="H269" t="str">
        <f>_xlfn.XLOOKUP(Data_Xuất[[#This Row],[Main SKU]],MD_Main_SKU[Main SKU],MD_Main_SKU[SKU name_gom])</f>
        <v>WSS01</v>
      </c>
    </row>
    <row r="270" spans="1:8" x14ac:dyDescent="0.35">
      <c r="A270">
        <v>2024</v>
      </c>
      <c r="B270">
        <v>7</v>
      </c>
      <c r="C270" t="s">
        <v>24</v>
      </c>
      <c r="D270" t="s">
        <v>25</v>
      </c>
      <c r="E270" t="s">
        <v>24</v>
      </c>
      <c r="F270" t="s">
        <v>25</v>
      </c>
      <c r="G270" s="2">
        <v>51747.83808548579</v>
      </c>
      <c r="H270" t="str">
        <f>_xlfn.XLOOKUP(Data_Xuất[[#This Row],[Main SKU]],MD_Main_SKU[Main SKU],MD_Main_SKU[SKU name_gom])</f>
        <v>WSS01</v>
      </c>
    </row>
    <row r="271" spans="1:8" x14ac:dyDescent="0.35">
      <c r="A271">
        <v>2024</v>
      </c>
      <c r="B271">
        <v>7</v>
      </c>
      <c r="C271" t="s">
        <v>24</v>
      </c>
      <c r="D271" t="s">
        <v>25</v>
      </c>
      <c r="E271" t="s">
        <v>87</v>
      </c>
      <c r="F271" t="s">
        <v>88</v>
      </c>
      <c r="G271" s="2">
        <v>100</v>
      </c>
      <c r="H271" t="str">
        <f>_xlfn.XLOOKUP(Data_Xuất[[#This Row],[Main SKU]],MD_Main_SKU[Main SKU],MD_Main_SKU[SKU name_gom])</f>
        <v>WSS01</v>
      </c>
    </row>
    <row r="272" spans="1:8" x14ac:dyDescent="0.35">
      <c r="A272">
        <v>2024</v>
      </c>
      <c r="B272">
        <v>7</v>
      </c>
      <c r="C272" t="s">
        <v>24</v>
      </c>
      <c r="D272" t="s">
        <v>25</v>
      </c>
      <c r="E272" t="s">
        <v>89</v>
      </c>
      <c r="F272" t="s">
        <v>90</v>
      </c>
      <c r="G272" s="2">
        <v>41.037937359863008</v>
      </c>
      <c r="H272" t="str">
        <f>_xlfn.XLOOKUP(Data_Xuất[[#This Row],[Main SKU]],MD_Main_SKU[Main SKU],MD_Main_SKU[SKU name_gom])</f>
        <v>WSS01</v>
      </c>
    </row>
    <row r="273" spans="1:8" x14ac:dyDescent="0.35">
      <c r="A273">
        <v>2024</v>
      </c>
      <c r="B273">
        <v>7</v>
      </c>
      <c r="C273" t="s">
        <v>24</v>
      </c>
      <c r="D273" t="s">
        <v>25</v>
      </c>
      <c r="E273" t="s">
        <v>117</v>
      </c>
      <c r="F273" t="s">
        <v>86</v>
      </c>
      <c r="G273" s="2">
        <v>600.46265073003656</v>
      </c>
      <c r="H273" t="str">
        <f>_xlfn.XLOOKUP(Data_Xuất[[#This Row],[Main SKU]],MD_Main_SKU[Main SKU],MD_Main_SKU[SKU name_gom])</f>
        <v>WSS01</v>
      </c>
    </row>
    <row r="274" spans="1:8" x14ac:dyDescent="0.35">
      <c r="A274">
        <v>2024</v>
      </c>
      <c r="B274">
        <v>7</v>
      </c>
      <c r="C274" t="s">
        <v>28</v>
      </c>
      <c r="D274" t="s">
        <v>29</v>
      </c>
      <c r="E274" t="s">
        <v>28</v>
      </c>
      <c r="F274" t="s">
        <v>29</v>
      </c>
      <c r="G274" s="2">
        <v>5502.3649999999998</v>
      </c>
      <c r="H274" t="str">
        <f>_xlfn.XLOOKUP(Data_Xuất[[#This Row],[Main SKU]],MD_Main_SKU[Main SKU],MD_Main_SKU[SKU name_gom])</f>
        <v>iSS01084</v>
      </c>
    </row>
    <row r="275" spans="1:8" x14ac:dyDescent="0.35">
      <c r="A275">
        <v>2024</v>
      </c>
      <c r="B275">
        <v>7</v>
      </c>
      <c r="C275" t="s">
        <v>28</v>
      </c>
      <c r="D275" t="s">
        <v>29</v>
      </c>
      <c r="E275" t="s">
        <v>30</v>
      </c>
      <c r="F275" t="s">
        <v>31</v>
      </c>
      <c r="G275" s="2">
        <v>3301.4189999999999</v>
      </c>
      <c r="H275" t="str">
        <f>_xlfn.XLOOKUP(Data_Xuất[[#This Row],[Main SKU]],MD_Main_SKU[Main SKU],MD_Main_SKU[SKU name_gom])</f>
        <v>iSS01084</v>
      </c>
    </row>
    <row r="276" spans="1:8" x14ac:dyDescent="0.35">
      <c r="A276">
        <v>2024</v>
      </c>
      <c r="B276">
        <v>7</v>
      </c>
      <c r="C276" t="s">
        <v>28</v>
      </c>
      <c r="D276" t="s">
        <v>29</v>
      </c>
      <c r="E276" t="s">
        <v>87</v>
      </c>
      <c r="F276" t="s">
        <v>88</v>
      </c>
      <c r="G276" s="2">
        <v>1100.473</v>
      </c>
      <c r="H276" t="str">
        <f>_xlfn.XLOOKUP(Data_Xuất[[#This Row],[Main SKU]],MD_Main_SKU[Main SKU],MD_Main_SKU[SKU name_gom])</f>
        <v>iSS01084</v>
      </c>
    </row>
    <row r="277" spans="1:8" x14ac:dyDescent="0.35">
      <c r="A277">
        <v>2024</v>
      </c>
      <c r="B277">
        <v>7</v>
      </c>
      <c r="C277" t="s">
        <v>28</v>
      </c>
      <c r="D277" t="s">
        <v>29</v>
      </c>
      <c r="E277" t="s">
        <v>89</v>
      </c>
      <c r="F277" t="s">
        <v>90</v>
      </c>
      <c r="G277" s="2">
        <v>100.04300000000001</v>
      </c>
      <c r="H277" t="str">
        <f>_xlfn.XLOOKUP(Data_Xuất[[#This Row],[Main SKU]],MD_Main_SKU[Main SKU],MD_Main_SKU[SKU name_gom])</f>
        <v>iSS01084</v>
      </c>
    </row>
    <row r="278" spans="1:8" x14ac:dyDescent="0.35">
      <c r="A278">
        <v>2024</v>
      </c>
      <c r="B278">
        <v>7</v>
      </c>
      <c r="C278" t="s">
        <v>115</v>
      </c>
      <c r="D278" t="s">
        <v>116</v>
      </c>
      <c r="E278" t="s">
        <v>97</v>
      </c>
      <c r="F278" t="s">
        <v>98</v>
      </c>
      <c r="G278" s="2">
        <v>12100</v>
      </c>
      <c r="H278" t="str">
        <f>_xlfn.XLOOKUP(Data_Xuất[[#This Row],[Main SKU]],MD_Main_SKU[Main SKU],MD_Main_SKU[SKU name_gom])</f>
        <v>WSS05</v>
      </c>
    </row>
    <row r="279" spans="1:8" x14ac:dyDescent="0.35">
      <c r="A279">
        <v>2024</v>
      </c>
      <c r="B279">
        <v>7</v>
      </c>
      <c r="C279" t="s">
        <v>115</v>
      </c>
      <c r="D279" t="s">
        <v>116</v>
      </c>
      <c r="E279" t="s">
        <v>115</v>
      </c>
      <c r="F279" t="s">
        <v>116</v>
      </c>
      <c r="G279" s="2">
        <v>308089</v>
      </c>
      <c r="H279" t="str">
        <f>_xlfn.XLOOKUP(Data_Xuất[[#This Row],[Main SKU]],MD_Main_SKU[Main SKU],MD_Main_SKU[SKU name_gom])</f>
        <v>WSS05</v>
      </c>
    </row>
    <row r="280" spans="1:8" x14ac:dyDescent="0.35">
      <c r="A280">
        <v>2024</v>
      </c>
      <c r="B280">
        <v>7</v>
      </c>
      <c r="C280" t="s">
        <v>115</v>
      </c>
      <c r="D280" t="s">
        <v>116</v>
      </c>
      <c r="E280" t="s">
        <v>85</v>
      </c>
      <c r="F280" t="s">
        <v>86</v>
      </c>
      <c r="G280" s="2">
        <v>5860</v>
      </c>
      <c r="H280" t="str">
        <f>_xlfn.XLOOKUP(Data_Xuất[[#This Row],[Main SKU]],MD_Main_SKU[Main SKU],MD_Main_SKU[SKU name_gom])</f>
        <v>WSS05</v>
      </c>
    </row>
    <row r="281" spans="1:8" x14ac:dyDescent="0.35">
      <c r="A281">
        <v>2024</v>
      </c>
      <c r="B281">
        <v>7</v>
      </c>
      <c r="C281" t="s">
        <v>115</v>
      </c>
      <c r="D281" t="s">
        <v>116</v>
      </c>
      <c r="E281" t="s">
        <v>87</v>
      </c>
      <c r="F281" t="s">
        <v>88</v>
      </c>
      <c r="G281" s="2">
        <v>9250</v>
      </c>
      <c r="H281" t="str">
        <f>_xlfn.XLOOKUP(Data_Xuất[[#This Row],[Main SKU]],MD_Main_SKU[Main SKU],MD_Main_SKU[SKU name_gom])</f>
        <v>WSS05</v>
      </c>
    </row>
    <row r="282" spans="1:8" x14ac:dyDescent="0.35">
      <c r="A282">
        <v>2024</v>
      </c>
      <c r="B282">
        <v>7</v>
      </c>
      <c r="C282" t="s">
        <v>115</v>
      </c>
      <c r="D282" t="s">
        <v>116</v>
      </c>
      <c r="E282" t="s">
        <v>117</v>
      </c>
      <c r="F282" t="s">
        <v>86</v>
      </c>
      <c r="G282" s="2">
        <v>4704</v>
      </c>
      <c r="H282" t="str">
        <f>_xlfn.XLOOKUP(Data_Xuất[[#This Row],[Main SKU]],MD_Main_SKU[Main SKU],MD_Main_SKU[SKU name_gom])</f>
        <v>WSS05</v>
      </c>
    </row>
    <row r="283" spans="1:8" x14ac:dyDescent="0.35">
      <c r="A283">
        <v>2024</v>
      </c>
      <c r="B283">
        <v>8</v>
      </c>
      <c r="C283" t="s">
        <v>8</v>
      </c>
      <c r="D283" t="s">
        <v>9</v>
      </c>
      <c r="E283" t="s">
        <v>8</v>
      </c>
      <c r="F283" t="s">
        <v>9</v>
      </c>
      <c r="G283" s="2">
        <v>404583.44450172351</v>
      </c>
      <c r="H283" t="str">
        <f>_xlfn.XLOOKUP(Data_Xuất[[#This Row],[Main SKU]],MD_Main_SKU[Main SKU],MD_Main_SKU[SKU name_gom])</f>
        <v>WSS01</v>
      </c>
    </row>
    <row r="284" spans="1:8" x14ac:dyDescent="0.35">
      <c r="A284">
        <v>2024</v>
      </c>
      <c r="B284">
        <v>8</v>
      </c>
      <c r="C284" t="s">
        <v>8</v>
      </c>
      <c r="D284" t="s">
        <v>9</v>
      </c>
      <c r="E284" t="s">
        <v>20</v>
      </c>
      <c r="F284" t="s">
        <v>21</v>
      </c>
      <c r="G284" s="2">
        <v>1100.4180334426753</v>
      </c>
      <c r="H284" t="str">
        <f>_xlfn.XLOOKUP(Data_Xuất[[#This Row],[Main SKU]],MD_Main_SKU[Main SKU],MD_Main_SKU[SKU name_gom])</f>
        <v>WSS01</v>
      </c>
    </row>
    <row r="285" spans="1:8" x14ac:dyDescent="0.35">
      <c r="A285">
        <v>2024</v>
      </c>
      <c r="B285">
        <v>8</v>
      </c>
      <c r="C285" t="s">
        <v>8</v>
      </c>
      <c r="D285" t="s">
        <v>9</v>
      </c>
      <c r="E285" t="s">
        <v>22</v>
      </c>
      <c r="F285" t="s">
        <v>23</v>
      </c>
      <c r="G285" s="2">
        <v>16600.493638496453</v>
      </c>
      <c r="H285" t="str">
        <f>_xlfn.XLOOKUP(Data_Xuất[[#This Row],[Main SKU]],MD_Main_SKU[Main SKU],MD_Main_SKU[SKU name_gom])</f>
        <v>WSS01</v>
      </c>
    </row>
    <row r="286" spans="1:8" x14ac:dyDescent="0.35">
      <c r="A286">
        <v>2024</v>
      </c>
      <c r="B286">
        <v>8</v>
      </c>
      <c r="C286" t="s">
        <v>8</v>
      </c>
      <c r="D286" t="s">
        <v>9</v>
      </c>
      <c r="E286" t="s">
        <v>87</v>
      </c>
      <c r="F286" t="s">
        <v>88</v>
      </c>
      <c r="G286" s="2">
        <v>5676.251132887548</v>
      </c>
      <c r="H286" t="str">
        <f>_xlfn.XLOOKUP(Data_Xuất[[#This Row],[Main SKU]],MD_Main_SKU[Main SKU],MD_Main_SKU[SKU name_gom])</f>
        <v>WSS01</v>
      </c>
    </row>
    <row r="287" spans="1:8" x14ac:dyDescent="0.35">
      <c r="A287">
        <v>2024</v>
      </c>
      <c r="B287">
        <v>8</v>
      </c>
      <c r="C287" t="s">
        <v>8</v>
      </c>
      <c r="D287" t="s">
        <v>9</v>
      </c>
      <c r="E287" t="s">
        <v>91</v>
      </c>
      <c r="F287" t="s">
        <v>92</v>
      </c>
      <c r="G287" s="2">
        <v>30.011400912072965</v>
      </c>
      <c r="H287" t="str">
        <f>_xlfn.XLOOKUP(Data_Xuất[[#This Row],[Main SKU]],MD_Main_SKU[Main SKU],MD_Main_SKU[SKU name_gom])</f>
        <v>WSS01</v>
      </c>
    </row>
    <row r="288" spans="1:8" x14ac:dyDescent="0.35">
      <c r="A288">
        <v>2024</v>
      </c>
      <c r="B288">
        <v>8</v>
      </c>
      <c r="C288" t="s">
        <v>8</v>
      </c>
      <c r="D288" t="s">
        <v>9</v>
      </c>
      <c r="E288" t="s">
        <v>117</v>
      </c>
      <c r="F288" t="s">
        <v>86</v>
      </c>
      <c r="G288" s="2">
        <v>12464.971292537823</v>
      </c>
      <c r="H288" t="str">
        <f>_xlfn.XLOOKUP(Data_Xuất[[#This Row],[Main SKU]],MD_Main_SKU[Main SKU],MD_Main_SKU[SKU name_gom])</f>
        <v>WSS01</v>
      </c>
    </row>
    <row r="289" spans="1:8" x14ac:dyDescent="0.35">
      <c r="A289">
        <v>2024</v>
      </c>
      <c r="B289">
        <v>8</v>
      </c>
      <c r="C289" t="s">
        <v>14</v>
      </c>
      <c r="D289" t="s">
        <v>15</v>
      </c>
      <c r="E289" t="s">
        <v>14</v>
      </c>
      <c r="F289" t="s">
        <v>15</v>
      </c>
      <c r="G289" s="2">
        <v>476473.21027102991</v>
      </c>
      <c r="H289" t="str">
        <f>_xlfn.XLOOKUP(Data_Xuất[[#This Row],[Main SKU]],MD_Main_SKU[Main SKU],MD_Main_SKU[SKU name_gom])</f>
        <v>iSS01084</v>
      </c>
    </row>
    <row r="290" spans="1:8" x14ac:dyDescent="0.35">
      <c r="A290">
        <v>2024</v>
      </c>
      <c r="B290">
        <v>8</v>
      </c>
      <c r="C290" t="s">
        <v>14</v>
      </c>
      <c r="D290" t="s">
        <v>15</v>
      </c>
      <c r="E290" t="s">
        <v>18</v>
      </c>
      <c r="F290" t="s">
        <v>19</v>
      </c>
      <c r="G290" s="2">
        <v>9901.0254194506051</v>
      </c>
      <c r="H290" t="str">
        <f>_xlfn.XLOOKUP(Data_Xuất[[#This Row],[Main SKU]],MD_Main_SKU[Main SKU],MD_Main_SKU[SKU name_gom])</f>
        <v>iSS01084</v>
      </c>
    </row>
    <row r="291" spans="1:8" x14ac:dyDescent="0.35">
      <c r="A291">
        <v>2024</v>
      </c>
      <c r="B291">
        <v>8</v>
      </c>
      <c r="C291" t="s">
        <v>14</v>
      </c>
      <c r="D291" t="s">
        <v>15</v>
      </c>
      <c r="E291" t="s">
        <v>22</v>
      </c>
      <c r="F291" t="s">
        <v>23</v>
      </c>
      <c r="G291" s="2">
        <v>16510.217174877103</v>
      </c>
      <c r="H291" t="str">
        <f>_xlfn.XLOOKUP(Data_Xuất[[#This Row],[Main SKU]],MD_Main_SKU[Main SKU],MD_Main_SKU[SKU name_gom])</f>
        <v>iSS01084</v>
      </c>
    </row>
    <row r="292" spans="1:8" x14ac:dyDescent="0.35">
      <c r="A292">
        <v>2024</v>
      </c>
      <c r="B292">
        <v>8</v>
      </c>
      <c r="C292" t="s">
        <v>14</v>
      </c>
      <c r="D292" t="s">
        <v>15</v>
      </c>
      <c r="E292" t="s">
        <v>87</v>
      </c>
      <c r="F292" t="s">
        <v>88</v>
      </c>
      <c r="G292" s="2">
        <v>6404.0228893307858</v>
      </c>
      <c r="H292" t="str">
        <f>_xlfn.XLOOKUP(Data_Xuất[[#This Row],[Main SKU]],MD_Main_SKU[Main SKU],MD_Main_SKU[SKU name_gom])</f>
        <v>iSS01084</v>
      </c>
    </row>
    <row r="293" spans="1:8" x14ac:dyDescent="0.35">
      <c r="A293">
        <v>2024</v>
      </c>
      <c r="B293">
        <v>8</v>
      </c>
      <c r="C293" t="s">
        <v>14</v>
      </c>
      <c r="D293" t="s">
        <v>15</v>
      </c>
      <c r="E293" t="s">
        <v>89</v>
      </c>
      <c r="F293" t="s">
        <v>90</v>
      </c>
      <c r="G293" s="2">
        <v>2025.3147431918144</v>
      </c>
      <c r="H293" t="str">
        <f>_xlfn.XLOOKUP(Data_Xuất[[#This Row],[Main SKU]],MD_Main_SKU[Main SKU],MD_Main_SKU[SKU name_gom])</f>
        <v>iSS01084</v>
      </c>
    </row>
    <row r="294" spans="1:8" x14ac:dyDescent="0.35">
      <c r="A294">
        <v>2024</v>
      </c>
      <c r="B294">
        <v>8</v>
      </c>
      <c r="C294" t="s">
        <v>14</v>
      </c>
      <c r="D294" t="s">
        <v>15</v>
      </c>
      <c r="E294" t="s">
        <v>91</v>
      </c>
      <c r="F294" t="s">
        <v>92</v>
      </c>
      <c r="G294" s="2">
        <v>1048.67201119949</v>
      </c>
      <c r="H294" t="str">
        <f>_xlfn.XLOOKUP(Data_Xuất[[#This Row],[Main SKU]],MD_Main_SKU[Main SKU],MD_Main_SKU[SKU name_gom])</f>
        <v>iSS01084</v>
      </c>
    </row>
    <row r="295" spans="1:8" x14ac:dyDescent="0.35">
      <c r="A295">
        <v>2024</v>
      </c>
      <c r="B295">
        <v>8</v>
      </c>
      <c r="C295" t="s">
        <v>14</v>
      </c>
      <c r="D295" t="s">
        <v>15</v>
      </c>
      <c r="E295" t="s">
        <v>117</v>
      </c>
      <c r="F295" t="s">
        <v>86</v>
      </c>
      <c r="G295" s="2">
        <v>10077.958490920275</v>
      </c>
      <c r="H295" t="str">
        <f>_xlfn.XLOOKUP(Data_Xuất[[#This Row],[Main SKU]],MD_Main_SKU[Main SKU],MD_Main_SKU[SKU name_gom])</f>
        <v>iSS01084</v>
      </c>
    </row>
    <row r="296" spans="1:8" x14ac:dyDescent="0.35">
      <c r="A296">
        <v>2024</v>
      </c>
      <c r="B296">
        <v>8</v>
      </c>
      <c r="C296" t="s">
        <v>16</v>
      </c>
      <c r="D296" t="s">
        <v>17</v>
      </c>
      <c r="E296" t="s">
        <v>16</v>
      </c>
      <c r="F296" t="s">
        <v>17</v>
      </c>
      <c r="G296" s="2">
        <v>629249.01952706941</v>
      </c>
      <c r="H296" t="str">
        <f>_xlfn.XLOOKUP(Data_Xuất[[#This Row],[Main SKU]],MD_Main_SKU[Main SKU],MD_Main_SKU[SKU name_gom])</f>
        <v>WSS01</v>
      </c>
    </row>
    <row r="297" spans="1:8" x14ac:dyDescent="0.35">
      <c r="A297">
        <v>2024</v>
      </c>
      <c r="B297">
        <v>8</v>
      </c>
      <c r="C297" t="s">
        <v>16</v>
      </c>
      <c r="D297" t="s">
        <v>17</v>
      </c>
      <c r="E297" t="s">
        <v>18</v>
      </c>
      <c r="F297" t="s">
        <v>19</v>
      </c>
      <c r="G297" s="2">
        <v>22220.843469553412</v>
      </c>
      <c r="H297" t="str">
        <f>_xlfn.XLOOKUP(Data_Xuất[[#This Row],[Main SKU]],MD_Main_SKU[Main SKU],MD_Main_SKU[SKU name_gom])</f>
        <v>WSS01</v>
      </c>
    </row>
    <row r="298" spans="1:8" x14ac:dyDescent="0.35">
      <c r="A298">
        <v>2024</v>
      </c>
      <c r="B298">
        <v>8</v>
      </c>
      <c r="C298" t="s">
        <v>16</v>
      </c>
      <c r="D298" t="s">
        <v>17</v>
      </c>
      <c r="E298" t="s">
        <v>20</v>
      </c>
      <c r="F298" t="s">
        <v>21</v>
      </c>
      <c r="G298" s="2">
        <v>1100.0110001100011</v>
      </c>
      <c r="H298" t="str">
        <f>_xlfn.XLOOKUP(Data_Xuất[[#This Row],[Main SKU]],MD_Main_SKU[Main SKU],MD_Main_SKU[SKU name_gom])</f>
        <v>WSS01</v>
      </c>
    </row>
    <row r="299" spans="1:8" x14ac:dyDescent="0.35">
      <c r="A299">
        <v>2024</v>
      </c>
      <c r="B299">
        <v>8</v>
      </c>
      <c r="C299" t="s">
        <v>16</v>
      </c>
      <c r="D299" t="s">
        <v>17</v>
      </c>
      <c r="E299" t="s">
        <v>22</v>
      </c>
      <c r="F299" t="s">
        <v>23</v>
      </c>
      <c r="G299" s="2">
        <v>50760.089594915655</v>
      </c>
      <c r="H299" t="str">
        <f>_xlfn.XLOOKUP(Data_Xuất[[#This Row],[Main SKU]],MD_Main_SKU[Main SKU],MD_Main_SKU[SKU name_gom])</f>
        <v>WSS01</v>
      </c>
    </row>
    <row r="300" spans="1:8" x14ac:dyDescent="0.35">
      <c r="A300">
        <v>2024</v>
      </c>
      <c r="B300">
        <v>8</v>
      </c>
      <c r="C300" t="s">
        <v>16</v>
      </c>
      <c r="D300" t="s">
        <v>17</v>
      </c>
      <c r="E300" t="s">
        <v>111</v>
      </c>
      <c r="F300" t="s">
        <v>152</v>
      </c>
      <c r="G300" s="2">
        <v>1270.0169335591142</v>
      </c>
      <c r="H300" t="str">
        <f>_xlfn.XLOOKUP(Data_Xuất[[#This Row],[Main SKU]],MD_Main_SKU[Main SKU],MD_Main_SKU[SKU name_gom])</f>
        <v>WSS01</v>
      </c>
    </row>
    <row r="301" spans="1:8" x14ac:dyDescent="0.35">
      <c r="A301">
        <v>2024</v>
      </c>
      <c r="B301">
        <v>8</v>
      </c>
      <c r="C301" t="s">
        <v>16</v>
      </c>
      <c r="D301" t="s">
        <v>17</v>
      </c>
      <c r="E301" t="s">
        <v>87</v>
      </c>
      <c r="F301" t="s">
        <v>88</v>
      </c>
      <c r="G301" s="2">
        <v>9805.7433824609689</v>
      </c>
      <c r="H301" t="str">
        <f>_xlfn.XLOOKUP(Data_Xuất[[#This Row],[Main SKU]],MD_Main_SKU[Main SKU],MD_Main_SKU[SKU name_gom])</f>
        <v>WSS01</v>
      </c>
    </row>
    <row r="302" spans="1:8" x14ac:dyDescent="0.35">
      <c r="A302">
        <v>2024</v>
      </c>
      <c r="B302">
        <v>8</v>
      </c>
      <c r="C302" t="s">
        <v>16</v>
      </c>
      <c r="D302" t="s">
        <v>17</v>
      </c>
      <c r="E302" t="s">
        <v>89</v>
      </c>
      <c r="F302" t="s">
        <v>90</v>
      </c>
      <c r="G302" s="2">
        <v>8678.7742653955847</v>
      </c>
      <c r="H302" t="str">
        <f>_xlfn.XLOOKUP(Data_Xuất[[#This Row],[Main SKU]],MD_Main_SKU[Main SKU],MD_Main_SKU[SKU name_gom])</f>
        <v>WSS01</v>
      </c>
    </row>
    <row r="303" spans="1:8" x14ac:dyDescent="0.35">
      <c r="A303">
        <v>2024</v>
      </c>
      <c r="B303">
        <v>8</v>
      </c>
      <c r="C303" t="s">
        <v>16</v>
      </c>
      <c r="D303" t="s">
        <v>17</v>
      </c>
      <c r="E303" t="s">
        <v>91</v>
      </c>
      <c r="F303" t="s">
        <v>92</v>
      </c>
      <c r="G303" s="2">
        <v>4915.8452444003196</v>
      </c>
      <c r="H303" t="str">
        <f>_xlfn.XLOOKUP(Data_Xuất[[#This Row],[Main SKU]],MD_Main_SKU[Main SKU],MD_Main_SKU[SKU name_gom])</f>
        <v>WSS01</v>
      </c>
    </row>
    <row r="304" spans="1:8" x14ac:dyDescent="0.35">
      <c r="A304">
        <v>2024</v>
      </c>
      <c r="B304">
        <v>8</v>
      </c>
      <c r="C304" t="s">
        <v>16</v>
      </c>
      <c r="D304" t="s">
        <v>17</v>
      </c>
      <c r="E304" t="s">
        <v>93</v>
      </c>
      <c r="F304" t="s">
        <v>94</v>
      </c>
      <c r="G304" s="2">
        <v>8.1000810008100093</v>
      </c>
      <c r="H304" t="str">
        <f>_xlfn.XLOOKUP(Data_Xuất[[#This Row],[Main SKU]],MD_Main_SKU[Main SKU],MD_Main_SKU[SKU name_gom])</f>
        <v>WSS01</v>
      </c>
    </row>
    <row r="305" spans="1:8" x14ac:dyDescent="0.35">
      <c r="A305">
        <v>2024</v>
      </c>
      <c r="B305">
        <v>8</v>
      </c>
      <c r="C305" t="s">
        <v>16</v>
      </c>
      <c r="D305" t="s">
        <v>17</v>
      </c>
      <c r="E305" t="s">
        <v>117</v>
      </c>
      <c r="F305" t="s">
        <v>86</v>
      </c>
      <c r="G305" s="2">
        <v>20689.069501534592</v>
      </c>
      <c r="H305" t="str">
        <f>_xlfn.XLOOKUP(Data_Xuất[[#This Row],[Main SKU]],MD_Main_SKU[Main SKU],MD_Main_SKU[SKU name_gom])</f>
        <v>WSS01</v>
      </c>
    </row>
    <row r="306" spans="1:8" x14ac:dyDescent="0.35">
      <c r="A306">
        <v>2024</v>
      </c>
      <c r="B306">
        <v>8</v>
      </c>
      <c r="C306" t="s">
        <v>18</v>
      </c>
      <c r="D306" t="s">
        <v>19</v>
      </c>
      <c r="E306" t="s">
        <v>14</v>
      </c>
      <c r="F306" t="s">
        <v>15</v>
      </c>
      <c r="G306" s="2">
        <v>91300.251612858992</v>
      </c>
      <c r="H306" t="str">
        <f>_xlfn.XLOOKUP(Data_Xuất[[#This Row],[Main SKU]],MD_Main_SKU[Main SKU],MD_Main_SKU[SKU name_gom])</f>
        <v>iSS01</v>
      </c>
    </row>
    <row r="307" spans="1:8" x14ac:dyDescent="0.35">
      <c r="A307">
        <v>2024</v>
      </c>
      <c r="B307">
        <v>8</v>
      </c>
      <c r="C307" t="s">
        <v>18</v>
      </c>
      <c r="D307" t="s">
        <v>19</v>
      </c>
      <c r="E307" t="s">
        <v>18</v>
      </c>
      <c r="F307" t="s">
        <v>19</v>
      </c>
      <c r="G307" s="2">
        <v>92400.254644339206</v>
      </c>
      <c r="H307" t="str">
        <f>_xlfn.XLOOKUP(Data_Xuất[[#This Row],[Main SKU]],MD_Main_SKU[Main SKU],MD_Main_SKU[SKU name_gom])</f>
        <v>iSS01</v>
      </c>
    </row>
    <row r="308" spans="1:8" x14ac:dyDescent="0.35">
      <c r="A308">
        <v>2024</v>
      </c>
      <c r="B308">
        <v>8</v>
      </c>
      <c r="C308" t="s">
        <v>18</v>
      </c>
      <c r="D308" t="s">
        <v>19</v>
      </c>
      <c r="E308" t="s">
        <v>22</v>
      </c>
      <c r="F308" t="s">
        <v>23</v>
      </c>
      <c r="G308" s="2">
        <v>6600.0181888813713</v>
      </c>
      <c r="H308" t="str">
        <f>_xlfn.XLOOKUP(Data_Xuất[[#This Row],[Main SKU]],MD_Main_SKU[Main SKU],MD_Main_SKU[SKU name_gom])</f>
        <v>iSS01</v>
      </c>
    </row>
    <row r="309" spans="1:8" x14ac:dyDescent="0.35">
      <c r="A309">
        <v>2024</v>
      </c>
      <c r="B309">
        <v>8</v>
      </c>
      <c r="C309" t="s">
        <v>18</v>
      </c>
      <c r="D309" t="s">
        <v>19</v>
      </c>
      <c r="E309" t="s">
        <v>85</v>
      </c>
      <c r="F309" t="s">
        <v>86</v>
      </c>
      <c r="G309" s="2">
        <v>2000.0055117822342</v>
      </c>
      <c r="H309" t="str">
        <f>_xlfn.XLOOKUP(Data_Xuất[[#This Row],[Main SKU]],MD_Main_SKU[Main SKU],MD_Main_SKU[SKU name_gom])</f>
        <v>iSS01</v>
      </c>
    </row>
    <row r="310" spans="1:8" x14ac:dyDescent="0.35">
      <c r="A310">
        <v>2024</v>
      </c>
      <c r="B310">
        <v>8</v>
      </c>
      <c r="C310" t="s">
        <v>18</v>
      </c>
      <c r="D310" t="s">
        <v>19</v>
      </c>
      <c r="E310" t="s">
        <v>89</v>
      </c>
      <c r="F310" t="s">
        <v>90</v>
      </c>
      <c r="G310" s="2">
        <v>8800.0242518418308</v>
      </c>
      <c r="H310" t="str">
        <f>_xlfn.XLOOKUP(Data_Xuất[[#This Row],[Main SKU]],MD_Main_SKU[Main SKU],MD_Main_SKU[SKU name_gom])</f>
        <v>iSS01</v>
      </c>
    </row>
    <row r="311" spans="1:8" x14ac:dyDescent="0.35">
      <c r="A311">
        <v>2024</v>
      </c>
      <c r="B311">
        <v>8</v>
      </c>
      <c r="C311" t="s">
        <v>18</v>
      </c>
      <c r="D311" t="s">
        <v>19</v>
      </c>
      <c r="E311" t="s">
        <v>91</v>
      </c>
      <c r="F311" t="s">
        <v>92</v>
      </c>
      <c r="G311" s="2">
        <v>3300.0090944406861</v>
      </c>
      <c r="H311" t="str">
        <f>_xlfn.XLOOKUP(Data_Xuất[[#This Row],[Main SKU]],MD_Main_SKU[Main SKU],MD_Main_SKU[SKU name_gom])</f>
        <v>iSS01</v>
      </c>
    </row>
    <row r="312" spans="1:8" x14ac:dyDescent="0.35">
      <c r="A312">
        <v>2024</v>
      </c>
      <c r="B312">
        <v>8</v>
      </c>
      <c r="C312" t="s">
        <v>18</v>
      </c>
      <c r="D312" t="s">
        <v>19</v>
      </c>
      <c r="E312" t="s">
        <v>117</v>
      </c>
      <c r="F312" t="s">
        <v>86</v>
      </c>
      <c r="G312" s="2">
        <v>14404.039695855648</v>
      </c>
      <c r="H312" t="str">
        <f>_xlfn.XLOOKUP(Data_Xuất[[#This Row],[Main SKU]],MD_Main_SKU[Main SKU],MD_Main_SKU[SKU name_gom])</f>
        <v>iSS01</v>
      </c>
    </row>
    <row r="313" spans="1:8" x14ac:dyDescent="0.35">
      <c r="A313">
        <v>2024</v>
      </c>
      <c r="B313">
        <v>8</v>
      </c>
      <c r="C313" t="s">
        <v>24</v>
      </c>
      <c r="D313" t="s">
        <v>25</v>
      </c>
      <c r="E313" t="s">
        <v>22</v>
      </c>
      <c r="F313" t="s">
        <v>23</v>
      </c>
      <c r="G313" s="2">
        <v>5500</v>
      </c>
      <c r="H313" t="str">
        <f>_xlfn.XLOOKUP(Data_Xuất[[#This Row],[Main SKU]],MD_Main_SKU[Main SKU],MD_Main_SKU[SKU name_gom])</f>
        <v>WSS01</v>
      </c>
    </row>
    <row r="314" spans="1:8" x14ac:dyDescent="0.35">
      <c r="A314">
        <v>2024</v>
      </c>
      <c r="B314">
        <v>8</v>
      </c>
      <c r="C314" t="s">
        <v>28</v>
      </c>
      <c r="D314" t="s">
        <v>29</v>
      </c>
      <c r="E314" t="s">
        <v>28</v>
      </c>
      <c r="F314" t="s">
        <v>29</v>
      </c>
      <c r="G314" s="2">
        <v>18707.552460704283</v>
      </c>
      <c r="H314" t="str">
        <f>_xlfn.XLOOKUP(Data_Xuất[[#This Row],[Main SKU]],MD_Main_SKU[Main SKU],MD_Main_SKU[SKU name_gom])</f>
        <v>iSS01084</v>
      </c>
    </row>
    <row r="315" spans="1:8" x14ac:dyDescent="0.35">
      <c r="A315">
        <v>2024</v>
      </c>
      <c r="B315">
        <v>8</v>
      </c>
      <c r="C315" t="s">
        <v>28</v>
      </c>
      <c r="D315" t="s">
        <v>29</v>
      </c>
      <c r="E315" t="s">
        <v>30</v>
      </c>
      <c r="F315" t="s">
        <v>31</v>
      </c>
      <c r="G315" s="2">
        <v>4646.8885152861139</v>
      </c>
      <c r="H315" t="str">
        <f>_xlfn.XLOOKUP(Data_Xuất[[#This Row],[Main SKU]],MD_Main_SKU[Main SKU],MD_Main_SKU[SKU name_gom])</f>
        <v>iSS01084</v>
      </c>
    </row>
    <row r="316" spans="1:8" x14ac:dyDescent="0.35">
      <c r="A316">
        <v>2024</v>
      </c>
      <c r="B316">
        <v>8</v>
      </c>
      <c r="C316" t="s">
        <v>28</v>
      </c>
      <c r="D316" t="s">
        <v>29</v>
      </c>
      <c r="E316" t="s">
        <v>32</v>
      </c>
      <c r="F316" t="s">
        <v>33</v>
      </c>
      <c r="G316" s="2">
        <v>2199.8799519807922</v>
      </c>
      <c r="H316" t="str">
        <f>_xlfn.XLOOKUP(Data_Xuất[[#This Row],[Main SKU]],MD_Main_SKU[Main SKU],MD_Main_SKU[SKU name_gom])</f>
        <v>iSS01084</v>
      </c>
    </row>
    <row r="317" spans="1:8" x14ac:dyDescent="0.35">
      <c r="A317">
        <v>2024</v>
      </c>
      <c r="B317">
        <v>8</v>
      </c>
      <c r="C317" t="s">
        <v>28</v>
      </c>
      <c r="D317" t="s">
        <v>29</v>
      </c>
      <c r="E317" t="s">
        <v>87</v>
      </c>
      <c r="F317" t="s">
        <v>88</v>
      </c>
      <c r="G317" s="2">
        <v>450.18007202881154</v>
      </c>
      <c r="H317" t="str">
        <f>_xlfn.XLOOKUP(Data_Xuất[[#This Row],[Main SKU]],MD_Main_SKU[Main SKU],MD_Main_SKU[SKU name_gom])</f>
        <v>iSS01084</v>
      </c>
    </row>
    <row r="318" spans="1:8" x14ac:dyDescent="0.35">
      <c r="A318">
        <v>2024</v>
      </c>
      <c r="B318">
        <v>8</v>
      </c>
      <c r="C318" t="s">
        <v>115</v>
      </c>
      <c r="D318" t="s">
        <v>116</v>
      </c>
      <c r="E318" t="s">
        <v>115</v>
      </c>
      <c r="F318" t="s">
        <v>116</v>
      </c>
      <c r="G318" s="2">
        <v>2300</v>
      </c>
      <c r="H318" t="str">
        <f>_xlfn.XLOOKUP(Data_Xuất[[#This Row],[Main SKU]],MD_Main_SKU[Main SKU],MD_Main_SKU[SKU name_gom])</f>
        <v>WSS05</v>
      </c>
    </row>
    <row r="319" spans="1:8" x14ac:dyDescent="0.35">
      <c r="A319">
        <v>2024</v>
      </c>
      <c r="B319">
        <v>8</v>
      </c>
      <c r="C319" t="s">
        <v>115</v>
      </c>
      <c r="D319" t="s">
        <v>116</v>
      </c>
      <c r="E319" t="s">
        <v>117</v>
      </c>
      <c r="F319" t="s">
        <v>86</v>
      </c>
      <c r="G319" s="2">
        <v>249</v>
      </c>
      <c r="H319" t="str">
        <f>_xlfn.XLOOKUP(Data_Xuất[[#This Row],[Main SKU]],MD_Main_SKU[Main SKU],MD_Main_SKU[SKU name_gom])</f>
        <v>WSS05</v>
      </c>
    </row>
    <row r="320" spans="1:8" x14ac:dyDescent="0.35">
      <c r="A320">
        <v>2024</v>
      </c>
      <c r="B320">
        <v>8</v>
      </c>
      <c r="C320" t="s">
        <v>118</v>
      </c>
      <c r="D320" t="s">
        <v>119</v>
      </c>
      <c r="E320" t="s">
        <v>115</v>
      </c>
      <c r="F320" t="s">
        <v>116</v>
      </c>
      <c r="G320" s="2">
        <v>28128</v>
      </c>
      <c r="H320" t="str">
        <f>_xlfn.XLOOKUP(Data_Xuất[[#This Row],[Main SKU]],MD_Main_SKU[Main SKU],MD_Main_SKU[SKU name_gom])</f>
        <v>WSS05</v>
      </c>
    </row>
    <row r="321" spans="1:8" x14ac:dyDescent="0.35">
      <c r="A321">
        <v>2024</v>
      </c>
      <c r="B321">
        <v>8</v>
      </c>
      <c r="C321" t="s">
        <v>118</v>
      </c>
      <c r="D321" t="s">
        <v>119</v>
      </c>
      <c r="E321" t="s">
        <v>87</v>
      </c>
      <c r="F321" t="s">
        <v>88</v>
      </c>
      <c r="G321" s="2">
        <v>3872</v>
      </c>
      <c r="H321" t="str">
        <f>_xlfn.XLOOKUP(Data_Xuất[[#This Row],[Main SKU]],MD_Main_SKU[Main SKU],MD_Main_SKU[SKU name_gom])</f>
        <v>WSS05</v>
      </c>
    </row>
    <row r="322" spans="1:8" x14ac:dyDescent="0.35">
      <c r="A322">
        <v>2024</v>
      </c>
      <c r="B322">
        <v>9</v>
      </c>
      <c r="C322" t="s">
        <v>8</v>
      </c>
      <c r="D322" t="s">
        <v>9</v>
      </c>
      <c r="E322" t="s">
        <v>8</v>
      </c>
      <c r="F322" t="s">
        <v>9</v>
      </c>
      <c r="G322" s="2">
        <v>249821.20261006785</v>
      </c>
      <c r="H322" t="str">
        <f>_xlfn.XLOOKUP(Data_Xuất[[#This Row],[Main SKU]],MD_Main_SKU[Main SKU],MD_Main_SKU[SKU name_gom])</f>
        <v>WSS01</v>
      </c>
    </row>
    <row r="323" spans="1:8" x14ac:dyDescent="0.35">
      <c r="A323">
        <v>2024</v>
      </c>
      <c r="B323">
        <v>9</v>
      </c>
      <c r="C323" t="s">
        <v>8</v>
      </c>
      <c r="D323" t="s">
        <v>9</v>
      </c>
      <c r="E323" t="s">
        <v>22</v>
      </c>
      <c r="F323" t="s">
        <v>23</v>
      </c>
      <c r="G323" s="2">
        <v>8730.8498331038718</v>
      </c>
      <c r="H323" t="str">
        <f>_xlfn.XLOOKUP(Data_Xuất[[#This Row],[Main SKU]],MD_Main_SKU[Main SKU],MD_Main_SKU[SKU name_gom])</f>
        <v>WSS01</v>
      </c>
    </row>
    <row r="324" spans="1:8" x14ac:dyDescent="0.35">
      <c r="A324">
        <v>2024</v>
      </c>
      <c r="B324">
        <v>9</v>
      </c>
      <c r="C324" t="s">
        <v>8</v>
      </c>
      <c r="D324" t="s">
        <v>9</v>
      </c>
      <c r="E324" t="s">
        <v>87</v>
      </c>
      <c r="F324" t="s">
        <v>88</v>
      </c>
      <c r="G324" s="2">
        <v>3491.7766407651843</v>
      </c>
      <c r="H324" t="str">
        <f>_xlfn.XLOOKUP(Data_Xuất[[#This Row],[Main SKU]],MD_Main_SKU[Main SKU],MD_Main_SKU[SKU name_gom])</f>
        <v>WSS01</v>
      </c>
    </row>
    <row r="325" spans="1:8" x14ac:dyDescent="0.35">
      <c r="A325">
        <v>2024</v>
      </c>
      <c r="B325">
        <v>9</v>
      </c>
      <c r="C325" t="s">
        <v>8</v>
      </c>
      <c r="D325" t="s">
        <v>9</v>
      </c>
      <c r="E325" t="s">
        <v>89</v>
      </c>
      <c r="F325" t="s">
        <v>90</v>
      </c>
      <c r="G325" s="2">
        <v>823.43145625586408</v>
      </c>
      <c r="H325" t="str">
        <f>_xlfn.XLOOKUP(Data_Xuất[[#This Row],[Main SKU]],MD_Main_SKU[Main SKU],MD_Main_SKU[SKU name_gom])</f>
        <v>WSS01</v>
      </c>
    </row>
    <row r="326" spans="1:8" x14ac:dyDescent="0.35">
      <c r="A326">
        <v>2024</v>
      </c>
      <c r="B326">
        <v>9</v>
      </c>
      <c r="C326" t="s">
        <v>8</v>
      </c>
      <c r="D326" t="s">
        <v>9</v>
      </c>
      <c r="E326" t="s">
        <v>117</v>
      </c>
      <c r="F326" t="s">
        <v>86</v>
      </c>
      <c r="G326" s="2">
        <v>6260.7394598072278</v>
      </c>
      <c r="H326" t="str">
        <f>_xlfn.XLOOKUP(Data_Xuất[[#This Row],[Main SKU]],MD_Main_SKU[Main SKU],MD_Main_SKU[SKU name_gom])</f>
        <v>WSS01</v>
      </c>
    </row>
    <row r="327" spans="1:8" x14ac:dyDescent="0.35">
      <c r="A327">
        <v>2024</v>
      </c>
      <c r="B327">
        <v>9</v>
      </c>
      <c r="C327" t="s">
        <v>14</v>
      </c>
      <c r="D327" t="s">
        <v>15</v>
      </c>
      <c r="E327" t="s">
        <v>14</v>
      </c>
      <c r="F327" t="s">
        <v>15</v>
      </c>
      <c r="G327" s="2">
        <v>1164550.4365059133</v>
      </c>
      <c r="H327" t="str">
        <f>_xlfn.XLOOKUP(Data_Xuất[[#This Row],[Main SKU]],MD_Main_SKU[Main SKU],MD_Main_SKU[SKU name_gom])</f>
        <v>iSS01084</v>
      </c>
    </row>
    <row r="328" spans="1:8" x14ac:dyDescent="0.35">
      <c r="A328">
        <v>2024</v>
      </c>
      <c r="B328">
        <v>9</v>
      </c>
      <c r="C328" t="s">
        <v>14</v>
      </c>
      <c r="D328" t="s">
        <v>15</v>
      </c>
      <c r="E328" t="s">
        <v>18</v>
      </c>
      <c r="F328" t="s">
        <v>19</v>
      </c>
      <c r="G328" s="2">
        <v>71288.621247829054</v>
      </c>
      <c r="H328" t="str">
        <f>_xlfn.XLOOKUP(Data_Xuất[[#This Row],[Main SKU]],MD_Main_SKU[Main SKU],MD_Main_SKU[SKU name_gom])</f>
        <v>iSS01084</v>
      </c>
    </row>
    <row r="329" spans="1:8" x14ac:dyDescent="0.35">
      <c r="A329">
        <v>2024</v>
      </c>
      <c r="B329">
        <v>9</v>
      </c>
      <c r="C329" t="s">
        <v>14</v>
      </c>
      <c r="D329" t="s">
        <v>15</v>
      </c>
      <c r="E329" t="s">
        <v>22</v>
      </c>
      <c r="F329" t="s">
        <v>23</v>
      </c>
      <c r="G329" s="2">
        <v>125736.38405925049</v>
      </c>
      <c r="H329" t="str">
        <f>_xlfn.XLOOKUP(Data_Xuất[[#This Row],[Main SKU]],MD_Main_SKU[Main SKU],MD_Main_SKU[SKU name_gom])</f>
        <v>iSS01084</v>
      </c>
    </row>
    <row r="330" spans="1:8" x14ac:dyDescent="0.35">
      <c r="A330">
        <v>2024</v>
      </c>
      <c r="B330">
        <v>9</v>
      </c>
      <c r="C330" t="s">
        <v>14</v>
      </c>
      <c r="D330" t="s">
        <v>15</v>
      </c>
      <c r="E330" t="s">
        <v>87</v>
      </c>
      <c r="F330" t="s">
        <v>88</v>
      </c>
      <c r="G330" s="2">
        <v>19539.811871111408</v>
      </c>
      <c r="H330" t="str">
        <f>_xlfn.XLOOKUP(Data_Xuất[[#This Row],[Main SKU]],MD_Main_SKU[Main SKU],MD_Main_SKU[SKU name_gom])</f>
        <v>iSS01084</v>
      </c>
    </row>
    <row r="331" spans="1:8" x14ac:dyDescent="0.35">
      <c r="A331">
        <v>2024</v>
      </c>
      <c r="B331">
        <v>9</v>
      </c>
      <c r="C331" t="s">
        <v>14</v>
      </c>
      <c r="D331" t="s">
        <v>15</v>
      </c>
      <c r="E331" t="s">
        <v>89</v>
      </c>
      <c r="F331" t="s">
        <v>90</v>
      </c>
      <c r="G331" s="2">
        <v>1933.9667981956602</v>
      </c>
      <c r="H331" t="str">
        <f>_xlfn.XLOOKUP(Data_Xuất[[#This Row],[Main SKU]],MD_Main_SKU[Main SKU],MD_Main_SKU[SKU name_gom])</f>
        <v>iSS01084</v>
      </c>
    </row>
    <row r="332" spans="1:8" x14ac:dyDescent="0.35">
      <c r="A332">
        <v>2024</v>
      </c>
      <c r="B332">
        <v>9</v>
      </c>
      <c r="C332" t="s">
        <v>14</v>
      </c>
      <c r="D332" t="s">
        <v>15</v>
      </c>
      <c r="E332" t="s">
        <v>117</v>
      </c>
      <c r="F332" t="s">
        <v>86</v>
      </c>
      <c r="G332" s="2">
        <v>24067.446517700275</v>
      </c>
      <c r="H332" t="str">
        <f>_xlfn.XLOOKUP(Data_Xuất[[#This Row],[Main SKU]],MD_Main_SKU[Main SKU],MD_Main_SKU[SKU name_gom])</f>
        <v>iSS01084</v>
      </c>
    </row>
    <row r="333" spans="1:8" x14ac:dyDescent="0.35">
      <c r="A333">
        <v>2024</v>
      </c>
      <c r="B333">
        <v>9</v>
      </c>
      <c r="C333" t="s">
        <v>16</v>
      </c>
      <c r="D333" t="s">
        <v>17</v>
      </c>
      <c r="E333" t="s">
        <v>14</v>
      </c>
      <c r="F333" t="s">
        <v>15</v>
      </c>
      <c r="G333" s="2">
        <v>1103.7262672143529</v>
      </c>
      <c r="H333" t="str">
        <f>_xlfn.XLOOKUP(Data_Xuất[[#This Row],[Main SKU]],MD_Main_SKU[Main SKU],MD_Main_SKU[SKU name_gom])</f>
        <v>WSS01</v>
      </c>
    </row>
    <row r="334" spans="1:8" x14ac:dyDescent="0.35">
      <c r="A334">
        <v>2024</v>
      </c>
      <c r="B334">
        <v>9</v>
      </c>
      <c r="C334" t="s">
        <v>16</v>
      </c>
      <c r="D334" t="s">
        <v>17</v>
      </c>
      <c r="E334" t="s">
        <v>16</v>
      </c>
      <c r="F334" t="s">
        <v>17</v>
      </c>
      <c r="G334" s="2">
        <v>778048.41691826109</v>
      </c>
      <c r="H334" t="str">
        <f>_xlfn.XLOOKUP(Data_Xuất[[#This Row],[Main SKU]],MD_Main_SKU[Main SKU],MD_Main_SKU[SKU name_gom])</f>
        <v>WSS01</v>
      </c>
    </row>
    <row r="335" spans="1:8" x14ac:dyDescent="0.35">
      <c r="A335">
        <v>2024</v>
      </c>
      <c r="B335">
        <v>9</v>
      </c>
      <c r="C335" t="s">
        <v>16</v>
      </c>
      <c r="D335" t="s">
        <v>17</v>
      </c>
      <c r="E335" t="s">
        <v>18</v>
      </c>
      <c r="F335" t="s">
        <v>19</v>
      </c>
      <c r="G335" s="2">
        <v>122330.69420498869</v>
      </c>
      <c r="H335" t="str">
        <f>_xlfn.XLOOKUP(Data_Xuất[[#This Row],[Main SKU]],MD_Main_SKU[Main SKU],MD_Main_SKU[SKU name_gom])</f>
        <v>WSS01</v>
      </c>
    </row>
    <row r="336" spans="1:8" x14ac:dyDescent="0.35">
      <c r="A336">
        <v>2024</v>
      </c>
      <c r="B336">
        <v>9</v>
      </c>
      <c r="C336" t="s">
        <v>16</v>
      </c>
      <c r="D336" t="s">
        <v>17</v>
      </c>
      <c r="E336" t="s">
        <v>22</v>
      </c>
      <c r="F336" t="s">
        <v>23</v>
      </c>
      <c r="G336" s="2">
        <v>16278.957894446301</v>
      </c>
      <c r="H336" t="str">
        <f>_xlfn.XLOOKUP(Data_Xuất[[#This Row],[Main SKU]],MD_Main_SKU[Main SKU],MD_Main_SKU[SKU name_gom])</f>
        <v>WSS01</v>
      </c>
    </row>
    <row r="337" spans="1:8" x14ac:dyDescent="0.35">
      <c r="A337">
        <v>2024</v>
      </c>
      <c r="B337">
        <v>9</v>
      </c>
      <c r="C337" t="s">
        <v>16</v>
      </c>
      <c r="D337" t="s">
        <v>17</v>
      </c>
      <c r="E337" t="s">
        <v>87</v>
      </c>
      <c r="F337" t="s">
        <v>88</v>
      </c>
      <c r="G337" s="2">
        <v>12354.166267844681</v>
      </c>
      <c r="H337" t="str">
        <f>_xlfn.XLOOKUP(Data_Xuất[[#This Row],[Main SKU]],MD_Main_SKU[Main SKU],MD_Main_SKU[SKU name_gom])</f>
        <v>WSS01</v>
      </c>
    </row>
    <row r="338" spans="1:8" x14ac:dyDescent="0.35">
      <c r="A338">
        <v>2024</v>
      </c>
      <c r="B338">
        <v>9</v>
      </c>
      <c r="C338" t="s">
        <v>16</v>
      </c>
      <c r="D338" t="s">
        <v>17</v>
      </c>
      <c r="E338" t="s">
        <v>89</v>
      </c>
      <c r="F338" t="s">
        <v>90</v>
      </c>
      <c r="G338" s="2">
        <v>4244.6856144379071</v>
      </c>
      <c r="H338" t="str">
        <f>_xlfn.XLOOKUP(Data_Xuất[[#This Row],[Main SKU]],MD_Main_SKU[Main SKU],MD_Main_SKU[SKU name_gom])</f>
        <v>WSS01</v>
      </c>
    </row>
    <row r="339" spans="1:8" x14ac:dyDescent="0.35">
      <c r="A339">
        <v>2024</v>
      </c>
      <c r="B339">
        <v>9</v>
      </c>
      <c r="C339" t="s">
        <v>16</v>
      </c>
      <c r="D339" t="s">
        <v>17</v>
      </c>
      <c r="E339" t="s">
        <v>91</v>
      </c>
      <c r="F339" t="s">
        <v>92</v>
      </c>
      <c r="G339" s="2">
        <v>1016.372530289083</v>
      </c>
      <c r="H339" t="str">
        <f>_xlfn.XLOOKUP(Data_Xuất[[#This Row],[Main SKU]],MD_Main_SKU[Main SKU],MD_Main_SKU[SKU name_gom])</f>
        <v>WSS01</v>
      </c>
    </row>
    <row r="340" spans="1:8" x14ac:dyDescent="0.35">
      <c r="A340">
        <v>2024</v>
      </c>
      <c r="B340">
        <v>9</v>
      </c>
      <c r="C340" t="s">
        <v>16</v>
      </c>
      <c r="D340" t="s">
        <v>17</v>
      </c>
      <c r="E340" t="s">
        <v>93</v>
      </c>
      <c r="F340" t="s">
        <v>94</v>
      </c>
      <c r="G340" s="2">
        <v>701.01820055942176</v>
      </c>
      <c r="H340" t="str">
        <f>_xlfn.XLOOKUP(Data_Xuất[[#This Row],[Main SKU]],MD_Main_SKU[Main SKU],MD_Main_SKU[SKU name_gom])</f>
        <v>WSS01</v>
      </c>
    </row>
    <row r="341" spans="1:8" x14ac:dyDescent="0.35">
      <c r="A341">
        <v>2024</v>
      </c>
      <c r="B341">
        <v>9</v>
      </c>
      <c r="C341" t="s">
        <v>16</v>
      </c>
      <c r="D341" t="s">
        <v>17</v>
      </c>
      <c r="E341" t="s">
        <v>117</v>
      </c>
      <c r="F341" t="s">
        <v>86</v>
      </c>
      <c r="G341" s="2">
        <v>12096.262101958444</v>
      </c>
      <c r="H341" t="str">
        <f>_xlfn.XLOOKUP(Data_Xuất[[#This Row],[Main SKU]],MD_Main_SKU[Main SKU],MD_Main_SKU[SKU name_gom])</f>
        <v>WSS01</v>
      </c>
    </row>
    <row r="342" spans="1:8" x14ac:dyDescent="0.35">
      <c r="A342">
        <v>2024</v>
      </c>
      <c r="B342">
        <v>9</v>
      </c>
      <c r="C342" t="s">
        <v>24</v>
      </c>
      <c r="D342" t="s">
        <v>25</v>
      </c>
      <c r="E342" t="s">
        <v>20</v>
      </c>
      <c r="F342" t="s">
        <v>21</v>
      </c>
      <c r="G342" s="2">
        <v>4114.1868512110723</v>
      </c>
      <c r="H342" t="str">
        <f>_xlfn.XLOOKUP(Data_Xuất[[#This Row],[Main SKU]],MD_Main_SKU[Main SKU],MD_Main_SKU[SKU name_gom])</f>
        <v>WSS01</v>
      </c>
    </row>
    <row r="343" spans="1:8" x14ac:dyDescent="0.35">
      <c r="A343">
        <v>2024</v>
      </c>
      <c r="B343">
        <v>9</v>
      </c>
      <c r="C343" t="s">
        <v>24</v>
      </c>
      <c r="D343" t="s">
        <v>25</v>
      </c>
      <c r="E343" t="s">
        <v>22</v>
      </c>
      <c r="F343" t="s">
        <v>23</v>
      </c>
      <c r="G343" s="2">
        <v>62360.474931524543</v>
      </c>
      <c r="H343" t="str">
        <f>_xlfn.XLOOKUP(Data_Xuất[[#This Row],[Main SKU]],MD_Main_SKU[Main SKU],MD_Main_SKU[SKU name_gom])</f>
        <v>WSS01</v>
      </c>
    </row>
    <row r="344" spans="1:8" x14ac:dyDescent="0.35">
      <c r="A344">
        <v>2024</v>
      </c>
      <c r="B344">
        <v>9</v>
      </c>
      <c r="C344" t="s">
        <v>24</v>
      </c>
      <c r="D344" t="s">
        <v>25</v>
      </c>
      <c r="E344" t="s">
        <v>24</v>
      </c>
      <c r="F344" t="s">
        <v>25</v>
      </c>
      <c r="G344" s="2">
        <v>249175.51677603193</v>
      </c>
      <c r="H344" t="str">
        <f>_xlfn.XLOOKUP(Data_Xuất[[#This Row],[Main SKU]],MD_Main_SKU[Main SKU],MD_Main_SKU[SKU name_gom])</f>
        <v>WSS01</v>
      </c>
    </row>
    <row r="345" spans="1:8" x14ac:dyDescent="0.35">
      <c r="A345">
        <v>2024</v>
      </c>
      <c r="B345">
        <v>9</v>
      </c>
      <c r="C345" t="s">
        <v>24</v>
      </c>
      <c r="D345" t="s">
        <v>25</v>
      </c>
      <c r="E345" t="s">
        <v>26</v>
      </c>
      <c r="F345" t="s">
        <v>27</v>
      </c>
      <c r="G345" s="2">
        <v>9916.5750532406128</v>
      </c>
      <c r="H345" t="str">
        <f>_xlfn.XLOOKUP(Data_Xuất[[#This Row],[Main SKU]],MD_Main_SKU[Main SKU],MD_Main_SKU[SKU name_gom])</f>
        <v>WSS01</v>
      </c>
    </row>
    <row r="346" spans="1:8" x14ac:dyDescent="0.35">
      <c r="A346">
        <v>2024</v>
      </c>
      <c r="B346">
        <v>9</v>
      </c>
      <c r="C346" t="s">
        <v>24</v>
      </c>
      <c r="D346" t="s">
        <v>25</v>
      </c>
      <c r="E346" t="s">
        <v>87</v>
      </c>
      <c r="F346" t="s">
        <v>88</v>
      </c>
      <c r="G346" s="2">
        <v>7930.6647297669324</v>
      </c>
      <c r="H346" t="str">
        <f>_xlfn.XLOOKUP(Data_Xuất[[#This Row],[Main SKU]],MD_Main_SKU[Main SKU],MD_Main_SKU[SKU name_gom])</f>
        <v>WSS01</v>
      </c>
    </row>
    <row r="347" spans="1:8" x14ac:dyDescent="0.35">
      <c r="A347">
        <v>2024</v>
      </c>
      <c r="B347">
        <v>9</v>
      </c>
      <c r="C347" t="s">
        <v>24</v>
      </c>
      <c r="D347" t="s">
        <v>25</v>
      </c>
      <c r="E347" t="s">
        <v>89</v>
      </c>
      <c r="F347" t="s">
        <v>90</v>
      </c>
      <c r="G347" s="2">
        <v>1003.9336938457146</v>
      </c>
      <c r="H347" t="str">
        <f>_xlfn.XLOOKUP(Data_Xuất[[#This Row],[Main SKU]],MD_Main_SKU[Main SKU],MD_Main_SKU[SKU name_gom])</f>
        <v>WSS01</v>
      </c>
    </row>
    <row r="348" spans="1:8" x14ac:dyDescent="0.35">
      <c r="A348">
        <v>2024</v>
      </c>
      <c r="B348">
        <v>9</v>
      </c>
      <c r="C348" t="s">
        <v>24</v>
      </c>
      <c r="D348" t="s">
        <v>25</v>
      </c>
      <c r="E348" t="s">
        <v>91</v>
      </c>
      <c r="F348" t="s">
        <v>92</v>
      </c>
      <c r="G348" s="2">
        <v>630.23014021974313</v>
      </c>
      <c r="H348" t="str">
        <f>_xlfn.XLOOKUP(Data_Xuất[[#This Row],[Main SKU]],MD_Main_SKU[Main SKU],MD_Main_SKU[SKU name_gom])</f>
        <v>WSS01</v>
      </c>
    </row>
    <row r="349" spans="1:8" x14ac:dyDescent="0.35">
      <c r="A349">
        <v>2024</v>
      </c>
      <c r="B349">
        <v>9</v>
      </c>
      <c r="C349" t="s">
        <v>24</v>
      </c>
      <c r="D349" t="s">
        <v>25</v>
      </c>
      <c r="E349" t="s">
        <v>117</v>
      </c>
      <c r="F349" t="s">
        <v>86</v>
      </c>
      <c r="G349" s="2">
        <v>8680.4178241594491</v>
      </c>
      <c r="H349" t="str">
        <f>_xlfn.XLOOKUP(Data_Xuất[[#This Row],[Main SKU]],MD_Main_SKU[Main SKU],MD_Main_SKU[SKU name_gom])</f>
        <v>WSS01</v>
      </c>
    </row>
    <row r="350" spans="1:8" x14ac:dyDescent="0.35">
      <c r="A350">
        <v>2024</v>
      </c>
      <c r="B350">
        <v>9</v>
      </c>
      <c r="C350" t="s">
        <v>26</v>
      </c>
      <c r="D350" t="s">
        <v>27</v>
      </c>
      <c r="E350" t="s">
        <v>22</v>
      </c>
      <c r="F350" t="s">
        <v>23</v>
      </c>
      <c r="G350" s="2">
        <v>12115.534457617448</v>
      </c>
      <c r="H350" t="str">
        <f>_xlfn.XLOOKUP(Data_Xuất[[#This Row],[Main SKU]],MD_Main_SKU[Main SKU],MD_Main_SKU[SKU name_gom])</f>
        <v>iSS01</v>
      </c>
    </row>
    <row r="351" spans="1:8" x14ac:dyDescent="0.35">
      <c r="A351">
        <v>2024</v>
      </c>
      <c r="B351">
        <v>9</v>
      </c>
      <c r="C351" t="s">
        <v>26</v>
      </c>
      <c r="D351" t="s">
        <v>27</v>
      </c>
      <c r="E351" t="s">
        <v>24</v>
      </c>
      <c r="F351" t="s">
        <v>25</v>
      </c>
      <c r="G351" s="2">
        <v>5507.0611170988395</v>
      </c>
      <c r="H351" t="str">
        <f>_xlfn.XLOOKUP(Data_Xuất[[#This Row],[Main SKU]],MD_Main_SKU[Main SKU],MD_Main_SKU[SKU name_gom])</f>
        <v>iSS01</v>
      </c>
    </row>
    <row r="352" spans="1:8" x14ac:dyDescent="0.35">
      <c r="A352">
        <v>2024</v>
      </c>
      <c r="B352">
        <v>9</v>
      </c>
      <c r="C352" t="s">
        <v>26</v>
      </c>
      <c r="D352" t="s">
        <v>27</v>
      </c>
      <c r="E352" t="s">
        <v>26</v>
      </c>
      <c r="F352" t="s">
        <v>27</v>
      </c>
      <c r="G352" s="2">
        <v>40752.252266531417</v>
      </c>
      <c r="H352" t="str">
        <f>_xlfn.XLOOKUP(Data_Xuất[[#This Row],[Main SKU]],MD_Main_SKU[Main SKU],MD_Main_SKU[SKU name_gom])</f>
        <v>iSS01</v>
      </c>
    </row>
    <row r="353" spans="1:8" x14ac:dyDescent="0.35">
      <c r="A353">
        <v>2024</v>
      </c>
      <c r="B353">
        <v>9</v>
      </c>
      <c r="C353" t="s">
        <v>26</v>
      </c>
      <c r="D353" t="s">
        <v>27</v>
      </c>
      <c r="E353" t="s">
        <v>87</v>
      </c>
      <c r="F353" t="s">
        <v>88</v>
      </c>
      <c r="G353" s="2">
        <v>2803.5947505230456</v>
      </c>
      <c r="H353" t="str">
        <f>_xlfn.XLOOKUP(Data_Xuất[[#This Row],[Main SKU]],MD_Main_SKU[Main SKU],MD_Main_SKU[SKU name_gom])</f>
        <v>iSS01</v>
      </c>
    </row>
    <row r="354" spans="1:8" x14ac:dyDescent="0.35">
      <c r="A354">
        <v>2024</v>
      </c>
      <c r="B354">
        <v>9</v>
      </c>
      <c r="C354" t="s">
        <v>26</v>
      </c>
      <c r="D354" t="s">
        <v>27</v>
      </c>
      <c r="E354" t="s">
        <v>89</v>
      </c>
      <c r="F354" t="s">
        <v>90</v>
      </c>
      <c r="G354" s="2">
        <v>225.28886388131616</v>
      </c>
      <c r="H354" t="str">
        <f>_xlfn.XLOOKUP(Data_Xuất[[#This Row],[Main SKU]],MD_Main_SKU[Main SKU],MD_Main_SKU[SKU name_gom])</f>
        <v>iSS01</v>
      </c>
    </row>
    <row r="355" spans="1:8" x14ac:dyDescent="0.35">
      <c r="A355">
        <v>2024</v>
      </c>
      <c r="B355">
        <v>9</v>
      </c>
      <c r="C355" t="s">
        <v>26</v>
      </c>
      <c r="D355" t="s">
        <v>27</v>
      </c>
      <c r="E355" t="s">
        <v>117</v>
      </c>
      <c r="F355" t="s">
        <v>86</v>
      </c>
      <c r="G355" s="2">
        <v>1769.2685443479363</v>
      </c>
      <c r="H355" t="str">
        <f>_xlfn.XLOOKUP(Data_Xuất[[#This Row],[Main SKU]],MD_Main_SKU[Main SKU],MD_Main_SKU[SKU name_gom])</f>
        <v>iSS01</v>
      </c>
    </row>
    <row r="356" spans="1:8" x14ac:dyDescent="0.35">
      <c r="A356">
        <v>2024</v>
      </c>
      <c r="B356">
        <v>9</v>
      </c>
      <c r="C356" t="s">
        <v>99</v>
      </c>
      <c r="D356" t="s">
        <v>100</v>
      </c>
      <c r="E356" t="s">
        <v>99</v>
      </c>
      <c r="F356" t="s">
        <v>100</v>
      </c>
      <c r="G356" s="2">
        <v>2200</v>
      </c>
      <c r="H356" t="str">
        <f>_xlfn.XLOOKUP(Data_Xuất[[#This Row],[Main SKU]],MD_Main_SKU[Main SKU],MD_Main_SKU[SKU name_gom])</f>
        <v>WSS04</v>
      </c>
    </row>
    <row r="357" spans="1:8" x14ac:dyDescent="0.35">
      <c r="A357">
        <v>2024</v>
      </c>
      <c r="B357">
        <v>9</v>
      </c>
      <c r="C357" t="s">
        <v>99</v>
      </c>
      <c r="D357" t="s">
        <v>100</v>
      </c>
      <c r="E357" t="s">
        <v>115</v>
      </c>
      <c r="F357" t="s">
        <v>116</v>
      </c>
      <c r="G357" s="2">
        <v>5450</v>
      </c>
      <c r="H357" t="str">
        <f>_xlfn.XLOOKUP(Data_Xuất[[#This Row],[Main SKU]],MD_Main_SKU[Main SKU],MD_Main_SKU[SKU name_gom])</f>
        <v>WSS04</v>
      </c>
    </row>
    <row r="358" spans="1:8" x14ac:dyDescent="0.35">
      <c r="A358">
        <v>2024</v>
      </c>
      <c r="B358">
        <v>9</v>
      </c>
      <c r="C358" t="s">
        <v>99</v>
      </c>
      <c r="D358" t="s">
        <v>100</v>
      </c>
      <c r="E358" t="s">
        <v>117</v>
      </c>
      <c r="F358" t="s">
        <v>86</v>
      </c>
      <c r="G358" s="2">
        <v>660</v>
      </c>
      <c r="H358" t="str">
        <f>_xlfn.XLOOKUP(Data_Xuất[[#This Row],[Main SKU]],MD_Main_SKU[Main SKU],MD_Main_SKU[SKU name_gom])</f>
        <v>WSS04</v>
      </c>
    </row>
    <row r="359" spans="1:8" x14ac:dyDescent="0.35">
      <c r="A359">
        <v>2024</v>
      </c>
      <c r="B359">
        <v>9</v>
      </c>
      <c r="C359" t="s">
        <v>28</v>
      </c>
      <c r="D359" t="s">
        <v>29</v>
      </c>
      <c r="E359" t="s">
        <v>22</v>
      </c>
      <c r="F359" t="s">
        <v>23</v>
      </c>
      <c r="G359" s="2">
        <v>4401.3951662590907</v>
      </c>
      <c r="H359" t="str">
        <f>_xlfn.XLOOKUP(Data_Xuất[[#This Row],[Main SKU]],MD_Main_SKU[Main SKU],MD_Main_SKU[SKU name_gom])</f>
        <v>iSS01084</v>
      </c>
    </row>
    <row r="360" spans="1:8" x14ac:dyDescent="0.35">
      <c r="A360">
        <v>2024</v>
      </c>
      <c r="B360">
        <v>9</v>
      </c>
      <c r="C360" t="s">
        <v>28</v>
      </c>
      <c r="D360" t="s">
        <v>29</v>
      </c>
      <c r="E360" t="s">
        <v>28</v>
      </c>
      <c r="F360" t="s">
        <v>29</v>
      </c>
      <c r="G360" s="2">
        <v>46228.735662711042</v>
      </c>
      <c r="H360" t="str">
        <f>_xlfn.XLOOKUP(Data_Xuất[[#This Row],[Main SKU]],MD_Main_SKU[Main SKU],MD_Main_SKU[SKU name_gom])</f>
        <v>iSS01084</v>
      </c>
    </row>
    <row r="361" spans="1:8" x14ac:dyDescent="0.35">
      <c r="A361">
        <v>2024</v>
      </c>
      <c r="B361">
        <v>9</v>
      </c>
      <c r="C361" t="s">
        <v>28</v>
      </c>
      <c r="D361" t="s">
        <v>29</v>
      </c>
      <c r="E361" t="s">
        <v>30</v>
      </c>
      <c r="F361" t="s">
        <v>31</v>
      </c>
      <c r="G361" s="2">
        <v>19418.581686081972</v>
      </c>
      <c r="H361" t="str">
        <f>_xlfn.XLOOKUP(Data_Xuất[[#This Row],[Main SKU]],MD_Main_SKU[Main SKU],MD_Main_SKU[SKU name_gom])</f>
        <v>iSS01084</v>
      </c>
    </row>
    <row r="362" spans="1:8" x14ac:dyDescent="0.35">
      <c r="A362">
        <v>2024</v>
      </c>
      <c r="B362">
        <v>9</v>
      </c>
      <c r="C362" t="s">
        <v>28</v>
      </c>
      <c r="D362" t="s">
        <v>29</v>
      </c>
      <c r="E362" t="s">
        <v>32</v>
      </c>
      <c r="F362" t="s">
        <v>33</v>
      </c>
      <c r="G362" s="2">
        <v>9918.6046536985632</v>
      </c>
      <c r="H362" t="str">
        <f>_xlfn.XLOOKUP(Data_Xuất[[#This Row],[Main SKU]],MD_Main_SKU[Main SKU],MD_Main_SKU[SKU name_gom])</f>
        <v>iSS01084</v>
      </c>
    </row>
    <row r="363" spans="1:8" x14ac:dyDescent="0.35">
      <c r="A363">
        <v>2024</v>
      </c>
      <c r="B363">
        <v>9</v>
      </c>
      <c r="C363" t="s">
        <v>28</v>
      </c>
      <c r="D363" t="s">
        <v>29</v>
      </c>
      <c r="E363" t="s">
        <v>120</v>
      </c>
      <c r="F363" t="s">
        <v>121</v>
      </c>
      <c r="G363" s="2">
        <v>247.14234872859254</v>
      </c>
      <c r="H363" t="str">
        <f>_xlfn.XLOOKUP(Data_Xuất[[#This Row],[Main SKU]],MD_Main_SKU[Main SKU],MD_Main_SKU[SKU name_gom])</f>
        <v>iSS01084</v>
      </c>
    </row>
    <row r="364" spans="1:8" x14ac:dyDescent="0.35">
      <c r="A364">
        <v>2024</v>
      </c>
      <c r="B364">
        <v>9</v>
      </c>
      <c r="C364" t="s">
        <v>28</v>
      </c>
      <c r="D364" t="s">
        <v>29</v>
      </c>
      <c r="E364" t="s">
        <v>122</v>
      </c>
      <c r="F364" t="s">
        <v>123</v>
      </c>
      <c r="G364" s="2">
        <v>4082.5244825207383</v>
      </c>
      <c r="H364" t="str">
        <f>_xlfn.XLOOKUP(Data_Xuất[[#This Row],[Main SKU]],MD_Main_SKU[Main SKU],MD_Main_SKU[SKU name_gom])</f>
        <v>iSS01084</v>
      </c>
    </row>
    <row r="365" spans="1:8" x14ac:dyDescent="0.35">
      <c r="A365">
        <v>2024</v>
      </c>
      <c r="B365">
        <v>9</v>
      </c>
      <c r="C365" t="s">
        <v>115</v>
      </c>
      <c r="D365" t="s">
        <v>116</v>
      </c>
      <c r="E365" t="s">
        <v>115</v>
      </c>
      <c r="F365" t="s">
        <v>116</v>
      </c>
      <c r="G365" s="2">
        <v>3735</v>
      </c>
      <c r="H365" t="str">
        <f>_xlfn.XLOOKUP(Data_Xuất[[#This Row],[Main SKU]],MD_Main_SKU[Main SKU],MD_Main_SKU[SKU name_gom])</f>
        <v>WSS05</v>
      </c>
    </row>
    <row r="366" spans="1:8" x14ac:dyDescent="0.35">
      <c r="A366">
        <v>2024</v>
      </c>
      <c r="B366">
        <v>9</v>
      </c>
      <c r="C366" t="s">
        <v>115</v>
      </c>
      <c r="D366" t="s">
        <v>116</v>
      </c>
      <c r="E366" t="s">
        <v>117</v>
      </c>
      <c r="F366" t="s">
        <v>86</v>
      </c>
      <c r="G366" s="2">
        <v>1265</v>
      </c>
      <c r="H366" t="str">
        <f>_xlfn.XLOOKUP(Data_Xuất[[#This Row],[Main SKU]],MD_Main_SKU[Main SKU],MD_Main_SKU[SKU name_gom])</f>
        <v>WSS05</v>
      </c>
    </row>
    <row r="367" spans="1:8" x14ac:dyDescent="0.35">
      <c r="A367">
        <v>2024</v>
      </c>
      <c r="B367">
        <v>10</v>
      </c>
      <c r="C367" t="s">
        <v>8</v>
      </c>
      <c r="D367" t="s">
        <v>9</v>
      </c>
      <c r="E367" t="s">
        <v>8</v>
      </c>
      <c r="F367" t="s">
        <v>9</v>
      </c>
      <c r="G367" s="2">
        <v>295806.90487741993</v>
      </c>
      <c r="H367" t="str">
        <f>_xlfn.XLOOKUP(Data_Xuất[[#This Row],[Main SKU]],MD_Main_SKU[Main SKU],MD_Main_SKU[SKU name_gom])</f>
        <v>WSS01</v>
      </c>
    </row>
    <row r="368" spans="1:8" x14ac:dyDescent="0.35">
      <c r="A368">
        <v>2024</v>
      </c>
      <c r="B368">
        <v>10</v>
      </c>
      <c r="C368" t="s">
        <v>8</v>
      </c>
      <c r="D368" t="s">
        <v>9</v>
      </c>
      <c r="E368" t="s">
        <v>12</v>
      </c>
      <c r="F368" t="s">
        <v>13</v>
      </c>
      <c r="G368" s="2">
        <v>23140.790081911138</v>
      </c>
      <c r="H368" t="str">
        <f>_xlfn.XLOOKUP(Data_Xuất[[#This Row],[Main SKU]],MD_Main_SKU[Main SKU],MD_Main_SKU[SKU name_gom])</f>
        <v>WSS01</v>
      </c>
    </row>
    <row r="369" spans="1:8" x14ac:dyDescent="0.35">
      <c r="A369">
        <v>2024</v>
      </c>
      <c r="B369">
        <v>10</v>
      </c>
      <c r="C369" t="s">
        <v>8</v>
      </c>
      <c r="D369" t="s">
        <v>9</v>
      </c>
      <c r="E369" t="s">
        <v>22</v>
      </c>
      <c r="F369" t="s">
        <v>23</v>
      </c>
      <c r="G369" s="2">
        <v>4418.9200888863234</v>
      </c>
      <c r="H369" t="str">
        <f>_xlfn.XLOOKUP(Data_Xuất[[#This Row],[Main SKU]],MD_Main_SKU[Main SKU],MD_Main_SKU[SKU name_gom])</f>
        <v>WSS01</v>
      </c>
    </row>
    <row r="370" spans="1:8" x14ac:dyDescent="0.35">
      <c r="A370">
        <v>2024</v>
      </c>
      <c r="B370">
        <v>10</v>
      </c>
      <c r="C370" t="s">
        <v>8</v>
      </c>
      <c r="D370" t="s">
        <v>9</v>
      </c>
      <c r="E370" t="s">
        <v>87</v>
      </c>
      <c r="F370" t="s">
        <v>88</v>
      </c>
      <c r="G370" s="2">
        <v>5596.5619356075322</v>
      </c>
      <c r="H370" t="str">
        <f>_xlfn.XLOOKUP(Data_Xuất[[#This Row],[Main SKU]],MD_Main_SKU[Main SKU],MD_Main_SKU[SKU name_gom])</f>
        <v>WSS01</v>
      </c>
    </row>
    <row r="371" spans="1:8" x14ac:dyDescent="0.35">
      <c r="A371">
        <v>2024</v>
      </c>
      <c r="B371">
        <v>10</v>
      </c>
      <c r="C371" t="s">
        <v>8</v>
      </c>
      <c r="D371" t="s">
        <v>9</v>
      </c>
      <c r="E371" t="s">
        <v>89</v>
      </c>
      <c r="F371" t="s">
        <v>90</v>
      </c>
      <c r="G371" s="2">
        <v>2461.2192920609605</v>
      </c>
      <c r="H371" t="str">
        <f>_xlfn.XLOOKUP(Data_Xuất[[#This Row],[Main SKU]],MD_Main_SKU[Main SKU],MD_Main_SKU[SKU name_gom])</f>
        <v>WSS01</v>
      </c>
    </row>
    <row r="372" spans="1:8" x14ac:dyDescent="0.35">
      <c r="A372">
        <v>2024</v>
      </c>
      <c r="B372">
        <v>10</v>
      </c>
      <c r="C372" t="s">
        <v>8</v>
      </c>
      <c r="D372" t="s">
        <v>9</v>
      </c>
      <c r="E372" t="s">
        <v>91</v>
      </c>
      <c r="F372" t="s">
        <v>92</v>
      </c>
      <c r="G372" s="2">
        <v>20.035316088234751</v>
      </c>
      <c r="H372" t="str">
        <f>_xlfn.XLOOKUP(Data_Xuất[[#This Row],[Main SKU]],MD_Main_SKU[Main SKU],MD_Main_SKU[SKU name_gom])</f>
        <v>WSS01</v>
      </c>
    </row>
    <row r="373" spans="1:8" x14ac:dyDescent="0.35">
      <c r="A373">
        <v>2024</v>
      </c>
      <c r="B373">
        <v>10</v>
      </c>
      <c r="C373" t="s">
        <v>8</v>
      </c>
      <c r="D373" t="s">
        <v>9</v>
      </c>
      <c r="E373" t="s">
        <v>117</v>
      </c>
      <c r="F373" t="s">
        <v>86</v>
      </c>
      <c r="G373" s="2">
        <v>2612.5684080258829</v>
      </c>
      <c r="H373" t="str">
        <f>_xlfn.XLOOKUP(Data_Xuất[[#This Row],[Main SKU]],MD_Main_SKU[Main SKU],MD_Main_SKU[SKU name_gom])</f>
        <v>WSS01</v>
      </c>
    </row>
    <row r="374" spans="1:8" x14ac:dyDescent="0.35">
      <c r="A374">
        <v>2024</v>
      </c>
      <c r="B374">
        <v>10</v>
      </c>
      <c r="C374" t="s">
        <v>14</v>
      </c>
      <c r="D374" t="s">
        <v>15</v>
      </c>
      <c r="E374" t="s">
        <v>14</v>
      </c>
      <c r="F374" t="s">
        <v>15</v>
      </c>
      <c r="G374" s="2">
        <v>701823.24018107122</v>
      </c>
      <c r="H374" t="str">
        <f>_xlfn.XLOOKUP(Data_Xuất[[#This Row],[Main SKU]],MD_Main_SKU[Main SKU],MD_Main_SKU[SKU name_gom])</f>
        <v>iSS01084</v>
      </c>
    </row>
    <row r="375" spans="1:8" x14ac:dyDescent="0.35">
      <c r="A375">
        <v>2024</v>
      </c>
      <c r="B375">
        <v>10</v>
      </c>
      <c r="C375" t="s">
        <v>14</v>
      </c>
      <c r="D375" t="s">
        <v>15</v>
      </c>
      <c r="E375" t="s">
        <v>18</v>
      </c>
      <c r="F375" t="s">
        <v>19</v>
      </c>
      <c r="G375" s="2">
        <v>16519.377236426953</v>
      </c>
      <c r="H375" t="str">
        <f>_xlfn.XLOOKUP(Data_Xuất[[#This Row],[Main SKU]],MD_Main_SKU[Main SKU],MD_Main_SKU[SKU name_gom])</f>
        <v>iSS01084</v>
      </c>
    </row>
    <row r="376" spans="1:8" x14ac:dyDescent="0.35">
      <c r="A376">
        <v>2024</v>
      </c>
      <c r="B376">
        <v>10</v>
      </c>
      <c r="C376" t="s">
        <v>14</v>
      </c>
      <c r="D376" t="s">
        <v>15</v>
      </c>
      <c r="E376" t="s">
        <v>20</v>
      </c>
      <c r="F376" t="s">
        <v>21</v>
      </c>
      <c r="G376" s="2">
        <v>1105.6105610561056</v>
      </c>
      <c r="H376" t="str">
        <f>_xlfn.XLOOKUP(Data_Xuất[[#This Row],[Main SKU]],MD_Main_SKU[Main SKU],MD_Main_SKU[SKU name_gom])</f>
        <v>iSS01084</v>
      </c>
    </row>
    <row r="377" spans="1:8" x14ac:dyDescent="0.35">
      <c r="A377">
        <v>2024</v>
      </c>
      <c r="B377">
        <v>10</v>
      </c>
      <c r="C377" t="s">
        <v>14</v>
      </c>
      <c r="D377" t="s">
        <v>15</v>
      </c>
      <c r="E377" t="s">
        <v>22</v>
      </c>
      <c r="F377" t="s">
        <v>23</v>
      </c>
      <c r="G377" s="2">
        <v>132206.75084775608</v>
      </c>
      <c r="H377" t="str">
        <f>_xlfn.XLOOKUP(Data_Xuất[[#This Row],[Main SKU]],MD_Main_SKU[Main SKU],MD_Main_SKU[SKU name_gom])</f>
        <v>iSS01084</v>
      </c>
    </row>
    <row r="378" spans="1:8" x14ac:dyDescent="0.35">
      <c r="A378">
        <v>2024</v>
      </c>
      <c r="B378">
        <v>10</v>
      </c>
      <c r="C378" t="s">
        <v>14</v>
      </c>
      <c r="D378" t="s">
        <v>15</v>
      </c>
      <c r="E378" t="s">
        <v>87</v>
      </c>
      <c r="F378" t="s">
        <v>88</v>
      </c>
      <c r="G378" s="2">
        <v>19679.938554887711</v>
      </c>
      <c r="H378" t="str">
        <f>_xlfn.XLOOKUP(Data_Xuất[[#This Row],[Main SKU]],MD_Main_SKU[Main SKU],MD_Main_SKU[SKU name_gom])</f>
        <v>iSS01084</v>
      </c>
    </row>
    <row r="379" spans="1:8" x14ac:dyDescent="0.35">
      <c r="A379">
        <v>2024</v>
      </c>
      <c r="B379">
        <v>10</v>
      </c>
      <c r="C379" t="s">
        <v>14</v>
      </c>
      <c r="D379" t="s">
        <v>15</v>
      </c>
      <c r="E379" t="s">
        <v>89</v>
      </c>
      <c r="F379" t="s">
        <v>90</v>
      </c>
      <c r="G379" s="2">
        <v>2779.0019821824112</v>
      </c>
      <c r="H379" t="str">
        <f>_xlfn.XLOOKUP(Data_Xuất[[#This Row],[Main SKU]],MD_Main_SKU[Main SKU],MD_Main_SKU[SKU name_gom])</f>
        <v>iSS01084</v>
      </c>
    </row>
    <row r="380" spans="1:8" x14ac:dyDescent="0.35">
      <c r="A380">
        <v>2024</v>
      </c>
      <c r="B380">
        <v>10</v>
      </c>
      <c r="C380" t="s">
        <v>14</v>
      </c>
      <c r="D380" t="s">
        <v>15</v>
      </c>
      <c r="E380" t="s">
        <v>91</v>
      </c>
      <c r="F380" t="s">
        <v>92</v>
      </c>
      <c r="G380" s="2">
        <v>1105.6105610561056</v>
      </c>
      <c r="H380" t="str">
        <f>_xlfn.XLOOKUP(Data_Xuất[[#This Row],[Main SKU]],MD_Main_SKU[Main SKU],MD_Main_SKU[SKU name_gom])</f>
        <v>iSS01084</v>
      </c>
    </row>
    <row r="381" spans="1:8" x14ac:dyDescent="0.35">
      <c r="A381">
        <v>2024</v>
      </c>
      <c r="B381">
        <v>10</v>
      </c>
      <c r="C381" t="s">
        <v>14</v>
      </c>
      <c r="D381" t="s">
        <v>15</v>
      </c>
      <c r="E381" t="s">
        <v>117</v>
      </c>
      <c r="F381" t="s">
        <v>86</v>
      </c>
      <c r="G381" s="2">
        <v>15545.470075563448</v>
      </c>
      <c r="H381" t="str">
        <f>_xlfn.XLOOKUP(Data_Xuất[[#This Row],[Main SKU]],MD_Main_SKU[Main SKU],MD_Main_SKU[SKU name_gom])</f>
        <v>iSS01084</v>
      </c>
    </row>
    <row r="382" spans="1:8" x14ac:dyDescent="0.35">
      <c r="A382">
        <v>2024</v>
      </c>
      <c r="B382">
        <v>10</v>
      </c>
      <c r="C382" t="s">
        <v>16</v>
      </c>
      <c r="D382" t="s">
        <v>17</v>
      </c>
      <c r="E382" t="s">
        <v>16</v>
      </c>
      <c r="F382" t="s">
        <v>17</v>
      </c>
      <c r="G382" s="2">
        <v>966833.11421452591</v>
      </c>
      <c r="H382" t="str">
        <f>_xlfn.XLOOKUP(Data_Xuất[[#This Row],[Main SKU]],MD_Main_SKU[Main SKU],MD_Main_SKU[SKU name_gom])</f>
        <v>WSS01</v>
      </c>
    </row>
    <row r="383" spans="1:8" x14ac:dyDescent="0.35">
      <c r="A383">
        <v>2024</v>
      </c>
      <c r="B383">
        <v>10</v>
      </c>
      <c r="C383" t="s">
        <v>16</v>
      </c>
      <c r="D383" t="s">
        <v>17</v>
      </c>
      <c r="E383" t="s">
        <v>18</v>
      </c>
      <c r="F383" t="s">
        <v>19</v>
      </c>
      <c r="G383" s="2">
        <v>81519.647209162431</v>
      </c>
      <c r="H383" t="str">
        <f>_xlfn.XLOOKUP(Data_Xuất[[#This Row],[Main SKU]],MD_Main_SKU[Main SKU],MD_Main_SKU[SKU name_gom])</f>
        <v>WSS01</v>
      </c>
    </row>
    <row r="384" spans="1:8" x14ac:dyDescent="0.35">
      <c r="A384">
        <v>2024</v>
      </c>
      <c r="B384">
        <v>10</v>
      </c>
      <c r="C384" t="s">
        <v>16</v>
      </c>
      <c r="D384" t="s">
        <v>17</v>
      </c>
      <c r="E384" t="s">
        <v>22</v>
      </c>
      <c r="F384" t="s">
        <v>23</v>
      </c>
      <c r="G384" s="2">
        <v>35174.398664326363</v>
      </c>
      <c r="H384" t="str">
        <f>_xlfn.XLOOKUP(Data_Xuất[[#This Row],[Main SKU]],MD_Main_SKU[Main SKU],MD_Main_SKU[SKU name_gom])</f>
        <v>WSS01</v>
      </c>
    </row>
    <row r="385" spans="1:8" x14ac:dyDescent="0.35">
      <c r="A385">
        <v>2024</v>
      </c>
      <c r="B385">
        <v>10</v>
      </c>
      <c r="C385" t="s">
        <v>16</v>
      </c>
      <c r="D385" t="s">
        <v>17</v>
      </c>
      <c r="E385" t="s">
        <v>87</v>
      </c>
      <c r="F385" t="s">
        <v>88</v>
      </c>
      <c r="G385" s="2">
        <v>14595.799486968186</v>
      </c>
      <c r="H385" t="str">
        <f>_xlfn.XLOOKUP(Data_Xuất[[#This Row],[Main SKU]],MD_Main_SKU[Main SKU],MD_Main_SKU[SKU name_gom])</f>
        <v>WSS01</v>
      </c>
    </row>
    <row r="386" spans="1:8" x14ac:dyDescent="0.35">
      <c r="A386">
        <v>2024</v>
      </c>
      <c r="B386">
        <v>10</v>
      </c>
      <c r="C386" t="s">
        <v>16</v>
      </c>
      <c r="D386" t="s">
        <v>17</v>
      </c>
      <c r="E386" t="s">
        <v>89</v>
      </c>
      <c r="F386" t="s">
        <v>90</v>
      </c>
      <c r="G386" s="2">
        <v>4773.3401892580914</v>
      </c>
      <c r="H386" t="str">
        <f>_xlfn.XLOOKUP(Data_Xuất[[#This Row],[Main SKU]],MD_Main_SKU[Main SKU],MD_Main_SKU[SKU name_gom])</f>
        <v>WSS01</v>
      </c>
    </row>
    <row r="387" spans="1:8" x14ac:dyDescent="0.35">
      <c r="A387">
        <v>2024</v>
      </c>
      <c r="B387">
        <v>10</v>
      </c>
      <c r="C387" t="s">
        <v>16</v>
      </c>
      <c r="D387" t="s">
        <v>17</v>
      </c>
      <c r="E387" t="s">
        <v>93</v>
      </c>
      <c r="F387" t="s">
        <v>94</v>
      </c>
      <c r="G387" s="2">
        <v>10.014036072706856</v>
      </c>
      <c r="H387" t="str">
        <f>_xlfn.XLOOKUP(Data_Xuất[[#This Row],[Main SKU]],MD_Main_SKU[Main SKU],MD_Main_SKU[SKU name_gom])</f>
        <v>WSS01</v>
      </c>
    </row>
    <row r="388" spans="1:8" x14ac:dyDescent="0.35">
      <c r="A388">
        <v>2024</v>
      </c>
      <c r="B388">
        <v>10</v>
      </c>
      <c r="C388" t="s">
        <v>16</v>
      </c>
      <c r="D388" t="s">
        <v>17</v>
      </c>
      <c r="E388" t="s">
        <v>117</v>
      </c>
      <c r="F388" t="s">
        <v>86</v>
      </c>
      <c r="G388" s="2">
        <v>15663.686199686324</v>
      </c>
      <c r="H388" t="str">
        <f>_xlfn.XLOOKUP(Data_Xuất[[#This Row],[Main SKU]],MD_Main_SKU[Main SKU],MD_Main_SKU[SKU name_gom])</f>
        <v>WSS01</v>
      </c>
    </row>
    <row r="389" spans="1:8" x14ac:dyDescent="0.35">
      <c r="A389">
        <v>2024</v>
      </c>
      <c r="B389">
        <v>10</v>
      </c>
      <c r="C389" t="s">
        <v>18</v>
      </c>
      <c r="D389" t="s">
        <v>19</v>
      </c>
      <c r="E389" t="s">
        <v>14</v>
      </c>
      <c r="F389" t="s">
        <v>15</v>
      </c>
      <c r="G389" s="2">
        <v>16544.411225769119</v>
      </c>
      <c r="H389" t="str">
        <f>_xlfn.XLOOKUP(Data_Xuất[[#This Row],[Main SKU]],MD_Main_SKU[Main SKU],MD_Main_SKU[SKU name_gom])</f>
        <v>iSS01</v>
      </c>
    </row>
    <row r="390" spans="1:8" x14ac:dyDescent="0.35">
      <c r="A390">
        <v>2024</v>
      </c>
      <c r="B390">
        <v>10</v>
      </c>
      <c r="C390" t="s">
        <v>18</v>
      </c>
      <c r="D390" t="s">
        <v>19</v>
      </c>
      <c r="E390" t="s">
        <v>16</v>
      </c>
      <c r="F390" t="s">
        <v>17</v>
      </c>
      <c r="G390" s="2">
        <v>2203.0266145057831</v>
      </c>
      <c r="H390" t="str">
        <f>_xlfn.XLOOKUP(Data_Xuất[[#This Row],[Main SKU]],MD_Main_SKU[Main SKU],MD_Main_SKU[SKU name_gom])</f>
        <v>iSS01</v>
      </c>
    </row>
    <row r="391" spans="1:8" x14ac:dyDescent="0.35">
      <c r="A391">
        <v>2024</v>
      </c>
      <c r="B391">
        <v>10</v>
      </c>
      <c r="C391" t="s">
        <v>18</v>
      </c>
      <c r="D391" t="s">
        <v>19</v>
      </c>
      <c r="E391" t="s">
        <v>18</v>
      </c>
      <c r="F391" t="s">
        <v>19</v>
      </c>
      <c r="G391" s="2">
        <v>149998.10696585092</v>
      </c>
      <c r="H391" t="str">
        <f>_xlfn.XLOOKUP(Data_Xuất[[#This Row],[Main SKU]],MD_Main_SKU[Main SKU],MD_Main_SKU[SKU name_gom])</f>
        <v>iSS01</v>
      </c>
    </row>
    <row r="392" spans="1:8" x14ac:dyDescent="0.35">
      <c r="A392">
        <v>2024</v>
      </c>
      <c r="B392">
        <v>10</v>
      </c>
      <c r="C392" t="s">
        <v>18</v>
      </c>
      <c r="D392" t="s">
        <v>19</v>
      </c>
      <c r="E392" t="s">
        <v>22</v>
      </c>
      <c r="F392" t="s">
        <v>23</v>
      </c>
      <c r="G392" s="2">
        <v>13880.261456010954</v>
      </c>
      <c r="H392" t="str">
        <f>_xlfn.XLOOKUP(Data_Xuất[[#This Row],[Main SKU]],MD_Main_SKU[Main SKU],MD_Main_SKU[SKU name_gom])</f>
        <v>iSS01</v>
      </c>
    </row>
    <row r="393" spans="1:8" x14ac:dyDescent="0.35">
      <c r="A393">
        <v>2024</v>
      </c>
      <c r="B393">
        <v>10</v>
      </c>
      <c r="C393" t="s">
        <v>18</v>
      </c>
      <c r="D393" t="s">
        <v>19</v>
      </c>
      <c r="E393" t="s">
        <v>87</v>
      </c>
      <c r="F393" t="s">
        <v>88</v>
      </c>
      <c r="G393" s="2">
        <v>5958.1856165042773</v>
      </c>
      <c r="H393" t="str">
        <f>_xlfn.XLOOKUP(Data_Xuất[[#This Row],[Main SKU]],MD_Main_SKU[Main SKU],MD_Main_SKU[SKU name_gom])</f>
        <v>iSS01</v>
      </c>
    </row>
    <row r="394" spans="1:8" x14ac:dyDescent="0.35">
      <c r="A394">
        <v>2024</v>
      </c>
      <c r="B394">
        <v>10</v>
      </c>
      <c r="C394" t="s">
        <v>18</v>
      </c>
      <c r="D394" t="s">
        <v>19</v>
      </c>
      <c r="E394" t="s">
        <v>89</v>
      </c>
      <c r="F394" t="s">
        <v>90</v>
      </c>
      <c r="G394" s="2">
        <v>150.20636007993977</v>
      </c>
      <c r="H394" t="str">
        <f>_xlfn.XLOOKUP(Data_Xuất[[#This Row],[Main SKU]],MD_Main_SKU[Main SKU],MD_Main_SKU[SKU name_gom])</f>
        <v>iSS01</v>
      </c>
    </row>
    <row r="395" spans="1:8" x14ac:dyDescent="0.35">
      <c r="A395">
        <v>2024</v>
      </c>
      <c r="B395">
        <v>10</v>
      </c>
      <c r="C395" t="s">
        <v>18</v>
      </c>
      <c r="D395" t="s">
        <v>19</v>
      </c>
      <c r="E395" t="s">
        <v>117</v>
      </c>
      <c r="F395" t="s">
        <v>86</v>
      </c>
      <c r="G395" s="2">
        <v>2403.3017612790363</v>
      </c>
      <c r="H395" t="str">
        <f>_xlfn.XLOOKUP(Data_Xuất[[#This Row],[Main SKU]],MD_Main_SKU[Main SKU],MD_Main_SKU[SKU name_gom])</f>
        <v>iSS01</v>
      </c>
    </row>
    <row r="396" spans="1:8" x14ac:dyDescent="0.35">
      <c r="A396">
        <v>2024</v>
      </c>
      <c r="B396">
        <v>10</v>
      </c>
      <c r="C396" t="s">
        <v>22</v>
      </c>
      <c r="D396" t="s">
        <v>23</v>
      </c>
      <c r="E396" t="s">
        <v>22</v>
      </c>
      <c r="F396" t="s">
        <v>23</v>
      </c>
      <c r="G396" s="2">
        <v>109319.2137734287</v>
      </c>
      <c r="H396" t="str">
        <f>_xlfn.XLOOKUP(Data_Xuất[[#This Row],[Main SKU]],MD_Main_SKU[Main SKU],MD_Main_SKU[SKU name_gom])</f>
        <v>WSS03</v>
      </c>
    </row>
    <row r="397" spans="1:8" x14ac:dyDescent="0.35">
      <c r="A397">
        <v>2024</v>
      </c>
      <c r="B397">
        <v>10</v>
      </c>
      <c r="C397" t="s">
        <v>22</v>
      </c>
      <c r="D397" t="s">
        <v>23</v>
      </c>
      <c r="E397" t="s">
        <v>87</v>
      </c>
      <c r="F397" t="s">
        <v>88</v>
      </c>
      <c r="G397" s="2">
        <v>5753.7730296954642</v>
      </c>
      <c r="H397" t="str">
        <f>_xlfn.XLOOKUP(Data_Xuất[[#This Row],[Main SKU]],MD_Main_SKU[Main SKU],MD_Main_SKU[SKU name_gom])</f>
        <v>WSS03</v>
      </c>
    </row>
    <row r="398" spans="1:8" x14ac:dyDescent="0.35">
      <c r="A398">
        <v>2024</v>
      </c>
      <c r="B398">
        <v>10</v>
      </c>
      <c r="C398" t="s">
        <v>22</v>
      </c>
      <c r="D398" t="s">
        <v>23</v>
      </c>
      <c r="E398" t="s">
        <v>117</v>
      </c>
      <c r="F398" t="s">
        <v>86</v>
      </c>
      <c r="G398" s="2">
        <v>2177.0131968758415</v>
      </c>
      <c r="H398" t="str">
        <f>_xlfn.XLOOKUP(Data_Xuất[[#This Row],[Main SKU]],MD_Main_SKU[Main SKU],MD_Main_SKU[SKU name_gom])</f>
        <v>WSS03</v>
      </c>
    </row>
    <row r="399" spans="1:8" x14ac:dyDescent="0.35">
      <c r="A399">
        <v>2024</v>
      </c>
      <c r="B399">
        <v>10</v>
      </c>
      <c r="C399" t="s">
        <v>24</v>
      </c>
      <c r="D399" t="s">
        <v>25</v>
      </c>
      <c r="E399" t="s">
        <v>20</v>
      </c>
      <c r="F399" t="s">
        <v>21</v>
      </c>
      <c r="G399" s="2">
        <v>52886.425878458038</v>
      </c>
      <c r="H399" t="str">
        <f>_xlfn.XLOOKUP(Data_Xuất[[#This Row],[Main SKU]],MD_Main_SKU[Main SKU],MD_Main_SKU[SKU name_gom])</f>
        <v>WSS01</v>
      </c>
    </row>
    <row r="400" spans="1:8" x14ac:dyDescent="0.35">
      <c r="A400">
        <v>2024</v>
      </c>
      <c r="B400">
        <v>10</v>
      </c>
      <c r="C400" t="s">
        <v>24</v>
      </c>
      <c r="D400" t="s">
        <v>25</v>
      </c>
      <c r="E400" t="s">
        <v>22</v>
      </c>
      <c r="F400" t="s">
        <v>23</v>
      </c>
      <c r="G400" s="2">
        <v>520955.51182578038</v>
      </c>
      <c r="H400" t="str">
        <f>_xlfn.XLOOKUP(Data_Xuất[[#This Row],[Main SKU]],MD_Main_SKU[Main SKU],MD_Main_SKU[SKU name_gom])</f>
        <v>WSS01</v>
      </c>
    </row>
    <row r="401" spans="1:8" x14ac:dyDescent="0.35">
      <c r="A401">
        <v>2024</v>
      </c>
      <c r="B401">
        <v>10</v>
      </c>
      <c r="C401" t="s">
        <v>24</v>
      </c>
      <c r="D401" t="s">
        <v>25</v>
      </c>
      <c r="E401" t="s">
        <v>24</v>
      </c>
      <c r="F401" t="s">
        <v>25</v>
      </c>
      <c r="G401" s="2">
        <v>12505.730381542811</v>
      </c>
      <c r="H401" t="str">
        <f>_xlfn.XLOOKUP(Data_Xuất[[#This Row],[Main SKU]],MD_Main_SKU[Main SKU],MD_Main_SKU[SKU name_gom])</f>
        <v>WSS01</v>
      </c>
    </row>
    <row r="402" spans="1:8" x14ac:dyDescent="0.35">
      <c r="A402">
        <v>2024</v>
      </c>
      <c r="B402">
        <v>10</v>
      </c>
      <c r="C402" t="s">
        <v>24</v>
      </c>
      <c r="D402" t="s">
        <v>25</v>
      </c>
      <c r="E402" t="s">
        <v>87</v>
      </c>
      <c r="F402" t="s">
        <v>88</v>
      </c>
      <c r="G402" s="2">
        <v>20095.672003159918</v>
      </c>
      <c r="H402" t="str">
        <f>_xlfn.XLOOKUP(Data_Xuất[[#This Row],[Main SKU]],MD_Main_SKU[Main SKU],MD_Main_SKU[SKU name_gom])</f>
        <v>WSS01</v>
      </c>
    </row>
    <row r="403" spans="1:8" x14ac:dyDescent="0.35">
      <c r="A403">
        <v>2024</v>
      </c>
      <c r="B403">
        <v>10</v>
      </c>
      <c r="C403" t="s">
        <v>24</v>
      </c>
      <c r="D403" t="s">
        <v>25</v>
      </c>
      <c r="E403" t="s">
        <v>89</v>
      </c>
      <c r="F403" t="s">
        <v>90</v>
      </c>
      <c r="G403" s="2">
        <v>3672.6554757739282</v>
      </c>
      <c r="H403" t="str">
        <f>_xlfn.XLOOKUP(Data_Xuất[[#This Row],[Main SKU]],MD_Main_SKU[Main SKU],MD_Main_SKU[SKU name_gom])</f>
        <v>WSS01</v>
      </c>
    </row>
    <row r="404" spans="1:8" x14ac:dyDescent="0.35">
      <c r="A404">
        <v>2024</v>
      </c>
      <c r="B404">
        <v>10</v>
      </c>
      <c r="C404" t="s">
        <v>24</v>
      </c>
      <c r="D404" t="s">
        <v>25</v>
      </c>
      <c r="E404" t="s">
        <v>93</v>
      </c>
      <c r="F404" t="s">
        <v>94</v>
      </c>
      <c r="G404" s="2">
        <v>7.0001154020525078</v>
      </c>
      <c r="H404" t="str">
        <f>_xlfn.XLOOKUP(Data_Xuất[[#This Row],[Main SKU]],MD_Main_SKU[Main SKU],MD_Main_SKU[SKU name_gom])</f>
        <v>WSS01</v>
      </c>
    </row>
    <row r="405" spans="1:8" x14ac:dyDescent="0.35">
      <c r="A405">
        <v>2024</v>
      </c>
      <c r="B405">
        <v>10</v>
      </c>
      <c r="C405" t="s">
        <v>24</v>
      </c>
      <c r="D405" t="s">
        <v>25</v>
      </c>
      <c r="E405" t="s">
        <v>117</v>
      </c>
      <c r="F405" t="s">
        <v>86</v>
      </c>
      <c r="G405" s="2">
        <v>14632.004319882868</v>
      </c>
      <c r="H405" t="str">
        <f>_xlfn.XLOOKUP(Data_Xuất[[#This Row],[Main SKU]],MD_Main_SKU[Main SKU],MD_Main_SKU[SKU name_gom])</f>
        <v>WSS01</v>
      </c>
    </row>
    <row r="406" spans="1:8" x14ac:dyDescent="0.35">
      <c r="A406">
        <v>2024</v>
      </c>
      <c r="B406">
        <v>10</v>
      </c>
      <c r="C406" t="s">
        <v>26</v>
      </c>
      <c r="D406" t="s">
        <v>27</v>
      </c>
      <c r="E406" t="s">
        <v>24</v>
      </c>
      <c r="F406" t="s">
        <v>25</v>
      </c>
      <c r="G406" s="2">
        <v>8827.5754425684117</v>
      </c>
      <c r="H406" t="str">
        <f>_xlfn.XLOOKUP(Data_Xuất[[#This Row],[Main SKU]],MD_Main_SKU[Main SKU],MD_Main_SKU[SKU name_gom])</f>
        <v>iSS01</v>
      </c>
    </row>
    <row r="407" spans="1:8" x14ac:dyDescent="0.35">
      <c r="A407">
        <v>2024</v>
      </c>
      <c r="B407">
        <v>10</v>
      </c>
      <c r="C407" t="s">
        <v>26</v>
      </c>
      <c r="D407" t="s">
        <v>27</v>
      </c>
      <c r="E407" t="s">
        <v>26</v>
      </c>
      <c r="F407" t="s">
        <v>27</v>
      </c>
      <c r="G407" s="2">
        <v>222648.89366054477</v>
      </c>
      <c r="H407" t="str">
        <f>_xlfn.XLOOKUP(Data_Xuất[[#This Row],[Main SKU]],MD_Main_SKU[Main SKU],MD_Main_SKU[SKU name_gom])</f>
        <v>iSS01</v>
      </c>
    </row>
    <row r="408" spans="1:8" x14ac:dyDescent="0.35">
      <c r="A408">
        <v>2024</v>
      </c>
      <c r="B408">
        <v>10</v>
      </c>
      <c r="C408" t="s">
        <v>26</v>
      </c>
      <c r="D408" t="s">
        <v>27</v>
      </c>
      <c r="E408" t="s">
        <v>87</v>
      </c>
      <c r="F408" t="s">
        <v>88</v>
      </c>
      <c r="G408" s="2">
        <v>11988.947821874841</v>
      </c>
      <c r="H408" t="str">
        <f>_xlfn.XLOOKUP(Data_Xuất[[#This Row],[Main SKU]],MD_Main_SKU[Main SKU],MD_Main_SKU[SKU name_gom])</f>
        <v>iSS01</v>
      </c>
    </row>
    <row r="409" spans="1:8" x14ac:dyDescent="0.35">
      <c r="A409">
        <v>2024</v>
      </c>
      <c r="B409">
        <v>10</v>
      </c>
      <c r="C409" t="s">
        <v>26</v>
      </c>
      <c r="D409" t="s">
        <v>27</v>
      </c>
      <c r="E409" t="s">
        <v>89</v>
      </c>
      <c r="F409" t="s">
        <v>90</v>
      </c>
      <c r="G409" s="2">
        <v>546.0845961942963</v>
      </c>
      <c r="H409" t="str">
        <f>_xlfn.XLOOKUP(Data_Xuất[[#This Row],[Main SKU]],MD_Main_SKU[Main SKU],MD_Main_SKU[SKU name_gom])</f>
        <v>iSS01</v>
      </c>
    </row>
    <row r="410" spans="1:8" x14ac:dyDescent="0.35">
      <c r="A410">
        <v>2024</v>
      </c>
      <c r="B410">
        <v>10</v>
      </c>
      <c r="C410" t="s">
        <v>26</v>
      </c>
      <c r="D410" t="s">
        <v>27</v>
      </c>
      <c r="E410" t="s">
        <v>117</v>
      </c>
      <c r="F410" t="s">
        <v>86</v>
      </c>
      <c r="G410" s="2">
        <v>5945.498478817718</v>
      </c>
      <c r="H410" t="str">
        <f>_xlfn.XLOOKUP(Data_Xuất[[#This Row],[Main SKU]],MD_Main_SKU[Main SKU],MD_Main_SKU[SKU name_gom])</f>
        <v>iSS01</v>
      </c>
    </row>
    <row r="411" spans="1:8" x14ac:dyDescent="0.35">
      <c r="A411">
        <v>2024</v>
      </c>
      <c r="B411">
        <v>10</v>
      </c>
      <c r="C411" t="s">
        <v>115</v>
      </c>
      <c r="D411" t="s">
        <v>116</v>
      </c>
      <c r="E411" t="s">
        <v>115</v>
      </c>
      <c r="F411" t="s">
        <v>116</v>
      </c>
      <c r="G411" s="2">
        <v>27538.116268206719</v>
      </c>
      <c r="H411" t="str">
        <f>_xlfn.XLOOKUP(Data_Xuất[[#This Row],[Main SKU]],MD_Main_SKU[Main SKU],MD_Main_SKU[SKU name_gom])</f>
        <v>WSS05</v>
      </c>
    </row>
    <row r="412" spans="1:8" x14ac:dyDescent="0.35">
      <c r="A412">
        <v>2024</v>
      </c>
      <c r="B412">
        <v>10</v>
      </c>
      <c r="C412" t="s">
        <v>115</v>
      </c>
      <c r="D412" t="s">
        <v>116</v>
      </c>
      <c r="E412" t="s">
        <v>87</v>
      </c>
      <c r="F412" t="s">
        <v>88</v>
      </c>
      <c r="G412" s="2">
        <v>3886.4537772304557</v>
      </c>
      <c r="H412" t="str">
        <f>_xlfn.XLOOKUP(Data_Xuất[[#This Row],[Main SKU]],MD_Main_SKU[Main SKU],MD_Main_SKU[SKU name_gom])</f>
        <v>WSS05</v>
      </c>
    </row>
    <row r="413" spans="1:8" x14ac:dyDescent="0.35">
      <c r="A413">
        <v>2024</v>
      </c>
      <c r="B413">
        <v>10</v>
      </c>
      <c r="C413" t="s">
        <v>115</v>
      </c>
      <c r="D413" t="s">
        <v>116</v>
      </c>
      <c r="E413" t="s">
        <v>117</v>
      </c>
      <c r="F413" t="s">
        <v>86</v>
      </c>
      <c r="G413" s="2">
        <v>2975.4299545628264</v>
      </c>
      <c r="H413" t="str">
        <f>_xlfn.XLOOKUP(Data_Xuất[[#This Row],[Main SKU]],MD_Main_SKU[Main SKU],MD_Main_SKU[SKU name_gom])</f>
        <v>WSS05</v>
      </c>
    </row>
    <row r="414" spans="1:8" x14ac:dyDescent="0.35">
      <c r="A414">
        <v>2024</v>
      </c>
      <c r="B414">
        <v>11</v>
      </c>
      <c r="C414" t="s">
        <v>8</v>
      </c>
      <c r="D414" t="s">
        <v>9</v>
      </c>
      <c r="E414" t="s">
        <v>8</v>
      </c>
      <c r="F414" t="s">
        <v>9</v>
      </c>
      <c r="G414" s="2">
        <v>401312.44028135668</v>
      </c>
      <c r="H414" t="str">
        <f>_xlfn.XLOOKUP(Data_Xuất[[#This Row],[Main SKU]],MD_Main_SKU[Main SKU],MD_Main_SKU[SKU name_gom])</f>
        <v>WSS01</v>
      </c>
    </row>
    <row r="415" spans="1:8" x14ac:dyDescent="0.35">
      <c r="A415">
        <v>2024</v>
      </c>
      <c r="B415">
        <v>11</v>
      </c>
      <c r="C415" t="s">
        <v>8</v>
      </c>
      <c r="D415" t="s">
        <v>9</v>
      </c>
      <c r="E415" t="s">
        <v>22</v>
      </c>
      <c r="F415" t="s">
        <v>23</v>
      </c>
      <c r="G415" s="2">
        <v>4416.7947697923828</v>
      </c>
      <c r="H415" t="str">
        <f>_xlfn.XLOOKUP(Data_Xuất[[#This Row],[Main SKU]],MD_Main_SKU[Main SKU],MD_Main_SKU[SKU name_gom])</f>
        <v>WSS01</v>
      </c>
    </row>
    <row r="416" spans="1:8" x14ac:dyDescent="0.35">
      <c r="A416">
        <v>2024</v>
      </c>
      <c r="B416">
        <v>11</v>
      </c>
      <c r="C416" t="s">
        <v>8</v>
      </c>
      <c r="D416" t="s">
        <v>9</v>
      </c>
      <c r="E416" t="s">
        <v>87</v>
      </c>
      <c r="F416" t="s">
        <v>88</v>
      </c>
      <c r="G416" s="2">
        <v>4808.720255190663</v>
      </c>
      <c r="H416" t="str">
        <f>_xlfn.XLOOKUP(Data_Xuất[[#This Row],[Main SKU]],MD_Main_SKU[Main SKU],MD_Main_SKU[SKU name_gom])</f>
        <v>WSS01</v>
      </c>
    </row>
    <row r="417" spans="1:8" x14ac:dyDescent="0.35">
      <c r="A417">
        <v>2024</v>
      </c>
      <c r="B417">
        <v>11</v>
      </c>
      <c r="C417" t="s">
        <v>8</v>
      </c>
      <c r="D417" t="s">
        <v>9</v>
      </c>
      <c r="E417" t="s">
        <v>89</v>
      </c>
      <c r="F417" t="s">
        <v>90</v>
      </c>
      <c r="G417" s="2">
        <v>156.54622117877142</v>
      </c>
      <c r="H417" t="str">
        <f>_xlfn.XLOOKUP(Data_Xuất[[#This Row],[Main SKU]],MD_Main_SKU[Main SKU],MD_Main_SKU[SKU name_gom])</f>
        <v>WSS01</v>
      </c>
    </row>
    <row r="418" spans="1:8" x14ac:dyDescent="0.35">
      <c r="A418">
        <v>2024</v>
      </c>
      <c r="B418">
        <v>11</v>
      </c>
      <c r="C418" t="s">
        <v>8</v>
      </c>
      <c r="D418" t="s">
        <v>9</v>
      </c>
      <c r="E418" t="s">
        <v>117</v>
      </c>
      <c r="F418" t="s">
        <v>86</v>
      </c>
      <c r="G418" s="2">
        <v>6800.4984724814658</v>
      </c>
      <c r="H418" t="str">
        <f>_xlfn.XLOOKUP(Data_Xuất[[#This Row],[Main SKU]],MD_Main_SKU[Main SKU],MD_Main_SKU[SKU name_gom])</f>
        <v>WSS01</v>
      </c>
    </row>
    <row r="419" spans="1:8" x14ac:dyDescent="0.35">
      <c r="A419">
        <v>2024</v>
      </c>
      <c r="B419">
        <v>11</v>
      </c>
      <c r="C419" t="s">
        <v>14</v>
      </c>
      <c r="D419" t="s">
        <v>15</v>
      </c>
      <c r="E419" t="s">
        <v>14</v>
      </c>
      <c r="F419" t="s">
        <v>15</v>
      </c>
      <c r="G419" s="2">
        <v>898313.12468556943</v>
      </c>
      <c r="H419" t="str">
        <f>_xlfn.XLOOKUP(Data_Xuất[[#This Row],[Main SKU]],MD_Main_SKU[Main SKU],MD_Main_SKU[SKU name_gom])</f>
        <v>iSS01084</v>
      </c>
    </row>
    <row r="420" spans="1:8" x14ac:dyDescent="0.35">
      <c r="A420">
        <v>2024</v>
      </c>
      <c r="B420">
        <v>11</v>
      </c>
      <c r="C420" t="s">
        <v>14</v>
      </c>
      <c r="D420" t="s">
        <v>15</v>
      </c>
      <c r="E420" t="s">
        <v>18</v>
      </c>
      <c r="F420" t="s">
        <v>19</v>
      </c>
      <c r="G420" s="2">
        <v>6618.7252680084521</v>
      </c>
      <c r="H420" t="str">
        <f>_xlfn.XLOOKUP(Data_Xuất[[#This Row],[Main SKU]],MD_Main_SKU[Main SKU],MD_Main_SKU[SKU name_gom])</f>
        <v>iSS01084</v>
      </c>
    </row>
    <row r="421" spans="1:8" x14ac:dyDescent="0.35">
      <c r="A421">
        <v>2024</v>
      </c>
      <c r="B421">
        <v>11</v>
      </c>
      <c r="C421" t="s">
        <v>14</v>
      </c>
      <c r="D421" t="s">
        <v>15</v>
      </c>
      <c r="E421" t="s">
        <v>22</v>
      </c>
      <c r="F421" t="s">
        <v>23</v>
      </c>
      <c r="G421" s="2">
        <v>68377.069857296869</v>
      </c>
      <c r="H421" t="str">
        <f>_xlfn.XLOOKUP(Data_Xuất[[#This Row],[Main SKU]],MD_Main_SKU[Main SKU],MD_Main_SKU[SKU name_gom])</f>
        <v>iSS01084</v>
      </c>
    </row>
    <row r="422" spans="1:8" x14ac:dyDescent="0.35">
      <c r="A422">
        <v>2024</v>
      </c>
      <c r="B422">
        <v>11</v>
      </c>
      <c r="C422" t="s">
        <v>14</v>
      </c>
      <c r="D422" t="s">
        <v>15</v>
      </c>
      <c r="E422" t="s">
        <v>87</v>
      </c>
      <c r="F422" t="s">
        <v>88</v>
      </c>
      <c r="G422" s="2">
        <v>25932.065479175519</v>
      </c>
      <c r="H422" t="str">
        <f>_xlfn.XLOOKUP(Data_Xuất[[#This Row],[Main SKU]],MD_Main_SKU[Main SKU],MD_Main_SKU[SKU name_gom])</f>
        <v>iSS01084</v>
      </c>
    </row>
    <row r="423" spans="1:8" x14ac:dyDescent="0.35">
      <c r="A423">
        <v>2024</v>
      </c>
      <c r="B423">
        <v>11</v>
      </c>
      <c r="C423" t="s">
        <v>14</v>
      </c>
      <c r="D423" t="s">
        <v>15</v>
      </c>
      <c r="E423" t="s">
        <v>89</v>
      </c>
      <c r="F423" t="s">
        <v>90</v>
      </c>
      <c r="G423" s="2">
        <v>3868.0004106312249</v>
      </c>
      <c r="H423" t="str">
        <f>_xlfn.XLOOKUP(Data_Xuất[[#This Row],[Main SKU]],MD_Main_SKU[Main SKU],MD_Main_SKU[SKU name_gom])</f>
        <v>iSS01084</v>
      </c>
    </row>
    <row r="424" spans="1:8" x14ac:dyDescent="0.35">
      <c r="A424">
        <v>2024</v>
      </c>
      <c r="B424">
        <v>11</v>
      </c>
      <c r="C424" t="s">
        <v>14</v>
      </c>
      <c r="D424" t="s">
        <v>15</v>
      </c>
      <c r="E424" t="s">
        <v>117</v>
      </c>
      <c r="F424" t="s">
        <v>86</v>
      </c>
      <c r="G424" s="2">
        <v>20336.769299318559</v>
      </c>
      <c r="H424" t="str">
        <f>_xlfn.XLOOKUP(Data_Xuất[[#This Row],[Main SKU]],MD_Main_SKU[Main SKU],MD_Main_SKU[SKU name_gom])</f>
        <v>iSS01084</v>
      </c>
    </row>
    <row r="425" spans="1:8" x14ac:dyDescent="0.35">
      <c r="A425">
        <v>2024</v>
      </c>
      <c r="B425">
        <v>11</v>
      </c>
      <c r="C425" t="s">
        <v>16</v>
      </c>
      <c r="D425" t="s">
        <v>17</v>
      </c>
      <c r="E425" t="s">
        <v>16</v>
      </c>
      <c r="F425" t="s">
        <v>17</v>
      </c>
      <c r="G425" s="2">
        <v>1085540.8940627456</v>
      </c>
      <c r="H425" t="str">
        <f>_xlfn.XLOOKUP(Data_Xuất[[#This Row],[Main SKU]],MD_Main_SKU[Main SKU],MD_Main_SKU[SKU name_gom])</f>
        <v>WSS01</v>
      </c>
    </row>
    <row r="426" spans="1:8" x14ac:dyDescent="0.35">
      <c r="A426">
        <v>2024</v>
      </c>
      <c r="B426">
        <v>11</v>
      </c>
      <c r="C426" t="s">
        <v>16</v>
      </c>
      <c r="D426" t="s">
        <v>17</v>
      </c>
      <c r="E426" t="s">
        <v>18</v>
      </c>
      <c r="F426" t="s">
        <v>19</v>
      </c>
      <c r="G426" s="2">
        <v>244661.94927343191</v>
      </c>
      <c r="H426" t="str">
        <f>_xlfn.XLOOKUP(Data_Xuất[[#This Row],[Main SKU]],MD_Main_SKU[Main SKU],MD_Main_SKU[SKU name_gom])</f>
        <v>WSS01</v>
      </c>
    </row>
    <row r="427" spans="1:8" x14ac:dyDescent="0.35">
      <c r="A427">
        <v>2024</v>
      </c>
      <c r="B427">
        <v>11</v>
      </c>
      <c r="C427" t="s">
        <v>16</v>
      </c>
      <c r="D427" t="s">
        <v>17</v>
      </c>
      <c r="E427" t="s">
        <v>20</v>
      </c>
      <c r="F427" t="s">
        <v>21</v>
      </c>
      <c r="G427" s="2">
        <v>5505.401282148774</v>
      </c>
      <c r="H427" t="str">
        <f>_xlfn.XLOOKUP(Data_Xuất[[#This Row],[Main SKU]],MD_Main_SKU[Main SKU],MD_Main_SKU[SKU name_gom])</f>
        <v>WSS01</v>
      </c>
    </row>
    <row r="428" spans="1:8" x14ac:dyDescent="0.35">
      <c r="A428">
        <v>2024</v>
      </c>
      <c r="B428">
        <v>11</v>
      </c>
      <c r="C428" t="s">
        <v>16</v>
      </c>
      <c r="D428" t="s">
        <v>17</v>
      </c>
      <c r="E428" t="s">
        <v>22</v>
      </c>
      <c r="F428" t="s">
        <v>23</v>
      </c>
      <c r="G428" s="2">
        <v>15468.867612214153</v>
      </c>
      <c r="H428" t="str">
        <f>_xlfn.XLOOKUP(Data_Xuất[[#This Row],[Main SKU]],MD_Main_SKU[Main SKU],MD_Main_SKU[SKU name_gom])</f>
        <v>WSS01</v>
      </c>
    </row>
    <row r="429" spans="1:8" x14ac:dyDescent="0.35">
      <c r="A429">
        <v>2024</v>
      </c>
      <c r="B429">
        <v>11</v>
      </c>
      <c r="C429" t="s">
        <v>16</v>
      </c>
      <c r="D429" t="s">
        <v>17</v>
      </c>
      <c r="E429" t="s">
        <v>87</v>
      </c>
      <c r="F429" t="s">
        <v>88</v>
      </c>
      <c r="G429" s="2">
        <v>28554.018224578787</v>
      </c>
      <c r="H429" t="str">
        <f>_xlfn.XLOOKUP(Data_Xuất[[#This Row],[Main SKU]],MD_Main_SKU[Main SKU],MD_Main_SKU[SKU name_gom])</f>
        <v>WSS01</v>
      </c>
    </row>
    <row r="430" spans="1:8" x14ac:dyDescent="0.35">
      <c r="A430">
        <v>2024</v>
      </c>
      <c r="B430">
        <v>11</v>
      </c>
      <c r="C430" t="s">
        <v>16</v>
      </c>
      <c r="D430" t="s">
        <v>17</v>
      </c>
      <c r="E430" t="s">
        <v>89</v>
      </c>
      <c r="F430" t="s">
        <v>90</v>
      </c>
      <c r="G430" s="2">
        <v>7575.0936413909767</v>
      </c>
      <c r="H430" t="str">
        <f>_xlfn.XLOOKUP(Data_Xuất[[#This Row],[Main SKU]],MD_Main_SKU[Main SKU],MD_Main_SKU[SKU name_gom])</f>
        <v>WSS01</v>
      </c>
    </row>
    <row r="431" spans="1:8" x14ac:dyDescent="0.35">
      <c r="A431">
        <v>2024</v>
      </c>
      <c r="B431">
        <v>11</v>
      </c>
      <c r="C431" t="s">
        <v>16</v>
      </c>
      <c r="D431" t="s">
        <v>17</v>
      </c>
      <c r="E431" t="s">
        <v>91</v>
      </c>
      <c r="F431" t="s">
        <v>92</v>
      </c>
      <c r="G431" s="2">
        <v>901.3663744551643</v>
      </c>
      <c r="H431" t="str">
        <f>_xlfn.XLOOKUP(Data_Xuất[[#This Row],[Main SKU]],MD_Main_SKU[Main SKU],MD_Main_SKU[SKU name_gom])</f>
        <v>WSS01</v>
      </c>
    </row>
    <row r="432" spans="1:8" x14ac:dyDescent="0.35">
      <c r="A432">
        <v>2024</v>
      </c>
      <c r="B432">
        <v>11</v>
      </c>
      <c r="C432" t="s">
        <v>16</v>
      </c>
      <c r="D432" t="s">
        <v>17</v>
      </c>
      <c r="E432" t="s">
        <v>117</v>
      </c>
      <c r="F432" t="s">
        <v>86</v>
      </c>
      <c r="G432" s="2">
        <v>19820.409529034561</v>
      </c>
      <c r="H432" t="str">
        <f>_xlfn.XLOOKUP(Data_Xuất[[#This Row],[Main SKU]],MD_Main_SKU[Main SKU],MD_Main_SKU[SKU name_gom])</f>
        <v>WSS01</v>
      </c>
    </row>
    <row r="433" spans="1:8" x14ac:dyDescent="0.35">
      <c r="A433">
        <v>2024</v>
      </c>
      <c r="B433">
        <v>11</v>
      </c>
      <c r="C433" t="s">
        <v>18</v>
      </c>
      <c r="D433" t="s">
        <v>19</v>
      </c>
      <c r="E433" t="s">
        <v>14</v>
      </c>
      <c r="F433" t="s">
        <v>15</v>
      </c>
      <c r="G433" s="2">
        <v>13232.273838630808</v>
      </c>
      <c r="H433" t="str">
        <f>_xlfn.XLOOKUP(Data_Xuất[[#This Row],[Main SKU]],MD_Main_SKU[Main SKU],MD_Main_SKU[SKU name_gom])</f>
        <v>iSS01</v>
      </c>
    </row>
    <row r="434" spans="1:8" x14ac:dyDescent="0.35">
      <c r="A434">
        <v>2024</v>
      </c>
      <c r="B434">
        <v>11</v>
      </c>
      <c r="C434" t="s">
        <v>18</v>
      </c>
      <c r="D434" t="s">
        <v>19</v>
      </c>
      <c r="E434" t="s">
        <v>16</v>
      </c>
      <c r="F434" t="s">
        <v>17</v>
      </c>
      <c r="G434" s="2">
        <v>24232.69590521721</v>
      </c>
      <c r="H434" t="str">
        <f>_xlfn.XLOOKUP(Data_Xuất[[#This Row],[Main SKU]],MD_Main_SKU[Main SKU],MD_Main_SKU[SKU name_gom])</f>
        <v>iSS01</v>
      </c>
    </row>
    <row r="435" spans="1:8" x14ac:dyDescent="0.35">
      <c r="A435">
        <v>2024</v>
      </c>
      <c r="B435">
        <v>11</v>
      </c>
      <c r="C435" t="s">
        <v>18</v>
      </c>
      <c r="D435" t="s">
        <v>19</v>
      </c>
      <c r="E435" t="s">
        <v>18</v>
      </c>
      <c r="F435" t="s">
        <v>19</v>
      </c>
      <c r="G435" s="2">
        <v>144294.68925379339</v>
      </c>
      <c r="H435" t="str">
        <f>_xlfn.XLOOKUP(Data_Xuất[[#This Row],[Main SKU]],MD_Main_SKU[Main SKU],MD_Main_SKU[SKU name_gom])</f>
        <v>iSS01</v>
      </c>
    </row>
    <row r="436" spans="1:8" x14ac:dyDescent="0.35">
      <c r="A436">
        <v>2024</v>
      </c>
      <c r="B436">
        <v>11</v>
      </c>
      <c r="C436" t="s">
        <v>18</v>
      </c>
      <c r="D436" t="s">
        <v>19</v>
      </c>
      <c r="E436" t="s">
        <v>22</v>
      </c>
      <c r="F436" t="s">
        <v>23</v>
      </c>
      <c r="G436" s="2">
        <v>25341.401936983246</v>
      </c>
      <c r="H436" t="str">
        <f>_xlfn.XLOOKUP(Data_Xuất[[#This Row],[Main SKU]],MD_Main_SKU[Main SKU],MD_Main_SKU[SKU name_gom])</f>
        <v>iSS01</v>
      </c>
    </row>
    <row r="437" spans="1:8" x14ac:dyDescent="0.35">
      <c r="A437">
        <v>2024</v>
      </c>
      <c r="B437">
        <v>11</v>
      </c>
      <c r="C437" t="s">
        <v>18</v>
      </c>
      <c r="D437" t="s">
        <v>19</v>
      </c>
      <c r="E437" t="s">
        <v>87</v>
      </c>
      <c r="F437" t="s">
        <v>88</v>
      </c>
      <c r="G437" s="2">
        <v>4056.1828816297616</v>
      </c>
      <c r="H437" t="str">
        <f>_xlfn.XLOOKUP(Data_Xuất[[#This Row],[Main SKU]],MD_Main_SKU[Main SKU],MD_Main_SKU[SKU name_gom])</f>
        <v>iSS01</v>
      </c>
    </row>
    <row r="438" spans="1:8" x14ac:dyDescent="0.35">
      <c r="A438">
        <v>2024</v>
      </c>
      <c r="B438">
        <v>11</v>
      </c>
      <c r="C438" t="s">
        <v>18</v>
      </c>
      <c r="D438" t="s">
        <v>19</v>
      </c>
      <c r="E438" t="s">
        <v>89</v>
      </c>
      <c r="F438" t="s">
        <v>90</v>
      </c>
      <c r="G438" s="2">
        <v>500.67553523176053</v>
      </c>
      <c r="H438" t="str">
        <f>_xlfn.XLOOKUP(Data_Xuất[[#This Row],[Main SKU]],MD_Main_SKU[Main SKU],MD_Main_SKU[SKU name_gom])</f>
        <v>iSS01</v>
      </c>
    </row>
    <row r="439" spans="1:8" x14ac:dyDescent="0.35">
      <c r="A439">
        <v>2024</v>
      </c>
      <c r="B439">
        <v>11</v>
      </c>
      <c r="C439" t="s">
        <v>18</v>
      </c>
      <c r="D439" t="s">
        <v>19</v>
      </c>
      <c r="E439" t="s">
        <v>117</v>
      </c>
      <c r="F439" t="s">
        <v>86</v>
      </c>
      <c r="G439" s="2">
        <v>1542.0806485138223</v>
      </c>
      <c r="H439" t="str">
        <f>_xlfn.XLOOKUP(Data_Xuất[[#This Row],[Main SKU]],MD_Main_SKU[Main SKU],MD_Main_SKU[SKU name_gom])</f>
        <v>iSS01</v>
      </c>
    </row>
    <row r="440" spans="1:8" x14ac:dyDescent="0.35">
      <c r="A440">
        <v>2024</v>
      </c>
      <c r="B440">
        <v>11</v>
      </c>
      <c r="C440" t="s">
        <v>22</v>
      </c>
      <c r="D440" t="s">
        <v>23</v>
      </c>
      <c r="E440" t="s">
        <v>20</v>
      </c>
      <c r="F440" t="s">
        <v>21</v>
      </c>
      <c r="G440" s="2">
        <v>1122.4489795918366</v>
      </c>
      <c r="H440" t="str">
        <f>_xlfn.XLOOKUP(Data_Xuất[[#This Row],[Main SKU]],MD_Main_SKU[Main SKU],MD_Main_SKU[SKU name_gom])</f>
        <v>WSS03</v>
      </c>
    </row>
    <row r="441" spans="1:8" x14ac:dyDescent="0.35">
      <c r="A441">
        <v>2024</v>
      </c>
      <c r="B441">
        <v>11</v>
      </c>
      <c r="C441" t="s">
        <v>22</v>
      </c>
      <c r="D441" t="s">
        <v>23</v>
      </c>
      <c r="E441" t="s">
        <v>22</v>
      </c>
      <c r="F441" t="s">
        <v>23</v>
      </c>
      <c r="G441" s="2">
        <v>94648.910851988112</v>
      </c>
      <c r="H441" t="str">
        <f>_xlfn.XLOOKUP(Data_Xuất[[#This Row],[Main SKU]],MD_Main_SKU[Main SKU],MD_Main_SKU[SKU name_gom])</f>
        <v>WSS03</v>
      </c>
    </row>
    <row r="442" spans="1:8" x14ac:dyDescent="0.35">
      <c r="A442">
        <v>2024</v>
      </c>
      <c r="B442">
        <v>11</v>
      </c>
      <c r="C442" t="s">
        <v>22</v>
      </c>
      <c r="D442" t="s">
        <v>23</v>
      </c>
      <c r="E442" t="s">
        <v>87</v>
      </c>
      <c r="F442" t="s">
        <v>88</v>
      </c>
      <c r="G442" s="2">
        <v>3847.2861864082165</v>
      </c>
      <c r="H442" t="str">
        <f>_xlfn.XLOOKUP(Data_Xuất[[#This Row],[Main SKU]],MD_Main_SKU[Main SKU],MD_Main_SKU[SKU name_gom])</f>
        <v>WSS03</v>
      </c>
    </row>
    <row r="443" spans="1:8" x14ac:dyDescent="0.35">
      <c r="A443">
        <v>2024</v>
      </c>
      <c r="B443">
        <v>11</v>
      </c>
      <c r="C443" t="s">
        <v>22</v>
      </c>
      <c r="D443" t="s">
        <v>23</v>
      </c>
      <c r="E443" t="s">
        <v>89</v>
      </c>
      <c r="F443" t="s">
        <v>90</v>
      </c>
      <c r="G443" s="2">
        <v>408.16326530612247</v>
      </c>
      <c r="H443" t="str">
        <f>_xlfn.XLOOKUP(Data_Xuất[[#This Row],[Main SKU]],MD_Main_SKU[Main SKU],MD_Main_SKU[SKU name_gom])</f>
        <v>WSS03</v>
      </c>
    </row>
    <row r="444" spans="1:8" x14ac:dyDescent="0.35">
      <c r="A444">
        <v>2024</v>
      </c>
      <c r="B444">
        <v>11</v>
      </c>
      <c r="C444" t="s">
        <v>22</v>
      </c>
      <c r="D444" t="s">
        <v>23</v>
      </c>
      <c r="E444" t="s">
        <v>117</v>
      </c>
      <c r="F444" t="s">
        <v>86</v>
      </c>
      <c r="G444" s="2">
        <v>4973.1907167057134</v>
      </c>
      <c r="H444" t="str">
        <f>_xlfn.XLOOKUP(Data_Xuất[[#This Row],[Main SKU]],MD_Main_SKU[Main SKU],MD_Main_SKU[SKU name_gom])</f>
        <v>WSS03</v>
      </c>
    </row>
    <row r="445" spans="1:8" x14ac:dyDescent="0.35">
      <c r="A445">
        <v>2024</v>
      </c>
      <c r="B445">
        <v>11</v>
      </c>
      <c r="C445" t="s">
        <v>24</v>
      </c>
      <c r="D445" t="s">
        <v>25</v>
      </c>
      <c r="E445" t="s">
        <v>24</v>
      </c>
      <c r="F445" t="s">
        <v>25</v>
      </c>
      <c r="G445" s="2">
        <v>10000</v>
      </c>
      <c r="H445" t="str">
        <f>_xlfn.XLOOKUP(Data_Xuất[[#This Row],[Main SKU]],MD_Main_SKU[Main SKU],MD_Main_SKU[SKU name_gom])</f>
        <v>WSS01</v>
      </c>
    </row>
    <row r="446" spans="1:8" x14ac:dyDescent="0.35">
      <c r="A446">
        <v>2024</v>
      </c>
      <c r="B446">
        <v>11</v>
      </c>
      <c r="C446" t="s">
        <v>26</v>
      </c>
      <c r="D446" t="s">
        <v>27</v>
      </c>
      <c r="E446" t="s">
        <v>22</v>
      </c>
      <c r="F446" t="s">
        <v>23</v>
      </c>
      <c r="G446" s="2">
        <v>15477.573934388758</v>
      </c>
      <c r="H446" t="str">
        <f>_xlfn.XLOOKUP(Data_Xuất[[#This Row],[Main SKU]],MD_Main_SKU[Main SKU],MD_Main_SKU[SKU name_gom])</f>
        <v>iSS01</v>
      </c>
    </row>
    <row r="447" spans="1:8" x14ac:dyDescent="0.35">
      <c r="A447">
        <v>2024</v>
      </c>
      <c r="B447">
        <v>11</v>
      </c>
      <c r="C447" t="s">
        <v>26</v>
      </c>
      <c r="D447" t="s">
        <v>27</v>
      </c>
      <c r="E447" t="s">
        <v>24</v>
      </c>
      <c r="F447" t="s">
        <v>25</v>
      </c>
      <c r="G447" s="2">
        <v>56268.50773789754</v>
      </c>
      <c r="H447" t="str">
        <f>_xlfn.XLOOKUP(Data_Xuất[[#This Row],[Main SKU]],MD_Main_SKU[Main SKU],MD_Main_SKU[SKU name_gom])</f>
        <v>iSS01</v>
      </c>
    </row>
    <row r="448" spans="1:8" x14ac:dyDescent="0.35">
      <c r="A448">
        <v>2024</v>
      </c>
      <c r="B448">
        <v>11</v>
      </c>
      <c r="C448" t="s">
        <v>26</v>
      </c>
      <c r="D448" t="s">
        <v>27</v>
      </c>
      <c r="E448" t="s">
        <v>26</v>
      </c>
      <c r="F448" t="s">
        <v>27</v>
      </c>
      <c r="G448" s="2">
        <v>1047270.7704020517</v>
      </c>
      <c r="H448" t="str">
        <f>_xlfn.XLOOKUP(Data_Xuất[[#This Row],[Main SKU]],MD_Main_SKU[Main SKU],MD_Main_SKU[SKU name_gom])</f>
        <v>iSS01</v>
      </c>
    </row>
    <row r="449" spans="1:8" x14ac:dyDescent="0.35">
      <c r="A449">
        <v>2024</v>
      </c>
      <c r="B449">
        <v>11</v>
      </c>
      <c r="C449" t="s">
        <v>26</v>
      </c>
      <c r="D449" t="s">
        <v>27</v>
      </c>
      <c r="E449" t="s">
        <v>87</v>
      </c>
      <c r="F449" t="s">
        <v>88</v>
      </c>
      <c r="G449" s="2">
        <v>50087.781651451041</v>
      </c>
      <c r="H449" t="str">
        <f>_xlfn.XLOOKUP(Data_Xuất[[#This Row],[Main SKU]],MD_Main_SKU[Main SKU],MD_Main_SKU[SKU name_gom])</f>
        <v>iSS01</v>
      </c>
    </row>
    <row r="450" spans="1:8" x14ac:dyDescent="0.35">
      <c r="A450">
        <v>2024</v>
      </c>
      <c r="B450">
        <v>11</v>
      </c>
      <c r="C450" t="s">
        <v>26</v>
      </c>
      <c r="D450" t="s">
        <v>27</v>
      </c>
      <c r="E450" t="s">
        <v>89</v>
      </c>
      <c r="F450" t="s">
        <v>90</v>
      </c>
      <c r="G450" s="2">
        <v>4543.788434658617</v>
      </c>
      <c r="H450" t="str">
        <f>_xlfn.XLOOKUP(Data_Xuất[[#This Row],[Main SKU]],MD_Main_SKU[Main SKU],MD_Main_SKU[SKU name_gom])</f>
        <v>iSS01</v>
      </c>
    </row>
    <row r="451" spans="1:8" x14ac:dyDescent="0.35">
      <c r="A451">
        <v>2024</v>
      </c>
      <c r="B451">
        <v>11</v>
      </c>
      <c r="C451" t="s">
        <v>26</v>
      </c>
      <c r="D451" t="s">
        <v>27</v>
      </c>
      <c r="E451" t="s">
        <v>117</v>
      </c>
      <c r="F451" t="s">
        <v>86</v>
      </c>
      <c r="G451" s="2">
        <v>30355.577839552341</v>
      </c>
      <c r="H451" t="str">
        <f>_xlfn.XLOOKUP(Data_Xuất[[#This Row],[Main SKU]],MD_Main_SKU[Main SKU],MD_Main_SKU[SKU name_gom])</f>
        <v>iSS01</v>
      </c>
    </row>
    <row r="452" spans="1:8" x14ac:dyDescent="0.35">
      <c r="A452">
        <v>2024</v>
      </c>
      <c r="B452">
        <v>11</v>
      </c>
      <c r="C452" t="s">
        <v>115</v>
      </c>
      <c r="D452" t="s">
        <v>116</v>
      </c>
      <c r="E452" t="s">
        <v>115</v>
      </c>
      <c r="F452" t="s">
        <v>116</v>
      </c>
      <c r="G452" s="2">
        <v>151586</v>
      </c>
      <c r="H452" t="str">
        <f>_xlfn.XLOOKUP(Data_Xuất[[#This Row],[Main SKU]],MD_Main_SKU[Main SKU],MD_Main_SKU[SKU name_gom])</f>
        <v>WSS05</v>
      </c>
    </row>
    <row r="453" spans="1:8" x14ac:dyDescent="0.35">
      <c r="A453">
        <v>2024</v>
      </c>
      <c r="B453">
        <v>11</v>
      </c>
      <c r="C453" t="s">
        <v>115</v>
      </c>
      <c r="D453" t="s">
        <v>116</v>
      </c>
      <c r="E453" t="s">
        <v>87</v>
      </c>
      <c r="F453" t="s">
        <v>88</v>
      </c>
      <c r="G453" s="2">
        <v>5921</v>
      </c>
      <c r="H453" t="str">
        <f>_xlfn.XLOOKUP(Data_Xuất[[#This Row],[Main SKU]],MD_Main_SKU[Main SKU],MD_Main_SKU[SKU name_gom])</f>
        <v>WSS05</v>
      </c>
    </row>
    <row r="454" spans="1:8" x14ac:dyDescent="0.35">
      <c r="A454">
        <v>2024</v>
      </c>
      <c r="B454">
        <v>11</v>
      </c>
      <c r="C454" t="s">
        <v>115</v>
      </c>
      <c r="D454" t="s">
        <v>116</v>
      </c>
      <c r="E454" t="s">
        <v>117</v>
      </c>
      <c r="F454" t="s">
        <v>86</v>
      </c>
      <c r="G454" s="2">
        <v>3580</v>
      </c>
      <c r="H454" t="str">
        <f>_xlfn.XLOOKUP(Data_Xuất[[#This Row],[Main SKU]],MD_Main_SKU[Main SKU],MD_Main_SKU[SKU name_gom])</f>
        <v>WSS05</v>
      </c>
    </row>
    <row r="455" spans="1:8" x14ac:dyDescent="0.35">
      <c r="A455">
        <v>2024</v>
      </c>
      <c r="B455">
        <v>12</v>
      </c>
      <c r="C455" t="s">
        <v>8</v>
      </c>
      <c r="D455" t="s">
        <v>9</v>
      </c>
      <c r="E455" t="s">
        <v>8</v>
      </c>
      <c r="F455" t="s">
        <v>9</v>
      </c>
      <c r="G455" s="2">
        <v>955032.01890255813</v>
      </c>
      <c r="H455" t="str">
        <f>_xlfn.XLOOKUP(Data_Xuất[[#This Row],[Main SKU]],MD_Main_SKU[Main SKU],MD_Main_SKU[SKU name_gom])</f>
        <v>WSS01</v>
      </c>
    </row>
    <row r="456" spans="1:8" x14ac:dyDescent="0.35">
      <c r="A456">
        <v>2024</v>
      </c>
      <c r="B456">
        <v>12</v>
      </c>
      <c r="C456" t="s">
        <v>8</v>
      </c>
      <c r="D456" t="s">
        <v>9</v>
      </c>
      <c r="E456" t="s">
        <v>22</v>
      </c>
      <c r="F456" t="s">
        <v>23</v>
      </c>
      <c r="G456" s="2">
        <v>5507.7391863446192</v>
      </c>
      <c r="H456" t="str">
        <f>_xlfn.XLOOKUP(Data_Xuất[[#This Row],[Main SKU]],MD_Main_SKU[Main SKU],MD_Main_SKU[SKU name_gom])</f>
        <v>WSS01</v>
      </c>
    </row>
    <row r="457" spans="1:8" x14ac:dyDescent="0.35">
      <c r="A457">
        <v>2024</v>
      </c>
      <c r="B457">
        <v>12</v>
      </c>
      <c r="C457" t="s">
        <v>8</v>
      </c>
      <c r="D457" t="s">
        <v>9</v>
      </c>
      <c r="E457" t="s">
        <v>34</v>
      </c>
      <c r="F457" t="s">
        <v>35</v>
      </c>
      <c r="G457" s="2">
        <v>2202.8606848515501</v>
      </c>
      <c r="H457" t="str">
        <f>_xlfn.XLOOKUP(Data_Xuất[[#This Row],[Main SKU]],MD_Main_SKU[Main SKU],MD_Main_SKU[SKU name_gom])</f>
        <v>WSS01</v>
      </c>
    </row>
    <row r="458" spans="1:8" x14ac:dyDescent="0.35">
      <c r="A458">
        <v>2024</v>
      </c>
      <c r="B458">
        <v>12</v>
      </c>
      <c r="C458" t="s">
        <v>8</v>
      </c>
      <c r="D458" t="s">
        <v>9</v>
      </c>
      <c r="E458" t="s">
        <v>36</v>
      </c>
      <c r="F458" t="s">
        <v>37</v>
      </c>
      <c r="G458" s="2">
        <v>12107.677748989232</v>
      </c>
      <c r="H458" t="str">
        <f>_xlfn.XLOOKUP(Data_Xuất[[#This Row],[Main SKU]],MD_Main_SKU[Main SKU],MD_Main_SKU[SKU name_gom])</f>
        <v>WSS01</v>
      </c>
    </row>
    <row r="459" spans="1:8" x14ac:dyDescent="0.35">
      <c r="A459">
        <v>2024</v>
      </c>
      <c r="B459">
        <v>12</v>
      </c>
      <c r="C459" t="s">
        <v>8</v>
      </c>
      <c r="D459" t="s">
        <v>9</v>
      </c>
      <c r="E459" t="s">
        <v>87</v>
      </c>
      <c r="F459" t="s">
        <v>88</v>
      </c>
      <c r="G459" s="2">
        <v>13620.299325175072</v>
      </c>
      <c r="H459" t="str">
        <f>_xlfn.XLOOKUP(Data_Xuất[[#This Row],[Main SKU]],MD_Main_SKU[Main SKU],MD_Main_SKU[SKU name_gom])</f>
        <v>WSS01</v>
      </c>
    </row>
    <row r="460" spans="1:8" x14ac:dyDescent="0.35">
      <c r="A460">
        <v>2024</v>
      </c>
      <c r="B460">
        <v>12</v>
      </c>
      <c r="C460" t="s">
        <v>8</v>
      </c>
      <c r="D460" t="s">
        <v>9</v>
      </c>
      <c r="E460" t="s">
        <v>89</v>
      </c>
      <c r="F460" t="s">
        <v>90</v>
      </c>
      <c r="G460" s="2">
        <v>9168.8076966239696</v>
      </c>
      <c r="H460" t="str">
        <f>_xlfn.XLOOKUP(Data_Xuất[[#This Row],[Main SKU]],MD_Main_SKU[Main SKU],MD_Main_SKU[SKU name_gom])</f>
        <v>WSS01</v>
      </c>
    </row>
    <row r="461" spans="1:8" x14ac:dyDescent="0.35">
      <c r="A461">
        <v>2024</v>
      </c>
      <c r="B461">
        <v>12</v>
      </c>
      <c r="C461" t="s">
        <v>8</v>
      </c>
      <c r="D461" t="s">
        <v>9</v>
      </c>
      <c r="E461" t="s">
        <v>91</v>
      </c>
      <c r="F461" t="s">
        <v>92</v>
      </c>
      <c r="G461" s="2">
        <v>350.48307050773792</v>
      </c>
      <c r="H461" t="str">
        <f>_xlfn.XLOOKUP(Data_Xuất[[#This Row],[Main SKU]],MD_Main_SKU[Main SKU],MD_Main_SKU[SKU name_gom])</f>
        <v>WSS01</v>
      </c>
    </row>
    <row r="462" spans="1:8" x14ac:dyDescent="0.35">
      <c r="A462">
        <v>2024</v>
      </c>
      <c r="B462">
        <v>12</v>
      </c>
      <c r="C462" t="s">
        <v>8</v>
      </c>
      <c r="D462" t="s">
        <v>9</v>
      </c>
      <c r="E462" t="s">
        <v>117</v>
      </c>
      <c r="F462" t="s">
        <v>86</v>
      </c>
      <c r="G462" s="2">
        <v>18910.11338494964</v>
      </c>
      <c r="H462" t="str">
        <f>_xlfn.XLOOKUP(Data_Xuất[[#This Row],[Main SKU]],MD_Main_SKU[Main SKU],MD_Main_SKU[SKU name_gom])</f>
        <v>WSS01</v>
      </c>
    </row>
    <row r="463" spans="1:8" x14ac:dyDescent="0.35">
      <c r="A463">
        <v>2024</v>
      </c>
      <c r="B463">
        <v>12</v>
      </c>
      <c r="C463" t="s">
        <v>14</v>
      </c>
      <c r="D463" t="s">
        <v>15</v>
      </c>
      <c r="E463" t="s">
        <v>14</v>
      </c>
      <c r="F463" t="s">
        <v>15</v>
      </c>
      <c r="G463" s="2">
        <v>970890.83503569569</v>
      </c>
      <c r="H463" t="str">
        <f>_xlfn.XLOOKUP(Data_Xuất[[#This Row],[Main SKU]],MD_Main_SKU[Main SKU],MD_Main_SKU[SKU name_gom])</f>
        <v>iSS01084</v>
      </c>
    </row>
    <row r="464" spans="1:8" x14ac:dyDescent="0.35">
      <c r="A464">
        <v>2024</v>
      </c>
      <c r="B464">
        <v>12</v>
      </c>
      <c r="C464" t="s">
        <v>14</v>
      </c>
      <c r="D464" t="s">
        <v>15</v>
      </c>
      <c r="E464" t="s">
        <v>18</v>
      </c>
      <c r="F464" t="s">
        <v>19</v>
      </c>
      <c r="G464" s="2">
        <v>1102.6322786492954</v>
      </c>
      <c r="H464" t="str">
        <f>_xlfn.XLOOKUP(Data_Xuất[[#This Row],[Main SKU]],MD_Main_SKU[Main SKU],MD_Main_SKU[SKU name_gom])</f>
        <v>iSS01084</v>
      </c>
    </row>
    <row r="465" spans="1:8" x14ac:dyDescent="0.35">
      <c r="A465">
        <v>2024</v>
      </c>
      <c r="B465">
        <v>12</v>
      </c>
      <c r="C465" t="s">
        <v>14</v>
      </c>
      <c r="D465" t="s">
        <v>15</v>
      </c>
      <c r="E465" t="s">
        <v>22</v>
      </c>
      <c r="F465" t="s">
        <v>23</v>
      </c>
      <c r="G465" s="2">
        <v>26448.396621109809</v>
      </c>
      <c r="H465" t="str">
        <f>_xlfn.XLOOKUP(Data_Xuất[[#This Row],[Main SKU]],MD_Main_SKU[Main SKU],MD_Main_SKU[SKU name_gom])</f>
        <v>iSS01084</v>
      </c>
    </row>
    <row r="466" spans="1:8" x14ac:dyDescent="0.35">
      <c r="A466">
        <v>2024</v>
      </c>
      <c r="B466">
        <v>12</v>
      </c>
      <c r="C466" t="s">
        <v>14</v>
      </c>
      <c r="D466" t="s">
        <v>15</v>
      </c>
      <c r="E466" t="s">
        <v>38</v>
      </c>
      <c r="F466" t="s">
        <v>39</v>
      </c>
      <c r="G466" s="2">
        <v>13204.44192546528</v>
      </c>
      <c r="H466" t="str">
        <f>_xlfn.XLOOKUP(Data_Xuất[[#This Row],[Main SKU]],MD_Main_SKU[Main SKU],MD_Main_SKU[SKU name_gom])</f>
        <v>iSS01084</v>
      </c>
    </row>
    <row r="467" spans="1:8" x14ac:dyDescent="0.35">
      <c r="A467">
        <v>2024</v>
      </c>
      <c r="B467">
        <v>12</v>
      </c>
      <c r="C467" t="s">
        <v>14</v>
      </c>
      <c r="D467" t="s">
        <v>15</v>
      </c>
      <c r="E467" t="s">
        <v>34</v>
      </c>
      <c r="F467" t="s">
        <v>35</v>
      </c>
      <c r="G467" s="2">
        <v>3304.6941343193985</v>
      </c>
      <c r="H467" t="str">
        <f>_xlfn.XLOOKUP(Data_Xuất[[#This Row],[Main SKU]],MD_Main_SKU[Main SKU],MD_Main_SKU[SKU name_gom])</f>
        <v>iSS01084</v>
      </c>
    </row>
    <row r="468" spans="1:8" x14ac:dyDescent="0.35">
      <c r="A468">
        <v>2024</v>
      </c>
      <c r="B468">
        <v>12</v>
      </c>
      <c r="C468" t="s">
        <v>14</v>
      </c>
      <c r="D468" t="s">
        <v>15</v>
      </c>
      <c r="E468" t="s">
        <v>87</v>
      </c>
      <c r="F468" t="s">
        <v>88</v>
      </c>
      <c r="G468" s="2">
        <v>16335.402662344855</v>
      </c>
      <c r="H468" t="str">
        <f>_xlfn.XLOOKUP(Data_Xuất[[#This Row],[Main SKU]],MD_Main_SKU[Main SKU],MD_Main_SKU[SKU name_gom])</f>
        <v>iSS01084</v>
      </c>
    </row>
    <row r="469" spans="1:8" x14ac:dyDescent="0.35">
      <c r="A469">
        <v>2024</v>
      </c>
      <c r="B469">
        <v>12</v>
      </c>
      <c r="C469" t="s">
        <v>14</v>
      </c>
      <c r="D469" t="s">
        <v>15</v>
      </c>
      <c r="E469" t="s">
        <v>89</v>
      </c>
      <c r="F469" t="s">
        <v>90</v>
      </c>
      <c r="G469" s="2">
        <v>6010.31192708654</v>
      </c>
      <c r="H469" t="str">
        <f>_xlfn.XLOOKUP(Data_Xuất[[#This Row],[Main SKU]],MD_Main_SKU[Main SKU],MD_Main_SKU[SKU name_gom])</f>
        <v>iSS01084</v>
      </c>
    </row>
    <row r="470" spans="1:8" x14ac:dyDescent="0.35">
      <c r="A470">
        <v>2024</v>
      </c>
      <c r="B470">
        <v>12</v>
      </c>
      <c r="C470" t="s">
        <v>14</v>
      </c>
      <c r="D470" t="s">
        <v>15</v>
      </c>
      <c r="E470" t="s">
        <v>91</v>
      </c>
      <c r="F470" t="s">
        <v>92</v>
      </c>
      <c r="G470" s="2">
        <v>3725.6271703965767</v>
      </c>
      <c r="H470" t="str">
        <f>_xlfn.XLOOKUP(Data_Xuất[[#This Row],[Main SKU]],MD_Main_SKU[Main SKU],MD_Main_SKU[SKU name_gom])</f>
        <v>iSS01084</v>
      </c>
    </row>
    <row r="471" spans="1:8" x14ac:dyDescent="0.35">
      <c r="A471">
        <v>2024</v>
      </c>
      <c r="B471">
        <v>12</v>
      </c>
      <c r="C471" t="s">
        <v>14</v>
      </c>
      <c r="D471" t="s">
        <v>15</v>
      </c>
      <c r="E471" t="s">
        <v>117</v>
      </c>
      <c r="F471" t="s">
        <v>86</v>
      </c>
      <c r="G471" s="2">
        <v>8377.6582449323942</v>
      </c>
      <c r="H471" t="str">
        <f>_xlfn.XLOOKUP(Data_Xuất[[#This Row],[Main SKU]],MD_Main_SKU[Main SKU],MD_Main_SKU[SKU name_gom])</f>
        <v>iSS01084</v>
      </c>
    </row>
    <row r="472" spans="1:8" x14ac:dyDescent="0.35">
      <c r="A472">
        <v>2024</v>
      </c>
      <c r="B472">
        <v>12</v>
      </c>
      <c r="C472" t="s">
        <v>16</v>
      </c>
      <c r="D472" t="s">
        <v>17</v>
      </c>
      <c r="E472" t="s">
        <v>16</v>
      </c>
      <c r="F472" t="s">
        <v>17</v>
      </c>
      <c r="G472" s="2">
        <v>777076.52195259393</v>
      </c>
      <c r="H472" t="str">
        <f>_xlfn.XLOOKUP(Data_Xuất[[#This Row],[Main SKU]],MD_Main_SKU[Main SKU],MD_Main_SKU[SKU name_gom])</f>
        <v>WSS01</v>
      </c>
    </row>
    <row r="473" spans="1:8" x14ac:dyDescent="0.35">
      <c r="A473">
        <v>2024</v>
      </c>
      <c r="B473">
        <v>12</v>
      </c>
      <c r="C473" t="s">
        <v>16</v>
      </c>
      <c r="D473" t="s">
        <v>17</v>
      </c>
      <c r="E473" t="s">
        <v>18</v>
      </c>
      <c r="F473" t="s">
        <v>19</v>
      </c>
      <c r="G473" s="2">
        <v>102470.23586408916</v>
      </c>
      <c r="H473" t="str">
        <f>_xlfn.XLOOKUP(Data_Xuất[[#This Row],[Main SKU]],MD_Main_SKU[Main SKU],MD_Main_SKU[SKU name_gom])</f>
        <v>WSS01</v>
      </c>
    </row>
    <row r="474" spans="1:8" x14ac:dyDescent="0.35">
      <c r="A474">
        <v>2024</v>
      </c>
      <c r="B474">
        <v>12</v>
      </c>
      <c r="C474" t="s">
        <v>16</v>
      </c>
      <c r="D474" t="s">
        <v>17</v>
      </c>
      <c r="E474" t="s">
        <v>20</v>
      </c>
      <c r="F474" t="s">
        <v>21</v>
      </c>
      <c r="G474" s="2">
        <v>2202.3255813953488</v>
      </c>
      <c r="H474" t="str">
        <f>_xlfn.XLOOKUP(Data_Xuất[[#This Row],[Main SKU]],MD_Main_SKU[Main SKU],MD_Main_SKU[SKU name_gom])</f>
        <v>WSS01</v>
      </c>
    </row>
    <row r="475" spans="1:8" x14ac:dyDescent="0.35">
      <c r="A475">
        <v>2024</v>
      </c>
      <c r="B475">
        <v>12</v>
      </c>
      <c r="C475" t="s">
        <v>16</v>
      </c>
      <c r="D475" t="s">
        <v>17</v>
      </c>
      <c r="E475" t="s">
        <v>22</v>
      </c>
      <c r="F475" t="s">
        <v>23</v>
      </c>
      <c r="G475" s="2">
        <v>7715.2333681071996</v>
      </c>
      <c r="H475" t="str">
        <f>_xlfn.XLOOKUP(Data_Xuất[[#This Row],[Main SKU]],MD_Main_SKU[Main SKU],MD_Main_SKU[SKU name_gom])</f>
        <v>WSS01</v>
      </c>
    </row>
    <row r="476" spans="1:8" x14ac:dyDescent="0.35">
      <c r="A476">
        <v>2024</v>
      </c>
      <c r="B476">
        <v>12</v>
      </c>
      <c r="C476" t="s">
        <v>16</v>
      </c>
      <c r="D476" t="s">
        <v>17</v>
      </c>
      <c r="E476" t="s">
        <v>40</v>
      </c>
      <c r="F476" t="s">
        <v>41</v>
      </c>
      <c r="G476" s="2">
        <v>1102.247300321043</v>
      </c>
      <c r="H476" t="str">
        <f>_xlfn.XLOOKUP(Data_Xuất[[#This Row],[Main SKU]],MD_Main_SKU[Main SKU],MD_Main_SKU[SKU name_gom])</f>
        <v>WSS01</v>
      </c>
    </row>
    <row r="477" spans="1:8" x14ac:dyDescent="0.35">
      <c r="A477">
        <v>2024</v>
      </c>
      <c r="B477">
        <v>12</v>
      </c>
      <c r="C477" t="s">
        <v>16</v>
      </c>
      <c r="D477" t="s">
        <v>17</v>
      </c>
      <c r="E477" t="s">
        <v>34</v>
      </c>
      <c r="F477" t="s">
        <v>35</v>
      </c>
      <c r="G477" s="2">
        <v>1102.2244691607684</v>
      </c>
      <c r="H477" t="str">
        <f>_xlfn.XLOOKUP(Data_Xuất[[#This Row],[Main SKU]],MD_Main_SKU[Main SKU],MD_Main_SKU[SKU name_gom])</f>
        <v>WSS01</v>
      </c>
    </row>
    <row r="478" spans="1:8" x14ac:dyDescent="0.35">
      <c r="A478">
        <v>2024</v>
      </c>
      <c r="B478">
        <v>12</v>
      </c>
      <c r="C478" t="s">
        <v>16</v>
      </c>
      <c r="D478" t="s">
        <v>17</v>
      </c>
      <c r="E478" t="s">
        <v>87</v>
      </c>
      <c r="F478" t="s">
        <v>88</v>
      </c>
      <c r="G478" s="2">
        <v>9156.9128928842365</v>
      </c>
      <c r="H478" t="str">
        <f>_xlfn.XLOOKUP(Data_Xuất[[#This Row],[Main SKU]],MD_Main_SKU[Main SKU],MD_Main_SKU[SKU name_gom])</f>
        <v>WSS01</v>
      </c>
    </row>
    <row r="479" spans="1:8" x14ac:dyDescent="0.35">
      <c r="A479">
        <v>2024</v>
      </c>
      <c r="B479">
        <v>12</v>
      </c>
      <c r="C479" t="s">
        <v>16</v>
      </c>
      <c r="D479" t="s">
        <v>17</v>
      </c>
      <c r="E479" t="s">
        <v>89</v>
      </c>
      <c r="F479" t="s">
        <v>90</v>
      </c>
      <c r="G479" s="2">
        <v>3871.3630169172266</v>
      </c>
      <c r="H479" t="str">
        <f>_xlfn.XLOOKUP(Data_Xuất[[#This Row],[Main SKU]],MD_Main_SKU[Main SKU],MD_Main_SKU[SKU name_gom])</f>
        <v>WSS01</v>
      </c>
    </row>
    <row r="480" spans="1:8" x14ac:dyDescent="0.35">
      <c r="A480">
        <v>2024</v>
      </c>
      <c r="B480">
        <v>12</v>
      </c>
      <c r="C480" t="s">
        <v>16</v>
      </c>
      <c r="D480" t="s">
        <v>17</v>
      </c>
      <c r="E480" t="s">
        <v>91</v>
      </c>
      <c r="F480" t="s">
        <v>92</v>
      </c>
      <c r="G480" s="2">
        <v>390.41011610201753</v>
      </c>
      <c r="H480" t="str">
        <f>_xlfn.XLOOKUP(Data_Xuất[[#This Row],[Main SKU]],MD_Main_SKU[Main SKU],MD_Main_SKU[SKU name_gom])</f>
        <v>WSS01</v>
      </c>
    </row>
    <row r="481" spans="1:8" x14ac:dyDescent="0.35">
      <c r="A481">
        <v>2024</v>
      </c>
      <c r="B481">
        <v>12</v>
      </c>
      <c r="C481" t="s">
        <v>16</v>
      </c>
      <c r="D481" t="s">
        <v>17</v>
      </c>
      <c r="E481" t="s">
        <v>117</v>
      </c>
      <c r="F481" t="s">
        <v>86</v>
      </c>
      <c r="G481" s="2">
        <v>5303.0254384290629</v>
      </c>
      <c r="H481" t="str">
        <f>_xlfn.XLOOKUP(Data_Xuất[[#This Row],[Main SKU]],MD_Main_SKU[Main SKU],MD_Main_SKU[SKU name_gom])</f>
        <v>WSS01</v>
      </c>
    </row>
    <row r="482" spans="1:8" x14ac:dyDescent="0.35">
      <c r="A482">
        <v>2024</v>
      </c>
      <c r="B482">
        <v>12</v>
      </c>
      <c r="C482" t="s">
        <v>18</v>
      </c>
      <c r="D482" t="s">
        <v>19</v>
      </c>
      <c r="E482" t="s">
        <v>18</v>
      </c>
      <c r="F482" t="s">
        <v>19</v>
      </c>
      <c r="G482" s="2">
        <v>16630.434782608696</v>
      </c>
      <c r="H482" t="str">
        <f>_xlfn.XLOOKUP(Data_Xuất[[#This Row],[Main SKU]],MD_Main_SKU[Main SKU],MD_Main_SKU[SKU name_gom])</f>
        <v>iSS01</v>
      </c>
    </row>
    <row r="483" spans="1:8" x14ac:dyDescent="0.35">
      <c r="A483">
        <v>2024</v>
      </c>
      <c r="B483">
        <v>12</v>
      </c>
      <c r="C483" t="s">
        <v>18</v>
      </c>
      <c r="D483" t="s">
        <v>19</v>
      </c>
      <c r="E483" t="s">
        <v>38</v>
      </c>
      <c r="F483" t="s">
        <v>39</v>
      </c>
      <c r="G483" s="2">
        <v>3326.0869565217395</v>
      </c>
      <c r="H483" t="str">
        <f>_xlfn.XLOOKUP(Data_Xuất[[#This Row],[Main SKU]],MD_Main_SKU[Main SKU],MD_Main_SKU[SKU name_gom])</f>
        <v>iSS01</v>
      </c>
    </row>
    <row r="484" spans="1:8" x14ac:dyDescent="0.35">
      <c r="A484">
        <v>2024</v>
      </c>
      <c r="B484">
        <v>12</v>
      </c>
      <c r="C484" t="s">
        <v>18</v>
      </c>
      <c r="D484" t="s">
        <v>19</v>
      </c>
      <c r="E484" t="s">
        <v>87</v>
      </c>
      <c r="F484" t="s">
        <v>88</v>
      </c>
      <c r="G484" s="2">
        <v>2872.529644268775</v>
      </c>
      <c r="H484" t="str">
        <f>_xlfn.XLOOKUP(Data_Xuất[[#This Row],[Main SKU]],MD_Main_SKU[Main SKU],MD_Main_SKU[SKU name_gom])</f>
        <v>iSS01</v>
      </c>
    </row>
    <row r="485" spans="1:8" x14ac:dyDescent="0.35">
      <c r="A485">
        <v>2024</v>
      </c>
      <c r="B485">
        <v>12</v>
      </c>
      <c r="C485" t="s">
        <v>18</v>
      </c>
      <c r="D485" t="s">
        <v>19</v>
      </c>
      <c r="E485" t="s">
        <v>89</v>
      </c>
      <c r="F485" t="s">
        <v>90</v>
      </c>
      <c r="G485" s="2">
        <v>1612.6482213438735</v>
      </c>
      <c r="H485" t="str">
        <f>_xlfn.XLOOKUP(Data_Xuất[[#This Row],[Main SKU]],MD_Main_SKU[Main SKU],MD_Main_SKU[SKU name_gom])</f>
        <v>iSS01</v>
      </c>
    </row>
    <row r="486" spans="1:8" x14ac:dyDescent="0.35">
      <c r="A486">
        <v>2024</v>
      </c>
      <c r="B486">
        <v>12</v>
      </c>
      <c r="C486" t="s">
        <v>18</v>
      </c>
      <c r="D486" t="s">
        <v>19</v>
      </c>
      <c r="E486" t="s">
        <v>117</v>
      </c>
      <c r="F486" t="s">
        <v>86</v>
      </c>
      <c r="G486" s="2">
        <v>1058.300395256917</v>
      </c>
      <c r="H486" t="str">
        <f>_xlfn.XLOOKUP(Data_Xuất[[#This Row],[Main SKU]],MD_Main_SKU[Main SKU],MD_Main_SKU[SKU name_gom])</f>
        <v>iSS01</v>
      </c>
    </row>
    <row r="487" spans="1:8" x14ac:dyDescent="0.35">
      <c r="A487">
        <v>2024</v>
      </c>
      <c r="B487">
        <v>12</v>
      </c>
      <c r="C487" t="s">
        <v>22</v>
      </c>
      <c r="D487" t="s">
        <v>23</v>
      </c>
      <c r="E487" t="s">
        <v>20</v>
      </c>
      <c r="F487" t="s">
        <v>21</v>
      </c>
      <c r="G487" s="2">
        <v>1111.1111111111111</v>
      </c>
      <c r="H487" t="str">
        <f>_xlfn.XLOOKUP(Data_Xuất[[#This Row],[Main SKU]],MD_Main_SKU[Main SKU],MD_Main_SKU[SKU name_gom])</f>
        <v>WSS03</v>
      </c>
    </row>
    <row r="488" spans="1:8" x14ac:dyDescent="0.35">
      <c r="A488">
        <v>2024</v>
      </c>
      <c r="B488">
        <v>12</v>
      </c>
      <c r="C488" t="s">
        <v>22</v>
      </c>
      <c r="D488" t="s">
        <v>23</v>
      </c>
      <c r="E488" t="s">
        <v>22</v>
      </c>
      <c r="F488" t="s">
        <v>23</v>
      </c>
      <c r="G488" s="2">
        <v>19945.589919816724</v>
      </c>
      <c r="H488" t="str">
        <f>_xlfn.XLOOKUP(Data_Xuất[[#This Row],[Main SKU]],MD_Main_SKU[Main SKU],MD_Main_SKU[SKU name_gom])</f>
        <v>WSS03</v>
      </c>
    </row>
    <row r="489" spans="1:8" x14ac:dyDescent="0.35">
      <c r="A489">
        <v>2024</v>
      </c>
      <c r="B489">
        <v>12</v>
      </c>
      <c r="C489" t="s">
        <v>22</v>
      </c>
      <c r="D489" t="s">
        <v>23</v>
      </c>
      <c r="E489" t="s">
        <v>87</v>
      </c>
      <c r="F489" t="s">
        <v>88</v>
      </c>
      <c r="G489" s="2">
        <v>3166.2371134020618</v>
      </c>
      <c r="H489" t="str">
        <f>_xlfn.XLOOKUP(Data_Xuất[[#This Row],[Main SKU]],MD_Main_SKU[Main SKU],MD_Main_SKU[SKU name_gom])</f>
        <v>WSS03</v>
      </c>
    </row>
    <row r="490" spans="1:8" x14ac:dyDescent="0.35">
      <c r="A490">
        <v>2024</v>
      </c>
      <c r="B490">
        <v>12</v>
      </c>
      <c r="C490" t="s">
        <v>22</v>
      </c>
      <c r="D490" t="s">
        <v>23</v>
      </c>
      <c r="E490" t="s">
        <v>89</v>
      </c>
      <c r="F490" t="s">
        <v>90</v>
      </c>
      <c r="G490" s="2">
        <v>2211.3402061855668</v>
      </c>
      <c r="H490" t="str">
        <f>_xlfn.XLOOKUP(Data_Xuất[[#This Row],[Main SKU]],MD_Main_SKU[Main SKU],MD_Main_SKU[SKU name_gom])</f>
        <v>WSS03</v>
      </c>
    </row>
    <row r="491" spans="1:8" x14ac:dyDescent="0.35">
      <c r="A491">
        <v>2024</v>
      </c>
      <c r="B491">
        <v>12</v>
      </c>
      <c r="C491" t="s">
        <v>22</v>
      </c>
      <c r="D491" t="s">
        <v>23</v>
      </c>
      <c r="E491" t="s">
        <v>117</v>
      </c>
      <c r="F491" t="s">
        <v>86</v>
      </c>
      <c r="G491" s="2">
        <v>3065.7216494845361</v>
      </c>
      <c r="H491" t="str">
        <f>_xlfn.XLOOKUP(Data_Xuất[[#This Row],[Main SKU]],MD_Main_SKU[Main SKU],MD_Main_SKU[SKU name_gom])</f>
        <v>WSS03</v>
      </c>
    </row>
    <row r="492" spans="1:8" x14ac:dyDescent="0.35">
      <c r="A492">
        <v>2024</v>
      </c>
      <c r="B492">
        <v>12</v>
      </c>
      <c r="C492" t="s">
        <v>24</v>
      </c>
      <c r="D492" t="s">
        <v>25</v>
      </c>
      <c r="E492" t="s">
        <v>24</v>
      </c>
      <c r="F492" t="s">
        <v>25</v>
      </c>
      <c r="G492" s="2">
        <v>5555.5555555555557</v>
      </c>
      <c r="H492" t="str">
        <f>_xlfn.XLOOKUP(Data_Xuất[[#This Row],[Main SKU]],MD_Main_SKU[Main SKU],MD_Main_SKU[SKU name_gom])</f>
        <v>WSS01</v>
      </c>
    </row>
    <row r="493" spans="1:8" x14ac:dyDescent="0.35">
      <c r="A493">
        <v>2024</v>
      </c>
      <c r="B493">
        <v>12</v>
      </c>
      <c r="C493" t="s">
        <v>24</v>
      </c>
      <c r="D493" t="s">
        <v>25</v>
      </c>
      <c r="E493" t="s">
        <v>87</v>
      </c>
      <c r="F493" t="s">
        <v>88</v>
      </c>
      <c r="G493" s="2">
        <v>3333.3333333333335</v>
      </c>
      <c r="H493" t="str">
        <f>_xlfn.XLOOKUP(Data_Xuất[[#This Row],[Main SKU]],MD_Main_SKU[Main SKU],MD_Main_SKU[SKU name_gom])</f>
        <v>WSS01</v>
      </c>
    </row>
    <row r="494" spans="1:8" x14ac:dyDescent="0.35">
      <c r="A494">
        <v>2024</v>
      </c>
      <c r="B494">
        <v>12</v>
      </c>
      <c r="C494" t="s">
        <v>24</v>
      </c>
      <c r="D494" t="s">
        <v>25</v>
      </c>
      <c r="E494" t="s">
        <v>89</v>
      </c>
      <c r="F494" t="s">
        <v>90</v>
      </c>
      <c r="G494" s="2">
        <v>505.05050505050502</v>
      </c>
      <c r="H494" t="str">
        <f>_xlfn.XLOOKUP(Data_Xuất[[#This Row],[Main SKU]],MD_Main_SKU[Main SKU],MD_Main_SKU[SKU name_gom])</f>
        <v>WSS01</v>
      </c>
    </row>
    <row r="495" spans="1:8" x14ac:dyDescent="0.35">
      <c r="A495">
        <v>2024</v>
      </c>
      <c r="B495">
        <v>12</v>
      </c>
      <c r="C495" t="s">
        <v>24</v>
      </c>
      <c r="D495" t="s">
        <v>25</v>
      </c>
      <c r="E495" t="s">
        <v>117</v>
      </c>
      <c r="F495" t="s">
        <v>86</v>
      </c>
      <c r="G495" s="2">
        <v>606.06060606060601</v>
      </c>
      <c r="H495" t="str">
        <f>_xlfn.XLOOKUP(Data_Xuất[[#This Row],[Main SKU]],MD_Main_SKU[Main SKU],MD_Main_SKU[SKU name_gom])</f>
        <v>WSS01</v>
      </c>
    </row>
    <row r="496" spans="1:8" x14ac:dyDescent="0.35">
      <c r="A496">
        <v>2024</v>
      </c>
      <c r="B496">
        <v>12</v>
      </c>
      <c r="C496" t="s">
        <v>26</v>
      </c>
      <c r="D496" t="s">
        <v>27</v>
      </c>
      <c r="E496" t="s">
        <v>24</v>
      </c>
      <c r="F496" t="s">
        <v>25</v>
      </c>
      <c r="G496" s="2">
        <v>18802.906448683018</v>
      </c>
      <c r="H496" t="str">
        <f>_xlfn.XLOOKUP(Data_Xuất[[#This Row],[Main SKU]],MD_Main_SKU[Main SKU],MD_Main_SKU[SKU name_gom])</f>
        <v>iSS01</v>
      </c>
    </row>
    <row r="497" spans="1:8" x14ac:dyDescent="0.35">
      <c r="A497">
        <v>2024</v>
      </c>
      <c r="B497">
        <v>12</v>
      </c>
      <c r="C497" t="s">
        <v>26</v>
      </c>
      <c r="D497" t="s">
        <v>27</v>
      </c>
      <c r="E497" t="s">
        <v>26</v>
      </c>
      <c r="F497" t="s">
        <v>27</v>
      </c>
      <c r="G497" s="2">
        <v>118250.35527858642</v>
      </c>
      <c r="H497" t="str">
        <f>_xlfn.XLOOKUP(Data_Xuất[[#This Row],[Main SKU]],MD_Main_SKU[Main SKU],MD_Main_SKU[SKU name_gom])</f>
        <v>iSS01</v>
      </c>
    </row>
    <row r="498" spans="1:8" x14ac:dyDescent="0.35">
      <c r="A498">
        <v>2024</v>
      </c>
      <c r="B498">
        <v>12</v>
      </c>
      <c r="C498" t="s">
        <v>26</v>
      </c>
      <c r="D498" t="s">
        <v>27</v>
      </c>
      <c r="E498" t="s">
        <v>87</v>
      </c>
      <c r="F498" t="s">
        <v>88</v>
      </c>
      <c r="G498" s="2">
        <v>3920.7901964805728</v>
      </c>
      <c r="H498" t="str">
        <f>_xlfn.XLOOKUP(Data_Xuất[[#This Row],[Main SKU]],MD_Main_SKU[Main SKU],MD_Main_SKU[SKU name_gom])</f>
        <v>iSS01</v>
      </c>
    </row>
    <row r="499" spans="1:8" x14ac:dyDescent="0.35">
      <c r="A499">
        <v>2024</v>
      </c>
      <c r="B499">
        <v>12</v>
      </c>
      <c r="C499" t="s">
        <v>26</v>
      </c>
      <c r="D499" t="s">
        <v>27</v>
      </c>
      <c r="E499" t="s">
        <v>89</v>
      </c>
      <c r="F499" t="s">
        <v>90</v>
      </c>
      <c r="G499" s="2">
        <v>35.192605652615271</v>
      </c>
      <c r="H499" t="str">
        <f>_xlfn.XLOOKUP(Data_Xuất[[#This Row],[Main SKU]],MD_Main_SKU[Main SKU],MD_Main_SKU[SKU name_gom])</f>
        <v>iSS01</v>
      </c>
    </row>
    <row r="500" spans="1:8" x14ac:dyDescent="0.35">
      <c r="A500">
        <v>2024</v>
      </c>
      <c r="B500">
        <v>12</v>
      </c>
      <c r="C500" t="s">
        <v>26</v>
      </c>
      <c r="D500" t="s">
        <v>27</v>
      </c>
      <c r="E500" t="s">
        <v>117</v>
      </c>
      <c r="F500" t="s">
        <v>86</v>
      </c>
      <c r="G500" s="2">
        <v>4170.7554705973798</v>
      </c>
      <c r="H500" t="str">
        <f>_xlfn.XLOOKUP(Data_Xuất[[#This Row],[Main SKU]],MD_Main_SKU[Main SKU],MD_Main_SKU[SKU name_gom])</f>
        <v>iSS01</v>
      </c>
    </row>
    <row r="501" spans="1:8" x14ac:dyDescent="0.35">
      <c r="A501">
        <v>2024</v>
      </c>
      <c r="B501">
        <v>12</v>
      </c>
      <c r="C501" t="s">
        <v>99</v>
      </c>
      <c r="D501" t="s">
        <v>100</v>
      </c>
      <c r="E501" t="s">
        <v>99</v>
      </c>
      <c r="F501" t="s">
        <v>100</v>
      </c>
      <c r="G501" s="2">
        <v>2430</v>
      </c>
      <c r="H501" t="str">
        <f>_xlfn.XLOOKUP(Data_Xuất[[#This Row],[Main SKU]],MD_Main_SKU[Main SKU],MD_Main_SKU[SKU name_gom])</f>
        <v>WSS04</v>
      </c>
    </row>
    <row r="502" spans="1:8" x14ac:dyDescent="0.35">
      <c r="A502">
        <v>2024</v>
      </c>
      <c r="B502">
        <v>12</v>
      </c>
      <c r="C502" t="s">
        <v>99</v>
      </c>
      <c r="D502" t="s">
        <v>100</v>
      </c>
      <c r="E502" t="s">
        <v>87</v>
      </c>
      <c r="F502" t="s">
        <v>88</v>
      </c>
      <c r="G502" s="2">
        <v>1070</v>
      </c>
      <c r="H502" t="str">
        <f>_xlfn.XLOOKUP(Data_Xuất[[#This Row],[Main SKU]],MD_Main_SKU[Main SKU],MD_Main_SKU[SKU name_gom])</f>
        <v>WSS04</v>
      </c>
    </row>
    <row r="503" spans="1:8" x14ac:dyDescent="0.35">
      <c r="A503">
        <v>2024</v>
      </c>
      <c r="B503">
        <v>12</v>
      </c>
      <c r="C503" t="s">
        <v>115</v>
      </c>
      <c r="D503" t="s">
        <v>116</v>
      </c>
      <c r="E503" t="s">
        <v>115</v>
      </c>
      <c r="F503" t="s">
        <v>116</v>
      </c>
      <c r="G503" s="2">
        <v>128515.79158783324</v>
      </c>
      <c r="H503" t="str">
        <f>_xlfn.XLOOKUP(Data_Xuất[[#This Row],[Main SKU]],MD_Main_SKU[Main SKU],MD_Main_SKU[SKU name_gom])</f>
        <v>WSS05</v>
      </c>
    </row>
    <row r="504" spans="1:8" x14ac:dyDescent="0.35">
      <c r="A504">
        <v>2024</v>
      </c>
      <c r="B504">
        <v>12</v>
      </c>
      <c r="C504" t="s">
        <v>115</v>
      </c>
      <c r="D504" t="s">
        <v>116</v>
      </c>
      <c r="E504" t="s">
        <v>124</v>
      </c>
      <c r="F504" t="s">
        <v>125</v>
      </c>
      <c r="G504" s="2">
        <v>5502.3702639612138</v>
      </c>
      <c r="H504" t="str">
        <f>_xlfn.XLOOKUP(Data_Xuất[[#This Row],[Main SKU]],MD_Main_SKU[Main SKU],MD_Main_SKU[SKU name_gom])</f>
        <v>WSS05</v>
      </c>
    </row>
    <row r="505" spans="1:8" x14ac:dyDescent="0.35">
      <c r="A505">
        <v>2024</v>
      </c>
      <c r="B505">
        <v>12</v>
      </c>
      <c r="C505" t="s">
        <v>115</v>
      </c>
      <c r="D505" t="s">
        <v>116</v>
      </c>
      <c r="E505" t="s">
        <v>87</v>
      </c>
      <c r="F505" t="s">
        <v>88</v>
      </c>
      <c r="G505" s="2">
        <v>9766.8607164183395</v>
      </c>
      <c r="H505" t="str">
        <f>_xlfn.XLOOKUP(Data_Xuất[[#This Row],[Main SKU]],MD_Main_SKU[Main SKU],MD_Main_SKU[SKU name_gom])</f>
        <v>WSS05</v>
      </c>
    </row>
    <row r="506" spans="1:8" x14ac:dyDescent="0.35">
      <c r="A506">
        <v>2024</v>
      </c>
      <c r="B506">
        <v>12</v>
      </c>
      <c r="C506" t="s">
        <v>115</v>
      </c>
      <c r="D506" t="s">
        <v>116</v>
      </c>
      <c r="E506" t="s">
        <v>117</v>
      </c>
      <c r="F506" t="s">
        <v>86</v>
      </c>
      <c r="G506" s="2">
        <v>8764.9774317871997</v>
      </c>
      <c r="H506" t="str">
        <f>_xlfn.XLOOKUP(Data_Xuất[[#This Row],[Main SKU]],MD_Main_SKU[Main SKU],MD_Main_SKU[SKU name_gom])</f>
        <v>WSS05</v>
      </c>
    </row>
    <row r="507" spans="1:8" x14ac:dyDescent="0.35">
      <c r="A507">
        <v>2025</v>
      </c>
      <c r="B507">
        <v>1</v>
      </c>
      <c r="C507" t="s">
        <v>8</v>
      </c>
      <c r="D507" t="s">
        <v>9</v>
      </c>
      <c r="E507" t="s">
        <v>8</v>
      </c>
      <c r="F507" t="s">
        <v>9</v>
      </c>
      <c r="G507" s="2">
        <v>99299.717177073981</v>
      </c>
      <c r="H507" t="str">
        <f>_xlfn.XLOOKUP(Data_Xuất[[#This Row],[Main SKU]],MD_Main_SKU[Main SKU],MD_Main_SKU[SKU name_gom])</f>
        <v>WSS01</v>
      </c>
    </row>
    <row r="508" spans="1:8" x14ac:dyDescent="0.35">
      <c r="A508">
        <v>2025</v>
      </c>
      <c r="B508">
        <v>1</v>
      </c>
      <c r="C508" t="s">
        <v>8</v>
      </c>
      <c r="D508" t="s">
        <v>9</v>
      </c>
      <c r="E508" t="s">
        <v>87</v>
      </c>
      <c r="F508" t="s">
        <v>88</v>
      </c>
      <c r="G508" s="2">
        <v>3709.5521866568315</v>
      </c>
      <c r="H508" t="str">
        <f>_xlfn.XLOOKUP(Data_Xuất[[#This Row],[Main SKU]],MD_Main_SKU[Main SKU],MD_Main_SKU[SKU name_gom])</f>
        <v>WSS01</v>
      </c>
    </row>
    <row r="509" spans="1:8" x14ac:dyDescent="0.35">
      <c r="A509">
        <v>2025</v>
      </c>
      <c r="B509">
        <v>1</v>
      </c>
      <c r="C509" t="s">
        <v>8</v>
      </c>
      <c r="D509" t="s">
        <v>9</v>
      </c>
      <c r="E509" t="s">
        <v>89</v>
      </c>
      <c r="F509" t="s">
        <v>90</v>
      </c>
      <c r="G509" s="2">
        <v>2109.4355297994689</v>
      </c>
      <c r="H509" t="str">
        <f>_xlfn.XLOOKUP(Data_Xuất[[#This Row],[Main SKU]],MD_Main_SKU[Main SKU],MD_Main_SKU[SKU name_gom])</f>
        <v>WSS01</v>
      </c>
    </row>
    <row r="510" spans="1:8" x14ac:dyDescent="0.35">
      <c r="A510">
        <v>2025</v>
      </c>
      <c r="B510">
        <v>1</v>
      </c>
      <c r="C510" t="s">
        <v>8</v>
      </c>
      <c r="D510" t="s">
        <v>9</v>
      </c>
      <c r="E510" t="s">
        <v>91</v>
      </c>
      <c r="F510" t="s">
        <v>92</v>
      </c>
      <c r="G510" s="2">
        <v>300.7745016208242</v>
      </c>
      <c r="H510" t="str">
        <f>_xlfn.XLOOKUP(Data_Xuất[[#This Row],[Main SKU]],MD_Main_SKU[Main SKU],MD_Main_SKU[SKU name_gom])</f>
        <v>WSS01</v>
      </c>
    </row>
    <row r="511" spans="1:8" x14ac:dyDescent="0.35">
      <c r="A511">
        <v>2025</v>
      </c>
      <c r="B511">
        <v>1</v>
      </c>
      <c r="C511" t="s">
        <v>8</v>
      </c>
      <c r="D511" t="s">
        <v>9</v>
      </c>
      <c r="E511" t="s">
        <v>117</v>
      </c>
      <c r="F511" t="s">
        <v>86</v>
      </c>
      <c r="G511" s="2">
        <v>590.52060484888489</v>
      </c>
      <c r="H511" t="str">
        <f>_xlfn.XLOOKUP(Data_Xuất[[#This Row],[Main SKU]],MD_Main_SKU[Main SKU],MD_Main_SKU[SKU name_gom])</f>
        <v>WSS01</v>
      </c>
    </row>
    <row r="512" spans="1:8" x14ac:dyDescent="0.35">
      <c r="A512">
        <v>2025</v>
      </c>
      <c r="B512">
        <v>1</v>
      </c>
      <c r="C512" t="s">
        <v>14</v>
      </c>
      <c r="D512" t="s">
        <v>15</v>
      </c>
      <c r="E512" t="s">
        <v>14</v>
      </c>
      <c r="F512" t="s">
        <v>15</v>
      </c>
      <c r="G512" s="2">
        <v>363358.8922042725</v>
      </c>
      <c r="H512" t="str">
        <f>_xlfn.XLOOKUP(Data_Xuất[[#This Row],[Main SKU]],MD_Main_SKU[Main SKU],MD_Main_SKU[SKU name_gom])</f>
        <v>iSS01084</v>
      </c>
    </row>
    <row r="513" spans="1:8" x14ac:dyDescent="0.35">
      <c r="A513">
        <v>2025</v>
      </c>
      <c r="B513">
        <v>1</v>
      </c>
      <c r="C513" t="s">
        <v>14</v>
      </c>
      <c r="D513" t="s">
        <v>15</v>
      </c>
      <c r="E513" t="s">
        <v>18</v>
      </c>
      <c r="F513" t="s">
        <v>19</v>
      </c>
      <c r="G513" s="2">
        <v>4401.378254997715</v>
      </c>
      <c r="H513" t="str">
        <f>_xlfn.XLOOKUP(Data_Xuất[[#This Row],[Main SKU]],MD_Main_SKU[Main SKU],MD_Main_SKU[SKU name_gom])</f>
        <v>iSS01084</v>
      </c>
    </row>
    <row r="514" spans="1:8" x14ac:dyDescent="0.35">
      <c r="A514">
        <v>2025</v>
      </c>
      <c r="B514">
        <v>1</v>
      </c>
      <c r="C514" t="s">
        <v>14</v>
      </c>
      <c r="D514" t="s">
        <v>15</v>
      </c>
      <c r="E514" t="s">
        <v>22</v>
      </c>
      <c r="F514" t="s">
        <v>23</v>
      </c>
      <c r="G514" s="2">
        <v>16513.154095919577</v>
      </c>
      <c r="H514" t="str">
        <f>_xlfn.XLOOKUP(Data_Xuất[[#This Row],[Main SKU]],MD_Main_SKU[Main SKU],MD_Main_SKU[SKU name_gom])</f>
        <v>iSS01084</v>
      </c>
    </row>
    <row r="515" spans="1:8" x14ac:dyDescent="0.35">
      <c r="A515">
        <v>2025</v>
      </c>
      <c r="B515">
        <v>1</v>
      </c>
      <c r="C515" t="s">
        <v>14</v>
      </c>
      <c r="D515" t="s">
        <v>15</v>
      </c>
      <c r="E515" t="s">
        <v>38</v>
      </c>
      <c r="F515" t="s">
        <v>39</v>
      </c>
      <c r="G515" s="2">
        <v>1102.614206495907</v>
      </c>
      <c r="H515" t="str">
        <f>_xlfn.XLOOKUP(Data_Xuất[[#This Row],[Main SKU]],MD_Main_SKU[Main SKU],MD_Main_SKU[SKU name_gom])</f>
        <v>iSS01084</v>
      </c>
    </row>
    <row r="516" spans="1:8" x14ac:dyDescent="0.35">
      <c r="A516">
        <v>2025</v>
      </c>
      <c r="B516">
        <v>1</v>
      </c>
      <c r="C516" t="s">
        <v>14</v>
      </c>
      <c r="D516" t="s">
        <v>15</v>
      </c>
      <c r="E516" t="s">
        <v>87</v>
      </c>
      <c r="F516" t="s">
        <v>88</v>
      </c>
      <c r="G516" s="2">
        <v>4306.73398345854</v>
      </c>
      <c r="H516" t="str">
        <f>_xlfn.XLOOKUP(Data_Xuất[[#This Row],[Main SKU]],MD_Main_SKU[Main SKU],MD_Main_SKU[SKU name_gom])</f>
        <v>iSS01084</v>
      </c>
    </row>
    <row r="517" spans="1:8" x14ac:dyDescent="0.35">
      <c r="A517">
        <v>2025</v>
      </c>
      <c r="B517">
        <v>1</v>
      </c>
      <c r="C517" t="s">
        <v>14</v>
      </c>
      <c r="D517" t="s">
        <v>15</v>
      </c>
      <c r="E517" t="s">
        <v>89</v>
      </c>
      <c r="F517" t="s">
        <v>90</v>
      </c>
      <c r="G517" s="2">
        <v>2397.5114276361996</v>
      </c>
      <c r="H517" t="str">
        <f>_xlfn.XLOOKUP(Data_Xuất[[#This Row],[Main SKU]],MD_Main_SKU[Main SKU],MD_Main_SKU[SKU name_gom])</f>
        <v>iSS01084</v>
      </c>
    </row>
    <row r="518" spans="1:8" x14ac:dyDescent="0.35">
      <c r="A518">
        <v>2025</v>
      </c>
      <c r="B518">
        <v>1</v>
      </c>
      <c r="C518" t="s">
        <v>14</v>
      </c>
      <c r="D518" t="s">
        <v>15</v>
      </c>
      <c r="E518" t="s">
        <v>91</v>
      </c>
      <c r="F518" t="s">
        <v>92</v>
      </c>
      <c r="G518" s="2">
        <v>365.34304511278197</v>
      </c>
      <c r="H518" t="str">
        <f>_xlfn.XLOOKUP(Data_Xuất[[#This Row],[Main SKU]],MD_Main_SKU[Main SKU],MD_Main_SKU[SKU name_gom])</f>
        <v>iSS01084</v>
      </c>
    </row>
    <row r="519" spans="1:8" x14ac:dyDescent="0.35">
      <c r="A519">
        <v>2025</v>
      </c>
      <c r="B519">
        <v>1</v>
      </c>
      <c r="C519" t="s">
        <v>14</v>
      </c>
      <c r="D519" t="s">
        <v>15</v>
      </c>
      <c r="E519" t="s">
        <v>117</v>
      </c>
      <c r="F519" t="s">
        <v>86</v>
      </c>
      <c r="G519" s="2">
        <v>3754.3727821067268</v>
      </c>
      <c r="H519" t="str">
        <f>_xlfn.XLOOKUP(Data_Xuất[[#This Row],[Main SKU]],MD_Main_SKU[Main SKU],MD_Main_SKU[SKU name_gom])</f>
        <v>iSS01084</v>
      </c>
    </row>
    <row r="520" spans="1:8" x14ac:dyDescent="0.35">
      <c r="A520">
        <v>2025</v>
      </c>
      <c r="B520">
        <v>1</v>
      </c>
      <c r="C520" t="s">
        <v>16</v>
      </c>
      <c r="D520" t="s">
        <v>17</v>
      </c>
      <c r="E520" t="s">
        <v>16</v>
      </c>
      <c r="F520" t="s">
        <v>17</v>
      </c>
      <c r="G520" s="2">
        <v>1140203.1502493776</v>
      </c>
      <c r="H520" t="str">
        <f>_xlfn.XLOOKUP(Data_Xuất[[#This Row],[Main SKU]],MD_Main_SKU[Main SKU],MD_Main_SKU[SKU name_gom])</f>
        <v>WSS01</v>
      </c>
    </row>
    <row r="521" spans="1:8" x14ac:dyDescent="0.35">
      <c r="A521">
        <v>2025</v>
      </c>
      <c r="B521">
        <v>1</v>
      </c>
      <c r="C521" t="s">
        <v>16</v>
      </c>
      <c r="D521" t="s">
        <v>17</v>
      </c>
      <c r="E521" t="s">
        <v>18</v>
      </c>
      <c r="F521" t="s">
        <v>19</v>
      </c>
      <c r="G521" s="2">
        <v>37817.239392786767</v>
      </c>
      <c r="H521" t="str">
        <f>_xlfn.XLOOKUP(Data_Xuất[[#This Row],[Main SKU]],MD_Main_SKU[Main SKU],MD_Main_SKU[SKU name_gom])</f>
        <v>WSS01</v>
      </c>
    </row>
    <row r="522" spans="1:8" x14ac:dyDescent="0.35">
      <c r="A522">
        <v>2025</v>
      </c>
      <c r="B522">
        <v>1</v>
      </c>
      <c r="C522" t="s">
        <v>16</v>
      </c>
      <c r="D522" t="s">
        <v>17</v>
      </c>
      <c r="E522" t="s">
        <v>22</v>
      </c>
      <c r="F522" t="s">
        <v>23</v>
      </c>
      <c r="G522" s="2">
        <v>7736.5274863113109</v>
      </c>
      <c r="H522" t="str">
        <f>_xlfn.XLOOKUP(Data_Xuất[[#This Row],[Main SKU]],MD_Main_SKU[Main SKU],MD_Main_SKU[SKU name_gom])</f>
        <v>WSS01</v>
      </c>
    </row>
    <row r="523" spans="1:8" x14ac:dyDescent="0.35">
      <c r="A523">
        <v>2025</v>
      </c>
      <c r="B523">
        <v>1</v>
      </c>
      <c r="C523" t="s">
        <v>16</v>
      </c>
      <c r="D523" t="s">
        <v>17</v>
      </c>
      <c r="E523" t="s">
        <v>40</v>
      </c>
      <c r="F523" t="s">
        <v>41</v>
      </c>
      <c r="G523" s="2">
        <v>5504.8255579240176</v>
      </c>
      <c r="H523" t="str">
        <f>_xlfn.XLOOKUP(Data_Xuất[[#This Row],[Main SKU]],MD_Main_SKU[Main SKU],MD_Main_SKU[SKU name_gom])</f>
        <v>WSS01</v>
      </c>
    </row>
    <row r="524" spans="1:8" x14ac:dyDescent="0.35">
      <c r="A524">
        <v>2025</v>
      </c>
      <c r="B524">
        <v>1</v>
      </c>
      <c r="C524" t="s">
        <v>16</v>
      </c>
      <c r="D524" t="s">
        <v>17</v>
      </c>
      <c r="E524" t="s">
        <v>42</v>
      </c>
      <c r="F524" t="s">
        <v>43</v>
      </c>
      <c r="G524" s="2">
        <v>3350.4316264469298</v>
      </c>
      <c r="H524" t="str">
        <f>_xlfn.XLOOKUP(Data_Xuất[[#This Row],[Main SKU]],MD_Main_SKU[Main SKU],MD_Main_SKU[SKU name_gom])</f>
        <v>WSS01</v>
      </c>
    </row>
    <row r="525" spans="1:8" x14ac:dyDescent="0.35">
      <c r="A525">
        <v>2025</v>
      </c>
      <c r="B525">
        <v>1</v>
      </c>
      <c r="C525" t="s">
        <v>16</v>
      </c>
      <c r="D525" t="s">
        <v>17</v>
      </c>
      <c r="E525" t="s">
        <v>34</v>
      </c>
      <c r="F525" t="s">
        <v>35</v>
      </c>
      <c r="G525" s="2">
        <v>9938.2398590442008</v>
      </c>
      <c r="H525" t="str">
        <f>_xlfn.XLOOKUP(Data_Xuất[[#This Row],[Main SKU]],MD_Main_SKU[Main SKU],MD_Main_SKU[SKU name_gom])</f>
        <v>WSS01</v>
      </c>
    </row>
    <row r="526" spans="1:8" x14ac:dyDescent="0.35">
      <c r="A526">
        <v>2025</v>
      </c>
      <c r="B526">
        <v>1</v>
      </c>
      <c r="C526" t="s">
        <v>16</v>
      </c>
      <c r="D526" t="s">
        <v>17</v>
      </c>
      <c r="E526" t="s">
        <v>87</v>
      </c>
      <c r="F526" t="s">
        <v>88</v>
      </c>
      <c r="G526" s="2">
        <v>9659.5604511556103</v>
      </c>
      <c r="H526" t="str">
        <f>_xlfn.XLOOKUP(Data_Xuất[[#This Row],[Main SKU]],MD_Main_SKU[Main SKU],MD_Main_SKU[SKU name_gom])</f>
        <v>WSS01</v>
      </c>
    </row>
    <row r="527" spans="1:8" x14ac:dyDescent="0.35">
      <c r="A527">
        <v>2025</v>
      </c>
      <c r="B527">
        <v>1</v>
      </c>
      <c r="C527" t="s">
        <v>16</v>
      </c>
      <c r="D527" t="s">
        <v>17</v>
      </c>
      <c r="E527" t="s">
        <v>89</v>
      </c>
      <c r="F527" t="s">
        <v>90</v>
      </c>
      <c r="G527" s="2">
        <v>10457.722151469219</v>
      </c>
      <c r="H527" t="str">
        <f>_xlfn.XLOOKUP(Data_Xuất[[#This Row],[Main SKU]],MD_Main_SKU[Main SKU],MD_Main_SKU[SKU name_gom])</f>
        <v>WSS01</v>
      </c>
    </row>
    <row r="528" spans="1:8" x14ac:dyDescent="0.35">
      <c r="A528">
        <v>2025</v>
      </c>
      <c r="B528">
        <v>1</v>
      </c>
      <c r="C528" t="s">
        <v>16</v>
      </c>
      <c r="D528" t="s">
        <v>17</v>
      </c>
      <c r="E528" t="s">
        <v>91</v>
      </c>
      <c r="F528" t="s">
        <v>92</v>
      </c>
      <c r="G528" s="2">
        <v>1817.4692874692873</v>
      </c>
      <c r="H528" t="str">
        <f>_xlfn.XLOOKUP(Data_Xuất[[#This Row],[Main SKU]],MD_Main_SKU[Main SKU],MD_Main_SKU[SKU name_gom])</f>
        <v>WSS01</v>
      </c>
    </row>
    <row r="529" spans="1:8" x14ac:dyDescent="0.35">
      <c r="A529">
        <v>2025</v>
      </c>
      <c r="B529">
        <v>1</v>
      </c>
      <c r="C529" t="s">
        <v>16</v>
      </c>
      <c r="D529" t="s">
        <v>17</v>
      </c>
      <c r="E529" t="s">
        <v>117</v>
      </c>
      <c r="F529" t="s">
        <v>86</v>
      </c>
      <c r="G529" s="2">
        <v>4217.8339380146508</v>
      </c>
      <c r="H529" t="str">
        <f>_xlfn.XLOOKUP(Data_Xuất[[#This Row],[Main SKU]],MD_Main_SKU[Main SKU],MD_Main_SKU[SKU name_gom])</f>
        <v>WSS01</v>
      </c>
    </row>
    <row r="530" spans="1:8" x14ac:dyDescent="0.35">
      <c r="A530">
        <v>2025</v>
      </c>
      <c r="B530">
        <v>1</v>
      </c>
      <c r="C530" t="s">
        <v>18</v>
      </c>
      <c r="D530" t="s">
        <v>19</v>
      </c>
      <c r="E530" t="s">
        <v>14</v>
      </c>
      <c r="F530" t="s">
        <v>15</v>
      </c>
      <c r="G530" s="2">
        <v>8807.0456365092068</v>
      </c>
      <c r="H530" t="str">
        <f>_xlfn.XLOOKUP(Data_Xuất[[#This Row],[Main SKU]],MD_Main_SKU[Main SKU],MD_Main_SKU[SKU name_gom])</f>
        <v>iSS01</v>
      </c>
    </row>
    <row r="531" spans="1:8" x14ac:dyDescent="0.35">
      <c r="A531">
        <v>2025</v>
      </c>
      <c r="B531">
        <v>1</v>
      </c>
      <c r="C531" t="s">
        <v>18</v>
      </c>
      <c r="D531" t="s">
        <v>19</v>
      </c>
      <c r="E531" t="s">
        <v>18</v>
      </c>
      <c r="F531" t="s">
        <v>19</v>
      </c>
      <c r="G531" s="2">
        <v>181645.31625300241</v>
      </c>
      <c r="H531" t="str">
        <f>_xlfn.XLOOKUP(Data_Xuất[[#This Row],[Main SKU]],MD_Main_SKU[Main SKU],MD_Main_SKU[SKU name_gom])</f>
        <v>iSS01</v>
      </c>
    </row>
    <row r="532" spans="1:8" x14ac:dyDescent="0.35">
      <c r="A532">
        <v>2025</v>
      </c>
      <c r="B532">
        <v>1</v>
      </c>
      <c r="C532" t="s">
        <v>18</v>
      </c>
      <c r="D532" t="s">
        <v>19</v>
      </c>
      <c r="E532" t="s">
        <v>22</v>
      </c>
      <c r="F532" t="s">
        <v>23</v>
      </c>
      <c r="G532" s="2">
        <v>3302.642113690953</v>
      </c>
      <c r="H532" t="str">
        <f>_xlfn.XLOOKUP(Data_Xuất[[#This Row],[Main SKU]],MD_Main_SKU[Main SKU],MD_Main_SKU[SKU name_gom])</f>
        <v>iSS01</v>
      </c>
    </row>
    <row r="533" spans="1:8" x14ac:dyDescent="0.35">
      <c r="A533">
        <v>2025</v>
      </c>
      <c r="B533">
        <v>1</v>
      </c>
      <c r="C533" t="s">
        <v>18</v>
      </c>
      <c r="D533" t="s">
        <v>19</v>
      </c>
      <c r="E533" t="s">
        <v>34</v>
      </c>
      <c r="F533" t="s">
        <v>35</v>
      </c>
      <c r="G533" s="2">
        <v>2201.7614091273017</v>
      </c>
      <c r="H533" t="str">
        <f>_xlfn.XLOOKUP(Data_Xuất[[#This Row],[Main SKU]],MD_Main_SKU[Main SKU],MD_Main_SKU[SKU name_gom])</f>
        <v>iSS01</v>
      </c>
    </row>
    <row r="534" spans="1:8" x14ac:dyDescent="0.35">
      <c r="A534">
        <v>2025</v>
      </c>
      <c r="B534">
        <v>1</v>
      </c>
      <c r="C534" t="s">
        <v>18</v>
      </c>
      <c r="D534" t="s">
        <v>19</v>
      </c>
      <c r="E534" t="s">
        <v>87</v>
      </c>
      <c r="F534" t="s">
        <v>88</v>
      </c>
      <c r="G534" s="2">
        <v>1501.200960768615</v>
      </c>
      <c r="H534" t="str">
        <f>_xlfn.XLOOKUP(Data_Xuất[[#This Row],[Main SKU]],MD_Main_SKU[Main SKU],MD_Main_SKU[SKU name_gom])</f>
        <v>iSS01</v>
      </c>
    </row>
    <row r="535" spans="1:8" x14ac:dyDescent="0.35">
      <c r="A535">
        <v>2025</v>
      </c>
      <c r="B535">
        <v>1</v>
      </c>
      <c r="C535" t="s">
        <v>18</v>
      </c>
      <c r="D535" t="s">
        <v>19</v>
      </c>
      <c r="E535" t="s">
        <v>89</v>
      </c>
      <c r="F535" t="s">
        <v>90</v>
      </c>
      <c r="G535" s="2">
        <v>1541.2329863891114</v>
      </c>
      <c r="H535" t="str">
        <f>_xlfn.XLOOKUP(Data_Xuất[[#This Row],[Main SKU]],MD_Main_SKU[Main SKU],MD_Main_SKU[SKU name_gom])</f>
        <v>iSS01</v>
      </c>
    </row>
    <row r="536" spans="1:8" x14ac:dyDescent="0.35">
      <c r="A536">
        <v>2025</v>
      </c>
      <c r="B536">
        <v>1</v>
      </c>
      <c r="C536" t="s">
        <v>18</v>
      </c>
      <c r="D536" t="s">
        <v>19</v>
      </c>
      <c r="E536" t="s">
        <v>117</v>
      </c>
      <c r="F536" t="s">
        <v>86</v>
      </c>
      <c r="G536" s="2">
        <v>1000.8006405124099</v>
      </c>
      <c r="H536" t="str">
        <f>_xlfn.XLOOKUP(Data_Xuất[[#This Row],[Main SKU]],MD_Main_SKU[Main SKU],MD_Main_SKU[SKU name_gom])</f>
        <v>iSS01</v>
      </c>
    </row>
    <row r="537" spans="1:8" x14ac:dyDescent="0.35">
      <c r="A537">
        <v>2025</v>
      </c>
      <c r="B537">
        <v>1</v>
      </c>
      <c r="C537" t="s">
        <v>115</v>
      </c>
      <c r="D537" t="s">
        <v>116</v>
      </c>
      <c r="E537" t="s">
        <v>115</v>
      </c>
      <c r="F537" t="s">
        <v>116</v>
      </c>
      <c r="G537" s="2">
        <v>72636.871508379889</v>
      </c>
      <c r="H537" t="str">
        <f>_xlfn.XLOOKUP(Data_Xuất[[#This Row],[Main SKU]],MD_Main_SKU[Main SKU],MD_Main_SKU[SKU name_gom])</f>
        <v>WSS05</v>
      </c>
    </row>
    <row r="538" spans="1:8" x14ac:dyDescent="0.35">
      <c r="A538">
        <v>2025</v>
      </c>
      <c r="B538">
        <v>1</v>
      </c>
      <c r="C538" t="s">
        <v>115</v>
      </c>
      <c r="D538" t="s">
        <v>116</v>
      </c>
      <c r="E538" t="s">
        <v>118</v>
      </c>
      <c r="F538" t="s">
        <v>119</v>
      </c>
      <c r="G538" s="2">
        <v>17600</v>
      </c>
      <c r="H538" t="str">
        <f>_xlfn.XLOOKUP(Data_Xuất[[#This Row],[Main SKU]],MD_Main_SKU[Main SKU],MD_Main_SKU[SKU name_gom])</f>
        <v>WSS05</v>
      </c>
    </row>
    <row r="539" spans="1:8" x14ac:dyDescent="0.35">
      <c r="A539">
        <v>2025</v>
      </c>
      <c r="B539">
        <v>1</v>
      </c>
      <c r="C539" t="s">
        <v>115</v>
      </c>
      <c r="D539" t="s">
        <v>116</v>
      </c>
      <c r="E539" t="s">
        <v>87</v>
      </c>
      <c r="F539" t="s">
        <v>88</v>
      </c>
      <c r="G539" s="2">
        <v>2402.7932960893854</v>
      </c>
      <c r="H539" t="str">
        <f>_xlfn.XLOOKUP(Data_Xuất[[#This Row],[Main SKU]],MD_Main_SKU[Main SKU],MD_Main_SKU[SKU name_gom])</f>
        <v>WSS05</v>
      </c>
    </row>
    <row r="540" spans="1:8" x14ac:dyDescent="0.35">
      <c r="A540">
        <v>2025</v>
      </c>
      <c r="B540">
        <v>1</v>
      </c>
      <c r="C540" t="s">
        <v>115</v>
      </c>
      <c r="D540" t="s">
        <v>116</v>
      </c>
      <c r="E540" t="s">
        <v>117</v>
      </c>
      <c r="F540" t="s">
        <v>86</v>
      </c>
      <c r="G540" s="2">
        <v>4560.3351955307262</v>
      </c>
      <c r="H540" t="str">
        <f>_xlfn.XLOOKUP(Data_Xuất[[#This Row],[Main SKU]],MD_Main_SKU[Main SKU],MD_Main_SKU[SKU name_gom])</f>
        <v>WSS05</v>
      </c>
    </row>
    <row r="541" spans="1:8" x14ac:dyDescent="0.35">
      <c r="A541">
        <v>2025</v>
      </c>
      <c r="B541">
        <v>1</v>
      </c>
      <c r="C541" t="s">
        <v>118</v>
      </c>
      <c r="D541" t="s">
        <v>119</v>
      </c>
      <c r="E541" t="s">
        <v>115</v>
      </c>
      <c r="F541" t="s">
        <v>116</v>
      </c>
      <c r="G541" s="2">
        <v>2200</v>
      </c>
      <c r="H541" t="str">
        <f>_xlfn.XLOOKUP(Data_Xuất[[#This Row],[Main SKU]],MD_Main_SKU[Main SKU],MD_Main_SKU[SKU name_gom])</f>
        <v>WSS05</v>
      </c>
    </row>
    <row r="542" spans="1:8" x14ac:dyDescent="0.35">
      <c r="A542">
        <v>2025</v>
      </c>
      <c r="B542">
        <v>1</v>
      </c>
      <c r="C542" t="s">
        <v>118</v>
      </c>
      <c r="D542" t="s">
        <v>119</v>
      </c>
      <c r="E542" t="s">
        <v>118</v>
      </c>
      <c r="F542" t="s">
        <v>119</v>
      </c>
      <c r="G542" s="2">
        <v>12100</v>
      </c>
      <c r="H542" t="str">
        <f>_xlfn.XLOOKUP(Data_Xuất[[#This Row],[Main SKU]],MD_Main_SKU[Main SKU],MD_Main_SKU[SKU name_gom])</f>
        <v>WSS05</v>
      </c>
    </row>
    <row r="543" spans="1:8" x14ac:dyDescent="0.35">
      <c r="A543">
        <v>2025</v>
      </c>
      <c r="B543">
        <v>1</v>
      </c>
      <c r="C543" t="s">
        <v>118</v>
      </c>
      <c r="D543" t="s">
        <v>119</v>
      </c>
      <c r="E543" t="s">
        <v>87</v>
      </c>
      <c r="F543" t="s">
        <v>88</v>
      </c>
      <c r="G543" s="2">
        <v>2100</v>
      </c>
      <c r="H543" t="str">
        <f>_xlfn.XLOOKUP(Data_Xuất[[#This Row],[Main SKU]],MD_Main_SKU[Main SKU],MD_Main_SKU[SKU name_gom])</f>
        <v>WSS05</v>
      </c>
    </row>
    <row r="544" spans="1:8" x14ac:dyDescent="0.35">
      <c r="A544">
        <v>2025</v>
      </c>
      <c r="B544">
        <v>1</v>
      </c>
      <c r="C544" t="s">
        <v>118</v>
      </c>
      <c r="D544" t="s">
        <v>119</v>
      </c>
      <c r="E544" t="s">
        <v>117</v>
      </c>
      <c r="F544" t="s">
        <v>86</v>
      </c>
      <c r="G544" s="2">
        <v>1600</v>
      </c>
      <c r="H544" t="str">
        <f>_xlfn.XLOOKUP(Data_Xuất[[#This Row],[Main SKU]],MD_Main_SKU[Main SKU],MD_Main_SKU[SKU name_gom])</f>
        <v>WSS05</v>
      </c>
    </row>
    <row r="545" spans="1:8" x14ac:dyDescent="0.35">
      <c r="A545">
        <v>2025</v>
      </c>
      <c r="B545">
        <v>1</v>
      </c>
      <c r="C545" t="s">
        <v>44</v>
      </c>
      <c r="D545" t="s">
        <v>45</v>
      </c>
      <c r="E545" t="s">
        <v>44</v>
      </c>
      <c r="F545" t="s">
        <v>45</v>
      </c>
      <c r="G545" s="2">
        <v>31189.873417721519</v>
      </c>
      <c r="H545" t="str">
        <f>_xlfn.XLOOKUP(Data_Xuất[[#This Row],[Main SKU]],MD_Main_SKU[Main SKU],MD_Main_SKU[SKU name_gom])</f>
        <v>iSS01</v>
      </c>
    </row>
    <row r="546" spans="1:8" x14ac:dyDescent="0.35">
      <c r="A546">
        <v>2025</v>
      </c>
      <c r="B546">
        <v>1</v>
      </c>
      <c r="C546" t="s">
        <v>44</v>
      </c>
      <c r="D546" t="s">
        <v>45</v>
      </c>
      <c r="E546" t="s">
        <v>46</v>
      </c>
      <c r="F546" t="s">
        <v>47</v>
      </c>
      <c r="G546" s="2">
        <v>1113.9240506329113</v>
      </c>
      <c r="H546" t="str">
        <f>_xlfn.XLOOKUP(Data_Xuất[[#This Row],[Main SKU]],MD_Main_SKU[Main SKU],MD_Main_SKU[SKU name_gom])</f>
        <v>iSS01</v>
      </c>
    </row>
    <row r="547" spans="1:8" x14ac:dyDescent="0.35">
      <c r="A547">
        <v>2025</v>
      </c>
      <c r="B547">
        <v>1</v>
      </c>
      <c r="C547" t="s">
        <v>44</v>
      </c>
      <c r="D547" t="s">
        <v>45</v>
      </c>
      <c r="E547" t="s">
        <v>87</v>
      </c>
      <c r="F547" t="s">
        <v>88</v>
      </c>
      <c r="G547" s="2">
        <v>1012.6582278481012</v>
      </c>
      <c r="H547" t="str">
        <f>_xlfn.XLOOKUP(Data_Xuất[[#This Row],[Main SKU]],MD_Main_SKU[Main SKU],MD_Main_SKU[SKU name_gom])</f>
        <v>iSS01</v>
      </c>
    </row>
    <row r="548" spans="1:8" x14ac:dyDescent="0.35">
      <c r="A548">
        <v>2025</v>
      </c>
      <c r="B548">
        <v>1</v>
      </c>
      <c r="C548" t="s">
        <v>44</v>
      </c>
      <c r="D548" t="s">
        <v>45</v>
      </c>
      <c r="E548" t="s">
        <v>89</v>
      </c>
      <c r="F548" t="s">
        <v>90</v>
      </c>
      <c r="G548" s="2">
        <v>1113.9240506329113</v>
      </c>
      <c r="H548" t="str">
        <f>_xlfn.XLOOKUP(Data_Xuất[[#This Row],[Main SKU]],MD_Main_SKU[Main SKU],MD_Main_SKU[SKU name_gom])</f>
        <v>iSS01</v>
      </c>
    </row>
    <row r="549" spans="1:8" x14ac:dyDescent="0.35">
      <c r="A549">
        <v>2025</v>
      </c>
      <c r="B549">
        <v>1</v>
      </c>
      <c r="C549" t="s">
        <v>44</v>
      </c>
      <c r="D549" t="s">
        <v>45</v>
      </c>
      <c r="E549" t="s">
        <v>117</v>
      </c>
      <c r="F549" t="s">
        <v>86</v>
      </c>
      <c r="G549" s="2">
        <v>1569.620253164557</v>
      </c>
      <c r="H549" t="str">
        <f>_xlfn.XLOOKUP(Data_Xuất[[#This Row],[Main SKU]],MD_Main_SKU[Main SKU],MD_Main_SKU[SKU name_gom])</f>
        <v>iSS01</v>
      </c>
    </row>
    <row r="550" spans="1:8" x14ac:dyDescent="0.35">
      <c r="A550">
        <v>2025</v>
      </c>
      <c r="B550">
        <v>1</v>
      </c>
      <c r="C550" t="s">
        <v>48</v>
      </c>
      <c r="D550" t="s">
        <v>49</v>
      </c>
      <c r="E550" t="s">
        <v>22</v>
      </c>
      <c r="F550" t="s">
        <v>23</v>
      </c>
      <c r="G550" s="2">
        <v>900.82811553221575</v>
      </c>
      <c r="H550" t="str">
        <f>_xlfn.XLOOKUP(Data_Xuất[[#This Row],[Main SKU]],MD_Main_SKU[Main SKU],MD_Main_SKU[SKU name_gom])</f>
        <v>WSS01</v>
      </c>
    </row>
    <row r="551" spans="1:8" x14ac:dyDescent="0.35">
      <c r="A551">
        <v>2025</v>
      </c>
      <c r="B551">
        <v>1</v>
      </c>
      <c r="C551" t="s">
        <v>48</v>
      </c>
      <c r="D551" t="s">
        <v>49</v>
      </c>
      <c r="E551" t="s">
        <v>48</v>
      </c>
      <c r="F551" t="s">
        <v>49</v>
      </c>
      <c r="G551" s="2">
        <v>10312.626376782911</v>
      </c>
      <c r="H551" t="str">
        <f>_xlfn.XLOOKUP(Data_Xuất[[#This Row],[Main SKU]],MD_Main_SKU[Main SKU],MD_Main_SKU[SKU name_gom])</f>
        <v>WSS01</v>
      </c>
    </row>
    <row r="552" spans="1:8" x14ac:dyDescent="0.35">
      <c r="A552">
        <v>2025</v>
      </c>
      <c r="B552">
        <v>1</v>
      </c>
      <c r="C552" t="s">
        <v>48</v>
      </c>
      <c r="D552" t="s">
        <v>49</v>
      </c>
      <c r="E552" t="s">
        <v>87</v>
      </c>
      <c r="F552" t="s">
        <v>88</v>
      </c>
      <c r="G552" s="2">
        <v>1355.9173522664105</v>
      </c>
      <c r="H552" t="str">
        <f>_xlfn.XLOOKUP(Data_Xuất[[#This Row],[Main SKU]],MD_Main_SKU[Main SKU],MD_Main_SKU[SKU name_gom])</f>
        <v>WSS01</v>
      </c>
    </row>
    <row r="553" spans="1:8" x14ac:dyDescent="0.35">
      <c r="A553">
        <v>2025</v>
      </c>
      <c r="B553">
        <v>1</v>
      </c>
      <c r="C553" t="s">
        <v>48</v>
      </c>
      <c r="D553" t="s">
        <v>49</v>
      </c>
      <c r="E553" t="s">
        <v>89</v>
      </c>
      <c r="F553" t="s">
        <v>90</v>
      </c>
      <c r="G553" s="2">
        <v>807.09454213733943</v>
      </c>
      <c r="H553" t="str">
        <f>_xlfn.XLOOKUP(Data_Xuất[[#This Row],[Main SKU]],MD_Main_SKU[Main SKU],MD_Main_SKU[SKU name_gom])</f>
        <v>WSS01</v>
      </c>
    </row>
    <row r="554" spans="1:8" x14ac:dyDescent="0.35">
      <c r="A554">
        <v>2025</v>
      </c>
      <c r="B554">
        <v>1</v>
      </c>
      <c r="C554" t="s">
        <v>48</v>
      </c>
      <c r="D554" t="s">
        <v>49</v>
      </c>
      <c r="E554" t="s">
        <v>117</v>
      </c>
      <c r="F554" t="s">
        <v>86</v>
      </c>
      <c r="G554" s="2">
        <v>1623.5336132811226</v>
      </c>
      <c r="H554" t="str">
        <f>_xlfn.XLOOKUP(Data_Xuất[[#This Row],[Main SKU]],MD_Main_SKU[Main SKU],MD_Main_SKU[SKU name_gom])</f>
        <v>WSS01</v>
      </c>
    </row>
    <row r="555" spans="1:8" x14ac:dyDescent="0.35">
      <c r="A555">
        <v>2025</v>
      </c>
      <c r="B555">
        <v>2</v>
      </c>
      <c r="C555" t="s">
        <v>8</v>
      </c>
      <c r="D555" t="s">
        <v>9</v>
      </c>
      <c r="E555" t="s">
        <v>8</v>
      </c>
      <c r="F555" t="s">
        <v>9</v>
      </c>
      <c r="G555" s="2">
        <v>91499.635568513113</v>
      </c>
      <c r="H555" t="str">
        <f>_xlfn.XLOOKUP(Data_Xuất[[#This Row],[Main SKU]],MD_Main_SKU[Main SKU],MD_Main_SKU[SKU name_gom])</f>
        <v>WSS01</v>
      </c>
    </row>
    <row r="556" spans="1:8" x14ac:dyDescent="0.35">
      <c r="A556">
        <v>2025</v>
      </c>
      <c r="B556">
        <v>2</v>
      </c>
      <c r="C556" t="s">
        <v>8</v>
      </c>
      <c r="D556" t="s">
        <v>9</v>
      </c>
      <c r="E556" t="s">
        <v>22</v>
      </c>
      <c r="F556" t="s">
        <v>23</v>
      </c>
      <c r="G556" s="2">
        <v>3307.2157434402334</v>
      </c>
      <c r="H556" t="str">
        <f>_xlfn.XLOOKUP(Data_Xuất[[#This Row],[Main SKU]],MD_Main_SKU[Main SKU],MD_Main_SKU[SKU name_gom])</f>
        <v>WSS01</v>
      </c>
    </row>
    <row r="557" spans="1:8" x14ac:dyDescent="0.35">
      <c r="A557">
        <v>2025</v>
      </c>
      <c r="B557">
        <v>2</v>
      </c>
      <c r="C557" t="s">
        <v>8</v>
      </c>
      <c r="D557" t="s">
        <v>9</v>
      </c>
      <c r="E557" t="s">
        <v>36</v>
      </c>
      <c r="F557" t="s">
        <v>37</v>
      </c>
      <c r="G557" s="2">
        <v>13228.862973760934</v>
      </c>
      <c r="H557" t="str">
        <f>_xlfn.XLOOKUP(Data_Xuất[[#This Row],[Main SKU]],MD_Main_SKU[Main SKU],MD_Main_SKU[SKU name_gom])</f>
        <v>WSS01</v>
      </c>
    </row>
    <row r="558" spans="1:8" x14ac:dyDescent="0.35">
      <c r="A558">
        <v>2025</v>
      </c>
      <c r="B558">
        <v>2</v>
      </c>
      <c r="C558" t="s">
        <v>8</v>
      </c>
      <c r="D558" t="s">
        <v>9</v>
      </c>
      <c r="E558" t="s">
        <v>87</v>
      </c>
      <c r="F558" t="s">
        <v>88</v>
      </c>
      <c r="G558" s="2">
        <v>3407.4344023323615</v>
      </c>
      <c r="H558" t="str">
        <f>_xlfn.XLOOKUP(Data_Xuất[[#This Row],[Main SKU]],MD_Main_SKU[Main SKU],MD_Main_SKU[SKU name_gom])</f>
        <v>WSS01</v>
      </c>
    </row>
    <row r="559" spans="1:8" x14ac:dyDescent="0.35">
      <c r="A559">
        <v>2025</v>
      </c>
      <c r="B559">
        <v>2</v>
      </c>
      <c r="C559" t="s">
        <v>8</v>
      </c>
      <c r="D559" t="s">
        <v>9</v>
      </c>
      <c r="E559" t="s">
        <v>89</v>
      </c>
      <c r="F559" t="s">
        <v>90</v>
      </c>
      <c r="G559" s="2">
        <v>1122.4489795918366</v>
      </c>
      <c r="H559" t="str">
        <f>_xlfn.XLOOKUP(Data_Xuất[[#This Row],[Main SKU]],MD_Main_SKU[Main SKU],MD_Main_SKU[SKU name_gom])</f>
        <v>WSS01</v>
      </c>
    </row>
    <row r="560" spans="1:8" x14ac:dyDescent="0.35">
      <c r="A560">
        <v>2025</v>
      </c>
      <c r="B560">
        <v>2</v>
      </c>
      <c r="C560" t="s">
        <v>8</v>
      </c>
      <c r="D560" t="s">
        <v>9</v>
      </c>
      <c r="E560" t="s">
        <v>91</v>
      </c>
      <c r="F560" t="s">
        <v>92</v>
      </c>
      <c r="G560" s="2">
        <v>526.14795918367349</v>
      </c>
      <c r="H560" t="str">
        <f>_xlfn.XLOOKUP(Data_Xuất[[#This Row],[Main SKU]],MD_Main_SKU[Main SKU],MD_Main_SKU[SKU name_gom])</f>
        <v>WSS01</v>
      </c>
    </row>
    <row r="561" spans="1:8" x14ac:dyDescent="0.35">
      <c r="A561">
        <v>2025</v>
      </c>
      <c r="B561">
        <v>2</v>
      </c>
      <c r="C561" t="s">
        <v>8</v>
      </c>
      <c r="D561" t="s">
        <v>9</v>
      </c>
      <c r="E561" t="s">
        <v>117</v>
      </c>
      <c r="F561" t="s">
        <v>86</v>
      </c>
      <c r="G561" s="2">
        <v>2408.2543731778424</v>
      </c>
      <c r="H561" t="str">
        <f>_xlfn.XLOOKUP(Data_Xuất[[#This Row],[Main SKU]],MD_Main_SKU[Main SKU],MD_Main_SKU[SKU name_gom])</f>
        <v>WSS01</v>
      </c>
    </row>
    <row r="562" spans="1:8" x14ac:dyDescent="0.35">
      <c r="A562">
        <v>2025</v>
      </c>
      <c r="B562">
        <v>2</v>
      </c>
      <c r="C562" t="s">
        <v>14</v>
      </c>
      <c r="D562" t="s">
        <v>15</v>
      </c>
      <c r="E562" t="s">
        <v>14</v>
      </c>
      <c r="F562" t="s">
        <v>15</v>
      </c>
      <c r="G562" s="2">
        <v>534895.87058243016</v>
      </c>
      <c r="H562" t="str">
        <f>_xlfn.XLOOKUP(Data_Xuất[[#This Row],[Main SKU]],MD_Main_SKU[Main SKU],MD_Main_SKU[SKU name_gom])</f>
        <v>iSS01084</v>
      </c>
    </row>
    <row r="563" spans="1:8" x14ac:dyDescent="0.35">
      <c r="A563">
        <v>2025</v>
      </c>
      <c r="B563">
        <v>2</v>
      </c>
      <c r="C563" t="s">
        <v>14</v>
      </c>
      <c r="D563" t="s">
        <v>15</v>
      </c>
      <c r="E563" t="s">
        <v>18</v>
      </c>
      <c r="F563" t="s">
        <v>19</v>
      </c>
      <c r="G563" s="2">
        <v>1101.7538121908344</v>
      </c>
      <c r="H563" t="str">
        <f>_xlfn.XLOOKUP(Data_Xuất[[#This Row],[Main SKU]],MD_Main_SKU[Main SKU],MD_Main_SKU[SKU name_gom])</f>
        <v>iSS01084</v>
      </c>
    </row>
    <row r="564" spans="1:8" x14ac:dyDescent="0.35">
      <c r="A564">
        <v>2025</v>
      </c>
      <c r="B564">
        <v>2</v>
      </c>
      <c r="C564" t="s">
        <v>14</v>
      </c>
      <c r="D564" t="s">
        <v>15</v>
      </c>
      <c r="E564" t="s">
        <v>22</v>
      </c>
      <c r="F564" t="s">
        <v>23</v>
      </c>
      <c r="G564" s="2">
        <v>31918.680974127092</v>
      </c>
      <c r="H564" t="str">
        <f>_xlfn.XLOOKUP(Data_Xuất[[#This Row],[Main SKU]],MD_Main_SKU[Main SKU],MD_Main_SKU[SKU name_gom])</f>
        <v>iSS01084</v>
      </c>
    </row>
    <row r="565" spans="1:8" x14ac:dyDescent="0.35">
      <c r="A565">
        <v>2025</v>
      </c>
      <c r="B565">
        <v>2</v>
      </c>
      <c r="C565" t="s">
        <v>14</v>
      </c>
      <c r="D565" t="s">
        <v>15</v>
      </c>
      <c r="E565" t="s">
        <v>38</v>
      </c>
      <c r="F565" t="s">
        <v>39</v>
      </c>
      <c r="G565" s="2">
        <v>4404.138323262132</v>
      </c>
      <c r="H565" t="str">
        <f>_xlfn.XLOOKUP(Data_Xuất[[#This Row],[Main SKU]],MD_Main_SKU[Main SKU],MD_Main_SKU[SKU name_gom])</f>
        <v>iSS01084</v>
      </c>
    </row>
    <row r="566" spans="1:8" x14ac:dyDescent="0.35">
      <c r="A566">
        <v>2025</v>
      </c>
      <c r="B566">
        <v>2</v>
      </c>
      <c r="C566" t="s">
        <v>14</v>
      </c>
      <c r="D566" t="s">
        <v>15</v>
      </c>
      <c r="E566" t="s">
        <v>34</v>
      </c>
      <c r="F566" t="s">
        <v>35</v>
      </c>
      <c r="G566" s="2">
        <v>2201.5896740475318</v>
      </c>
      <c r="H566" t="str">
        <f>_xlfn.XLOOKUP(Data_Xuất[[#This Row],[Main SKU]],MD_Main_SKU[Main SKU],MD_Main_SKU[SKU name_gom])</f>
        <v>iSS01084</v>
      </c>
    </row>
    <row r="567" spans="1:8" x14ac:dyDescent="0.35">
      <c r="A567">
        <v>2025</v>
      </c>
      <c r="B567">
        <v>2</v>
      </c>
      <c r="C567" t="s">
        <v>14</v>
      </c>
      <c r="D567" t="s">
        <v>15</v>
      </c>
      <c r="E567" t="s">
        <v>87</v>
      </c>
      <c r="F567" t="s">
        <v>88</v>
      </c>
      <c r="G567" s="2">
        <v>5251.985051171946</v>
      </c>
      <c r="H567" t="str">
        <f>_xlfn.XLOOKUP(Data_Xuất[[#This Row],[Main SKU]],MD_Main_SKU[Main SKU],MD_Main_SKU[SKU name_gom])</f>
        <v>iSS01084</v>
      </c>
    </row>
    <row r="568" spans="1:8" x14ac:dyDescent="0.35">
      <c r="A568">
        <v>2025</v>
      </c>
      <c r="B568">
        <v>2</v>
      </c>
      <c r="C568" t="s">
        <v>14</v>
      </c>
      <c r="D568" t="s">
        <v>15</v>
      </c>
      <c r="E568" t="s">
        <v>89</v>
      </c>
      <c r="F568" t="s">
        <v>90</v>
      </c>
      <c r="G568" s="2">
        <v>6953.6435598924354</v>
      </c>
      <c r="H568" t="str">
        <f>_xlfn.XLOOKUP(Data_Xuất[[#This Row],[Main SKU]],MD_Main_SKU[Main SKU],MD_Main_SKU[SKU name_gom])</f>
        <v>iSS01084</v>
      </c>
    </row>
    <row r="569" spans="1:8" x14ac:dyDescent="0.35">
      <c r="A569">
        <v>2025</v>
      </c>
      <c r="B569">
        <v>2</v>
      </c>
      <c r="C569" t="s">
        <v>14</v>
      </c>
      <c r="D569" t="s">
        <v>15</v>
      </c>
      <c r="E569" t="s">
        <v>91</v>
      </c>
      <c r="F569" t="s">
        <v>92</v>
      </c>
      <c r="G569" s="2">
        <v>4568.8730330636427</v>
      </c>
      <c r="H569" t="str">
        <f>_xlfn.XLOOKUP(Data_Xuất[[#This Row],[Main SKU]],MD_Main_SKU[Main SKU],MD_Main_SKU[SKU name_gom])</f>
        <v>iSS01084</v>
      </c>
    </row>
    <row r="570" spans="1:8" x14ac:dyDescent="0.35">
      <c r="A570">
        <v>2025</v>
      </c>
      <c r="B570">
        <v>2</v>
      </c>
      <c r="C570" t="s">
        <v>14</v>
      </c>
      <c r="D570" t="s">
        <v>15</v>
      </c>
      <c r="E570" t="s">
        <v>117</v>
      </c>
      <c r="F570" t="s">
        <v>86</v>
      </c>
      <c r="G570" s="2">
        <v>11903.464989814272</v>
      </c>
      <c r="H570" t="str">
        <f>_xlfn.XLOOKUP(Data_Xuất[[#This Row],[Main SKU]],MD_Main_SKU[Main SKU],MD_Main_SKU[SKU name_gom])</f>
        <v>iSS01084</v>
      </c>
    </row>
    <row r="571" spans="1:8" x14ac:dyDescent="0.35">
      <c r="A571">
        <v>2025</v>
      </c>
      <c r="B571">
        <v>2</v>
      </c>
      <c r="C571" t="s">
        <v>16</v>
      </c>
      <c r="D571" t="s">
        <v>17</v>
      </c>
      <c r="E571" t="s">
        <v>16</v>
      </c>
      <c r="F571" t="s">
        <v>17</v>
      </c>
      <c r="G571" s="2">
        <v>504514.85727317055</v>
      </c>
      <c r="H571" t="str">
        <f>_xlfn.XLOOKUP(Data_Xuất[[#This Row],[Main SKU]],MD_Main_SKU[Main SKU],MD_Main_SKU[SKU name_gom])</f>
        <v>WSS01</v>
      </c>
    </row>
    <row r="572" spans="1:8" x14ac:dyDescent="0.35">
      <c r="A572">
        <v>2025</v>
      </c>
      <c r="B572">
        <v>2</v>
      </c>
      <c r="C572" t="s">
        <v>16</v>
      </c>
      <c r="D572" t="s">
        <v>17</v>
      </c>
      <c r="E572" t="s">
        <v>18</v>
      </c>
      <c r="F572" t="s">
        <v>19</v>
      </c>
      <c r="G572" s="2">
        <v>13221.273214794226</v>
      </c>
      <c r="H572" t="str">
        <f>_xlfn.XLOOKUP(Data_Xuất[[#This Row],[Main SKU]],MD_Main_SKU[Main SKU],MD_Main_SKU[SKU name_gom])</f>
        <v>WSS01</v>
      </c>
    </row>
    <row r="573" spans="1:8" x14ac:dyDescent="0.35">
      <c r="A573">
        <v>2025</v>
      </c>
      <c r="B573">
        <v>2</v>
      </c>
      <c r="C573" t="s">
        <v>16</v>
      </c>
      <c r="D573" t="s">
        <v>17</v>
      </c>
      <c r="E573" t="s">
        <v>22</v>
      </c>
      <c r="F573" t="s">
        <v>23</v>
      </c>
      <c r="G573" s="2">
        <v>2204.3994464543903</v>
      </c>
      <c r="H573" t="str">
        <f>_xlfn.XLOOKUP(Data_Xuất[[#This Row],[Main SKU]],MD_Main_SKU[Main SKU],MD_Main_SKU[SKU name_gom])</f>
        <v>WSS01</v>
      </c>
    </row>
    <row r="574" spans="1:8" x14ac:dyDescent="0.35">
      <c r="A574">
        <v>2025</v>
      </c>
      <c r="B574">
        <v>2</v>
      </c>
      <c r="C574" t="s">
        <v>16</v>
      </c>
      <c r="D574" t="s">
        <v>17</v>
      </c>
      <c r="E574" t="s">
        <v>40</v>
      </c>
      <c r="F574" t="s">
        <v>41</v>
      </c>
      <c r="G574" s="2">
        <v>6601.9513156598014</v>
      </c>
      <c r="H574" t="str">
        <f>_xlfn.XLOOKUP(Data_Xuất[[#This Row],[Main SKU]],MD_Main_SKU[Main SKU],MD_Main_SKU[SKU name_gom])</f>
        <v>WSS01</v>
      </c>
    </row>
    <row r="575" spans="1:8" x14ac:dyDescent="0.35">
      <c r="A575">
        <v>2025</v>
      </c>
      <c r="B575">
        <v>2</v>
      </c>
      <c r="C575" t="s">
        <v>16</v>
      </c>
      <c r="D575" t="s">
        <v>17</v>
      </c>
      <c r="E575" t="s">
        <v>34</v>
      </c>
      <c r="F575" t="s">
        <v>35</v>
      </c>
      <c r="G575" s="2">
        <v>1101.1470281543275</v>
      </c>
      <c r="H575" t="str">
        <f>_xlfn.XLOOKUP(Data_Xuất[[#This Row],[Main SKU]],MD_Main_SKU[Main SKU],MD_Main_SKU[SKU name_gom])</f>
        <v>WSS01</v>
      </c>
    </row>
    <row r="576" spans="1:8" x14ac:dyDescent="0.35">
      <c r="A576">
        <v>2025</v>
      </c>
      <c r="B576">
        <v>2</v>
      </c>
      <c r="C576" t="s">
        <v>16</v>
      </c>
      <c r="D576" t="s">
        <v>17</v>
      </c>
      <c r="E576" t="s">
        <v>87</v>
      </c>
      <c r="F576" t="s">
        <v>88</v>
      </c>
      <c r="G576" s="2">
        <v>35538.578810550353</v>
      </c>
      <c r="H576" t="str">
        <f>_xlfn.XLOOKUP(Data_Xuất[[#This Row],[Main SKU]],MD_Main_SKU[Main SKU],MD_Main_SKU[SKU name_gom])</f>
        <v>WSS01</v>
      </c>
    </row>
    <row r="577" spans="1:8" x14ac:dyDescent="0.35">
      <c r="A577">
        <v>2025</v>
      </c>
      <c r="B577">
        <v>2</v>
      </c>
      <c r="C577" t="s">
        <v>16</v>
      </c>
      <c r="D577" t="s">
        <v>17</v>
      </c>
      <c r="E577" t="s">
        <v>89</v>
      </c>
      <c r="F577" t="s">
        <v>90</v>
      </c>
      <c r="G577" s="2">
        <v>4829.1167310658329</v>
      </c>
      <c r="H577" t="str">
        <f>_xlfn.XLOOKUP(Data_Xuất[[#This Row],[Main SKU]],MD_Main_SKU[Main SKU],MD_Main_SKU[SKU name_gom])</f>
        <v>WSS01</v>
      </c>
    </row>
    <row r="578" spans="1:8" x14ac:dyDescent="0.35">
      <c r="A578">
        <v>2025</v>
      </c>
      <c r="B578">
        <v>2</v>
      </c>
      <c r="C578" t="s">
        <v>16</v>
      </c>
      <c r="D578" t="s">
        <v>17</v>
      </c>
      <c r="E578" t="s">
        <v>91</v>
      </c>
      <c r="F578" t="s">
        <v>92</v>
      </c>
      <c r="G578" s="2">
        <v>3895.9105276644104</v>
      </c>
      <c r="H578" t="str">
        <f>_xlfn.XLOOKUP(Data_Xuất[[#This Row],[Main SKU]],MD_Main_SKU[Main SKU],MD_Main_SKU[SKU name_gom])</f>
        <v>WSS01</v>
      </c>
    </row>
    <row r="579" spans="1:8" x14ac:dyDescent="0.35">
      <c r="A579">
        <v>2025</v>
      </c>
      <c r="B579">
        <v>2</v>
      </c>
      <c r="C579" t="s">
        <v>16</v>
      </c>
      <c r="D579" t="s">
        <v>17</v>
      </c>
      <c r="E579" t="s">
        <v>93</v>
      </c>
      <c r="F579" t="s">
        <v>94</v>
      </c>
      <c r="G579" s="2">
        <v>406.55422638933794</v>
      </c>
      <c r="H579" t="str">
        <f>_xlfn.XLOOKUP(Data_Xuất[[#This Row],[Main SKU]],MD_Main_SKU[Main SKU],MD_Main_SKU[SKU name_gom])</f>
        <v>WSS01</v>
      </c>
    </row>
    <row r="580" spans="1:8" x14ac:dyDescent="0.35">
      <c r="A580">
        <v>2025</v>
      </c>
      <c r="B580">
        <v>2</v>
      </c>
      <c r="C580" t="s">
        <v>16</v>
      </c>
      <c r="D580" t="s">
        <v>17</v>
      </c>
      <c r="E580" t="s">
        <v>117</v>
      </c>
      <c r="F580" t="s">
        <v>86</v>
      </c>
      <c r="G580" s="2">
        <v>14286.21142609681</v>
      </c>
      <c r="H580" t="str">
        <f>_xlfn.XLOOKUP(Data_Xuất[[#This Row],[Main SKU]],MD_Main_SKU[Main SKU],MD_Main_SKU[SKU name_gom])</f>
        <v>WSS01</v>
      </c>
    </row>
    <row r="581" spans="1:8" x14ac:dyDescent="0.35">
      <c r="A581">
        <v>2025</v>
      </c>
      <c r="B581">
        <v>2</v>
      </c>
      <c r="C581" t="s">
        <v>18</v>
      </c>
      <c r="D581" t="s">
        <v>19</v>
      </c>
      <c r="E581" t="s">
        <v>18</v>
      </c>
      <c r="F581" t="s">
        <v>19</v>
      </c>
      <c r="G581" s="2">
        <v>349369.789314678</v>
      </c>
      <c r="H581" t="str">
        <f>_xlfn.XLOOKUP(Data_Xuất[[#This Row],[Main SKU]],MD_Main_SKU[Main SKU],MD_Main_SKU[SKU name_gom])</f>
        <v>iSS01</v>
      </c>
    </row>
    <row r="582" spans="1:8" x14ac:dyDescent="0.35">
      <c r="A582">
        <v>2025</v>
      </c>
      <c r="B582">
        <v>2</v>
      </c>
      <c r="C582" t="s">
        <v>18</v>
      </c>
      <c r="D582" t="s">
        <v>19</v>
      </c>
      <c r="E582" t="s">
        <v>22</v>
      </c>
      <c r="F582" t="s">
        <v>23</v>
      </c>
      <c r="G582" s="2">
        <v>6607.9836963717189</v>
      </c>
      <c r="H582" t="str">
        <f>_xlfn.XLOOKUP(Data_Xuất[[#This Row],[Main SKU]],MD_Main_SKU[Main SKU],MD_Main_SKU[SKU name_gom])</f>
        <v>iSS01</v>
      </c>
    </row>
    <row r="583" spans="1:8" x14ac:dyDescent="0.35">
      <c r="A583">
        <v>2025</v>
      </c>
      <c r="B583">
        <v>2</v>
      </c>
      <c r="C583" t="s">
        <v>18</v>
      </c>
      <c r="D583" t="s">
        <v>19</v>
      </c>
      <c r="E583" t="s">
        <v>87</v>
      </c>
      <c r="F583" t="s">
        <v>88</v>
      </c>
      <c r="G583" s="2">
        <v>2905.7585719784347</v>
      </c>
      <c r="H583" t="str">
        <f>_xlfn.XLOOKUP(Data_Xuất[[#This Row],[Main SKU]],MD_Main_SKU[Main SKU],MD_Main_SKU[SKU name_gom])</f>
        <v>iSS01</v>
      </c>
    </row>
    <row r="584" spans="1:8" x14ac:dyDescent="0.35">
      <c r="A584">
        <v>2025</v>
      </c>
      <c r="B584">
        <v>2</v>
      </c>
      <c r="C584" t="s">
        <v>18</v>
      </c>
      <c r="D584" t="s">
        <v>19</v>
      </c>
      <c r="E584" t="s">
        <v>89</v>
      </c>
      <c r="F584" t="s">
        <v>90</v>
      </c>
      <c r="G584" s="2">
        <v>4809.9729489504434</v>
      </c>
      <c r="H584" t="str">
        <f>_xlfn.XLOOKUP(Data_Xuất[[#This Row],[Main SKU]],MD_Main_SKU[Main SKU],MD_Main_SKU[SKU name_gom])</f>
        <v>iSS01</v>
      </c>
    </row>
    <row r="585" spans="1:8" x14ac:dyDescent="0.35">
      <c r="A585">
        <v>2025</v>
      </c>
      <c r="B585">
        <v>2</v>
      </c>
      <c r="C585" t="s">
        <v>18</v>
      </c>
      <c r="D585" t="s">
        <v>19</v>
      </c>
      <c r="E585" t="s">
        <v>117</v>
      </c>
      <c r="F585" t="s">
        <v>86</v>
      </c>
      <c r="G585" s="2">
        <v>6506.4954680214496</v>
      </c>
      <c r="H585" t="str">
        <f>_xlfn.XLOOKUP(Data_Xuất[[#This Row],[Main SKU]],MD_Main_SKU[Main SKU],MD_Main_SKU[SKU name_gom])</f>
        <v>iSS01</v>
      </c>
    </row>
    <row r="586" spans="1:8" x14ac:dyDescent="0.35">
      <c r="A586">
        <v>2025</v>
      </c>
      <c r="B586">
        <v>2</v>
      </c>
      <c r="C586" t="s">
        <v>22</v>
      </c>
      <c r="D586" t="s">
        <v>23</v>
      </c>
      <c r="E586" t="s">
        <v>22</v>
      </c>
      <c r="F586" t="s">
        <v>23</v>
      </c>
      <c r="G586" s="2">
        <v>5530.7262569832401</v>
      </c>
      <c r="H586" t="str">
        <f>_xlfn.XLOOKUP(Data_Xuất[[#This Row],[Main SKU]],MD_Main_SKU[Main SKU],MD_Main_SKU[SKU name_gom])</f>
        <v>WSS03</v>
      </c>
    </row>
    <row r="587" spans="1:8" x14ac:dyDescent="0.35">
      <c r="A587">
        <v>2025</v>
      </c>
      <c r="B587">
        <v>2</v>
      </c>
      <c r="C587" t="s">
        <v>22</v>
      </c>
      <c r="D587" t="s">
        <v>23</v>
      </c>
      <c r="E587" t="s">
        <v>34</v>
      </c>
      <c r="F587" t="s">
        <v>35</v>
      </c>
      <c r="G587" s="2">
        <v>2212.2905027932961</v>
      </c>
      <c r="H587" t="str">
        <f>_xlfn.XLOOKUP(Data_Xuất[[#This Row],[Main SKU]],MD_Main_SKU[Main SKU],MD_Main_SKU[SKU name_gom])</f>
        <v>WSS03</v>
      </c>
    </row>
    <row r="588" spans="1:8" x14ac:dyDescent="0.35">
      <c r="A588">
        <v>2025</v>
      </c>
      <c r="B588">
        <v>2</v>
      </c>
      <c r="C588" t="s">
        <v>22</v>
      </c>
      <c r="D588" t="s">
        <v>23</v>
      </c>
      <c r="E588" t="s">
        <v>87</v>
      </c>
      <c r="F588" t="s">
        <v>88</v>
      </c>
      <c r="G588" s="2">
        <v>703.91061452513964</v>
      </c>
      <c r="H588" t="str">
        <f>_xlfn.XLOOKUP(Data_Xuất[[#This Row],[Main SKU]],MD_Main_SKU[Main SKU],MD_Main_SKU[SKU name_gom])</f>
        <v>WSS03</v>
      </c>
    </row>
    <row r="589" spans="1:8" x14ac:dyDescent="0.35">
      <c r="A589">
        <v>2025</v>
      </c>
      <c r="B589">
        <v>2</v>
      </c>
      <c r="C589" t="s">
        <v>22</v>
      </c>
      <c r="D589" t="s">
        <v>23</v>
      </c>
      <c r="E589" t="s">
        <v>117</v>
      </c>
      <c r="F589" t="s">
        <v>86</v>
      </c>
      <c r="G589" s="2">
        <v>553.07262569832403</v>
      </c>
      <c r="H589" t="str">
        <f>_xlfn.XLOOKUP(Data_Xuất[[#This Row],[Main SKU]],MD_Main_SKU[Main SKU],MD_Main_SKU[SKU name_gom])</f>
        <v>WSS03</v>
      </c>
    </row>
    <row r="590" spans="1:8" x14ac:dyDescent="0.35">
      <c r="A590">
        <v>2025</v>
      </c>
      <c r="B590">
        <v>2</v>
      </c>
      <c r="C590" t="s">
        <v>26</v>
      </c>
      <c r="D590" t="s">
        <v>27</v>
      </c>
      <c r="E590" t="s">
        <v>22</v>
      </c>
      <c r="F590" t="s">
        <v>23</v>
      </c>
      <c r="G590" s="2">
        <v>6609.5838966501424</v>
      </c>
      <c r="H590" t="str">
        <f>_xlfn.XLOOKUP(Data_Xuất[[#This Row],[Main SKU]],MD_Main_SKU[Main SKU],MD_Main_SKU[SKU name_gom])</f>
        <v>iSS01</v>
      </c>
    </row>
    <row r="591" spans="1:8" x14ac:dyDescent="0.35">
      <c r="A591">
        <v>2025</v>
      </c>
      <c r="B591">
        <v>2</v>
      </c>
      <c r="C591" t="s">
        <v>26</v>
      </c>
      <c r="D591" t="s">
        <v>27</v>
      </c>
      <c r="E591" t="s">
        <v>24</v>
      </c>
      <c r="F591" t="s">
        <v>25</v>
      </c>
      <c r="G591" s="2">
        <v>6609.5838966501424</v>
      </c>
      <c r="H591" t="str">
        <f>_xlfn.XLOOKUP(Data_Xuất[[#This Row],[Main SKU]],MD_Main_SKU[Main SKU],MD_Main_SKU[SKU name_gom])</f>
        <v>iSS01</v>
      </c>
    </row>
    <row r="592" spans="1:8" x14ac:dyDescent="0.35">
      <c r="A592">
        <v>2025</v>
      </c>
      <c r="B592">
        <v>2</v>
      </c>
      <c r="C592" t="s">
        <v>26</v>
      </c>
      <c r="D592" t="s">
        <v>27</v>
      </c>
      <c r="E592" t="s">
        <v>26</v>
      </c>
      <c r="F592" t="s">
        <v>27</v>
      </c>
      <c r="G592" s="2">
        <v>155240.40588397317</v>
      </c>
      <c r="H592" t="str">
        <f>_xlfn.XLOOKUP(Data_Xuất[[#This Row],[Main SKU]],MD_Main_SKU[Main SKU],MD_Main_SKU[SKU name_gom])</f>
        <v>iSS01</v>
      </c>
    </row>
    <row r="593" spans="1:8" x14ac:dyDescent="0.35">
      <c r="A593">
        <v>2025</v>
      </c>
      <c r="B593">
        <v>2</v>
      </c>
      <c r="C593" t="s">
        <v>26</v>
      </c>
      <c r="D593" t="s">
        <v>27</v>
      </c>
      <c r="E593" t="s">
        <v>50</v>
      </c>
      <c r="F593" t="s">
        <v>51</v>
      </c>
      <c r="G593" s="2">
        <v>24235.140954383856</v>
      </c>
      <c r="H593" t="str">
        <f>_xlfn.XLOOKUP(Data_Xuất[[#This Row],[Main SKU]],MD_Main_SKU[Main SKU],MD_Main_SKU[SKU name_gom])</f>
        <v>iSS01</v>
      </c>
    </row>
    <row r="594" spans="1:8" x14ac:dyDescent="0.35">
      <c r="A594">
        <v>2025</v>
      </c>
      <c r="B594">
        <v>2</v>
      </c>
      <c r="C594" t="s">
        <v>26</v>
      </c>
      <c r="D594" t="s">
        <v>27</v>
      </c>
      <c r="E594" t="s">
        <v>34</v>
      </c>
      <c r="F594" t="s">
        <v>35</v>
      </c>
      <c r="G594" s="2">
        <v>2201.5643170983276</v>
      </c>
      <c r="H594" t="str">
        <f>_xlfn.XLOOKUP(Data_Xuất[[#This Row],[Main SKU]],MD_Main_SKU[Main SKU],MD_Main_SKU[SKU name_gom])</f>
        <v>iSS01</v>
      </c>
    </row>
    <row r="595" spans="1:8" x14ac:dyDescent="0.35">
      <c r="A595">
        <v>2025</v>
      </c>
      <c r="B595">
        <v>2</v>
      </c>
      <c r="C595" t="s">
        <v>26</v>
      </c>
      <c r="D595" t="s">
        <v>27</v>
      </c>
      <c r="E595" t="s">
        <v>87</v>
      </c>
      <c r="F595" t="s">
        <v>88</v>
      </c>
      <c r="G595" s="2">
        <v>9791.7043676200337</v>
      </c>
      <c r="H595" t="str">
        <f>_xlfn.XLOOKUP(Data_Xuất[[#This Row],[Main SKU]],MD_Main_SKU[Main SKU],MD_Main_SKU[SKU name_gom])</f>
        <v>iSS01</v>
      </c>
    </row>
    <row r="596" spans="1:8" x14ac:dyDescent="0.35">
      <c r="A596">
        <v>2025</v>
      </c>
      <c r="B596">
        <v>2</v>
      </c>
      <c r="C596" t="s">
        <v>26</v>
      </c>
      <c r="D596" t="s">
        <v>27</v>
      </c>
      <c r="E596" t="s">
        <v>89</v>
      </c>
      <c r="F596" t="s">
        <v>90</v>
      </c>
      <c r="G596" s="2">
        <v>1700.9502206161674</v>
      </c>
      <c r="H596" t="str">
        <f>_xlfn.XLOOKUP(Data_Xuất[[#This Row],[Main SKU]],MD_Main_SKU[Main SKU],MD_Main_SKU[SKU name_gom])</f>
        <v>iSS01</v>
      </c>
    </row>
    <row r="597" spans="1:8" x14ac:dyDescent="0.35">
      <c r="A597">
        <v>2025</v>
      </c>
      <c r="B597">
        <v>2</v>
      </c>
      <c r="C597" t="s">
        <v>26</v>
      </c>
      <c r="D597" t="s">
        <v>27</v>
      </c>
      <c r="E597" t="s">
        <v>117</v>
      </c>
      <c r="F597" t="s">
        <v>86</v>
      </c>
      <c r="G597" s="2">
        <v>8611.0664630081592</v>
      </c>
      <c r="H597" t="str">
        <f>_xlfn.XLOOKUP(Data_Xuất[[#This Row],[Main SKU]],MD_Main_SKU[Main SKU],MD_Main_SKU[SKU name_gom])</f>
        <v>iSS01</v>
      </c>
    </row>
    <row r="598" spans="1:8" x14ac:dyDescent="0.35">
      <c r="A598">
        <v>2025</v>
      </c>
      <c r="B598">
        <v>2</v>
      </c>
      <c r="C598" t="s">
        <v>115</v>
      </c>
      <c r="D598" t="s">
        <v>116</v>
      </c>
      <c r="E598" t="s">
        <v>115</v>
      </c>
      <c r="F598" t="s">
        <v>116</v>
      </c>
      <c r="G598" s="2">
        <v>151629.41520444941</v>
      </c>
      <c r="H598" t="str">
        <f>_xlfn.XLOOKUP(Data_Xuất[[#This Row],[Main SKU]],MD_Main_SKU[Main SKU],MD_Main_SKU[SKU name_gom])</f>
        <v>WSS05</v>
      </c>
    </row>
    <row r="599" spans="1:8" x14ac:dyDescent="0.35">
      <c r="A599">
        <v>2025</v>
      </c>
      <c r="B599">
        <v>2</v>
      </c>
      <c r="C599" t="s">
        <v>115</v>
      </c>
      <c r="D599" t="s">
        <v>116</v>
      </c>
      <c r="E599" t="s">
        <v>124</v>
      </c>
      <c r="F599" t="s">
        <v>125</v>
      </c>
      <c r="G599" s="2">
        <v>2145.7574775530434</v>
      </c>
      <c r="H599" t="str">
        <f>_xlfn.XLOOKUP(Data_Xuất[[#This Row],[Main SKU]],MD_Main_SKU[Main SKU],MD_Main_SKU[SKU name_gom])</f>
        <v>WSS05</v>
      </c>
    </row>
    <row r="600" spans="1:8" x14ac:dyDescent="0.35">
      <c r="A600">
        <v>2025</v>
      </c>
      <c r="B600">
        <v>2</v>
      </c>
      <c r="C600" t="s">
        <v>115</v>
      </c>
      <c r="D600" t="s">
        <v>116</v>
      </c>
      <c r="E600" t="s">
        <v>87</v>
      </c>
      <c r="F600" t="s">
        <v>88</v>
      </c>
      <c r="G600" s="2">
        <v>12502.006627927913</v>
      </c>
      <c r="H600" t="str">
        <f>_xlfn.XLOOKUP(Data_Xuất[[#This Row],[Main SKU]],MD_Main_SKU[Main SKU],MD_Main_SKU[SKU name_gom])</f>
        <v>WSS05</v>
      </c>
    </row>
    <row r="601" spans="1:8" x14ac:dyDescent="0.35">
      <c r="A601">
        <v>2025</v>
      </c>
      <c r="B601">
        <v>2</v>
      </c>
      <c r="C601" t="s">
        <v>115</v>
      </c>
      <c r="D601" t="s">
        <v>116</v>
      </c>
      <c r="E601" t="s">
        <v>117</v>
      </c>
      <c r="F601" t="s">
        <v>86</v>
      </c>
      <c r="G601" s="2">
        <v>5422.8206900696432</v>
      </c>
      <c r="H601" t="str">
        <f>_xlfn.XLOOKUP(Data_Xuất[[#This Row],[Main SKU]],MD_Main_SKU[Main SKU],MD_Main_SKU[SKU name_gom])</f>
        <v>WSS05</v>
      </c>
    </row>
    <row r="602" spans="1:8" x14ac:dyDescent="0.35">
      <c r="A602">
        <v>2025</v>
      </c>
      <c r="B602">
        <v>2</v>
      </c>
      <c r="C602" t="s">
        <v>118</v>
      </c>
      <c r="D602" t="s">
        <v>119</v>
      </c>
      <c r="E602" t="s">
        <v>118</v>
      </c>
      <c r="F602" t="s">
        <v>119</v>
      </c>
      <c r="G602" s="2">
        <v>72461.300077412365</v>
      </c>
      <c r="H602" t="str">
        <f>_xlfn.XLOOKUP(Data_Xuất[[#This Row],[Main SKU]],MD_Main_SKU[Main SKU],MD_Main_SKU[SKU name_gom])</f>
        <v>WSS05</v>
      </c>
    </row>
    <row r="603" spans="1:8" x14ac:dyDescent="0.35">
      <c r="A603">
        <v>2025</v>
      </c>
      <c r="B603">
        <v>2</v>
      </c>
      <c r="C603" t="s">
        <v>118</v>
      </c>
      <c r="D603" t="s">
        <v>119</v>
      </c>
      <c r="E603" t="s">
        <v>87</v>
      </c>
      <c r="F603" t="s">
        <v>88</v>
      </c>
      <c r="G603" s="2">
        <v>6201.4054069311132</v>
      </c>
      <c r="H603" t="str">
        <f>_xlfn.XLOOKUP(Data_Xuất[[#This Row],[Main SKU]],MD_Main_SKU[Main SKU],MD_Main_SKU[SKU name_gom])</f>
        <v>WSS05</v>
      </c>
    </row>
    <row r="604" spans="1:8" x14ac:dyDescent="0.35">
      <c r="A604">
        <v>2025</v>
      </c>
      <c r="B604">
        <v>2</v>
      </c>
      <c r="C604" t="s">
        <v>118</v>
      </c>
      <c r="D604" t="s">
        <v>119</v>
      </c>
      <c r="E604" t="s">
        <v>117</v>
      </c>
      <c r="F604" t="s">
        <v>86</v>
      </c>
      <c r="G604" s="2">
        <v>3337.2945156565197</v>
      </c>
      <c r="H604" t="str">
        <f>_xlfn.XLOOKUP(Data_Xuất[[#This Row],[Main SKU]],MD_Main_SKU[Main SKU],MD_Main_SKU[SKU name_gom])</f>
        <v>WSS05</v>
      </c>
    </row>
    <row r="605" spans="1:8" x14ac:dyDescent="0.35">
      <c r="A605">
        <v>2025</v>
      </c>
      <c r="B605">
        <v>2</v>
      </c>
      <c r="C605" t="s">
        <v>44</v>
      </c>
      <c r="D605" t="s">
        <v>45</v>
      </c>
      <c r="E605" t="s">
        <v>14</v>
      </c>
      <c r="F605" t="s">
        <v>15</v>
      </c>
      <c r="G605" s="2">
        <v>1104.2735385943602</v>
      </c>
      <c r="H605" t="str">
        <f>_xlfn.XLOOKUP(Data_Xuất[[#This Row],[Main SKU]],MD_Main_SKU[Main SKU],MD_Main_SKU[SKU name_gom])</f>
        <v>iSS01</v>
      </c>
    </row>
    <row r="606" spans="1:8" x14ac:dyDescent="0.35">
      <c r="A606">
        <v>2025</v>
      </c>
      <c r="B606">
        <v>2</v>
      </c>
      <c r="C606" t="s">
        <v>44</v>
      </c>
      <c r="D606" t="s">
        <v>45</v>
      </c>
      <c r="E606" t="s">
        <v>18</v>
      </c>
      <c r="F606" t="s">
        <v>19</v>
      </c>
      <c r="G606" s="2">
        <v>11041.593524701741</v>
      </c>
      <c r="H606" t="str">
        <f>_xlfn.XLOOKUP(Data_Xuất[[#This Row],[Main SKU]],MD_Main_SKU[Main SKU],MD_Main_SKU[SKU name_gom])</f>
        <v>iSS01</v>
      </c>
    </row>
    <row r="607" spans="1:8" x14ac:dyDescent="0.35">
      <c r="A607">
        <v>2025</v>
      </c>
      <c r="B607">
        <v>2</v>
      </c>
      <c r="C607" t="s">
        <v>44</v>
      </c>
      <c r="D607" t="s">
        <v>45</v>
      </c>
      <c r="E607" t="s">
        <v>22</v>
      </c>
      <c r="F607" t="s">
        <v>23</v>
      </c>
      <c r="G607" s="2">
        <v>6626.1117219135385</v>
      </c>
      <c r="H607" t="str">
        <f>_xlfn.XLOOKUP(Data_Xuất[[#This Row],[Main SKU]],MD_Main_SKU[Main SKU],MD_Main_SKU[SKU name_gom])</f>
        <v>iSS01</v>
      </c>
    </row>
    <row r="608" spans="1:8" x14ac:dyDescent="0.35">
      <c r="A608">
        <v>2025</v>
      </c>
      <c r="B608">
        <v>2</v>
      </c>
      <c r="C608" t="s">
        <v>44</v>
      </c>
      <c r="D608" t="s">
        <v>45</v>
      </c>
      <c r="E608" t="s">
        <v>44</v>
      </c>
      <c r="F608" t="s">
        <v>45</v>
      </c>
      <c r="G608" s="2">
        <v>223534.59243255766</v>
      </c>
      <c r="H608" t="str">
        <f>_xlfn.XLOOKUP(Data_Xuất[[#This Row],[Main SKU]],MD_Main_SKU[Main SKU],MD_Main_SKU[SKU name_gom])</f>
        <v>iSS01</v>
      </c>
    </row>
    <row r="609" spans="1:8" x14ac:dyDescent="0.35">
      <c r="A609">
        <v>2025</v>
      </c>
      <c r="B609">
        <v>2</v>
      </c>
      <c r="C609" t="s">
        <v>44</v>
      </c>
      <c r="D609" t="s">
        <v>45</v>
      </c>
      <c r="E609" t="s">
        <v>34</v>
      </c>
      <c r="F609" t="s">
        <v>35</v>
      </c>
      <c r="G609" s="2">
        <v>3306.1705043793854</v>
      </c>
      <c r="H609" t="str">
        <f>_xlfn.XLOOKUP(Data_Xuất[[#This Row],[Main SKU]],MD_Main_SKU[Main SKU],MD_Main_SKU[SKU name_gom])</f>
        <v>iSS01</v>
      </c>
    </row>
    <row r="610" spans="1:8" x14ac:dyDescent="0.35">
      <c r="A610">
        <v>2025</v>
      </c>
      <c r="B610">
        <v>2</v>
      </c>
      <c r="C610" t="s">
        <v>44</v>
      </c>
      <c r="D610" t="s">
        <v>45</v>
      </c>
      <c r="E610" t="s">
        <v>87</v>
      </c>
      <c r="F610" t="s">
        <v>88</v>
      </c>
      <c r="G610" s="2">
        <v>11703.668258863343</v>
      </c>
      <c r="H610" t="str">
        <f>_xlfn.XLOOKUP(Data_Xuất[[#This Row],[Main SKU]],MD_Main_SKU[Main SKU],MD_Main_SKU[SKU name_gom])</f>
        <v>iSS01</v>
      </c>
    </row>
    <row r="611" spans="1:8" x14ac:dyDescent="0.35">
      <c r="A611">
        <v>2025</v>
      </c>
      <c r="B611">
        <v>2</v>
      </c>
      <c r="C611" t="s">
        <v>44</v>
      </c>
      <c r="D611" t="s">
        <v>45</v>
      </c>
      <c r="E611" t="s">
        <v>89</v>
      </c>
      <c r="F611" t="s">
        <v>90</v>
      </c>
      <c r="G611" s="2">
        <v>3043.7122250867092</v>
      </c>
      <c r="H611" t="str">
        <f>_xlfn.XLOOKUP(Data_Xuất[[#This Row],[Main SKU]],MD_Main_SKU[Main SKU],MD_Main_SKU[SKU name_gom])</f>
        <v>iSS01</v>
      </c>
    </row>
    <row r="612" spans="1:8" x14ac:dyDescent="0.35">
      <c r="A612">
        <v>2025</v>
      </c>
      <c r="B612">
        <v>2</v>
      </c>
      <c r="C612" t="s">
        <v>44</v>
      </c>
      <c r="D612" t="s">
        <v>45</v>
      </c>
      <c r="E612" t="s">
        <v>91</v>
      </c>
      <c r="F612" t="s">
        <v>92</v>
      </c>
      <c r="G612" s="2">
        <v>3382.3661453738546</v>
      </c>
      <c r="H612" t="str">
        <f>_xlfn.XLOOKUP(Data_Xuất[[#This Row],[Main SKU]],MD_Main_SKU[Main SKU],MD_Main_SKU[SKU name_gom])</f>
        <v>iSS01</v>
      </c>
    </row>
    <row r="613" spans="1:8" x14ac:dyDescent="0.35">
      <c r="A613">
        <v>2025</v>
      </c>
      <c r="B613">
        <v>2</v>
      </c>
      <c r="C613" t="s">
        <v>44</v>
      </c>
      <c r="D613" t="s">
        <v>45</v>
      </c>
      <c r="E613" t="s">
        <v>117</v>
      </c>
      <c r="F613" t="s">
        <v>86</v>
      </c>
      <c r="G613" s="2">
        <v>8757.511648529402</v>
      </c>
      <c r="H613" t="str">
        <f>_xlfn.XLOOKUP(Data_Xuất[[#This Row],[Main SKU]],MD_Main_SKU[Main SKU],MD_Main_SKU[SKU name_gom])</f>
        <v>iSS01</v>
      </c>
    </row>
    <row r="614" spans="1:8" x14ac:dyDescent="0.35">
      <c r="A614">
        <v>2025</v>
      </c>
      <c r="B614">
        <v>2</v>
      </c>
      <c r="C614" t="s">
        <v>48</v>
      </c>
      <c r="D614" t="s">
        <v>49</v>
      </c>
      <c r="E614" t="s">
        <v>48</v>
      </c>
      <c r="F614" t="s">
        <v>49</v>
      </c>
      <c r="G614" s="2">
        <v>3995.9839357429719</v>
      </c>
      <c r="H614" t="str">
        <f>_xlfn.XLOOKUP(Data_Xuất[[#This Row],[Main SKU]],MD_Main_SKU[Main SKU],MD_Main_SKU[SKU name_gom])</f>
        <v>WSS01</v>
      </c>
    </row>
    <row r="615" spans="1:8" x14ac:dyDescent="0.35">
      <c r="A615">
        <v>2025</v>
      </c>
      <c r="B615">
        <v>2</v>
      </c>
      <c r="C615" t="s">
        <v>48</v>
      </c>
      <c r="D615" t="s">
        <v>49</v>
      </c>
      <c r="E615" t="s">
        <v>87</v>
      </c>
      <c r="F615" t="s">
        <v>88</v>
      </c>
      <c r="G615" s="2">
        <v>853.41365461847386</v>
      </c>
      <c r="H615" t="str">
        <f>_xlfn.XLOOKUP(Data_Xuất[[#This Row],[Main SKU]],MD_Main_SKU[Main SKU],MD_Main_SKU[SKU name_gom])</f>
        <v>WSS01</v>
      </c>
    </row>
    <row r="616" spans="1:8" x14ac:dyDescent="0.35">
      <c r="A616">
        <v>2025</v>
      </c>
      <c r="B616">
        <v>2</v>
      </c>
      <c r="C616" t="s">
        <v>48</v>
      </c>
      <c r="D616" t="s">
        <v>49</v>
      </c>
      <c r="E616" t="s">
        <v>89</v>
      </c>
      <c r="F616" t="s">
        <v>90</v>
      </c>
      <c r="G616" s="2">
        <v>50.200803212851405</v>
      </c>
      <c r="H616" t="str">
        <f>_xlfn.XLOOKUP(Data_Xuất[[#This Row],[Main SKU]],MD_Main_SKU[Main SKU],MD_Main_SKU[SKU name_gom])</f>
        <v>WSS01</v>
      </c>
    </row>
    <row r="617" spans="1:8" x14ac:dyDescent="0.35">
      <c r="A617">
        <v>2025</v>
      </c>
      <c r="B617">
        <v>2</v>
      </c>
      <c r="C617" t="s">
        <v>48</v>
      </c>
      <c r="D617" t="s">
        <v>49</v>
      </c>
      <c r="E617" t="s">
        <v>117</v>
      </c>
      <c r="F617" t="s">
        <v>86</v>
      </c>
      <c r="G617" s="2">
        <v>100.40160642570281</v>
      </c>
      <c r="H617" t="str">
        <f>_xlfn.XLOOKUP(Data_Xuất[[#This Row],[Main SKU]],MD_Main_SKU[Main SKU],MD_Main_SKU[SKU name_gom])</f>
        <v>WSS01</v>
      </c>
    </row>
    <row r="618" spans="1:8" x14ac:dyDescent="0.35">
      <c r="A618">
        <v>2025</v>
      </c>
      <c r="B618">
        <v>3</v>
      </c>
      <c r="C618" t="s">
        <v>16</v>
      </c>
      <c r="D618" t="s">
        <v>17</v>
      </c>
      <c r="E618" t="s">
        <v>16</v>
      </c>
      <c r="F618" t="s">
        <v>17</v>
      </c>
      <c r="G618" s="2">
        <v>1381876.2651265408</v>
      </c>
      <c r="H618" t="str">
        <f>_xlfn.XLOOKUP(Data_Xuất[[#This Row],[Main SKU]],MD_Main_SKU[Main SKU],MD_Main_SKU[SKU name_gom])</f>
        <v>WSS01</v>
      </c>
    </row>
    <row r="619" spans="1:8" x14ac:dyDescent="0.35">
      <c r="A619">
        <v>2025</v>
      </c>
      <c r="B619">
        <v>3</v>
      </c>
      <c r="C619" t="s">
        <v>16</v>
      </c>
      <c r="D619" t="s">
        <v>17</v>
      </c>
      <c r="E619" t="s">
        <v>18</v>
      </c>
      <c r="F619" t="s">
        <v>19</v>
      </c>
      <c r="G619" s="2">
        <v>35269.45520121976</v>
      </c>
      <c r="H619" t="str">
        <f>_xlfn.XLOOKUP(Data_Xuất[[#This Row],[Main SKU]],MD_Main_SKU[Main SKU],MD_Main_SKU[SKU name_gom])</f>
        <v>WSS01</v>
      </c>
    </row>
    <row r="620" spans="1:8" x14ac:dyDescent="0.35">
      <c r="A620">
        <v>2025</v>
      </c>
      <c r="B620">
        <v>3</v>
      </c>
      <c r="C620" t="s">
        <v>16</v>
      </c>
      <c r="D620" t="s">
        <v>17</v>
      </c>
      <c r="E620" t="s">
        <v>22</v>
      </c>
      <c r="F620" t="s">
        <v>23</v>
      </c>
      <c r="G620" s="2">
        <v>8805.8181241043494</v>
      </c>
      <c r="H620" t="str">
        <f>_xlfn.XLOOKUP(Data_Xuất[[#This Row],[Main SKU]],MD_Main_SKU[Main SKU],MD_Main_SKU[SKU name_gom])</f>
        <v>WSS01</v>
      </c>
    </row>
    <row r="621" spans="1:8" x14ac:dyDescent="0.35">
      <c r="A621">
        <v>2025</v>
      </c>
      <c r="B621">
        <v>3</v>
      </c>
      <c r="C621" t="s">
        <v>16</v>
      </c>
      <c r="D621" t="s">
        <v>17</v>
      </c>
      <c r="E621" t="s">
        <v>40</v>
      </c>
      <c r="F621" t="s">
        <v>41</v>
      </c>
      <c r="G621" s="2">
        <v>8807.1940905684605</v>
      </c>
      <c r="H621" t="str">
        <f>_xlfn.XLOOKUP(Data_Xuất[[#This Row],[Main SKU]],MD_Main_SKU[Main SKU],MD_Main_SKU[SKU name_gom])</f>
        <v>WSS01</v>
      </c>
    </row>
    <row r="622" spans="1:8" x14ac:dyDescent="0.35">
      <c r="A622">
        <v>2025</v>
      </c>
      <c r="B622">
        <v>3</v>
      </c>
      <c r="C622" t="s">
        <v>16</v>
      </c>
      <c r="D622" t="s">
        <v>17</v>
      </c>
      <c r="E622" t="s">
        <v>34</v>
      </c>
      <c r="F622" t="s">
        <v>35</v>
      </c>
      <c r="G622" s="2">
        <v>3304.0080392128511</v>
      </c>
      <c r="H622" t="str">
        <f>_xlfn.XLOOKUP(Data_Xuất[[#This Row],[Main SKU]],MD_Main_SKU[Main SKU],MD_Main_SKU[SKU name_gom])</f>
        <v>WSS01</v>
      </c>
    </row>
    <row r="623" spans="1:8" x14ac:dyDescent="0.35">
      <c r="A623">
        <v>2025</v>
      </c>
      <c r="B623">
        <v>3</v>
      </c>
      <c r="C623" t="s">
        <v>16</v>
      </c>
      <c r="D623" t="s">
        <v>17</v>
      </c>
      <c r="E623" t="s">
        <v>87</v>
      </c>
      <c r="F623" t="s">
        <v>88</v>
      </c>
      <c r="G623" s="2">
        <v>35097.846370038067</v>
      </c>
      <c r="H623" t="str">
        <f>_xlfn.XLOOKUP(Data_Xuất[[#This Row],[Main SKU]],MD_Main_SKU[Main SKU],MD_Main_SKU[SKU name_gom])</f>
        <v>WSS01</v>
      </c>
    </row>
    <row r="624" spans="1:8" x14ac:dyDescent="0.35">
      <c r="A624">
        <v>2025</v>
      </c>
      <c r="B624">
        <v>3</v>
      </c>
      <c r="C624" t="s">
        <v>16</v>
      </c>
      <c r="D624" t="s">
        <v>17</v>
      </c>
      <c r="E624" t="s">
        <v>89</v>
      </c>
      <c r="F624" t="s">
        <v>90</v>
      </c>
      <c r="G624" s="2">
        <v>29592.742530687905</v>
      </c>
      <c r="H624" t="str">
        <f>_xlfn.XLOOKUP(Data_Xuất[[#This Row],[Main SKU]],MD_Main_SKU[Main SKU],MD_Main_SKU[SKU name_gom])</f>
        <v>WSS01</v>
      </c>
    </row>
    <row r="625" spans="1:8" x14ac:dyDescent="0.35">
      <c r="A625">
        <v>2025</v>
      </c>
      <c r="B625">
        <v>3</v>
      </c>
      <c r="C625" t="s">
        <v>16</v>
      </c>
      <c r="D625" t="s">
        <v>17</v>
      </c>
      <c r="E625" t="s">
        <v>91</v>
      </c>
      <c r="F625" t="s">
        <v>92</v>
      </c>
      <c r="G625" s="2">
        <v>9696.5401100248564</v>
      </c>
      <c r="H625" t="str">
        <f>_xlfn.XLOOKUP(Data_Xuất[[#This Row],[Main SKU]],MD_Main_SKU[Main SKU],MD_Main_SKU[SKU name_gom])</f>
        <v>WSS01</v>
      </c>
    </row>
    <row r="626" spans="1:8" x14ac:dyDescent="0.35">
      <c r="A626">
        <v>2025</v>
      </c>
      <c r="B626">
        <v>3</v>
      </c>
      <c r="C626" t="s">
        <v>16</v>
      </c>
      <c r="D626" t="s">
        <v>17</v>
      </c>
      <c r="E626" t="s">
        <v>93</v>
      </c>
      <c r="F626" t="s">
        <v>94</v>
      </c>
      <c r="G626" s="2">
        <v>1897.4944994783425</v>
      </c>
      <c r="H626" t="str">
        <f>_xlfn.XLOOKUP(Data_Xuất[[#This Row],[Main SKU]],MD_Main_SKU[Main SKU],MD_Main_SKU[SKU name_gom])</f>
        <v>WSS01</v>
      </c>
    </row>
    <row r="627" spans="1:8" x14ac:dyDescent="0.35">
      <c r="A627">
        <v>2025</v>
      </c>
      <c r="B627">
        <v>3</v>
      </c>
      <c r="C627" t="s">
        <v>16</v>
      </c>
      <c r="D627" t="s">
        <v>17</v>
      </c>
      <c r="E627" t="s">
        <v>117</v>
      </c>
      <c r="F627" t="s">
        <v>86</v>
      </c>
      <c r="G627" s="2">
        <v>24146.635908124477</v>
      </c>
      <c r="H627" t="str">
        <f>_xlfn.XLOOKUP(Data_Xuất[[#This Row],[Main SKU]],MD_Main_SKU[Main SKU],MD_Main_SKU[SKU name_gom])</f>
        <v>WSS01</v>
      </c>
    </row>
    <row r="628" spans="1:8" x14ac:dyDescent="0.35">
      <c r="A628">
        <v>2025</v>
      </c>
      <c r="B628">
        <v>3</v>
      </c>
      <c r="C628" t="s">
        <v>18</v>
      </c>
      <c r="D628" t="s">
        <v>19</v>
      </c>
      <c r="E628" t="s">
        <v>14</v>
      </c>
      <c r="F628" t="s">
        <v>15</v>
      </c>
      <c r="G628" s="2">
        <v>11056.614784157289</v>
      </c>
      <c r="H628" t="str">
        <f>_xlfn.XLOOKUP(Data_Xuất[[#This Row],[Main SKU]],MD_Main_SKU[Main SKU],MD_Main_SKU[SKU name_gom])</f>
        <v>iSS01</v>
      </c>
    </row>
    <row r="629" spans="1:8" x14ac:dyDescent="0.35">
      <c r="A629">
        <v>2025</v>
      </c>
      <c r="B629">
        <v>3</v>
      </c>
      <c r="C629" t="s">
        <v>18</v>
      </c>
      <c r="D629" t="s">
        <v>19</v>
      </c>
      <c r="E629" t="s">
        <v>18</v>
      </c>
      <c r="F629" t="s">
        <v>19</v>
      </c>
      <c r="G629" s="2">
        <v>818587.00656056101</v>
      </c>
      <c r="H629" t="str">
        <f>_xlfn.XLOOKUP(Data_Xuất[[#This Row],[Main SKU]],MD_Main_SKU[Main SKU],MD_Main_SKU[SKU name_gom])</f>
        <v>iSS01</v>
      </c>
    </row>
    <row r="630" spans="1:8" x14ac:dyDescent="0.35">
      <c r="A630">
        <v>2025</v>
      </c>
      <c r="B630">
        <v>3</v>
      </c>
      <c r="C630" t="s">
        <v>18</v>
      </c>
      <c r="D630" t="s">
        <v>19</v>
      </c>
      <c r="E630" t="s">
        <v>22</v>
      </c>
      <c r="F630" t="s">
        <v>23</v>
      </c>
      <c r="G630" s="2">
        <v>16551.07881921314</v>
      </c>
      <c r="H630" t="str">
        <f>_xlfn.XLOOKUP(Data_Xuất[[#This Row],[Main SKU]],MD_Main_SKU[Main SKU],MD_Main_SKU[SKU name_gom])</f>
        <v>iSS01</v>
      </c>
    </row>
    <row r="631" spans="1:8" x14ac:dyDescent="0.35">
      <c r="A631">
        <v>2025</v>
      </c>
      <c r="B631">
        <v>3</v>
      </c>
      <c r="C631" t="s">
        <v>18</v>
      </c>
      <c r="D631" t="s">
        <v>19</v>
      </c>
      <c r="E631" t="s">
        <v>40</v>
      </c>
      <c r="F631" t="s">
        <v>41</v>
      </c>
      <c r="G631" s="2">
        <v>1101.3160727068848</v>
      </c>
      <c r="H631" t="str">
        <f>_xlfn.XLOOKUP(Data_Xuất[[#This Row],[Main SKU]],MD_Main_SKU[Main SKU],MD_Main_SKU[SKU name_gom])</f>
        <v>iSS01</v>
      </c>
    </row>
    <row r="632" spans="1:8" x14ac:dyDescent="0.35">
      <c r="A632">
        <v>2025</v>
      </c>
      <c r="B632">
        <v>3</v>
      </c>
      <c r="C632" t="s">
        <v>18</v>
      </c>
      <c r="D632" t="s">
        <v>19</v>
      </c>
      <c r="E632" t="s">
        <v>34</v>
      </c>
      <c r="F632" t="s">
        <v>35</v>
      </c>
      <c r="G632" s="2">
        <v>1100.2852185013064</v>
      </c>
      <c r="H632" t="str">
        <f>_xlfn.XLOOKUP(Data_Xuất[[#This Row],[Main SKU]],MD_Main_SKU[Main SKU],MD_Main_SKU[SKU name_gom])</f>
        <v>iSS01</v>
      </c>
    </row>
    <row r="633" spans="1:8" x14ac:dyDescent="0.35">
      <c r="A633">
        <v>2025</v>
      </c>
      <c r="B633">
        <v>3</v>
      </c>
      <c r="C633" t="s">
        <v>18</v>
      </c>
      <c r="D633" t="s">
        <v>19</v>
      </c>
      <c r="E633" t="s">
        <v>87</v>
      </c>
      <c r="F633" t="s">
        <v>88</v>
      </c>
      <c r="G633" s="2">
        <v>16431.912420894845</v>
      </c>
      <c r="H633" t="str">
        <f>_xlfn.XLOOKUP(Data_Xuất[[#This Row],[Main SKU]],MD_Main_SKU[Main SKU],MD_Main_SKU[SKU name_gom])</f>
        <v>iSS01</v>
      </c>
    </row>
    <row r="634" spans="1:8" x14ac:dyDescent="0.35">
      <c r="A634">
        <v>2025</v>
      </c>
      <c r="B634">
        <v>3</v>
      </c>
      <c r="C634" t="s">
        <v>18</v>
      </c>
      <c r="D634" t="s">
        <v>19</v>
      </c>
      <c r="E634" t="s">
        <v>89</v>
      </c>
      <c r="F634" t="s">
        <v>90</v>
      </c>
      <c r="G634" s="2">
        <v>8089.5635354815977</v>
      </c>
      <c r="H634" t="str">
        <f>_xlfn.XLOOKUP(Data_Xuất[[#This Row],[Main SKU]],MD_Main_SKU[Main SKU],MD_Main_SKU[SKU name_gom])</f>
        <v>iSS01</v>
      </c>
    </row>
    <row r="635" spans="1:8" x14ac:dyDescent="0.35">
      <c r="A635">
        <v>2025</v>
      </c>
      <c r="B635">
        <v>3</v>
      </c>
      <c r="C635" t="s">
        <v>18</v>
      </c>
      <c r="D635" t="s">
        <v>19</v>
      </c>
      <c r="E635" t="s">
        <v>91</v>
      </c>
      <c r="F635" t="s">
        <v>92</v>
      </c>
      <c r="G635" s="2">
        <v>1222.9297578547128</v>
      </c>
      <c r="H635" t="str">
        <f>_xlfn.XLOOKUP(Data_Xuất[[#This Row],[Main SKU]],MD_Main_SKU[Main SKU],MD_Main_SKU[SKU name_gom])</f>
        <v>iSS01</v>
      </c>
    </row>
    <row r="636" spans="1:8" x14ac:dyDescent="0.35">
      <c r="A636">
        <v>2025</v>
      </c>
      <c r="B636">
        <v>3</v>
      </c>
      <c r="C636" t="s">
        <v>18</v>
      </c>
      <c r="D636" t="s">
        <v>19</v>
      </c>
      <c r="E636" t="s">
        <v>93</v>
      </c>
      <c r="F636" t="s">
        <v>94</v>
      </c>
      <c r="G636" s="2">
        <v>987.83359030673398</v>
      </c>
      <c r="H636" t="str">
        <f>_xlfn.XLOOKUP(Data_Xuất[[#This Row],[Main SKU]],MD_Main_SKU[Main SKU],MD_Main_SKU[SKU name_gom])</f>
        <v>iSS01</v>
      </c>
    </row>
    <row r="637" spans="1:8" x14ac:dyDescent="0.35">
      <c r="A637">
        <v>2025</v>
      </c>
      <c r="B637">
        <v>3</v>
      </c>
      <c r="C637" t="s">
        <v>18</v>
      </c>
      <c r="D637" t="s">
        <v>19</v>
      </c>
      <c r="E637" t="s">
        <v>117</v>
      </c>
      <c r="F637" t="s">
        <v>86</v>
      </c>
      <c r="G637" s="2">
        <v>13525.459240322343</v>
      </c>
      <c r="H637" t="str">
        <f>_xlfn.XLOOKUP(Data_Xuất[[#This Row],[Main SKU]],MD_Main_SKU[Main SKU],MD_Main_SKU[SKU name_gom])</f>
        <v>iSS01</v>
      </c>
    </row>
    <row r="638" spans="1:8" x14ac:dyDescent="0.35">
      <c r="A638">
        <v>2025</v>
      </c>
      <c r="B638">
        <v>3</v>
      </c>
      <c r="C638" t="s">
        <v>22</v>
      </c>
      <c r="D638" t="s">
        <v>23</v>
      </c>
      <c r="E638" t="s">
        <v>22</v>
      </c>
      <c r="F638" t="s">
        <v>23</v>
      </c>
      <c r="G638" s="2">
        <v>391486.05736259487</v>
      </c>
      <c r="H638" t="str">
        <f>_xlfn.XLOOKUP(Data_Xuất[[#This Row],[Main SKU]],MD_Main_SKU[Main SKU],MD_Main_SKU[SKU name_gom])</f>
        <v>WSS03</v>
      </c>
    </row>
    <row r="639" spans="1:8" x14ac:dyDescent="0.35">
      <c r="A639">
        <v>2025</v>
      </c>
      <c r="B639">
        <v>3</v>
      </c>
      <c r="C639" t="s">
        <v>22</v>
      </c>
      <c r="D639" t="s">
        <v>23</v>
      </c>
      <c r="E639" t="s">
        <v>87</v>
      </c>
      <c r="F639" t="s">
        <v>88</v>
      </c>
      <c r="G639" s="2">
        <v>22541.502858203894</v>
      </c>
      <c r="H639" t="str">
        <f>_xlfn.XLOOKUP(Data_Xuất[[#This Row],[Main SKU]],MD_Main_SKU[Main SKU],MD_Main_SKU[SKU name_gom])</f>
        <v>WSS03</v>
      </c>
    </row>
    <row r="640" spans="1:8" x14ac:dyDescent="0.35">
      <c r="A640">
        <v>2025</v>
      </c>
      <c r="B640">
        <v>3</v>
      </c>
      <c r="C640" t="s">
        <v>22</v>
      </c>
      <c r="D640" t="s">
        <v>23</v>
      </c>
      <c r="E640" t="s">
        <v>89</v>
      </c>
      <c r="F640" t="s">
        <v>90</v>
      </c>
      <c r="G640" s="2">
        <v>1516.3744894751487</v>
      </c>
      <c r="H640" t="str">
        <f>_xlfn.XLOOKUP(Data_Xuất[[#This Row],[Main SKU]],MD_Main_SKU[Main SKU],MD_Main_SKU[SKU name_gom])</f>
        <v>WSS03</v>
      </c>
    </row>
    <row r="641" spans="1:8" x14ac:dyDescent="0.35">
      <c r="A641">
        <v>2025</v>
      </c>
      <c r="B641">
        <v>3</v>
      </c>
      <c r="C641" t="s">
        <v>22</v>
      </c>
      <c r="D641" t="s">
        <v>23</v>
      </c>
      <c r="E641" t="s">
        <v>91</v>
      </c>
      <c r="F641" t="s">
        <v>92</v>
      </c>
      <c r="G641" s="2">
        <v>947.65390369522356</v>
      </c>
      <c r="H641" t="str">
        <f>_xlfn.XLOOKUP(Data_Xuất[[#This Row],[Main SKU]],MD_Main_SKU[Main SKU],MD_Main_SKU[SKU name_gom])</f>
        <v>WSS03</v>
      </c>
    </row>
    <row r="642" spans="1:8" x14ac:dyDescent="0.35">
      <c r="A642">
        <v>2025</v>
      </c>
      <c r="B642">
        <v>3</v>
      </c>
      <c r="C642" t="s">
        <v>22</v>
      </c>
      <c r="D642" t="s">
        <v>23</v>
      </c>
      <c r="E642" t="s">
        <v>93</v>
      </c>
      <c r="F642" t="s">
        <v>94</v>
      </c>
      <c r="G642" s="2">
        <v>413.90366099281209</v>
      </c>
      <c r="H642" t="str">
        <f>_xlfn.XLOOKUP(Data_Xuất[[#This Row],[Main SKU]],MD_Main_SKU[Main SKU],MD_Main_SKU[SKU name_gom])</f>
        <v>WSS03</v>
      </c>
    </row>
    <row r="643" spans="1:8" x14ac:dyDescent="0.35">
      <c r="A643">
        <v>2025</v>
      </c>
      <c r="B643">
        <v>3</v>
      </c>
      <c r="C643" t="s">
        <v>22</v>
      </c>
      <c r="D643" t="s">
        <v>23</v>
      </c>
      <c r="E643" t="s">
        <v>117</v>
      </c>
      <c r="F643" t="s">
        <v>86</v>
      </c>
      <c r="G643" s="2">
        <v>11094.507725038027</v>
      </c>
      <c r="H643" t="str">
        <f>_xlfn.XLOOKUP(Data_Xuất[[#This Row],[Main SKU]],MD_Main_SKU[Main SKU],MD_Main_SKU[SKU name_gom])</f>
        <v>WSS03</v>
      </c>
    </row>
    <row r="644" spans="1:8" x14ac:dyDescent="0.35">
      <c r="A644">
        <v>2025</v>
      </c>
      <c r="B644">
        <v>3</v>
      </c>
      <c r="C644" t="s">
        <v>26</v>
      </c>
      <c r="D644" t="s">
        <v>27</v>
      </c>
      <c r="E644" t="s">
        <v>22</v>
      </c>
      <c r="F644" t="s">
        <v>23</v>
      </c>
      <c r="G644" s="2">
        <v>1016.3120268024376</v>
      </c>
      <c r="H644" t="str">
        <f>_xlfn.XLOOKUP(Data_Xuất[[#This Row],[Main SKU]],MD_Main_SKU[Main SKU],MD_Main_SKU[SKU name_gom])</f>
        <v>iSS01</v>
      </c>
    </row>
    <row r="645" spans="1:8" x14ac:dyDescent="0.35">
      <c r="A645">
        <v>2025</v>
      </c>
      <c r="B645">
        <v>3</v>
      </c>
      <c r="C645" t="s">
        <v>26</v>
      </c>
      <c r="D645" t="s">
        <v>27</v>
      </c>
      <c r="E645" t="s">
        <v>24</v>
      </c>
      <c r="F645" t="s">
        <v>25</v>
      </c>
      <c r="G645" s="2">
        <v>2202.7587030512927</v>
      </c>
      <c r="H645" t="str">
        <f>_xlfn.XLOOKUP(Data_Xuất[[#This Row],[Main SKU]],MD_Main_SKU[Main SKU],MD_Main_SKU[SKU name_gom])</f>
        <v>iSS01</v>
      </c>
    </row>
    <row r="646" spans="1:8" x14ac:dyDescent="0.35">
      <c r="A646">
        <v>2025</v>
      </c>
      <c r="B646">
        <v>3</v>
      </c>
      <c r="C646" t="s">
        <v>26</v>
      </c>
      <c r="D646" t="s">
        <v>27</v>
      </c>
      <c r="E646" t="s">
        <v>26</v>
      </c>
      <c r="F646" t="s">
        <v>27</v>
      </c>
      <c r="G646" s="2">
        <v>387410.60150636482</v>
      </c>
      <c r="H646" t="str">
        <f>_xlfn.XLOOKUP(Data_Xuất[[#This Row],[Main SKU]],MD_Main_SKU[Main SKU],MD_Main_SKU[SKU name_gom])</f>
        <v>iSS01</v>
      </c>
    </row>
    <row r="647" spans="1:8" x14ac:dyDescent="0.35">
      <c r="A647">
        <v>2025</v>
      </c>
      <c r="B647">
        <v>3</v>
      </c>
      <c r="C647" t="s">
        <v>26</v>
      </c>
      <c r="D647" t="s">
        <v>27</v>
      </c>
      <c r="E647" t="s">
        <v>87</v>
      </c>
      <c r="F647" t="s">
        <v>88</v>
      </c>
      <c r="G647" s="2">
        <v>18114.258872695729</v>
      </c>
      <c r="H647" t="str">
        <f>_xlfn.XLOOKUP(Data_Xuất[[#This Row],[Main SKU]],MD_Main_SKU[Main SKU],MD_Main_SKU[SKU name_gom])</f>
        <v>iSS01</v>
      </c>
    </row>
    <row r="648" spans="1:8" x14ac:dyDescent="0.35">
      <c r="A648">
        <v>2025</v>
      </c>
      <c r="B648">
        <v>3</v>
      </c>
      <c r="C648" t="s">
        <v>26</v>
      </c>
      <c r="D648" t="s">
        <v>27</v>
      </c>
      <c r="E648" t="s">
        <v>89</v>
      </c>
      <c r="F648" t="s">
        <v>90</v>
      </c>
      <c r="G648" s="2">
        <v>1297.1261662586958</v>
      </c>
      <c r="H648" t="str">
        <f>_xlfn.XLOOKUP(Data_Xuất[[#This Row],[Main SKU]],MD_Main_SKU[Main SKU],MD_Main_SKU[SKU name_gom])</f>
        <v>iSS01</v>
      </c>
    </row>
    <row r="649" spans="1:8" x14ac:dyDescent="0.35">
      <c r="A649">
        <v>2025</v>
      </c>
      <c r="B649">
        <v>3</v>
      </c>
      <c r="C649" t="s">
        <v>26</v>
      </c>
      <c r="D649" t="s">
        <v>27</v>
      </c>
      <c r="E649" t="s">
        <v>91</v>
      </c>
      <c r="F649" t="s">
        <v>92</v>
      </c>
      <c r="G649" s="2">
        <v>1928.2979657939702</v>
      </c>
      <c r="H649" t="str">
        <f>_xlfn.XLOOKUP(Data_Xuất[[#This Row],[Main SKU]],MD_Main_SKU[Main SKU],MD_Main_SKU[SKU name_gom])</f>
        <v>iSS01</v>
      </c>
    </row>
    <row r="650" spans="1:8" x14ac:dyDescent="0.35">
      <c r="A650">
        <v>2025</v>
      </c>
      <c r="B650">
        <v>3</v>
      </c>
      <c r="C650" t="s">
        <v>26</v>
      </c>
      <c r="D650" t="s">
        <v>27</v>
      </c>
      <c r="E650" t="s">
        <v>93</v>
      </c>
      <c r="F650" t="s">
        <v>94</v>
      </c>
      <c r="G650" s="2">
        <v>1844.9418871420826</v>
      </c>
      <c r="H650" t="str">
        <f>_xlfn.XLOOKUP(Data_Xuất[[#This Row],[Main SKU]],MD_Main_SKU[Main SKU],MD_Main_SKU[SKU name_gom])</f>
        <v>iSS01</v>
      </c>
    </row>
    <row r="651" spans="1:8" x14ac:dyDescent="0.35">
      <c r="A651">
        <v>2025</v>
      </c>
      <c r="B651">
        <v>3</v>
      </c>
      <c r="C651" t="s">
        <v>26</v>
      </c>
      <c r="D651" t="s">
        <v>27</v>
      </c>
      <c r="E651" t="s">
        <v>117</v>
      </c>
      <c r="F651" t="s">
        <v>86</v>
      </c>
      <c r="G651" s="2">
        <v>7038.7028718909605</v>
      </c>
      <c r="H651" t="str">
        <f>_xlfn.XLOOKUP(Data_Xuất[[#This Row],[Main SKU]],MD_Main_SKU[Main SKU],MD_Main_SKU[SKU name_gom])</f>
        <v>iSS01</v>
      </c>
    </row>
    <row r="652" spans="1:8" x14ac:dyDescent="0.35">
      <c r="A652">
        <v>2025</v>
      </c>
      <c r="B652">
        <v>3</v>
      </c>
      <c r="C652" t="s">
        <v>99</v>
      </c>
      <c r="D652" t="s">
        <v>100</v>
      </c>
      <c r="E652" t="s">
        <v>99</v>
      </c>
      <c r="F652" t="s">
        <v>100</v>
      </c>
      <c r="G652" s="2">
        <v>2100</v>
      </c>
      <c r="H652" t="str">
        <f>_xlfn.XLOOKUP(Data_Xuất[[#This Row],[Main SKU]],MD_Main_SKU[Main SKU],MD_Main_SKU[SKU name_gom])</f>
        <v>WSS04</v>
      </c>
    </row>
    <row r="653" spans="1:8" x14ac:dyDescent="0.35">
      <c r="A653">
        <v>2025</v>
      </c>
      <c r="B653">
        <v>3</v>
      </c>
      <c r="C653" t="s">
        <v>99</v>
      </c>
      <c r="D653" t="s">
        <v>100</v>
      </c>
      <c r="E653" t="s">
        <v>117</v>
      </c>
      <c r="F653" t="s">
        <v>86</v>
      </c>
      <c r="G653" s="2">
        <v>400</v>
      </c>
      <c r="H653" t="str">
        <f>_xlfn.XLOOKUP(Data_Xuất[[#This Row],[Main SKU]],MD_Main_SKU[Main SKU],MD_Main_SKU[SKU name_gom])</f>
        <v>WSS04</v>
      </c>
    </row>
    <row r="654" spans="1:8" x14ac:dyDescent="0.35">
      <c r="A654">
        <v>2025</v>
      </c>
      <c r="B654">
        <v>3</v>
      </c>
      <c r="C654" t="s">
        <v>115</v>
      </c>
      <c r="D654" t="s">
        <v>116</v>
      </c>
      <c r="E654" t="s">
        <v>115</v>
      </c>
      <c r="F654" t="s">
        <v>116</v>
      </c>
      <c r="G654" s="2">
        <v>344430.47967933875</v>
      </c>
      <c r="H654" t="str">
        <f>_xlfn.XLOOKUP(Data_Xuất[[#This Row],[Main SKU]],MD_Main_SKU[Main SKU],MD_Main_SKU[SKU name_gom])</f>
        <v>WSS05</v>
      </c>
    </row>
    <row r="655" spans="1:8" x14ac:dyDescent="0.35">
      <c r="A655">
        <v>2025</v>
      </c>
      <c r="B655">
        <v>3</v>
      </c>
      <c r="C655" t="s">
        <v>115</v>
      </c>
      <c r="D655" t="s">
        <v>116</v>
      </c>
      <c r="E655" t="s">
        <v>87</v>
      </c>
      <c r="F655" t="s">
        <v>88</v>
      </c>
      <c r="G655" s="2">
        <v>28067.549853531182</v>
      </c>
      <c r="H655" t="str">
        <f>_xlfn.XLOOKUP(Data_Xuất[[#This Row],[Main SKU]],MD_Main_SKU[Main SKU],MD_Main_SKU[SKU name_gom])</f>
        <v>WSS05</v>
      </c>
    </row>
    <row r="656" spans="1:8" x14ac:dyDescent="0.35">
      <c r="A656">
        <v>2025</v>
      </c>
      <c r="B656">
        <v>3</v>
      </c>
      <c r="C656" t="s">
        <v>115</v>
      </c>
      <c r="D656" t="s">
        <v>116</v>
      </c>
      <c r="E656" t="s">
        <v>117</v>
      </c>
      <c r="F656" t="s">
        <v>86</v>
      </c>
      <c r="G656" s="2">
        <v>12149.970467130124</v>
      </c>
      <c r="H656" t="str">
        <f>_xlfn.XLOOKUP(Data_Xuất[[#This Row],[Main SKU]],MD_Main_SKU[Main SKU],MD_Main_SKU[SKU name_gom])</f>
        <v>WSS05</v>
      </c>
    </row>
    <row r="657" spans="1:8" x14ac:dyDescent="0.35">
      <c r="A657">
        <v>2025</v>
      </c>
      <c r="B657">
        <v>3</v>
      </c>
      <c r="C657" t="s">
        <v>118</v>
      </c>
      <c r="D657" t="s">
        <v>119</v>
      </c>
      <c r="E657" t="s">
        <v>118</v>
      </c>
      <c r="F657" t="s">
        <v>119</v>
      </c>
      <c r="G657" s="2">
        <v>8400</v>
      </c>
      <c r="H657" t="str">
        <f>_xlfn.XLOOKUP(Data_Xuất[[#This Row],[Main SKU]],MD_Main_SKU[Main SKU],MD_Main_SKU[SKU name_gom])</f>
        <v>WSS05</v>
      </c>
    </row>
    <row r="658" spans="1:8" x14ac:dyDescent="0.35">
      <c r="A658">
        <v>2025</v>
      </c>
      <c r="B658">
        <v>3</v>
      </c>
      <c r="C658" t="s">
        <v>118</v>
      </c>
      <c r="D658" t="s">
        <v>119</v>
      </c>
      <c r="E658" t="s">
        <v>87</v>
      </c>
      <c r="F658" t="s">
        <v>88</v>
      </c>
      <c r="G658" s="2">
        <v>900</v>
      </c>
      <c r="H658" t="str">
        <f>_xlfn.XLOOKUP(Data_Xuất[[#This Row],[Main SKU]],MD_Main_SKU[Main SKU],MD_Main_SKU[SKU name_gom])</f>
        <v>WSS05</v>
      </c>
    </row>
    <row r="659" spans="1:8" x14ac:dyDescent="0.35">
      <c r="A659">
        <v>2025</v>
      </c>
      <c r="B659">
        <v>3</v>
      </c>
      <c r="C659" t="s">
        <v>118</v>
      </c>
      <c r="D659" t="s">
        <v>119</v>
      </c>
      <c r="E659" t="s">
        <v>117</v>
      </c>
      <c r="F659" t="s">
        <v>86</v>
      </c>
      <c r="G659" s="2">
        <v>700</v>
      </c>
      <c r="H659" t="str">
        <f>_xlfn.XLOOKUP(Data_Xuất[[#This Row],[Main SKU]],MD_Main_SKU[Main SKU],MD_Main_SKU[SKU name_gom])</f>
        <v>WSS05</v>
      </c>
    </row>
    <row r="660" spans="1:8" x14ac:dyDescent="0.35">
      <c r="A660">
        <v>2025</v>
      </c>
      <c r="B660">
        <v>4</v>
      </c>
      <c r="C660" t="s">
        <v>14</v>
      </c>
      <c r="D660" t="s">
        <v>15</v>
      </c>
      <c r="E660" t="s">
        <v>14</v>
      </c>
      <c r="F660" t="s">
        <v>15</v>
      </c>
      <c r="G660" s="2">
        <v>3303.3673469387754</v>
      </c>
      <c r="H660" t="str">
        <f>_xlfn.XLOOKUP(Data_Xuất[[#This Row],[Main SKU]],MD_Main_SKU[Main SKU],MD_Main_SKU[SKU name_gom])</f>
        <v>iSS01084</v>
      </c>
    </row>
    <row r="661" spans="1:8" x14ac:dyDescent="0.35">
      <c r="A661">
        <v>2025</v>
      </c>
      <c r="B661">
        <v>4</v>
      </c>
      <c r="C661" t="s">
        <v>14</v>
      </c>
      <c r="D661" t="s">
        <v>15</v>
      </c>
      <c r="E661" t="s">
        <v>22</v>
      </c>
      <c r="F661" t="s">
        <v>23</v>
      </c>
      <c r="G661" s="2">
        <v>1101.1224489795918</v>
      </c>
      <c r="H661" t="str">
        <f>_xlfn.XLOOKUP(Data_Xuất[[#This Row],[Main SKU]],MD_Main_SKU[Main SKU],MD_Main_SKU[SKU name_gom])</f>
        <v>iSS01084</v>
      </c>
    </row>
    <row r="662" spans="1:8" x14ac:dyDescent="0.35">
      <c r="A662">
        <v>2025</v>
      </c>
      <c r="B662">
        <v>4</v>
      </c>
      <c r="C662" t="s">
        <v>14</v>
      </c>
      <c r="D662" t="s">
        <v>15</v>
      </c>
      <c r="E662" t="s">
        <v>87</v>
      </c>
      <c r="F662" t="s">
        <v>88</v>
      </c>
      <c r="G662" s="2">
        <v>350.35714285714283</v>
      </c>
      <c r="H662" t="str">
        <f>_xlfn.XLOOKUP(Data_Xuất[[#This Row],[Main SKU]],MD_Main_SKU[Main SKU],MD_Main_SKU[SKU name_gom])</f>
        <v>iSS01084</v>
      </c>
    </row>
    <row r="663" spans="1:8" x14ac:dyDescent="0.35">
      <c r="A663">
        <v>2025</v>
      </c>
      <c r="B663">
        <v>4</v>
      </c>
      <c r="C663" t="s">
        <v>14</v>
      </c>
      <c r="D663" t="s">
        <v>15</v>
      </c>
      <c r="E663" t="s">
        <v>93</v>
      </c>
      <c r="F663" t="s">
        <v>94</v>
      </c>
      <c r="G663" s="2">
        <v>150.15306122448979</v>
      </c>
      <c r="H663" t="str">
        <f>_xlfn.XLOOKUP(Data_Xuất[[#This Row],[Main SKU]],MD_Main_SKU[Main SKU],MD_Main_SKU[SKU name_gom])</f>
        <v>iSS01084</v>
      </c>
    </row>
    <row r="664" spans="1:8" x14ac:dyDescent="0.35">
      <c r="A664">
        <v>2025</v>
      </c>
      <c r="B664">
        <v>4</v>
      </c>
      <c r="C664" t="s">
        <v>16</v>
      </c>
      <c r="D664" t="s">
        <v>17</v>
      </c>
      <c r="E664" t="s">
        <v>14</v>
      </c>
      <c r="F664" t="s">
        <v>15</v>
      </c>
      <c r="G664" s="2">
        <v>2221.3722940411535</v>
      </c>
      <c r="H664" t="str">
        <f>_xlfn.XLOOKUP(Data_Xuất[[#This Row],[Main SKU]],MD_Main_SKU[Main SKU],MD_Main_SKU[SKU name_gom])</f>
        <v>WSS01</v>
      </c>
    </row>
    <row r="665" spans="1:8" x14ac:dyDescent="0.35">
      <c r="A665">
        <v>2025</v>
      </c>
      <c r="B665">
        <v>4</v>
      </c>
      <c r="C665" t="s">
        <v>16</v>
      </c>
      <c r="D665" t="s">
        <v>17</v>
      </c>
      <c r="E665" t="s">
        <v>16</v>
      </c>
      <c r="F665" t="s">
        <v>17</v>
      </c>
      <c r="G665" s="2">
        <v>2628006.8542173733</v>
      </c>
      <c r="H665" t="str">
        <f>_xlfn.XLOOKUP(Data_Xuất[[#This Row],[Main SKU]],MD_Main_SKU[Main SKU],MD_Main_SKU[SKU name_gom])</f>
        <v>WSS01</v>
      </c>
    </row>
    <row r="666" spans="1:8" x14ac:dyDescent="0.35">
      <c r="A666">
        <v>2025</v>
      </c>
      <c r="B666">
        <v>4</v>
      </c>
      <c r="C666" t="s">
        <v>16</v>
      </c>
      <c r="D666" t="s">
        <v>17</v>
      </c>
      <c r="E666" t="s">
        <v>18</v>
      </c>
      <c r="F666" t="s">
        <v>19</v>
      </c>
      <c r="G666" s="2">
        <v>132778.39191967429</v>
      </c>
      <c r="H666" t="str">
        <f>_xlfn.XLOOKUP(Data_Xuất[[#This Row],[Main SKU]],MD_Main_SKU[Main SKU],MD_Main_SKU[SKU name_gom])</f>
        <v>WSS01</v>
      </c>
    </row>
    <row r="667" spans="1:8" x14ac:dyDescent="0.35">
      <c r="A667">
        <v>2025</v>
      </c>
      <c r="B667">
        <v>4</v>
      </c>
      <c r="C667" t="s">
        <v>16</v>
      </c>
      <c r="D667" t="s">
        <v>17</v>
      </c>
      <c r="E667" t="s">
        <v>22</v>
      </c>
      <c r="F667" t="s">
        <v>23</v>
      </c>
      <c r="G667" s="2">
        <v>14408.096225964993</v>
      </c>
      <c r="H667" t="str">
        <f>_xlfn.XLOOKUP(Data_Xuất[[#This Row],[Main SKU]],MD_Main_SKU[Main SKU],MD_Main_SKU[SKU name_gom])</f>
        <v>WSS01</v>
      </c>
    </row>
    <row r="668" spans="1:8" x14ac:dyDescent="0.35">
      <c r="A668">
        <v>2025</v>
      </c>
      <c r="B668">
        <v>4</v>
      </c>
      <c r="C668" t="s">
        <v>16</v>
      </c>
      <c r="D668" t="s">
        <v>17</v>
      </c>
      <c r="E668" t="s">
        <v>40</v>
      </c>
      <c r="F668" t="s">
        <v>41</v>
      </c>
      <c r="G668" s="2">
        <v>6669.5372371633503</v>
      </c>
      <c r="H668" t="str">
        <f>_xlfn.XLOOKUP(Data_Xuất[[#This Row],[Main SKU]],MD_Main_SKU[Main SKU],MD_Main_SKU[SKU name_gom])</f>
        <v>WSS01</v>
      </c>
    </row>
    <row r="669" spans="1:8" x14ac:dyDescent="0.35">
      <c r="A669">
        <v>2025</v>
      </c>
      <c r="B669">
        <v>4</v>
      </c>
      <c r="C669" t="s">
        <v>16</v>
      </c>
      <c r="D669" t="s">
        <v>17</v>
      </c>
      <c r="E669" t="s">
        <v>34</v>
      </c>
      <c r="F669" t="s">
        <v>35</v>
      </c>
      <c r="G669" s="2">
        <v>11090.553414668029</v>
      </c>
      <c r="H669" t="str">
        <f>_xlfn.XLOOKUP(Data_Xuất[[#This Row],[Main SKU]],MD_Main_SKU[Main SKU],MD_Main_SKU[SKU name_gom])</f>
        <v>WSS01</v>
      </c>
    </row>
    <row r="670" spans="1:8" x14ac:dyDescent="0.35">
      <c r="A670">
        <v>2025</v>
      </c>
      <c r="B670">
        <v>4</v>
      </c>
      <c r="C670" t="s">
        <v>16</v>
      </c>
      <c r="D670" t="s">
        <v>17</v>
      </c>
      <c r="E670" t="s">
        <v>87</v>
      </c>
      <c r="F670" t="s">
        <v>88</v>
      </c>
      <c r="G670" s="2">
        <v>58328.529626744254</v>
      </c>
      <c r="H670" t="str">
        <f>_xlfn.XLOOKUP(Data_Xuất[[#This Row],[Main SKU]],MD_Main_SKU[Main SKU],MD_Main_SKU[SKU name_gom])</f>
        <v>WSS01</v>
      </c>
    </row>
    <row r="671" spans="1:8" x14ac:dyDescent="0.35">
      <c r="A671">
        <v>2025</v>
      </c>
      <c r="B671">
        <v>4</v>
      </c>
      <c r="C671" t="s">
        <v>16</v>
      </c>
      <c r="D671" t="s">
        <v>17</v>
      </c>
      <c r="E671" t="s">
        <v>89</v>
      </c>
      <c r="F671" t="s">
        <v>90</v>
      </c>
      <c r="G671" s="2">
        <v>47849.322745017103</v>
      </c>
      <c r="H671" t="str">
        <f>_xlfn.XLOOKUP(Data_Xuất[[#This Row],[Main SKU]],MD_Main_SKU[Main SKU],MD_Main_SKU[SKU name_gom])</f>
        <v>WSS01</v>
      </c>
    </row>
    <row r="672" spans="1:8" x14ac:dyDescent="0.35">
      <c r="A672">
        <v>2025</v>
      </c>
      <c r="B672">
        <v>4</v>
      </c>
      <c r="C672" t="s">
        <v>16</v>
      </c>
      <c r="D672" t="s">
        <v>17</v>
      </c>
      <c r="E672" t="s">
        <v>91</v>
      </c>
      <c r="F672" t="s">
        <v>92</v>
      </c>
      <c r="G672" s="2">
        <v>1109.0288734841279</v>
      </c>
      <c r="H672" t="str">
        <f>_xlfn.XLOOKUP(Data_Xuất[[#This Row],[Main SKU]],MD_Main_SKU[Main SKU],MD_Main_SKU[SKU name_gom])</f>
        <v>WSS01</v>
      </c>
    </row>
    <row r="673" spans="1:8" x14ac:dyDescent="0.35">
      <c r="A673">
        <v>2025</v>
      </c>
      <c r="B673">
        <v>4</v>
      </c>
      <c r="C673" t="s">
        <v>16</v>
      </c>
      <c r="D673" t="s">
        <v>17</v>
      </c>
      <c r="E673" t="s">
        <v>93</v>
      </c>
      <c r="F673" t="s">
        <v>94</v>
      </c>
      <c r="G673" s="2">
        <v>608.60009185910531</v>
      </c>
      <c r="H673" t="str">
        <f>_xlfn.XLOOKUP(Data_Xuất[[#This Row],[Main SKU]],MD_Main_SKU[Main SKU],MD_Main_SKU[SKU name_gom])</f>
        <v>WSS01</v>
      </c>
    </row>
    <row r="674" spans="1:8" x14ac:dyDescent="0.35">
      <c r="A674">
        <v>2025</v>
      </c>
      <c r="B674">
        <v>4</v>
      </c>
      <c r="C674" t="s">
        <v>16</v>
      </c>
      <c r="D674" t="s">
        <v>17</v>
      </c>
      <c r="E674" t="s">
        <v>117</v>
      </c>
      <c r="F674" t="s">
        <v>86</v>
      </c>
      <c r="G674" s="2">
        <v>32132.21335401016</v>
      </c>
      <c r="H674" t="str">
        <f>_xlfn.XLOOKUP(Data_Xuất[[#This Row],[Main SKU]],MD_Main_SKU[Main SKU],MD_Main_SKU[SKU name_gom])</f>
        <v>WSS01</v>
      </c>
    </row>
    <row r="675" spans="1:8" x14ac:dyDescent="0.35">
      <c r="A675">
        <v>2025</v>
      </c>
      <c r="B675">
        <v>4</v>
      </c>
      <c r="C675" t="s">
        <v>18</v>
      </c>
      <c r="D675" t="s">
        <v>19</v>
      </c>
      <c r="E675" t="s">
        <v>16</v>
      </c>
      <c r="F675" t="s">
        <v>17</v>
      </c>
      <c r="G675" s="2">
        <v>27689.909127794086</v>
      </c>
      <c r="H675" t="str">
        <f>_xlfn.XLOOKUP(Data_Xuất[[#This Row],[Main SKU]],MD_Main_SKU[Main SKU],MD_Main_SKU[SKU name_gom])</f>
        <v>iSS01</v>
      </c>
    </row>
    <row r="676" spans="1:8" x14ac:dyDescent="0.35">
      <c r="A676">
        <v>2025</v>
      </c>
      <c r="B676">
        <v>4</v>
      </c>
      <c r="C676" t="s">
        <v>18</v>
      </c>
      <c r="D676" t="s">
        <v>19</v>
      </c>
      <c r="E676" t="s">
        <v>18</v>
      </c>
      <c r="F676" t="s">
        <v>19</v>
      </c>
      <c r="G676" s="2">
        <v>506528.80547057133</v>
      </c>
      <c r="H676" t="str">
        <f>_xlfn.XLOOKUP(Data_Xuất[[#This Row],[Main SKU]],MD_Main_SKU[Main SKU],MD_Main_SKU[SKU name_gom])</f>
        <v>iSS01</v>
      </c>
    </row>
    <row r="677" spans="1:8" x14ac:dyDescent="0.35">
      <c r="A677">
        <v>2025</v>
      </c>
      <c r="B677">
        <v>4</v>
      </c>
      <c r="C677" t="s">
        <v>18</v>
      </c>
      <c r="D677" t="s">
        <v>19</v>
      </c>
      <c r="E677" t="s">
        <v>22</v>
      </c>
      <c r="F677" t="s">
        <v>23</v>
      </c>
      <c r="G677" s="2">
        <v>10558.193196907154</v>
      </c>
      <c r="H677" t="str">
        <f>_xlfn.XLOOKUP(Data_Xuất[[#This Row],[Main SKU]],MD_Main_SKU[Main SKU],MD_Main_SKU[SKU name_gom])</f>
        <v>iSS01</v>
      </c>
    </row>
    <row r="678" spans="1:8" x14ac:dyDescent="0.35">
      <c r="A678">
        <v>2025</v>
      </c>
      <c r="B678">
        <v>4</v>
      </c>
      <c r="C678" t="s">
        <v>18</v>
      </c>
      <c r="D678" t="s">
        <v>19</v>
      </c>
      <c r="E678" t="s">
        <v>40</v>
      </c>
      <c r="F678" t="s">
        <v>41</v>
      </c>
      <c r="G678" s="2">
        <v>7713.1358406436202</v>
      </c>
      <c r="H678" t="str">
        <f>_xlfn.XLOOKUP(Data_Xuất[[#This Row],[Main SKU]],MD_Main_SKU[Main SKU],MD_Main_SKU[SKU name_gom])</f>
        <v>iSS01</v>
      </c>
    </row>
    <row r="679" spans="1:8" x14ac:dyDescent="0.35">
      <c r="A679">
        <v>2025</v>
      </c>
      <c r="B679">
        <v>4</v>
      </c>
      <c r="C679" t="s">
        <v>18</v>
      </c>
      <c r="D679" t="s">
        <v>19</v>
      </c>
      <c r="E679" t="s">
        <v>87</v>
      </c>
      <c r="F679" t="s">
        <v>88</v>
      </c>
      <c r="G679" s="2">
        <v>16291.398408571553</v>
      </c>
      <c r="H679" t="str">
        <f>_xlfn.XLOOKUP(Data_Xuất[[#This Row],[Main SKU]],MD_Main_SKU[Main SKU],MD_Main_SKU[SKU name_gom])</f>
        <v>iSS01</v>
      </c>
    </row>
    <row r="680" spans="1:8" x14ac:dyDescent="0.35">
      <c r="A680">
        <v>2025</v>
      </c>
      <c r="B680">
        <v>4</v>
      </c>
      <c r="C680" t="s">
        <v>18</v>
      </c>
      <c r="D680" t="s">
        <v>19</v>
      </c>
      <c r="E680" t="s">
        <v>89</v>
      </c>
      <c r="F680" t="s">
        <v>90</v>
      </c>
      <c r="G680" s="2">
        <v>5323.077208208244</v>
      </c>
      <c r="H680" t="str">
        <f>_xlfn.XLOOKUP(Data_Xuất[[#This Row],[Main SKU]],MD_Main_SKU[Main SKU],MD_Main_SKU[SKU name_gom])</f>
        <v>iSS01</v>
      </c>
    </row>
    <row r="681" spans="1:8" x14ac:dyDescent="0.35">
      <c r="A681">
        <v>2025</v>
      </c>
      <c r="B681">
        <v>4</v>
      </c>
      <c r="C681" t="s">
        <v>18</v>
      </c>
      <c r="D681" t="s">
        <v>19</v>
      </c>
      <c r="E681" t="s">
        <v>91</v>
      </c>
      <c r="F681" t="s">
        <v>92</v>
      </c>
      <c r="G681" s="2">
        <v>2548.5307083021958</v>
      </c>
      <c r="H681" t="str">
        <f>_xlfn.XLOOKUP(Data_Xuất[[#This Row],[Main SKU]],MD_Main_SKU[Main SKU],MD_Main_SKU[SKU name_gom])</f>
        <v>iSS01</v>
      </c>
    </row>
    <row r="682" spans="1:8" x14ac:dyDescent="0.35">
      <c r="A682">
        <v>2025</v>
      </c>
      <c r="B682">
        <v>4</v>
      </c>
      <c r="C682" t="s">
        <v>18</v>
      </c>
      <c r="D682" t="s">
        <v>19</v>
      </c>
      <c r="E682" t="s">
        <v>93</v>
      </c>
      <c r="F682" t="s">
        <v>94</v>
      </c>
      <c r="G682" s="2">
        <v>1373.259861982857</v>
      </c>
      <c r="H682" t="str">
        <f>_xlfn.XLOOKUP(Data_Xuất[[#This Row],[Main SKU]],MD_Main_SKU[Main SKU],MD_Main_SKU[SKU name_gom])</f>
        <v>iSS01</v>
      </c>
    </row>
    <row r="683" spans="1:8" x14ac:dyDescent="0.35">
      <c r="A683">
        <v>2025</v>
      </c>
      <c r="B683">
        <v>4</v>
      </c>
      <c r="C683" t="s">
        <v>18</v>
      </c>
      <c r="D683" t="s">
        <v>19</v>
      </c>
      <c r="E683" t="s">
        <v>117</v>
      </c>
      <c r="F683" t="s">
        <v>86</v>
      </c>
      <c r="G683" s="2">
        <v>8430.5451770189993</v>
      </c>
      <c r="H683" t="str">
        <f>_xlfn.XLOOKUP(Data_Xuất[[#This Row],[Main SKU]],MD_Main_SKU[Main SKU],MD_Main_SKU[SKU name_gom])</f>
        <v>iSS01</v>
      </c>
    </row>
    <row r="684" spans="1:8" x14ac:dyDescent="0.35">
      <c r="A684">
        <v>2025</v>
      </c>
      <c r="B684">
        <v>4</v>
      </c>
      <c r="C684" t="s">
        <v>22</v>
      </c>
      <c r="D684" t="s">
        <v>23</v>
      </c>
      <c r="E684" t="s">
        <v>22</v>
      </c>
      <c r="F684" t="s">
        <v>23</v>
      </c>
      <c r="G684" s="2">
        <v>106865.30995616781</v>
      </c>
      <c r="H684" t="str">
        <f>_xlfn.XLOOKUP(Data_Xuất[[#This Row],[Main SKU]],MD_Main_SKU[Main SKU],MD_Main_SKU[SKU name_gom])</f>
        <v>WSS03</v>
      </c>
    </row>
    <row r="685" spans="1:8" x14ac:dyDescent="0.35">
      <c r="A685">
        <v>2025</v>
      </c>
      <c r="B685">
        <v>4</v>
      </c>
      <c r="C685" t="s">
        <v>22</v>
      </c>
      <c r="D685" t="s">
        <v>23</v>
      </c>
      <c r="E685" t="s">
        <v>87</v>
      </c>
      <c r="F685" t="s">
        <v>88</v>
      </c>
      <c r="G685" s="2">
        <v>4207.8897933625549</v>
      </c>
      <c r="H685" t="str">
        <f>_xlfn.XLOOKUP(Data_Xuất[[#This Row],[Main SKU]],MD_Main_SKU[Main SKU],MD_Main_SKU[SKU name_gom])</f>
        <v>WSS03</v>
      </c>
    </row>
    <row r="686" spans="1:8" x14ac:dyDescent="0.35">
      <c r="A686">
        <v>2025</v>
      </c>
      <c r="B686">
        <v>4</v>
      </c>
      <c r="C686" t="s">
        <v>22</v>
      </c>
      <c r="D686" t="s">
        <v>23</v>
      </c>
      <c r="E686" t="s">
        <v>89</v>
      </c>
      <c r="F686" t="s">
        <v>90</v>
      </c>
      <c r="G686" s="2">
        <v>541.01440200375703</v>
      </c>
      <c r="H686" t="str">
        <f>_xlfn.XLOOKUP(Data_Xuất[[#This Row],[Main SKU]],MD_Main_SKU[Main SKU],MD_Main_SKU[SKU name_gom])</f>
        <v>WSS03</v>
      </c>
    </row>
    <row r="687" spans="1:8" x14ac:dyDescent="0.35">
      <c r="A687">
        <v>2025</v>
      </c>
      <c r="B687">
        <v>4</v>
      </c>
      <c r="C687" t="s">
        <v>22</v>
      </c>
      <c r="D687" t="s">
        <v>23</v>
      </c>
      <c r="E687" t="s">
        <v>93</v>
      </c>
      <c r="F687" t="s">
        <v>94</v>
      </c>
      <c r="G687" s="2">
        <v>350.65748278021289</v>
      </c>
      <c r="H687" t="str">
        <f>_xlfn.XLOOKUP(Data_Xuất[[#This Row],[Main SKU]],MD_Main_SKU[Main SKU],MD_Main_SKU[SKU name_gom])</f>
        <v>WSS03</v>
      </c>
    </row>
    <row r="688" spans="1:8" x14ac:dyDescent="0.35">
      <c r="A688">
        <v>2025</v>
      </c>
      <c r="B688">
        <v>4</v>
      </c>
      <c r="C688" t="s">
        <v>22</v>
      </c>
      <c r="D688" t="s">
        <v>23</v>
      </c>
      <c r="E688" t="s">
        <v>117</v>
      </c>
      <c r="F688" t="s">
        <v>86</v>
      </c>
      <c r="G688" s="2">
        <v>2735.1283656856608</v>
      </c>
      <c r="H688" t="str">
        <f>_xlfn.XLOOKUP(Data_Xuất[[#This Row],[Main SKU]],MD_Main_SKU[Main SKU],MD_Main_SKU[SKU name_gom])</f>
        <v>WSS03</v>
      </c>
    </row>
    <row r="689" spans="1:8" x14ac:dyDescent="0.35">
      <c r="A689">
        <v>2025</v>
      </c>
      <c r="B689">
        <v>4</v>
      </c>
      <c r="C689" t="s">
        <v>52</v>
      </c>
      <c r="D689" t="s">
        <v>53</v>
      </c>
      <c r="E689" t="s">
        <v>52</v>
      </c>
      <c r="F689" t="s">
        <v>53</v>
      </c>
      <c r="G689" s="2">
        <v>4417.6706827309235</v>
      </c>
      <c r="H689" t="str">
        <f>_xlfn.XLOOKUP(Data_Xuất[[#This Row],[Main SKU]],MD_Main_SKU[Main SKU],MD_Main_SKU[SKU name_gom])</f>
        <v>iSS01</v>
      </c>
    </row>
    <row r="690" spans="1:8" x14ac:dyDescent="0.35">
      <c r="A690">
        <v>2025</v>
      </c>
      <c r="B690">
        <v>4</v>
      </c>
      <c r="C690" t="s">
        <v>52</v>
      </c>
      <c r="D690" t="s">
        <v>53</v>
      </c>
      <c r="E690" t="s">
        <v>93</v>
      </c>
      <c r="F690" t="s">
        <v>94</v>
      </c>
      <c r="G690" s="2">
        <v>20.080321285140563</v>
      </c>
      <c r="H690" t="str">
        <f>_xlfn.XLOOKUP(Data_Xuất[[#This Row],[Main SKU]],MD_Main_SKU[Main SKU],MD_Main_SKU[SKU name_gom])</f>
        <v>iSS01</v>
      </c>
    </row>
    <row r="691" spans="1:8" x14ac:dyDescent="0.35">
      <c r="A691">
        <v>2025</v>
      </c>
      <c r="B691">
        <v>4</v>
      </c>
      <c r="C691" t="s">
        <v>52</v>
      </c>
      <c r="D691" t="s">
        <v>53</v>
      </c>
      <c r="E691" t="s">
        <v>117</v>
      </c>
      <c r="F691" t="s">
        <v>86</v>
      </c>
      <c r="G691" s="2">
        <v>562.24899598393574</v>
      </c>
      <c r="H691" t="str">
        <f>_xlfn.XLOOKUP(Data_Xuất[[#This Row],[Main SKU]],MD_Main_SKU[Main SKU],MD_Main_SKU[SKU name_gom])</f>
        <v>iSS01</v>
      </c>
    </row>
    <row r="692" spans="1:8" x14ac:dyDescent="0.35">
      <c r="A692">
        <v>2025</v>
      </c>
      <c r="B692">
        <v>4</v>
      </c>
      <c r="C692" t="s">
        <v>26</v>
      </c>
      <c r="D692" t="s">
        <v>27</v>
      </c>
      <c r="E692" t="s">
        <v>22</v>
      </c>
      <c r="F692" t="s">
        <v>23</v>
      </c>
      <c r="G692" s="2">
        <v>2270.5990142802984</v>
      </c>
      <c r="H692" t="str">
        <f>_xlfn.XLOOKUP(Data_Xuất[[#This Row],[Main SKU]],MD_Main_SKU[Main SKU],MD_Main_SKU[SKU name_gom])</f>
        <v>iSS01</v>
      </c>
    </row>
    <row r="693" spans="1:8" x14ac:dyDescent="0.35">
      <c r="A693">
        <v>2025</v>
      </c>
      <c r="B693">
        <v>4</v>
      </c>
      <c r="C693" t="s">
        <v>26</v>
      </c>
      <c r="D693" t="s">
        <v>27</v>
      </c>
      <c r="E693" t="s">
        <v>24</v>
      </c>
      <c r="F693" t="s">
        <v>25</v>
      </c>
      <c r="G693" s="2">
        <v>12170.590143643301</v>
      </c>
      <c r="H693" t="str">
        <f>_xlfn.XLOOKUP(Data_Xuất[[#This Row],[Main SKU]],MD_Main_SKU[Main SKU],MD_Main_SKU[SKU name_gom])</f>
        <v>iSS01</v>
      </c>
    </row>
    <row r="694" spans="1:8" x14ac:dyDescent="0.35">
      <c r="A694">
        <v>2025</v>
      </c>
      <c r="B694">
        <v>4</v>
      </c>
      <c r="C694" t="s">
        <v>26</v>
      </c>
      <c r="D694" t="s">
        <v>27</v>
      </c>
      <c r="E694" t="s">
        <v>26</v>
      </c>
      <c r="F694" t="s">
        <v>27</v>
      </c>
      <c r="G694" s="2">
        <v>938149.33192306897</v>
      </c>
      <c r="H694" t="str">
        <f>_xlfn.XLOOKUP(Data_Xuất[[#This Row],[Main SKU]],MD_Main_SKU[Main SKU],MD_Main_SKU[SKU name_gom])</f>
        <v>iSS01</v>
      </c>
    </row>
    <row r="695" spans="1:8" x14ac:dyDescent="0.35">
      <c r="A695">
        <v>2025</v>
      </c>
      <c r="B695">
        <v>4</v>
      </c>
      <c r="C695" t="s">
        <v>26</v>
      </c>
      <c r="D695" t="s">
        <v>27</v>
      </c>
      <c r="E695" t="s">
        <v>50</v>
      </c>
      <c r="F695" t="s">
        <v>51</v>
      </c>
      <c r="G695" s="2">
        <v>32095.81979599284</v>
      </c>
      <c r="H695" t="str">
        <f>_xlfn.XLOOKUP(Data_Xuất[[#This Row],[Main SKU]],MD_Main_SKU[Main SKU],MD_Main_SKU[SKU name_gom])</f>
        <v>iSS01</v>
      </c>
    </row>
    <row r="696" spans="1:8" x14ac:dyDescent="0.35">
      <c r="A696">
        <v>2025</v>
      </c>
      <c r="B696">
        <v>4</v>
      </c>
      <c r="C696" t="s">
        <v>26</v>
      </c>
      <c r="D696" t="s">
        <v>27</v>
      </c>
      <c r="E696" t="s">
        <v>34</v>
      </c>
      <c r="F696" t="s">
        <v>35</v>
      </c>
      <c r="G696" s="2">
        <v>11126.116246987733</v>
      </c>
      <c r="H696" t="str">
        <f>_xlfn.XLOOKUP(Data_Xuất[[#This Row],[Main SKU]],MD_Main_SKU[Main SKU],MD_Main_SKU[SKU name_gom])</f>
        <v>iSS01</v>
      </c>
    </row>
    <row r="697" spans="1:8" x14ac:dyDescent="0.35">
      <c r="A697">
        <v>2025</v>
      </c>
      <c r="B697">
        <v>4</v>
      </c>
      <c r="C697" t="s">
        <v>26</v>
      </c>
      <c r="D697" t="s">
        <v>27</v>
      </c>
      <c r="E697" t="s">
        <v>87</v>
      </c>
      <c r="F697" t="s">
        <v>88</v>
      </c>
      <c r="G697" s="2">
        <v>58254.284069577843</v>
      </c>
      <c r="H697" t="str">
        <f>_xlfn.XLOOKUP(Data_Xuất[[#This Row],[Main SKU]],MD_Main_SKU[Main SKU],MD_Main_SKU[SKU name_gom])</f>
        <v>iSS01</v>
      </c>
    </row>
    <row r="698" spans="1:8" x14ac:dyDescent="0.35">
      <c r="A698">
        <v>2025</v>
      </c>
      <c r="B698">
        <v>4</v>
      </c>
      <c r="C698" t="s">
        <v>26</v>
      </c>
      <c r="D698" t="s">
        <v>27</v>
      </c>
      <c r="E698" t="s">
        <v>89</v>
      </c>
      <c r="F698" t="s">
        <v>90</v>
      </c>
      <c r="G698" s="2">
        <v>7459.7755586319236</v>
      </c>
      <c r="H698" t="str">
        <f>_xlfn.XLOOKUP(Data_Xuất[[#This Row],[Main SKU]],MD_Main_SKU[Main SKU],MD_Main_SKU[SKU name_gom])</f>
        <v>iSS01</v>
      </c>
    </row>
    <row r="699" spans="1:8" x14ac:dyDescent="0.35">
      <c r="A699">
        <v>2025</v>
      </c>
      <c r="B699">
        <v>4</v>
      </c>
      <c r="C699" t="s">
        <v>26</v>
      </c>
      <c r="D699" t="s">
        <v>27</v>
      </c>
      <c r="E699" t="s">
        <v>117</v>
      </c>
      <c r="F699" t="s">
        <v>86</v>
      </c>
      <c r="G699" s="2">
        <v>15859.628247816931</v>
      </c>
      <c r="H699" t="str">
        <f>_xlfn.XLOOKUP(Data_Xuất[[#This Row],[Main SKU]],MD_Main_SKU[Main SKU],MD_Main_SKU[SKU name_gom])</f>
        <v>iSS01</v>
      </c>
    </row>
    <row r="700" spans="1:8" x14ac:dyDescent="0.35">
      <c r="A700">
        <v>2025</v>
      </c>
      <c r="B700">
        <v>4</v>
      </c>
      <c r="C700" t="s">
        <v>115</v>
      </c>
      <c r="D700" t="s">
        <v>116</v>
      </c>
      <c r="E700" t="s">
        <v>115</v>
      </c>
      <c r="F700" t="s">
        <v>116</v>
      </c>
      <c r="G700" s="2">
        <v>122258.52961356331</v>
      </c>
      <c r="H700" t="str">
        <f>_xlfn.XLOOKUP(Data_Xuất[[#This Row],[Main SKU]],MD_Main_SKU[Main SKU],MD_Main_SKU[SKU name_gom])</f>
        <v>WSS05</v>
      </c>
    </row>
    <row r="701" spans="1:8" x14ac:dyDescent="0.35">
      <c r="A701">
        <v>2025</v>
      </c>
      <c r="B701">
        <v>4</v>
      </c>
      <c r="C701" t="s">
        <v>115</v>
      </c>
      <c r="D701" t="s">
        <v>116</v>
      </c>
      <c r="E701" t="s">
        <v>124</v>
      </c>
      <c r="F701" t="s">
        <v>125</v>
      </c>
      <c r="G701" s="2">
        <v>3179.1256930532581</v>
      </c>
      <c r="H701" t="str">
        <f>_xlfn.XLOOKUP(Data_Xuất[[#This Row],[Main SKU]],MD_Main_SKU[Main SKU],MD_Main_SKU[SKU name_gom])</f>
        <v>WSS05</v>
      </c>
    </row>
    <row r="702" spans="1:8" x14ac:dyDescent="0.35">
      <c r="A702">
        <v>2025</v>
      </c>
      <c r="B702">
        <v>4</v>
      </c>
      <c r="C702" t="s">
        <v>115</v>
      </c>
      <c r="D702" t="s">
        <v>116</v>
      </c>
      <c r="E702" t="s">
        <v>118</v>
      </c>
      <c r="F702" t="s">
        <v>119</v>
      </c>
      <c r="G702" s="2">
        <v>15943.007630343265</v>
      </c>
      <c r="H702" t="str">
        <f>_xlfn.XLOOKUP(Data_Xuất[[#This Row],[Main SKU]],MD_Main_SKU[Main SKU],MD_Main_SKU[SKU name_gom])</f>
        <v>WSS05</v>
      </c>
    </row>
    <row r="703" spans="1:8" x14ac:dyDescent="0.35">
      <c r="A703">
        <v>2025</v>
      </c>
      <c r="B703">
        <v>4</v>
      </c>
      <c r="C703" t="s">
        <v>115</v>
      </c>
      <c r="D703" t="s">
        <v>116</v>
      </c>
      <c r="E703" t="s">
        <v>87</v>
      </c>
      <c r="F703" t="s">
        <v>88</v>
      </c>
      <c r="G703" s="2">
        <v>6140.2427055857606</v>
      </c>
      <c r="H703" t="str">
        <f>_xlfn.XLOOKUP(Data_Xuất[[#This Row],[Main SKU]],MD_Main_SKU[Main SKU],MD_Main_SKU[SKU name_gom])</f>
        <v>WSS05</v>
      </c>
    </row>
    <row r="704" spans="1:8" x14ac:dyDescent="0.35">
      <c r="A704">
        <v>2025</v>
      </c>
      <c r="B704">
        <v>4</v>
      </c>
      <c r="C704" t="s">
        <v>115</v>
      </c>
      <c r="D704" t="s">
        <v>116</v>
      </c>
      <c r="E704" t="s">
        <v>117</v>
      </c>
      <c r="F704" t="s">
        <v>86</v>
      </c>
      <c r="G704" s="2">
        <v>4352.0943574544144</v>
      </c>
      <c r="H704" t="str">
        <f>_xlfn.XLOOKUP(Data_Xuất[[#This Row],[Main SKU]],MD_Main_SKU[Main SKU],MD_Main_SKU[SKU name_gom])</f>
        <v>WSS05</v>
      </c>
    </row>
    <row r="705" spans="1:8" x14ac:dyDescent="0.35">
      <c r="A705">
        <v>2025</v>
      </c>
      <c r="B705">
        <v>4</v>
      </c>
      <c r="C705" t="s">
        <v>118</v>
      </c>
      <c r="D705" t="s">
        <v>119</v>
      </c>
      <c r="E705" t="s">
        <v>118</v>
      </c>
      <c r="F705" t="s">
        <v>119</v>
      </c>
      <c r="G705" s="2">
        <v>3894.8717948717949</v>
      </c>
      <c r="H705" t="str">
        <f>_xlfn.XLOOKUP(Data_Xuất[[#This Row],[Main SKU]],MD_Main_SKU[Main SKU],MD_Main_SKU[SKU name_gom])</f>
        <v>WSS05</v>
      </c>
    </row>
    <row r="706" spans="1:8" x14ac:dyDescent="0.35">
      <c r="A706">
        <v>2025</v>
      </c>
      <c r="B706">
        <v>4</v>
      </c>
      <c r="C706" t="s">
        <v>118</v>
      </c>
      <c r="D706" t="s">
        <v>119</v>
      </c>
      <c r="E706" t="s">
        <v>87</v>
      </c>
      <c r="F706" t="s">
        <v>88</v>
      </c>
      <c r="G706" s="2">
        <v>205.12820512820514</v>
      </c>
      <c r="H706" t="str">
        <f>_xlfn.XLOOKUP(Data_Xuất[[#This Row],[Main SKU]],MD_Main_SKU[Main SKU],MD_Main_SKU[SKU name_gom])</f>
        <v>WSS05</v>
      </c>
    </row>
    <row r="707" spans="1:8" x14ac:dyDescent="0.35">
      <c r="A707">
        <v>2025</v>
      </c>
      <c r="B707">
        <v>4</v>
      </c>
      <c r="C707" t="s">
        <v>44</v>
      </c>
      <c r="D707" t="s">
        <v>45</v>
      </c>
      <c r="E707" t="s">
        <v>18</v>
      </c>
      <c r="F707" t="s">
        <v>19</v>
      </c>
      <c r="G707" s="2">
        <v>1113.0952380952381</v>
      </c>
      <c r="H707" t="str">
        <f>_xlfn.XLOOKUP(Data_Xuất[[#This Row],[Main SKU]],MD_Main_SKU[Main SKU],MD_Main_SKU[SKU name_gom])</f>
        <v>iSS01</v>
      </c>
    </row>
    <row r="708" spans="1:8" x14ac:dyDescent="0.35">
      <c r="A708">
        <v>2025</v>
      </c>
      <c r="B708">
        <v>4</v>
      </c>
      <c r="C708" t="s">
        <v>44</v>
      </c>
      <c r="D708" t="s">
        <v>45</v>
      </c>
      <c r="E708" t="s">
        <v>44</v>
      </c>
      <c r="F708" t="s">
        <v>45</v>
      </c>
      <c r="G708" s="2">
        <v>61775.747812876521</v>
      </c>
      <c r="H708" t="str">
        <f>_xlfn.XLOOKUP(Data_Xuất[[#This Row],[Main SKU]],MD_Main_SKU[Main SKU],MD_Main_SKU[SKU name_gom])</f>
        <v>iSS01</v>
      </c>
    </row>
    <row r="709" spans="1:8" x14ac:dyDescent="0.35">
      <c r="A709">
        <v>2025</v>
      </c>
      <c r="B709">
        <v>4</v>
      </c>
      <c r="C709" t="s">
        <v>44</v>
      </c>
      <c r="D709" t="s">
        <v>45</v>
      </c>
      <c r="E709" t="s">
        <v>46</v>
      </c>
      <c r="F709" t="s">
        <v>47</v>
      </c>
      <c r="G709" s="2">
        <v>1101.943527686102</v>
      </c>
      <c r="H709" t="str">
        <f>_xlfn.XLOOKUP(Data_Xuất[[#This Row],[Main SKU]],MD_Main_SKU[Main SKU],MD_Main_SKU[SKU name_gom])</f>
        <v>iSS01</v>
      </c>
    </row>
    <row r="710" spans="1:8" x14ac:dyDescent="0.35">
      <c r="A710">
        <v>2025</v>
      </c>
      <c r="B710">
        <v>4</v>
      </c>
      <c r="C710" t="s">
        <v>44</v>
      </c>
      <c r="D710" t="s">
        <v>45</v>
      </c>
      <c r="E710" t="s">
        <v>34</v>
      </c>
      <c r="F710" t="s">
        <v>35</v>
      </c>
      <c r="G710" s="2">
        <v>1101.943527686102</v>
      </c>
      <c r="H710" t="str">
        <f>_xlfn.XLOOKUP(Data_Xuất[[#This Row],[Main SKU]],MD_Main_SKU[Main SKU],MD_Main_SKU[SKU name_gom])</f>
        <v>iSS01</v>
      </c>
    </row>
    <row r="711" spans="1:8" x14ac:dyDescent="0.35">
      <c r="A711">
        <v>2025</v>
      </c>
      <c r="B711">
        <v>4</v>
      </c>
      <c r="C711" t="s">
        <v>44</v>
      </c>
      <c r="D711" t="s">
        <v>45</v>
      </c>
      <c r="E711" t="s">
        <v>87</v>
      </c>
      <c r="F711" t="s">
        <v>88</v>
      </c>
      <c r="G711" s="2">
        <v>2110.8069140247358</v>
      </c>
      <c r="H711" t="str">
        <f>_xlfn.XLOOKUP(Data_Xuất[[#This Row],[Main SKU]],MD_Main_SKU[Main SKU],MD_Main_SKU[SKU name_gom])</f>
        <v>iSS01</v>
      </c>
    </row>
    <row r="712" spans="1:8" x14ac:dyDescent="0.35">
      <c r="A712">
        <v>2025</v>
      </c>
      <c r="B712">
        <v>4</v>
      </c>
      <c r="C712" t="s">
        <v>44</v>
      </c>
      <c r="D712" t="s">
        <v>45</v>
      </c>
      <c r="E712" t="s">
        <v>89</v>
      </c>
      <c r="F712" t="s">
        <v>90</v>
      </c>
      <c r="G712" s="2">
        <v>164.28976230956431</v>
      </c>
      <c r="H712" t="str">
        <f>_xlfn.XLOOKUP(Data_Xuất[[#This Row],[Main SKU]],MD_Main_SKU[Main SKU],MD_Main_SKU[SKU name_gom])</f>
        <v>iSS01</v>
      </c>
    </row>
    <row r="713" spans="1:8" x14ac:dyDescent="0.35">
      <c r="A713">
        <v>2025</v>
      </c>
      <c r="B713">
        <v>4</v>
      </c>
      <c r="C713" t="s">
        <v>44</v>
      </c>
      <c r="D713" t="s">
        <v>45</v>
      </c>
      <c r="E713" t="s">
        <v>117</v>
      </c>
      <c r="F713" t="s">
        <v>86</v>
      </c>
      <c r="G713" s="2">
        <v>1232.1732173217322</v>
      </c>
      <c r="H713" t="str">
        <f>_xlfn.XLOOKUP(Data_Xuất[[#This Row],[Main SKU]],MD_Main_SKU[Main SKU],MD_Main_SKU[SKU name_gom])</f>
        <v>iSS01</v>
      </c>
    </row>
    <row r="714" spans="1:8" x14ac:dyDescent="0.35">
      <c r="A714">
        <v>2025</v>
      </c>
      <c r="B714">
        <v>4</v>
      </c>
      <c r="C714" t="s">
        <v>54</v>
      </c>
      <c r="D714" t="s">
        <v>55</v>
      </c>
      <c r="E714" t="s">
        <v>54</v>
      </c>
      <c r="F714" t="s">
        <v>55</v>
      </c>
      <c r="G714" s="2">
        <v>18863.962917138811</v>
      </c>
      <c r="H714" t="str">
        <f>_xlfn.XLOOKUP(Data_Xuất[[#This Row],[Main SKU]],MD_Main_SKU[Main SKU],MD_Main_SKU[SKU name_gom])</f>
        <v>WSS01</v>
      </c>
    </row>
    <row r="715" spans="1:8" x14ac:dyDescent="0.35">
      <c r="A715">
        <v>2025</v>
      </c>
      <c r="B715">
        <v>4</v>
      </c>
      <c r="C715" t="s">
        <v>54</v>
      </c>
      <c r="D715" t="s">
        <v>55</v>
      </c>
      <c r="E715" t="s">
        <v>56</v>
      </c>
      <c r="F715" t="s">
        <v>57</v>
      </c>
      <c r="G715" s="2">
        <v>5579.710144927536</v>
      </c>
      <c r="H715" t="str">
        <f>_xlfn.XLOOKUP(Data_Xuất[[#This Row],[Main SKU]],MD_Main_SKU[Main SKU],MD_Main_SKU[SKU name_gom])</f>
        <v>WSS01</v>
      </c>
    </row>
    <row r="716" spans="1:8" x14ac:dyDescent="0.35">
      <c r="A716">
        <v>2025</v>
      </c>
      <c r="B716">
        <v>4</v>
      </c>
      <c r="C716" t="s">
        <v>54</v>
      </c>
      <c r="D716" t="s">
        <v>55</v>
      </c>
      <c r="E716" t="s">
        <v>87</v>
      </c>
      <c r="F716" t="s">
        <v>88</v>
      </c>
      <c r="G716" s="2">
        <v>2808.9543018588829</v>
      </c>
      <c r="H716" t="str">
        <f>_xlfn.XLOOKUP(Data_Xuất[[#This Row],[Main SKU]],MD_Main_SKU[Main SKU],MD_Main_SKU[SKU name_gom])</f>
        <v>WSS01</v>
      </c>
    </row>
    <row r="717" spans="1:8" x14ac:dyDescent="0.35">
      <c r="A717">
        <v>2025</v>
      </c>
      <c r="B717">
        <v>4</v>
      </c>
      <c r="C717" t="s">
        <v>54</v>
      </c>
      <c r="D717" t="s">
        <v>55</v>
      </c>
      <c r="E717" t="s">
        <v>93</v>
      </c>
      <c r="F717" t="s">
        <v>94</v>
      </c>
      <c r="G717" s="2">
        <v>50.505050505050505</v>
      </c>
      <c r="H717" t="str">
        <f>_xlfn.XLOOKUP(Data_Xuất[[#This Row],[Main SKU]],MD_Main_SKU[Main SKU],MD_Main_SKU[SKU name_gom])</f>
        <v>WSS01</v>
      </c>
    </row>
    <row r="718" spans="1:8" x14ac:dyDescent="0.35">
      <c r="A718">
        <v>2025</v>
      </c>
      <c r="B718">
        <v>4</v>
      </c>
      <c r="C718" t="s">
        <v>54</v>
      </c>
      <c r="D718" t="s">
        <v>55</v>
      </c>
      <c r="E718" t="s">
        <v>117</v>
      </c>
      <c r="F718" t="s">
        <v>86</v>
      </c>
      <c r="G718" s="2">
        <v>806.86758556971904</v>
      </c>
      <c r="H718" t="str">
        <f>_xlfn.XLOOKUP(Data_Xuất[[#This Row],[Main SKU]],MD_Main_SKU[Main SKU],MD_Main_SKU[SKU name_gom])</f>
        <v>WSS01</v>
      </c>
    </row>
    <row r="719" spans="1:8" x14ac:dyDescent="0.35">
      <c r="A719">
        <v>2025</v>
      </c>
      <c r="B719">
        <v>5</v>
      </c>
      <c r="C719" t="s">
        <v>14</v>
      </c>
      <c r="D719" t="s">
        <v>15</v>
      </c>
      <c r="E719" t="s">
        <v>14</v>
      </c>
      <c r="F719" t="s">
        <v>15</v>
      </c>
      <c r="G719" s="2">
        <v>332838.43141144107</v>
      </c>
      <c r="H719" t="str">
        <f>_xlfn.XLOOKUP(Data_Xuất[[#This Row],[Main SKU]],MD_Main_SKU[Main SKU],MD_Main_SKU[SKU name_gom])</f>
        <v>iSS01084</v>
      </c>
    </row>
    <row r="720" spans="1:8" x14ac:dyDescent="0.35">
      <c r="A720">
        <v>2025</v>
      </c>
      <c r="B720">
        <v>5</v>
      </c>
      <c r="C720" t="s">
        <v>14</v>
      </c>
      <c r="D720" t="s">
        <v>15</v>
      </c>
      <c r="E720" t="s">
        <v>18</v>
      </c>
      <c r="F720" t="s">
        <v>19</v>
      </c>
      <c r="G720" s="2">
        <v>87325.675149901566</v>
      </c>
      <c r="H720" t="str">
        <f>_xlfn.XLOOKUP(Data_Xuất[[#This Row],[Main SKU]],MD_Main_SKU[Main SKU],MD_Main_SKU[SKU name_gom])</f>
        <v>iSS01084</v>
      </c>
    </row>
    <row r="721" spans="1:8" x14ac:dyDescent="0.35">
      <c r="A721">
        <v>2025</v>
      </c>
      <c r="B721">
        <v>5</v>
      </c>
      <c r="C721" t="s">
        <v>14</v>
      </c>
      <c r="D721" t="s">
        <v>15</v>
      </c>
      <c r="E721" t="s">
        <v>22</v>
      </c>
      <c r="F721" t="s">
        <v>23</v>
      </c>
      <c r="G721" s="2">
        <v>12190.879330561664</v>
      </c>
      <c r="H721" t="str">
        <f>_xlfn.XLOOKUP(Data_Xuất[[#This Row],[Main SKU]],MD_Main_SKU[Main SKU],MD_Main_SKU[SKU name_gom])</f>
        <v>iSS01084</v>
      </c>
    </row>
    <row r="722" spans="1:8" x14ac:dyDescent="0.35">
      <c r="A722">
        <v>2025</v>
      </c>
      <c r="B722">
        <v>5</v>
      </c>
      <c r="C722" t="s">
        <v>14</v>
      </c>
      <c r="D722" t="s">
        <v>15</v>
      </c>
      <c r="E722" t="s">
        <v>40</v>
      </c>
      <c r="F722" t="s">
        <v>41</v>
      </c>
      <c r="G722" s="2">
        <v>14428.865027596588</v>
      </c>
      <c r="H722" t="str">
        <f>_xlfn.XLOOKUP(Data_Xuất[[#This Row],[Main SKU]],MD_Main_SKU[Main SKU],MD_Main_SKU[SKU name_gom])</f>
        <v>iSS01084</v>
      </c>
    </row>
    <row r="723" spans="1:8" x14ac:dyDescent="0.35">
      <c r="A723">
        <v>2025</v>
      </c>
      <c r="B723">
        <v>5</v>
      </c>
      <c r="C723" t="s">
        <v>14</v>
      </c>
      <c r="D723" t="s">
        <v>15</v>
      </c>
      <c r="E723" t="s">
        <v>38</v>
      </c>
      <c r="F723" t="s">
        <v>39</v>
      </c>
      <c r="G723" s="2">
        <v>1110.738161170317</v>
      </c>
      <c r="H723" t="str">
        <f>_xlfn.XLOOKUP(Data_Xuất[[#This Row],[Main SKU]],MD_Main_SKU[Main SKU],MD_Main_SKU[SKU name_gom])</f>
        <v>iSS01084</v>
      </c>
    </row>
    <row r="724" spans="1:8" x14ac:dyDescent="0.35">
      <c r="A724">
        <v>2025</v>
      </c>
      <c r="B724">
        <v>5</v>
      </c>
      <c r="C724" t="s">
        <v>14</v>
      </c>
      <c r="D724" t="s">
        <v>15</v>
      </c>
      <c r="E724" t="s">
        <v>87</v>
      </c>
      <c r="F724" t="s">
        <v>88</v>
      </c>
      <c r="G724" s="2">
        <v>9673.3032927169479</v>
      </c>
      <c r="H724" t="str">
        <f>_xlfn.XLOOKUP(Data_Xuất[[#This Row],[Main SKU]],MD_Main_SKU[Main SKU],MD_Main_SKU[SKU name_gom])</f>
        <v>iSS01084</v>
      </c>
    </row>
    <row r="725" spans="1:8" x14ac:dyDescent="0.35">
      <c r="A725">
        <v>2025</v>
      </c>
      <c r="B725">
        <v>5</v>
      </c>
      <c r="C725" t="s">
        <v>14</v>
      </c>
      <c r="D725" t="s">
        <v>15</v>
      </c>
      <c r="E725" t="s">
        <v>89</v>
      </c>
      <c r="F725" t="s">
        <v>90</v>
      </c>
      <c r="G725" s="2">
        <v>7435.2459365380018</v>
      </c>
      <c r="H725" t="str">
        <f>_xlfn.XLOOKUP(Data_Xuất[[#This Row],[Main SKU]],MD_Main_SKU[Main SKU],MD_Main_SKU[SKU name_gom])</f>
        <v>iSS01084</v>
      </c>
    </row>
    <row r="726" spans="1:8" x14ac:dyDescent="0.35">
      <c r="A726">
        <v>2025</v>
      </c>
      <c r="B726">
        <v>5</v>
      </c>
      <c r="C726" t="s">
        <v>14</v>
      </c>
      <c r="D726" t="s">
        <v>15</v>
      </c>
      <c r="E726" t="s">
        <v>93</v>
      </c>
      <c r="F726" t="s">
        <v>94</v>
      </c>
      <c r="G726" s="2">
        <v>240.36174845084574</v>
      </c>
      <c r="H726" t="str">
        <f>_xlfn.XLOOKUP(Data_Xuất[[#This Row],[Main SKU]],MD_Main_SKU[Main SKU],MD_Main_SKU[SKU name_gom])</f>
        <v>iSS01084</v>
      </c>
    </row>
    <row r="727" spans="1:8" x14ac:dyDescent="0.35">
      <c r="A727">
        <v>2025</v>
      </c>
      <c r="B727">
        <v>5</v>
      </c>
      <c r="C727" t="s">
        <v>14</v>
      </c>
      <c r="D727" t="s">
        <v>15</v>
      </c>
      <c r="E727" t="s">
        <v>117</v>
      </c>
      <c r="F727" t="s">
        <v>86</v>
      </c>
      <c r="G727" s="2">
        <v>6052.4999416230348</v>
      </c>
      <c r="H727" t="str">
        <f>_xlfn.XLOOKUP(Data_Xuất[[#This Row],[Main SKU]],MD_Main_SKU[Main SKU],MD_Main_SKU[SKU name_gom])</f>
        <v>iSS01084</v>
      </c>
    </row>
    <row r="728" spans="1:8" x14ac:dyDescent="0.35">
      <c r="A728">
        <v>2025</v>
      </c>
      <c r="B728">
        <v>5</v>
      </c>
      <c r="C728" t="s">
        <v>16</v>
      </c>
      <c r="D728" t="s">
        <v>17</v>
      </c>
      <c r="E728" t="s">
        <v>16</v>
      </c>
      <c r="F728" t="s">
        <v>17</v>
      </c>
      <c r="G728" s="2">
        <v>1474770.0922342776</v>
      </c>
      <c r="H728" t="str">
        <f>_xlfn.XLOOKUP(Data_Xuất[[#This Row],[Main SKU]],MD_Main_SKU[Main SKU],MD_Main_SKU[SKU name_gom])</f>
        <v>WSS01</v>
      </c>
    </row>
    <row r="729" spans="1:8" x14ac:dyDescent="0.35">
      <c r="A729">
        <v>2025</v>
      </c>
      <c r="B729">
        <v>5</v>
      </c>
      <c r="C729" t="s">
        <v>16</v>
      </c>
      <c r="D729" t="s">
        <v>17</v>
      </c>
      <c r="E729" t="s">
        <v>18</v>
      </c>
      <c r="F729" t="s">
        <v>19</v>
      </c>
      <c r="G729" s="2">
        <v>156070.77582593801</v>
      </c>
      <c r="H729" t="str">
        <f>_xlfn.XLOOKUP(Data_Xuất[[#This Row],[Main SKU]],MD_Main_SKU[Main SKU],MD_Main_SKU[SKU name_gom])</f>
        <v>WSS01</v>
      </c>
    </row>
    <row r="730" spans="1:8" x14ac:dyDescent="0.35">
      <c r="A730">
        <v>2025</v>
      </c>
      <c r="B730">
        <v>5</v>
      </c>
      <c r="C730" t="s">
        <v>16</v>
      </c>
      <c r="D730" t="s">
        <v>17</v>
      </c>
      <c r="E730" t="s">
        <v>22</v>
      </c>
      <c r="F730" t="s">
        <v>23</v>
      </c>
      <c r="G730" s="2">
        <v>11138.861222441139</v>
      </c>
      <c r="H730" t="str">
        <f>_xlfn.XLOOKUP(Data_Xuất[[#This Row],[Main SKU]],MD_Main_SKU[Main SKU],MD_Main_SKU[SKU name_gom])</f>
        <v>WSS01</v>
      </c>
    </row>
    <row r="731" spans="1:8" x14ac:dyDescent="0.35">
      <c r="A731">
        <v>2025</v>
      </c>
      <c r="B731">
        <v>5</v>
      </c>
      <c r="C731" t="s">
        <v>16</v>
      </c>
      <c r="D731" t="s">
        <v>17</v>
      </c>
      <c r="E731" t="s">
        <v>40</v>
      </c>
      <c r="F731" t="s">
        <v>41</v>
      </c>
      <c r="G731" s="2">
        <v>19021.868948456544</v>
      </c>
      <c r="H731" t="str">
        <f>_xlfn.XLOOKUP(Data_Xuất[[#This Row],[Main SKU]],MD_Main_SKU[Main SKU],MD_Main_SKU[SKU name_gom])</f>
        <v>WSS01</v>
      </c>
    </row>
    <row r="732" spans="1:8" x14ac:dyDescent="0.35">
      <c r="A732">
        <v>2025</v>
      </c>
      <c r="B732">
        <v>5</v>
      </c>
      <c r="C732" t="s">
        <v>16</v>
      </c>
      <c r="D732" t="s">
        <v>17</v>
      </c>
      <c r="E732" t="s">
        <v>34</v>
      </c>
      <c r="F732" t="s">
        <v>35</v>
      </c>
      <c r="G732" s="2">
        <v>6701.1782242923846</v>
      </c>
      <c r="H732" t="str">
        <f>_xlfn.XLOOKUP(Data_Xuất[[#This Row],[Main SKU]],MD_Main_SKU[Main SKU],MD_Main_SKU[SKU name_gom])</f>
        <v>WSS01</v>
      </c>
    </row>
    <row r="733" spans="1:8" x14ac:dyDescent="0.35">
      <c r="A733">
        <v>2025</v>
      </c>
      <c r="B733">
        <v>5</v>
      </c>
      <c r="C733" t="s">
        <v>16</v>
      </c>
      <c r="D733" t="s">
        <v>17</v>
      </c>
      <c r="E733" t="s">
        <v>87</v>
      </c>
      <c r="F733" t="s">
        <v>88</v>
      </c>
      <c r="G733" s="2">
        <v>33213.151531381875</v>
      </c>
      <c r="H733" t="str">
        <f>_xlfn.XLOOKUP(Data_Xuất[[#This Row],[Main SKU]],MD_Main_SKU[Main SKU],MD_Main_SKU[SKU name_gom])</f>
        <v>WSS01</v>
      </c>
    </row>
    <row r="734" spans="1:8" x14ac:dyDescent="0.35">
      <c r="A734">
        <v>2025</v>
      </c>
      <c r="B734">
        <v>5</v>
      </c>
      <c r="C734" t="s">
        <v>16</v>
      </c>
      <c r="D734" t="s">
        <v>17</v>
      </c>
      <c r="E734" t="s">
        <v>89</v>
      </c>
      <c r="F734" t="s">
        <v>90</v>
      </c>
      <c r="G734" s="2">
        <v>32856.581668542181</v>
      </c>
      <c r="H734" t="str">
        <f>_xlfn.XLOOKUP(Data_Xuất[[#This Row],[Main SKU]],MD_Main_SKU[Main SKU],MD_Main_SKU[SKU name_gom])</f>
        <v>WSS01</v>
      </c>
    </row>
    <row r="735" spans="1:8" x14ac:dyDescent="0.35">
      <c r="A735">
        <v>2025</v>
      </c>
      <c r="B735">
        <v>5</v>
      </c>
      <c r="C735" t="s">
        <v>16</v>
      </c>
      <c r="D735" t="s">
        <v>17</v>
      </c>
      <c r="E735" t="s">
        <v>91</v>
      </c>
      <c r="F735" t="s">
        <v>92</v>
      </c>
      <c r="G735" s="2">
        <v>2808.9240516303607</v>
      </c>
      <c r="H735" t="str">
        <f>_xlfn.XLOOKUP(Data_Xuất[[#This Row],[Main SKU]],MD_Main_SKU[Main SKU],MD_Main_SKU[SKU name_gom])</f>
        <v>WSS01</v>
      </c>
    </row>
    <row r="736" spans="1:8" x14ac:dyDescent="0.35">
      <c r="A736">
        <v>2025</v>
      </c>
      <c r="B736">
        <v>5</v>
      </c>
      <c r="C736" t="s">
        <v>16</v>
      </c>
      <c r="D736" t="s">
        <v>17</v>
      </c>
      <c r="E736" t="s">
        <v>117</v>
      </c>
      <c r="F736" t="s">
        <v>86</v>
      </c>
      <c r="G736" s="2">
        <v>14710.066293039647</v>
      </c>
      <c r="H736" t="str">
        <f>_xlfn.XLOOKUP(Data_Xuất[[#This Row],[Main SKU]],MD_Main_SKU[Main SKU],MD_Main_SKU[SKU name_gom])</f>
        <v>WSS01</v>
      </c>
    </row>
    <row r="737" spans="1:8" x14ac:dyDescent="0.35">
      <c r="A737">
        <v>2025</v>
      </c>
      <c r="B737">
        <v>5</v>
      </c>
      <c r="C737" t="s">
        <v>18</v>
      </c>
      <c r="D737" t="s">
        <v>19</v>
      </c>
      <c r="E737" t="s">
        <v>14</v>
      </c>
      <c r="F737" t="s">
        <v>15</v>
      </c>
      <c r="G737" s="2">
        <v>2221.3817086008789</v>
      </c>
      <c r="H737" t="str">
        <f>_xlfn.XLOOKUP(Data_Xuất[[#This Row],[Main SKU]],MD_Main_SKU[Main SKU],MD_Main_SKU[SKU name_gom])</f>
        <v>iSS01</v>
      </c>
    </row>
    <row r="738" spans="1:8" x14ac:dyDescent="0.35">
      <c r="A738">
        <v>2025</v>
      </c>
      <c r="B738">
        <v>5</v>
      </c>
      <c r="C738" t="s">
        <v>18</v>
      </c>
      <c r="D738" t="s">
        <v>19</v>
      </c>
      <c r="E738" t="s">
        <v>16</v>
      </c>
      <c r="F738" t="s">
        <v>17</v>
      </c>
      <c r="G738" s="2">
        <v>7772.4134269402612</v>
      </c>
      <c r="H738" t="str">
        <f>_xlfn.XLOOKUP(Data_Xuất[[#This Row],[Main SKU]],MD_Main_SKU[Main SKU],MD_Main_SKU[SKU name_gom])</f>
        <v>iSS01</v>
      </c>
    </row>
    <row r="739" spans="1:8" x14ac:dyDescent="0.35">
      <c r="A739">
        <v>2025</v>
      </c>
      <c r="B739">
        <v>5</v>
      </c>
      <c r="C739" t="s">
        <v>18</v>
      </c>
      <c r="D739" t="s">
        <v>19</v>
      </c>
      <c r="E739" t="s">
        <v>18</v>
      </c>
      <c r="F739" t="s">
        <v>19</v>
      </c>
      <c r="G739" s="2">
        <v>524867.20052809594</v>
      </c>
      <c r="H739" t="str">
        <f>_xlfn.XLOOKUP(Data_Xuất[[#This Row],[Main SKU]],MD_Main_SKU[Main SKU],MD_Main_SKU[SKU name_gom])</f>
        <v>iSS01</v>
      </c>
    </row>
    <row r="740" spans="1:8" x14ac:dyDescent="0.35">
      <c r="A740">
        <v>2025</v>
      </c>
      <c r="B740">
        <v>5</v>
      </c>
      <c r="C740" t="s">
        <v>18</v>
      </c>
      <c r="D740" t="s">
        <v>19</v>
      </c>
      <c r="E740" t="s">
        <v>22</v>
      </c>
      <c r="F740" t="s">
        <v>23</v>
      </c>
      <c r="G740" s="2">
        <v>17715.668367002443</v>
      </c>
      <c r="H740" t="str">
        <f>_xlfn.XLOOKUP(Data_Xuất[[#This Row],[Main SKU]],MD_Main_SKU[Main SKU],MD_Main_SKU[SKU name_gom])</f>
        <v>iSS01</v>
      </c>
    </row>
    <row r="741" spans="1:8" x14ac:dyDescent="0.35">
      <c r="A741">
        <v>2025</v>
      </c>
      <c r="B741">
        <v>5</v>
      </c>
      <c r="C741" t="s">
        <v>18</v>
      </c>
      <c r="D741" t="s">
        <v>19</v>
      </c>
      <c r="E741" t="s">
        <v>40</v>
      </c>
      <c r="F741" t="s">
        <v>41</v>
      </c>
      <c r="G741" s="2">
        <v>2221.8829627608784</v>
      </c>
      <c r="H741" t="str">
        <f>_xlfn.XLOOKUP(Data_Xuất[[#This Row],[Main SKU]],MD_Main_SKU[Main SKU],MD_Main_SKU[SKU name_gom])</f>
        <v>iSS01</v>
      </c>
    </row>
    <row r="742" spans="1:8" x14ac:dyDescent="0.35">
      <c r="A742">
        <v>2025</v>
      </c>
      <c r="B742">
        <v>5</v>
      </c>
      <c r="C742" t="s">
        <v>18</v>
      </c>
      <c r="D742" t="s">
        <v>19</v>
      </c>
      <c r="E742" t="s">
        <v>42</v>
      </c>
      <c r="F742" t="s">
        <v>43</v>
      </c>
      <c r="G742" s="2">
        <v>4442.7634172017579</v>
      </c>
      <c r="H742" t="str">
        <f>_xlfn.XLOOKUP(Data_Xuất[[#This Row],[Main SKU]],MD_Main_SKU[Main SKU],MD_Main_SKU[SKU name_gom])</f>
        <v>iSS01</v>
      </c>
    </row>
    <row r="743" spans="1:8" x14ac:dyDescent="0.35">
      <c r="A743">
        <v>2025</v>
      </c>
      <c r="B743">
        <v>5</v>
      </c>
      <c r="C743" t="s">
        <v>18</v>
      </c>
      <c r="D743" t="s">
        <v>19</v>
      </c>
      <c r="E743" t="s">
        <v>34</v>
      </c>
      <c r="F743" t="s">
        <v>35</v>
      </c>
      <c r="G743" s="2">
        <v>1105.4187192118227</v>
      </c>
      <c r="H743" t="str">
        <f>_xlfn.XLOOKUP(Data_Xuất[[#This Row],[Main SKU]],MD_Main_SKU[Main SKU],MD_Main_SKU[SKU name_gom])</f>
        <v>iSS01</v>
      </c>
    </row>
    <row r="744" spans="1:8" x14ac:dyDescent="0.35">
      <c r="A744">
        <v>2025</v>
      </c>
      <c r="B744">
        <v>5</v>
      </c>
      <c r="C744" t="s">
        <v>18</v>
      </c>
      <c r="D744" t="s">
        <v>19</v>
      </c>
      <c r="E744" t="s">
        <v>87</v>
      </c>
      <c r="F744" t="s">
        <v>88</v>
      </c>
      <c r="G744" s="2">
        <v>9152.8993581558952</v>
      </c>
      <c r="H744" t="str">
        <f>_xlfn.XLOOKUP(Data_Xuất[[#This Row],[Main SKU]],MD_Main_SKU[Main SKU],MD_Main_SKU[SKU name_gom])</f>
        <v>iSS01</v>
      </c>
    </row>
    <row r="745" spans="1:8" x14ac:dyDescent="0.35">
      <c r="A745">
        <v>2025</v>
      </c>
      <c r="B745">
        <v>5</v>
      </c>
      <c r="C745" t="s">
        <v>18</v>
      </c>
      <c r="D745" t="s">
        <v>19</v>
      </c>
      <c r="E745" t="s">
        <v>89</v>
      </c>
      <c r="F745" t="s">
        <v>90</v>
      </c>
      <c r="G745" s="2">
        <v>13308.454846650806</v>
      </c>
      <c r="H745" t="str">
        <f>_xlfn.XLOOKUP(Data_Xuất[[#This Row],[Main SKU]],MD_Main_SKU[Main SKU],MD_Main_SKU[SKU name_gom])</f>
        <v>iSS01</v>
      </c>
    </row>
    <row r="746" spans="1:8" x14ac:dyDescent="0.35">
      <c r="A746">
        <v>2025</v>
      </c>
      <c r="B746">
        <v>5</v>
      </c>
      <c r="C746" t="s">
        <v>18</v>
      </c>
      <c r="D746" t="s">
        <v>19</v>
      </c>
      <c r="E746" t="s">
        <v>117</v>
      </c>
      <c r="F746" t="s">
        <v>86</v>
      </c>
      <c r="G746" s="2">
        <v>3891.916665379249</v>
      </c>
      <c r="H746" t="str">
        <f>_xlfn.XLOOKUP(Data_Xuất[[#This Row],[Main SKU]],MD_Main_SKU[Main SKU],MD_Main_SKU[SKU name_gom])</f>
        <v>iSS01</v>
      </c>
    </row>
    <row r="747" spans="1:8" x14ac:dyDescent="0.35">
      <c r="A747">
        <v>2025</v>
      </c>
      <c r="B747">
        <v>5</v>
      </c>
      <c r="C747" t="s">
        <v>26</v>
      </c>
      <c r="D747" t="s">
        <v>27</v>
      </c>
      <c r="E747" t="s">
        <v>22</v>
      </c>
      <c r="F747" t="s">
        <v>23</v>
      </c>
      <c r="G747" s="2">
        <v>1120.6764810758493</v>
      </c>
      <c r="H747" t="str">
        <f>_xlfn.XLOOKUP(Data_Xuất[[#This Row],[Main SKU]],MD_Main_SKU[Main SKU],MD_Main_SKU[SKU name_gom])</f>
        <v>iSS01</v>
      </c>
    </row>
    <row r="748" spans="1:8" x14ac:dyDescent="0.35">
      <c r="A748">
        <v>2025</v>
      </c>
      <c r="B748">
        <v>5</v>
      </c>
      <c r="C748" t="s">
        <v>26</v>
      </c>
      <c r="D748" t="s">
        <v>27</v>
      </c>
      <c r="E748" t="s">
        <v>24</v>
      </c>
      <c r="F748" t="s">
        <v>25</v>
      </c>
      <c r="G748" s="2">
        <v>15607.306162426285</v>
      </c>
      <c r="H748" t="str">
        <f>_xlfn.XLOOKUP(Data_Xuất[[#This Row],[Main SKU]],MD_Main_SKU[Main SKU],MD_Main_SKU[SKU name_gom])</f>
        <v>iSS01</v>
      </c>
    </row>
    <row r="749" spans="1:8" x14ac:dyDescent="0.35">
      <c r="A749">
        <v>2025</v>
      </c>
      <c r="B749">
        <v>5</v>
      </c>
      <c r="C749" t="s">
        <v>26</v>
      </c>
      <c r="D749" t="s">
        <v>27</v>
      </c>
      <c r="E749" t="s">
        <v>26</v>
      </c>
      <c r="F749" t="s">
        <v>27</v>
      </c>
      <c r="G749" s="2">
        <v>805128.9120261519</v>
      </c>
      <c r="H749" t="str">
        <f>_xlfn.XLOOKUP(Data_Xuất[[#This Row],[Main SKU]],MD_Main_SKU[Main SKU],MD_Main_SKU[SKU name_gom])</f>
        <v>iSS01</v>
      </c>
    </row>
    <row r="750" spans="1:8" x14ac:dyDescent="0.35">
      <c r="A750">
        <v>2025</v>
      </c>
      <c r="B750">
        <v>5</v>
      </c>
      <c r="C750" t="s">
        <v>26</v>
      </c>
      <c r="D750" t="s">
        <v>27</v>
      </c>
      <c r="E750" t="s">
        <v>50</v>
      </c>
      <c r="F750" t="s">
        <v>51</v>
      </c>
      <c r="G750" s="2">
        <v>6701.7898587500094</v>
      </c>
      <c r="H750" t="str">
        <f>_xlfn.XLOOKUP(Data_Xuất[[#This Row],[Main SKU]],MD_Main_SKU[Main SKU],MD_Main_SKU[SKU name_gom])</f>
        <v>iSS01</v>
      </c>
    </row>
    <row r="751" spans="1:8" x14ac:dyDescent="0.35">
      <c r="A751">
        <v>2025</v>
      </c>
      <c r="B751">
        <v>5</v>
      </c>
      <c r="C751" t="s">
        <v>26</v>
      </c>
      <c r="D751" t="s">
        <v>27</v>
      </c>
      <c r="E751" t="s">
        <v>87</v>
      </c>
      <c r="F751" t="s">
        <v>88</v>
      </c>
      <c r="G751" s="2">
        <v>19998.218322156936</v>
      </c>
      <c r="H751" t="str">
        <f>_xlfn.XLOOKUP(Data_Xuất[[#This Row],[Main SKU]],MD_Main_SKU[Main SKU],MD_Main_SKU[SKU name_gom])</f>
        <v>iSS01</v>
      </c>
    </row>
    <row r="752" spans="1:8" x14ac:dyDescent="0.35">
      <c r="A752">
        <v>2025</v>
      </c>
      <c r="B752">
        <v>5</v>
      </c>
      <c r="C752" t="s">
        <v>26</v>
      </c>
      <c r="D752" t="s">
        <v>27</v>
      </c>
      <c r="E752" t="s">
        <v>89</v>
      </c>
      <c r="F752" t="s">
        <v>90</v>
      </c>
      <c r="G752" s="2">
        <v>2234.9377876085127</v>
      </c>
      <c r="H752" t="str">
        <f>_xlfn.XLOOKUP(Data_Xuất[[#This Row],[Main SKU]],MD_Main_SKU[Main SKU],MD_Main_SKU[SKU name_gom])</f>
        <v>iSS01</v>
      </c>
    </row>
    <row r="753" spans="1:8" x14ac:dyDescent="0.35">
      <c r="A753">
        <v>2025</v>
      </c>
      <c r="B753">
        <v>5</v>
      </c>
      <c r="C753" t="s">
        <v>26</v>
      </c>
      <c r="D753" t="s">
        <v>27</v>
      </c>
      <c r="E753" t="s">
        <v>117</v>
      </c>
      <c r="F753" t="s">
        <v>86</v>
      </c>
      <c r="G753" s="2">
        <v>9557.159361830576</v>
      </c>
      <c r="H753" t="str">
        <f>_xlfn.XLOOKUP(Data_Xuất[[#This Row],[Main SKU]],MD_Main_SKU[Main SKU],MD_Main_SKU[SKU name_gom])</f>
        <v>iSS01</v>
      </c>
    </row>
    <row r="754" spans="1:8" x14ac:dyDescent="0.35">
      <c r="A754">
        <v>2025</v>
      </c>
      <c r="B754">
        <v>5</v>
      </c>
      <c r="C754" t="s">
        <v>115</v>
      </c>
      <c r="D754" t="s">
        <v>116</v>
      </c>
      <c r="E754" t="s">
        <v>115</v>
      </c>
      <c r="F754" t="s">
        <v>116</v>
      </c>
      <c r="G754" s="2">
        <v>64729.973735149899</v>
      </c>
      <c r="H754" t="str">
        <f>_xlfn.XLOOKUP(Data_Xuất[[#This Row],[Main SKU]],MD_Main_SKU[Main SKU],MD_Main_SKU[SKU name_gom])</f>
        <v>WSS05</v>
      </c>
    </row>
    <row r="755" spans="1:8" x14ac:dyDescent="0.35">
      <c r="A755">
        <v>2025</v>
      </c>
      <c r="B755">
        <v>5</v>
      </c>
      <c r="C755" t="s">
        <v>115</v>
      </c>
      <c r="D755" t="s">
        <v>116</v>
      </c>
      <c r="E755" t="s">
        <v>124</v>
      </c>
      <c r="F755" t="s">
        <v>125</v>
      </c>
      <c r="G755" s="2">
        <v>1050</v>
      </c>
      <c r="H755" t="str">
        <f>_xlfn.XLOOKUP(Data_Xuất[[#This Row],[Main SKU]],MD_Main_SKU[Main SKU],MD_Main_SKU[SKU name_gom])</f>
        <v>WSS05</v>
      </c>
    </row>
    <row r="756" spans="1:8" x14ac:dyDescent="0.35">
      <c r="A756">
        <v>2025</v>
      </c>
      <c r="B756">
        <v>5</v>
      </c>
      <c r="C756" t="s">
        <v>115</v>
      </c>
      <c r="D756" t="s">
        <v>116</v>
      </c>
      <c r="E756" t="s">
        <v>118</v>
      </c>
      <c r="F756" t="s">
        <v>119</v>
      </c>
      <c r="G756" s="2">
        <v>10508.725220357204</v>
      </c>
      <c r="H756" t="str">
        <f>_xlfn.XLOOKUP(Data_Xuất[[#This Row],[Main SKU]],MD_Main_SKU[Main SKU],MD_Main_SKU[SKU name_gom])</f>
        <v>WSS05</v>
      </c>
    </row>
    <row r="757" spans="1:8" x14ac:dyDescent="0.35">
      <c r="A757">
        <v>2025</v>
      </c>
      <c r="B757">
        <v>5</v>
      </c>
      <c r="C757" t="s">
        <v>115</v>
      </c>
      <c r="D757" t="s">
        <v>116</v>
      </c>
      <c r="E757" t="s">
        <v>87</v>
      </c>
      <c r="F757" t="s">
        <v>88</v>
      </c>
      <c r="G757" s="2">
        <v>7872.0858424217522</v>
      </c>
      <c r="H757" t="str">
        <f>_xlfn.XLOOKUP(Data_Xuất[[#This Row],[Main SKU]],MD_Main_SKU[Main SKU],MD_Main_SKU[SKU name_gom])</f>
        <v>WSS05</v>
      </c>
    </row>
    <row r="758" spans="1:8" x14ac:dyDescent="0.35">
      <c r="A758">
        <v>2025</v>
      </c>
      <c r="B758">
        <v>5</v>
      </c>
      <c r="C758" t="s">
        <v>115</v>
      </c>
      <c r="D758" t="s">
        <v>116</v>
      </c>
      <c r="E758" t="s">
        <v>117</v>
      </c>
      <c r="F758" t="s">
        <v>86</v>
      </c>
      <c r="G758" s="2">
        <v>2049.2152020711492</v>
      </c>
      <c r="H758" t="str">
        <f>_xlfn.XLOOKUP(Data_Xuất[[#This Row],[Main SKU]],MD_Main_SKU[Main SKU],MD_Main_SKU[SKU name_gom])</f>
        <v>WSS05</v>
      </c>
    </row>
    <row r="759" spans="1:8" x14ac:dyDescent="0.35">
      <c r="A759">
        <v>2025</v>
      </c>
      <c r="B759">
        <v>5</v>
      </c>
      <c r="C759" t="s">
        <v>44</v>
      </c>
      <c r="D759" t="s">
        <v>45</v>
      </c>
      <c r="E759" t="s">
        <v>44</v>
      </c>
      <c r="F759" t="s">
        <v>45</v>
      </c>
      <c r="G759" s="2">
        <v>9039.5480225988704</v>
      </c>
      <c r="H759" t="str">
        <f>_xlfn.XLOOKUP(Data_Xuất[[#This Row],[Main SKU]],MD_Main_SKU[Main SKU],MD_Main_SKU[SKU name_gom])</f>
        <v>iSS01</v>
      </c>
    </row>
    <row r="760" spans="1:8" x14ac:dyDescent="0.35">
      <c r="A760">
        <v>2025</v>
      </c>
      <c r="B760">
        <v>5</v>
      </c>
      <c r="C760" t="s">
        <v>44</v>
      </c>
      <c r="D760" t="s">
        <v>45</v>
      </c>
      <c r="E760" t="s">
        <v>87</v>
      </c>
      <c r="F760" t="s">
        <v>88</v>
      </c>
      <c r="G760" s="2">
        <v>359.52747817154597</v>
      </c>
      <c r="H760" t="str">
        <f>_xlfn.XLOOKUP(Data_Xuất[[#This Row],[Main SKU]],MD_Main_SKU[Main SKU],MD_Main_SKU[SKU name_gom])</f>
        <v>iSS01</v>
      </c>
    </row>
    <row r="761" spans="1:8" x14ac:dyDescent="0.35">
      <c r="A761">
        <v>2025</v>
      </c>
      <c r="B761">
        <v>5</v>
      </c>
      <c r="C761" t="s">
        <v>44</v>
      </c>
      <c r="D761" t="s">
        <v>45</v>
      </c>
      <c r="E761" t="s">
        <v>117</v>
      </c>
      <c r="F761" t="s">
        <v>86</v>
      </c>
      <c r="G761" s="2">
        <v>600.92449922958394</v>
      </c>
      <c r="H761" t="str">
        <f>_xlfn.XLOOKUP(Data_Xuất[[#This Row],[Main SKU]],MD_Main_SKU[Main SKU],MD_Main_SKU[SKU name_gom])</f>
        <v>iSS01</v>
      </c>
    </row>
    <row r="762" spans="1:8" x14ac:dyDescent="0.35">
      <c r="A762">
        <v>2025</v>
      </c>
      <c r="B762">
        <v>5</v>
      </c>
      <c r="C762" t="s">
        <v>54</v>
      </c>
      <c r="D762" t="s">
        <v>55</v>
      </c>
      <c r="E762" t="s">
        <v>54</v>
      </c>
      <c r="F762" t="s">
        <v>55</v>
      </c>
      <c r="G762" s="2">
        <v>27959.218542621256</v>
      </c>
      <c r="H762" t="str">
        <f>_xlfn.XLOOKUP(Data_Xuất[[#This Row],[Main SKU]],MD_Main_SKU[Main SKU],MD_Main_SKU[SKU name_gom])</f>
        <v>WSS01</v>
      </c>
    </row>
    <row r="763" spans="1:8" x14ac:dyDescent="0.35">
      <c r="A763">
        <v>2025</v>
      </c>
      <c r="B763">
        <v>5</v>
      </c>
      <c r="C763" t="s">
        <v>54</v>
      </c>
      <c r="D763" t="s">
        <v>55</v>
      </c>
      <c r="E763" t="s">
        <v>87</v>
      </c>
      <c r="F763" t="s">
        <v>88</v>
      </c>
      <c r="G763" s="2">
        <v>355.59878945092953</v>
      </c>
      <c r="H763" t="str">
        <f>_xlfn.XLOOKUP(Data_Xuất[[#This Row],[Main SKU]],MD_Main_SKU[Main SKU],MD_Main_SKU[SKU name_gom])</f>
        <v>WSS01</v>
      </c>
    </row>
    <row r="764" spans="1:8" x14ac:dyDescent="0.35">
      <c r="A764">
        <v>2025</v>
      </c>
      <c r="B764">
        <v>5</v>
      </c>
      <c r="C764" t="s">
        <v>54</v>
      </c>
      <c r="D764" t="s">
        <v>55</v>
      </c>
      <c r="E764" t="s">
        <v>89</v>
      </c>
      <c r="F764" t="s">
        <v>90</v>
      </c>
      <c r="G764" s="2">
        <v>1626.3845702192091</v>
      </c>
      <c r="H764" t="str">
        <f>_xlfn.XLOOKUP(Data_Xuất[[#This Row],[Main SKU]],MD_Main_SKU[Main SKU],MD_Main_SKU[SKU name_gom])</f>
        <v>WSS01</v>
      </c>
    </row>
    <row r="765" spans="1:8" x14ac:dyDescent="0.35">
      <c r="A765">
        <v>2025</v>
      </c>
      <c r="B765">
        <v>5</v>
      </c>
      <c r="C765" t="s">
        <v>54</v>
      </c>
      <c r="D765" t="s">
        <v>55</v>
      </c>
      <c r="E765" t="s">
        <v>117</v>
      </c>
      <c r="F765" t="s">
        <v>86</v>
      </c>
      <c r="G765" s="2">
        <v>558.79809770860356</v>
      </c>
      <c r="H765" t="str">
        <f>_xlfn.XLOOKUP(Data_Xuất[[#This Row],[Main SKU]],MD_Main_SKU[Main SKU],MD_Main_SKU[SKU name_gom])</f>
        <v>WSS01</v>
      </c>
    </row>
    <row r="766" spans="1:8" x14ac:dyDescent="0.35">
      <c r="A766">
        <v>2025</v>
      </c>
      <c r="B766">
        <v>6</v>
      </c>
      <c r="C766" t="s">
        <v>8</v>
      </c>
      <c r="D766" t="s">
        <v>9</v>
      </c>
      <c r="E766" t="s">
        <v>8</v>
      </c>
      <c r="F766" t="s">
        <v>9</v>
      </c>
      <c r="G766" s="2">
        <v>72522.443399184704</v>
      </c>
      <c r="H766" t="str">
        <f>_xlfn.XLOOKUP(Data_Xuất[[#This Row],[Main SKU]],MD_Main_SKU[Main SKU],MD_Main_SKU[SKU name_gom])</f>
        <v>WSS01</v>
      </c>
    </row>
    <row r="767" spans="1:8" x14ac:dyDescent="0.35">
      <c r="A767">
        <v>2025</v>
      </c>
      <c r="B767">
        <v>6</v>
      </c>
      <c r="C767" t="s">
        <v>8</v>
      </c>
      <c r="D767" t="s">
        <v>9</v>
      </c>
      <c r="E767" t="s">
        <v>22</v>
      </c>
      <c r="F767" t="s">
        <v>23</v>
      </c>
      <c r="G767" s="2">
        <v>1166.6666666666667</v>
      </c>
      <c r="H767" t="str">
        <f>_xlfn.XLOOKUP(Data_Xuất[[#This Row],[Main SKU]],MD_Main_SKU[Main SKU],MD_Main_SKU[SKU name_gom])</f>
        <v>WSS01</v>
      </c>
    </row>
    <row r="768" spans="1:8" x14ac:dyDescent="0.35">
      <c r="A768">
        <v>2025</v>
      </c>
      <c r="B768">
        <v>6</v>
      </c>
      <c r="C768" t="s">
        <v>8</v>
      </c>
      <c r="D768" t="s">
        <v>9</v>
      </c>
      <c r="E768" t="s">
        <v>87</v>
      </c>
      <c r="F768" t="s">
        <v>88</v>
      </c>
      <c r="G768" s="2">
        <v>358.88993414863592</v>
      </c>
      <c r="H768" t="str">
        <f>_xlfn.XLOOKUP(Data_Xuất[[#This Row],[Main SKU]],MD_Main_SKU[Main SKU],MD_Main_SKU[SKU name_gom])</f>
        <v>WSS01</v>
      </c>
    </row>
    <row r="769" spans="1:8" x14ac:dyDescent="0.35">
      <c r="A769">
        <v>2025</v>
      </c>
      <c r="B769">
        <v>6</v>
      </c>
      <c r="C769" t="s">
        <v>14</v>
      </c>
      <c r="D769" t="s">
        <v>15</v>
      </c>
      <c r="E769" t="s">
        <v>14</v>
      </c>
      <c r="F769" t="s">
        <v>15</v>
      </c>
      <c r="G769" s="2">
        <v>470014.04048067145</v>
      </c>
      <c r="H769" t="str">
        <f>_xlfn.XLOOKUP(Data_Xuất[[#This Row],[Main SKU]],MD_Main_SKU[Main SKU],MD_Main_SKU[SKU name_gom])</f>
        <v>iSS01084</v>
      </c>
    </row>
    <row r="770" spans="1:8" x14ac:dyDescent="0.35">
      <c r="A770">
        <v>2025</v>
      </c>
      <c r="B770">
        <v>6</v>
      </c>
      <c r="C770" t="s">
        <v>14</v>
      </c>
      <c r="D770" t="s">
        <v>15</v>
      </c>
      <c r="E770" t="s">
        <v>18</v>
      </c>
      <c r="F770" t="s">
        <v>19</v>
      </c>
      <c r="G770" s="2">
        <v>8927.1750892486925</v>
      </c>
      <c r="H770" t="str">
        <f>_xlfn.XLOOKUP(Data_Xuất[[#This Row],[Main SKU]],MD_Main_SKU[Main SKU],MD_Main_SKU[SKU name_gom])</f>
        <v>iSS01084</v>
      </c>
    </row>
    <row r="771" spans="1:8" x14ac:dyDescent="0.35">
      <c r="A771">
        <v>2025</v>
      </c>
      <c r="B771">
        <v>6</v>
      </c>
      <c r="C771" t="s">
        <v>14</v>
      </c>
      <c r="D771" t="s">
        <v>15</v>
      </c>
      <c r="E771" t="s">
        <v>22</v>
      </c>
      <c r="F771" t="s">
        <v>23</v>
      </c>
      <c r="G771" s="2">
        <v>6719.3877640654619</v>
      </c>
      <c r="H771" t="str">
        <f>_xlfn.XLOOKUP(Data_Xuất[[#This Row],[Main SKU]],MD_Main_SKU[Main SKU],MD_Main_SKU[SKU name_gom])</f>
        <v>iSS01084</v>
      </c>
    </row>
    <row r="772" spans="1:8" x14ac:dyDescent="0.35">
      <c r="A772">
        <v>2025</v>
      </c>
      <c r="B772">
        <v>6</v>
      </c>
      <c r="C772" t="s">
        <v>14</v>
      </c>
      <c r="D772" t="s">
        <v>15</v>
      </c>
      <c r="E772" t="s">
        <v>40</v>
      </c>
      <c r="F772" t="s">
        <v>41</v>
      </c>
      <c r="G772" s="2">
        <v>2244.7044266277198</v>
      </c>
      <c r="H772" t="str">
        <f>_xlfn.XLOOKUP(Data_Xuất[[#This Row],[Main SKU]],MD_Main_SKU[Main SKU],MD_Main_SKU[SKU name_gom])</f>
        <v>iSS01084</v>
      </c>
    </row>
    <row r="773" spans="1:8" x14ac:dyDescent="0.35">
      <c r="A773">
        <v>2025</v>
      </c>
      <c r="B773">
        <v>6</v>
      </c>
      <c r="C773" t="s">
        <v>14</v>
      </c>
      <c r="D773" t="s">
        <v>15</v>
      </c>
      <c r="E773" t="s">
        <v>42</v>
      </c>
      <c r="F773" t="s">
        <v>43</v>
      </c>
      <c r="G773" s="2">
        <v>4489.4088532554397</v>
      </c>
      <c r="H773" t="str">
        <f>_xlfn.XLOOKUP(Data_Xuất[[#This Row],[Main SKU]],MD_Main_SKU[Main SKU],MD_Main_SKU[SKU name_gom])</f>
        <v>iSS01084</v>
      </c>
    </row>
    <row r="774" spans="1:8" x14ac:dyDescent="0.35">
      <c r="A774">
        <v>2025</v>
      </c>
      <c r="B774">
        <v>6</v>
      </c>
      <c r="C774" t="s">
        <v>14</v>
      </c>
      <c r="D774" t="s">
        <v>15</v>
      </c>
      <c r="E774" t="s">
        <v>38</v>
      </c>
      <c r="F774" t="s">
        <v>39</v>
      </c>
      <c r="G774" s="2">
        <v>6695.3813169365203</v>
      </c>
      <c r="H774" t="str">
        <f>_xlfn.XLOOKUP(Data_Xuất[[#This Row],[Main SKU]],MD_Main_SKU[Main SKU],MD_Main_SKU[SKU name_gom])</f>
        <v>iSS01084</v>
      </c>
    </row>
    <row r="775" spans="1:8" x14ac:dyDescent="0.35">
      <c r="A775">
        <v>2025</v>
      </c>
      <c r="B775">
        <v>6</v>
      </c>
      <c r="C775" t="s">
        <v>14</v>
      </c>
      <c r="D775" t="s">
        <v>15</v>
      </c>
      <c r="E775" t="s">
        <v>34</v>
      </c>
      <c r="F775" t="s">
        <v>35</v>
      </c>
      <c r="G775" s="2">
        <v>6695.8041945741961</v>
      </c>
      <c r="H775" t="str">
        <f>_xlfn.XLOOKUP(Data_Xuất[[#This Row],[Main SKU]],MD_Main_SKU[Main SKU],MD_Main_SKU[SKU name_gom])</f>
        <v>iSS01084</v>
      </c>
    </row>
    <row r="776" spans="1:8" x14ac:dyDescent="0.35">
      <c r="A776">
        <v>2025</v>
      </c>
      <c r="B776">
        <v>6</v>
      </c>
      <c r="C776" t="s">
        <v>14</v>
      </c>
      <c r="D776" t="s">
        <v>15</v>
      </c>
      <c r="E776" t="s">
        <v>87</v>
      </c>
      <c r="F776" t="s">
        <v>88</v>
      </c>
      <c r="G776" s="2">
        <v>7276.1894512814315</v>
      </c>
      <c r="H776" t="str">
        <f>_xlfn.XLOOKUP(Data_Xuất[[#This Row],[Main SKU]],MD_Main_SKU[Main SKU],MD_Main_SKU[SKU name_gom])</f>
        <v>iSS01084</v>
      </c>
    </row>
    <row r="777" spans="1:8" x14ac:dyDescent="0.35">
      <c r="A777">
        <v>2025</v>
      </c>
      <c r="B777">
        <v>6</v>
      </c>
      <c r="C777" t="s">
        <v>14</v>
      </c>
      <c r="D777" t="s">
        <v>15</v>
      </c>
      <c r="E777" t="s">
        <v>89</v>
      </c>
      <c r="F777" t="s">
        <v>90</v>
      </c>
      <c r="G777" s="2">
        <v>1122.3522133138599</v>
      </c>
      <c r="H777" t="str">
        <f>_xlfn.XLOOKUP(Data_Xuất[[#This Row],[Main SKU]],MD_Main_SKU[Main SKU],MD_Main_SKU[SKU name_gom])</f>
        <v>iSS01084</v>
      </c>
    </row>
    <row r="778" spans="1:8" x14ac:dyDescent="0.35">
      <c r="A778">
        <v>2025</v>
      </c>
      <c r="B778">
        <v>6</v>
      </c>
      <c r="C778" t="s">
        <v>14</v>
      </c>
      <c r="D778" t="s">
        <v>15</v>
      </c>
      <c r="E778" t="s">
        <v>117</v>
      </c>
      <c r="F778" t="s">
        <v>86</v>
      </c>
      <c r="G778" s="2">
        <v>5983.7624377130633</v>
      </c>
      <c r="H778" t="str">
        <f>_xlfn.XLOOKUP(Data_Xuất[[#This Row],[Main SKU]],MD_Main_SKU[Main SKU],MD_Main_SKU[SKU name_gom])</f>
        <v>iSS01084</v>
      </c>
    </row>
    <row r="779" spans="1:8" x14ac:dyDescent="0.35">
      <c r="A779">
        <v>2025</v>
      </c>
      <c r="B779">
        <v>6</v>
      </c>
      <c r="C779" t="s">
        <v>14</v>
      </c>
      <c r="D779" t="s">
        <v>15</v>
      </c>
      <c r="E779" t="s">
        <v>126</v>
      </c>
      <c r="F779" t="s">
        <v>127</v>
      </c>
      <c r="G779" s="2">
        <v>2231.7937723121731</v>
      </c>
      <c r="H779" t="str">
        <f>_xlfn.XLOOKUP(Data_Xuất[[#This Row],[Main SKU]],MD_Main_SKU[Main SKU],MD_Main_SKU[SKU name_gom])</f>
        <v>iSS01084</v>
      </c>
    </row>
    <row r="780" spans="1:8" x14ac:dyDescent="0.35">
      <c r="A780">
        <v>2025</v>
      </c>
      <c r="B780">
        <v>6</v>
      </c>
      <c r="C780" t="s">
        <v>16</v>
      </c>
      <c r="D780" t="s">
        <v>17</v>
      </c>
      <c r="E780" t="s">
        <v>14</v>
      </c>
      <c r="F780" t="s">
        <v>15</v>
      </c>
      <c r="G780" s="2">
        <v>16725.104299749022</v>
      </c>
      <c r="H780" t="str">
        <f>_xlfn.XLOOKUP(Data_Xuất[[#This Row],[Main SKU]],MD_Main_SKU[Main SKU],MD_Main_SKU[SKU name_gom])</f>
        <v>WSS01</v>
      </c>
    </row>
    <row r="781" spans="1:8" x14ac:dyDescent="0.35">
      <c r="A781">
        <v>2025</v>
      </c>
      <c r="B781">
        <v>6</v>
      </c>
      <c r="C781" t="s">
        <v>16</v>
      </c>
      <c r="D781" t="s">
        <v>17</v>
      </c>
      <c r="E781" t="s">
        <v>16</v>
      </c>
      <c r="F781" t="s">
        <v>17</v>
      </c>
      <c r="G781" s="2">
        <v>1274918.7004800504</v>
      </c>
      <c r="H781" t="str">
        <f>_xlfn.XLOOKUP(Data_Xuất[[#This Row],[Main SKU]],MD_Main_SKU[Main SKU],MD_Main_SKU[SKU name_gom])</f>
        <v>WSS01</v>
      </c>
    </row>
    <row r="782" spans="1:8" x14ac:dyDescent="0.35">
      <c r="A782">
        <v>2025</v>
      </c>
      <c r="B782">
        <v>6</v>
      </c>
      <c r="C782" t="s">
        <v>16</v>
      </c>
      <c r="D782" t="s">
        <v>17</v>
      </c>
      <c r="E782" t="s">
        <v>18</v>
      </c>
      <c r="F782" t="s">
        <v>19</v>
      </c>
      <c r="G782" s="2">
        <v>92757.769057602898</v>
      </c>
      <c r="H782" t="str">
        <f>_xlfn.XLOOKUP(Data_Xuất[[#This Row],[Main SKU]],MD_Main_SKU[Main SKU],MD_Main_SKU[SKU name_gom])</f>
        <v>WSS01</v>
      </c>
    </row>
    <row r="783" spans="1:8" x14ac:dyDescent="0.35">
      <c r="A783">
        <v>2025</v>
      </c>
      <c r="B783">
        <v>6</v>
      </c>
      <c r="C783" t="s">
        <v>16</v>
      </c>
      <c r="D783" t="s">
        <v>17</v>
      </c>
      <c r="E783" t="s">
        <v>22</v>
      </c>
      <c r="F783" t="s">
        <v>23</v>
      </c>
      <c r="G783" s="2">
        <v>11146.792749704277</v>
      </c>
      <c r="H783" t="str">
        <f>_xlfn.XLOOKUP(Data_Xuất[[#This Row],[Main SKU]],MD_Main_SKU[Main SKU],MD_Main_SKU[SKU name_gom])</f>
        <v>WSS01</v>
      </c>
    </row>
    <row r="784" spans="1:8" x14ac:dyDescent="0.35">
      <c r="A784">
        <v>2025</v>
      </c>
      <c r="B784">
        <v>6</v>
      </c>
      <c r="C784" t="s">
        <v>16</v>
      </c>
      <c r="D784" t="s">
        <v>17</v>
      </c>
      <c r="E784" t="s">
        <v>40</v>
      </c>
      <c r="F784" t="s">
        <v>41</v>
      </c>
      <c r="G784" s="2">
        <v>28234.311729705169</v>
      </c>
      <c r="H784" t="str">
        <f>_xlfn.XLOOKUP(Data_Xuất[[#This Row],[Main SKU]],MD_Main_SKU[Main SKU],MD_Main_SKU[SKU name_gom])</f>
        <v>WSS01</v>
      </c>
    </row>
    <row r="785" spans="1:8" x14ac:dyDescent="0.35">
      <c r="A785">
        <v>2025</v>
      </c>
      <c r="B785">
        <v>6</v>
      </c>
      <c r="C785" t="s">
        <v>16</v>
      </c>
      <c r="D785" t="s">
        <v>17</v>
      </c>
      <c r="E785" t="s">
        <v>38</v>
      </c>
      <c r="F785" t="s">
        <v>39</v>
      </c>
      <c r="G785" s="2">
        <v>2232.0208143881982</v>
      </c>
      <c r="H785" t="str">
        <f>_xlfn.XLOOKUP(Data_Xuất[[#This Row],[Main SKU]],MD_Main_SKU[Main SKU],MD_Main_SKU[SKU name_gom])</f>
        <v>WSS01</v>
      </c>
    </row>
    <row r="786" spans="1:8" x14ac:dyDescent="0.35">
      <c r="A786">
        <v>2025</v>
      </c>
      <c r="B786">
        <v>6</v>
      </c>
      <c r="C786" t="s">
        <v>16</v>
      </c>
      <c r="D786" t="s">
        <v>17</v>
      </c>
      <c r="E786" t="s">
        <v>34</v>
      </c>
      <c r="F786" t="s">
        <v>35</v>
      </c>
      <c r="G786" s="2">
        <v>7814.1077149643979</v>
      </c>
      <c r="H786" t="str">
        <f>_xlfn.XLOOKUP(Data_Xuất[[#This Row],[Main SKU]],MD_Main_SKU[Main SKU],MD_Main_SKU[SKU name_gom])</f>
        <v>WSS01</v>
      </c>
    </row>
    <row r="787" spans="1:8" x14ac:dyDescent="0.35">
      <c r="A787">
        <v>2025</v>
      </c>
      <c r="B787">
        <v>6</v>
      </c>
      <c r="C787" t="s">
        <v>16</v>
      </c>
      <c r="D787" t="s">
        <v>17</v>
      </c>
      <c r="E787" t="s">
        <v>87</v>
      </c>
      <c r="F787" t="s">
        <v>88</v>
      </c>
      <c r="G787" s="2">
        <v>44557.667641651511</v>
      </c>
      <c r="H787" t="str">
        <f>_xlfn.XLOOKUP(Data_Xuất[[#This Row],[Main SKU]],MD_Main_SKU[Main SKU],MD_Main_SKU[SKU name_gom])</f>
        <v>WSS01</v>
      </c>
    </row>
    <row r="788" spans="1:8" x14ac:dyDescent="0.35">
      <c r="A788">
        <v>2025</v>
      </c>
      <c r="B788">
        <v>6</v>
      </c>
      <c r="C788" t="s">
        <v>16</v>
      </c>
      <c r="D788" t="s">
        <v>17</v>
      </c>
      <c r="E788" t="s">
        <v>89</v>
      </c>
      <c r="F788" t="s">
        <v>90</v>
      </c>
      <c r="G788" s="2">
        <v>2248.7471703579317</v>
      </c>
      <c r="H788" t="str">
        <f>_xlfn.XLOOKUP(Data_Xuất[[#This Row],[Main SKU]],MD_Main_SKU[Main SKU],MD_Main_SKU[SKU name_gom])</f>
        <v>WSS01</v>
      </c>
    </row>
    <row r="789" spans="1:8" x14ac:dyDescent="0.35">
      <c r="A789">
        <v>2025</v>
      </c>
      <c r="B789">
        <v>6</v>
      </c>
      <c r="C789" t="s">
        <v>16</v>
      </c>
      <c r="D789" t="s">
        <v>17</v>
      </c>
      <c r="E789" t="s">
        <v>91</v>
      </c>
      <c r="F789" t="s">
        <v>92</v>
      </c>
      <c r="G789" s="2">
        <v>2254.6644475193566</v>
      </c>
      <c r="H789" t="str">
        <f>_xlfn.XLOOKUP(Data_Xuất[[#This Row],[Main SKU]],MD_Main_SKU[Main SKU],MD_Main_SKU[SKU name_gom])</f>
        <v>WSS01</v>
      </c>
    </row>
    <row r="790" spans="1:8" x14ac:dyDescent="0.35">
      <c r="A790">
        <v>2025</v>
      </c>
      <c r="B790">
        <v>6</v>
      </c>
      <c r="C790" t="s">
        <v>16</v>
      </c>
      <c r="D790" t="s">
        <v>17</v>
      </c>
      <c r="E790" t="s">
        <v>93</v>
      </c>
      <c r="F790" t="s">
        <v>94</v>
      </c>
      <c r="G790" s="2">
        <v>268.5201671786092</v>
      </c>
      <c r="H790" t="str">
        <f>_xlfn.XLOOKUP(Data_Xuất[[#This Row],[Main SKU]],MD_Main_SKU[Main SKU],MD_Main_SKU[SKU name_gom])</f>
        <v>WSS01</v>
      </c>
    </row>
    <row r="791" spans="1:8" x14ac:dyDescent="0.35">
      <c r="A791">
        <v>2025</v>
      </c>
      <c r="B791">
        <v>6</v>
      </c>
      <c r="C791" t="s">
        <v>16</v>
      </c>
      <c r="D791" t="s">
        <v>17</v>
      </c>
      <c r="E791" t="s">
        <v>117</v>
      </c>
      <c r="F791" t="s">
        <v>86</v>
      </c>
      <c r="G791" s="2">
        <v>26639.05262876409</v>
      </c>
      <c r="H791" t="str">
        <f>_xlfn.XLOOKUP(Data_Xuất[[#This Row],[Main SKU]],MD_Main_SKU[Main SKU],MD_Main_SKU[SKU name_gom])</f>
        <v>WSS01</v>
      </c>
    </row>
    <row r="792" spans="1:8" x14ac:dyDescent="0.35">
      <c r="A792">
        <v>2025</v>
      </c>
      <c r="B792">
        <v>6</v>
      </c>
      <c r="C792" t="s">
        <v>16</v>
      </c>
      <c r="D792" t="s">
        <v>17</v>
      </c>
      <c r="E792" t="s">
        <v>128</v>
      </c>
      <c r="F792" t="s">
        <v>129</v>
      </c>
      <c r="G792" s="2">
        <v>12290.009876782065</v>
      </c>
      <c r="H792" t="str">
        <f>_xlfn.XLOOKUP(Data_Xuất[[#This Row],[Main SKU]],MD_Main_SKU[Main SKU],MD_Main_SKU[SKU name_gom])</f>
        <v>WSS01</v>
      </c>
    </row>
    <row r="793" spans="1:8" x14ac:dyDescent="0.35">
      <c r="A793">
        <v>2025</v>
      </c>
      <c r="B793">
        <v>6</v>
      </c>
      <c r="C793" t="s">
        <v>16</v>
      </c>
      <c r="D793" t="s">
        <v>17</v>
      </c>
      <c r="E793" t="s">
        <v>126</v>
      </c>
      <c r="F793" t="s">
        <v>127</v>
      </c>
      <c r="G793" s="2">
        <v>3348.0312215822978</v>
      </c>
      <c r="H793" t="str">
        <f>_xlfn.XLOOKUP(Data_Xuất[[#This Row],[Main SKU]],MD_Main_SKU[Main SKU],MD_Main_SKU[SKU name_gom])</f>
        <v>WSS01</v>
      </c>
    </row>
    <row r="794" spans="1:8" x14ac:dyDescent="0.35">
      <c r="A794">
        <v>2025</v>
      </c>
      <c r="B794">
        <v>6</v>
      </c>
      <c r="C794" t="s">
        <v>18</v>
      </c>
      <c r="D794" t="s">
        <v>19</v>
      </c>
      <c r="E794" t="s">
        <v>14</v>
      </c>
      <c r="F794" t="s">
        <v>15</v>
      </c>
      <c r="G794" s="2">
        <v>37878.415885305709</v>
      </c>
      <c r="H794" t="str">
        <f>_xlfn.XLOOKUP(Data_Xuất[[#This Row],[Main SKU]],MD_Main_SKU[Main SKU],MD_Main_SKU[SKU name_gom])</f>
        <v>iSS01</v>
      </c>
    </row>
    <row r="795" spans="1:8" x14ac:dyDescent="0.35">
      <c r="A795">
        <v>2025</v>
      </c>
      <c r="B795">
        <v>6</v>
      </c>
      <c r="C795" t="s">
        <v>18</v>
      </c>
      <c r="D795" t="s">
        <v>19</v>
      </c>
      <c r="E795" t="s">
        <v>16</v>
      </c>
      <c r="F795" t="s">
        <v>17</v>
      </c>
      <c r="G795" s="2">
        <v>6661.0453497309763</v>
      </c>
      <c r="H795" t="str">
        <f>_xlfn.XLOOKUP(Data_Xuất[[#This Row],[Main SKU]],MD_Main_SKU[Main SKU],MD_Main_SKU[SKU name_gom])</f>
        <v>iSS01</v>
      </c>
    </row>
    <row r="796" spans="1:8" x14ac:dyDescent="0.35">
      <c r="A796">
        <v>2025</v>
      </c>
      <c r="B796">
        <v>6</v>
      </c>
      <c r="C796" t="s">
        <v>18</v>
      </c>
      <c r="D796" t="s">
        <v>19</v>
      </c>
      <c r="E796" t="s">
        <v>18</v>
      </c>
      <c r="F796" t="s">
        <v>19</v>
      </c>
      <c r="G796" s="2">
        <v>741198.16574070323</v>
      </c>
      <c r="H796" t="str">
        <f>_xlfn.XLOOKUP(Data_Xuất[[#This Row],[Main SKU]],MD_Main_SKU[Main SKU],MD_Main_SKU[SKU name_gom])</f>
        <v>iSS01</v>
      </c>
    </row>
    <row r="797" spans="1:8" x14ac:dyDescent="0.35">
      <c r="A797">
        <v>2025</v>
      </c>
      <c r="B797">
        <v>6</v>
      </c>
      <c r="C797" t="s">
        <v>18</v>
      </c>
      <c r="D797" t="s">
        <v>19</v>
      </c>
      <c r="E797" t="s">
        <v>22</v>
      </c>
      <c r="F797" t="s">
        <v>23</v>
      </c>
      <c r="G797" s="2">
        <v>3349.4762859505199</v>
      </c>
      <c r="H797" t="str">
        <f>_xlfn.XLOOKUP(Data_Xuất[[#This Row],[Main SKU]],MD_Main_SKU[Main SKU],MD_Main_SKU[SKU name_gom])</f>
        <v>iSS01</v>
      </c>
    </row>
    <row r="798" spans="1:8" x14ac:dyDescent="0.35">
      <c r="A798">
        <v>2025</v>
      </c>
      <c r="B798">
        <v>6</v>
      </c>
      <c r="C798" t="s">
        <v>18</v>
      </c>
      <c r="D798" t="s">
        <v>19</v>
      </c>
      <c r="E798" t="s">
        <v>34</v>
      </c>
      <c r="F798" t="s">
        <v>35</v>
      </c>
      <c r="G798" s="2">
        <v>1116.2942505649007</v>
      </c>
      <c r="H798" t="str">
        <f>_xlfn.XLOOKUP(Data_Xuất[[#This Row],[Main SKU]],MD_Main_SKU[Main SKU],MD_Main_SKU[SKU name_gom])</f>
        <v>iSS01</v>
      </c>
    </row>
    <row r="799" spans="1:8" x14ac:dyDescent="0.35">
      <c r="A799">
        <v>2025</v>
      </c>
      <c r="B799">
        <v>6</v>
      </c>
      <c r="C799" t="s">
        <v>18</v>
      </c>
      <c r="D799" t="s">
        <v>19</v>
      </c>
      <c r="E799" t="s">
        <v>87</v>
      </c>
      <c r="F799" t="s">
        <v>88</v>
      </c>
      <c r="G799" s="2">
        <v>10655.742543868149</v>
      </c>
      <c r="H799" t="str">
        <f>_xlfn.XLOOKUP(Data_Xuất[[#This Row],[Main SKU]],MD_Main_SKU[Main SKU],MD_Main_SKU[SKU name_gom])</f>
        <v>iSS01</v>
      </c>
    </row>
    <row r="800" spans="1:8" x14ac:dyDescent="0.35">
      <c r="A800">
        <v>2025</v>
      </c>
      <c r="B800">
        <v>6</v>
      </c>
      <c r="C800" t="s">
        <v>18</v>
      </c>
      <c r="D800" t="s">
        <v>19</v>
      </c>
      <c r="E800" t="s">
        <v>93</v>
      </c>
      <c r="F800" t="s">
        <v>94</v>
      </c>
      <c r="G800" s="2">
        <v>255.3633031479086</v>
      </c>
      <c r="H800" t="str">
        <f>_xlfn.XLOOKUP(Data_Xuất[[#This Row],[Main SKU]],MD_Main_SKU[Main SKU],MD_Main_SKU[SKU name_gom])</f>
        <v>iSS01</v>
      </c>
    </row>
    <row r="801" spans="1:8" x14ac:dyDescent="0.35">
      <c r="A801">
        <v>2025</v>
      </c>
      <c r="B801">
        <v>6</v>
      </c>
      <c r="C801" t="s">
        <v>18</v>
      </c>
      <c r="D801" t="s">
        <v>19</v>
      </c>
      <c r="E801" t="s">
        <v>117</v>
      </c>
      <c r="F801" t="s">
        <v>86</v>
      </c>
      <c r="G801" s="2">
        <v>8006.5440688275385</v>
      </c>
      <c r="H801" t="str">
        <f>_xlfn.XLOOKUP(Data_Xuất[[#This Row],[Main SKU]],MD_Main_SKU[Main SKU],MD_Main_SKU[SKU name_gom])</f>
        <v>iSS01</v>
      </c>
    </row>
    <row r="802" spans="1:8" x14ac:dyDescent="0.35">
      <c r="A802">
        <v>2025</v>
      </c>
      <c r="B802">
        <v>6</v>
      </c>
      <c r="C802" t="s">
        <v>18</v>
      </c>
      <c r="D802" t="s">
        <v>19</v>
      </c>
      <c r="E802" t="s">
        <v>130</v>
      </c>
      <c r="F802" t="s">
        <v>131</v>
      </c>
      <c r="G802" s="2">
        <v>6698.9525719010398</v>
      </c>
      <c r="H802" t="str">
        <f>_xlfn.XLOOKUP(Data_Xuất[[#This Row],[Main SKU]],MD_Main_SKU[Main SKU],MD_Main_SKU[SKU name_gom])</f>
        <v>iSS01</v>
      </c>
    </row>
    <row r="803" spans="1:8" x14ac:dyDescent="0.35">
      <c r="A803">
        <v>2025</v>
      </c>
      <c r="B803">
        <v>6</v>
      </c>
      <c r="C803" t="s">
        <v>22</v>
      </c>
      <c r="D803" t="s">
        <v>23</v>
      </c>
      <c r="E803" t="s">
        <v>22</v>
      </c>
      <c r="F803" t="s">
        <v>23</v>
      </c>
      <c r="G803" s="2">
        <v>300</v>
      </c>
      <c r="H803" t="str">
        <f>_xlfn.XLOOKUP(Data_Xuất[[#This Row],[Main SKU]],MD_Main_SKU[Main SKU],MD_Main_SKU[SKU name_gom])</f>
        <v>WSS03</v>
      </c>
    </row>
    <row r="804" spans="1:8" x14ac:dyDescent="0.35">
      <c r="A804">
        <v>2025</v>
      </c>
      <c r="B804">
        <v>6</v>
      </c>
      <c r="C804" t="s">
        <v>26</v>
      </c>
      <c r="D804" t="s">
        <v>27</v>
      </c>
      <c r="E804" t="s">
        <v>22</v>
      </c>
      <c r="F804" t="s">
        <v>23</v>
      </c>
      <c r="G804" s="2">
        <v>1117.1508941129196</v>
      </c>
      <c r="H804" t="str">
        <f>_xlfn.XLOOKUP(Data_Xuất[[#This Row],[Main SKU]],MD_Main_SKU[Main SKU],MD_Main_SKU[SKU name_gom])</f>
        <v>iSS01</v>
      </c>
    </row>
    <row r="805" spans="1:8" x14ac:dyDescent="0.35">
      <c r="A805">
        <v>2025</v>
      </c>
      <c r="B805">
        <v>6</v>
      </c>
      <c r="C805" t="s">
        <v>26</v>
      </c>
      <c r="D805" t="s">
        <v>27</v>
      </c>
      <c r="E805" t="s">
        <v>24</v>
      </c>
      <c r="F805" t="s">
        <v>25</v>
      </c>
      <c r="G805" s="2">
        <v>21215.593518924932</v>
      </c>
      <c r="H805" t="str">
        <f>_xlfn.XLOOKUP(Data_Xuất[[#This Row],[Main SKU]],MD_Main_SKU[Main SKU],MD_Main_SKU[SKU name_gom])</f>
        <v>iSS01</v>
      </c>
    </row>
    <row r="806" spans="1:8" x14ac:dyDescent="0.35">
      <c r="A806">
        <v>2025</v>
      </c>
      <c r="B806">
        <v>6</v>
      </c>
      <c r="C806" t="s">
        <v>26</v>
      </c>
      <c r="D806" t="s">
        <v>27</v>
      </c>
      <c r="E806" t="s">
        <v>26</v>
      </c>
      <c r="F806" t="s">
        <v>27</v>
      </c>
      <c r="G806" s="2">
        <v>1192490.6235400604</v>
      </c>
      <c r="H806" t="str">
        <f>_xlfn.XLOOKUP(Data_Xuất[[#This Row],[Main SKU]],MD_Main_SKU[Main SKU],MD_Main_SKU[SKU name_gom])</f>
        <v>iSS01</v>
      </c>
    </row>
    <row r="807" spans="1:8" x14ac:dyDescent="0.35">
      <c r="A807">
        <v>2025</v>
      </c>
      <c r="B807">
        <v>6</v>
      </c>
      <c r="C807" t="s">
        <v>26</v>
      </c>
      <c r="D807" t="s">
        <v>27</v>
      </c>
      <c r="E807" t="s">
        <v>58</v>
      </c>
      <c r="F807" t="s">
        <v>59</v>
      </c>
      <c r="G807" s="2">
        <v>2233.8813130640806</v>
      </c>
      <c r="H807" t="str">
        <f>_xlfn.XLOOKUP(Data_Xuất[[#This Row],[Main SKU]],MD_Main_SKU[Main SKU],MD_Main_SKU[SKU name_gom])</f>
        <v>iSS01</v>
      </c>
    </row>
    <row r="808" spans="1:8" x14ac:dyDescent="0.35">
      <c r="A808">
        <v>2025</v>
      </c>
      <c r="B808">
        <v>6</v>
      </c>
      <c r="C808" t="s">
        <v>26</v>
      </c>
      <c r="D808" t="s">
        <v>27</v>
      </c>
      <c r="E808" t="s">
        <v>50</v>
      </c>
      <c r="F808" t="s">
        <v>51</v>
      </c>
      <c r="G808" s="2">
        <v>12298.39512173294</v>
      </c>
      <c r="H808" t="str">
        <f>_xlfn.XLOOKUP(Data_Xuất[[#This Row],[Main SKU]],MD_Main_SKU[Main SKU],MD_Main_SKU[SKU name_gom])</f>
        <v>iSS01</v>
      </c>
    </row>
    <row r="809" spans="1:8" x14ac:dyDescent="0.35">
      <c r="A809">
        <v>2025</v>
      </c>
      <c r="B809">
        <v>6</v>
      </c>
      <c r="C809" t="s">
        <v>26</v>
      </c>
      <c r="D809" t="s">
        <v>27</v>
      </c>
      <c r="E809" t="s">
        <v>34</v>
      </c>
      <c r="F809" t="s">
        <v>35</v>
      </c>
      <c r="G809" s="2">
        <v>3351.0090253092039</v>
      </c>
      <c r="H809" t="str">
        <f>_xlfn.XLOOKUP(Data_Xuất[[#This Row],[Main SKU]],MD_Main_SKU[Main SKU],MD_Main_SKU[SKU name_gom])</f>
        <v>iSS01</v>
      </c>
    </row>
    <row r="810" spans="1:8" x14ac:dyDescent="0.35">
      <c r="A810">
        <v>2025</v>
      </c>
      <c r="B810">
        <v>6</v>
      </c>
      <c r="C810" t="s">
        <v>26</v>
      </c>
      <c r="D810" t="s">
        <v>27</v>
      </c>
      <c r="E810" t="s">
        <v>87</v>
      </c>
      <c r="F810" t="s">
        <v>88</v>
      </c>
      <c r="G810" s="2">
        <v>39929.70858342557</v>
      </c>
      <c r="H810" t="str">
        <f>_xlfn.XLOOKUP(Data_Xuất[[#This Row],[Main SKU]],MD_Main_SKU[Main SKU],MD_Main_SKU[SKU name_gom])</f>
        <v>iSS01</v>
      </c>
    </row>
    <row r="811" spans="1:8" x14ac:dyDescent="0.35">
      <c r="A811">
        <v>2025</v>
      </c>
      <c r="B811">
        <v>6</v>
      </c>
      <c r="C811" t="s">
        <v>26</v>
      </c>
      <c r="D811" t="s">
        <v>27</v>
      </c>
      <c r="E811" t="s">
        <v>89</v>
      </c>
      <c r="F811" t="s">
        <v>90</v>
      </c>
      <c r="G811" s="2">
        <v>2236.3668880940213</v>
      </c>
      <c r="H811" t="str">
        <f>_xlfn.XLOOKUP(Data_Xuất[[#This Row],[Main SKU]],MD_Main_SKU[Main SKU],MD_Main_SKU[SKU name_gom])</f>
        <v>iSS01</v>
      </c>
    </row>
    <row r="812" spans="1:8" x14ac:dyDescent="0.35">
      <c r="A812">
        <v>2025</v>
      </c>
      <c r="B812">
        <v>6</v>
      </c>
      <c r="C812" t="s">
        <v>26</v>
      </c>
      <c r="D812" t="s">
        <v>27</v>
      </c>
      <c r="E812" t="s">
        <v>91</v>
      </c>
      <c r="F812" t="s">
        <v>92</v>
      </c>
      <c r="G812" s="2">
        <v>1118.298759305211</v>
      </c>
      <c r="H812" t="str">
        <f>_xlfn.XLOOKUP(Data_Xuất[[#This Row],[Main SKU]],MD_Main_SKU[Main SKU],MD_Main_SKU[SKU name_gom])</f>
        <v>iSS01</v>
      </c>
    </row>
    <row r="813" spans="1:8" x14ac:dyDescent="0.35">
      <c r="A813">
        <v>2025</v>
      </c>
      <c r="B813">
        <v>6</v>
      </c>
      <c r="C813" t="s">
        <v>26</v>
      </c>
      <c r="D813" t="s">
        <v>27</v>
      </c>
      <c r="E813" t="s">
        <v>117</v>
      </c>
      <c r="F813" t="s">
        <v>86</v>
      </c>
      <c r="G813" s="2">
        <v>19164.958174487194</v>
      </c>
      <c r="H813" t="str">
        <f>_xlfn.XLOOKUP(Data_Xuất[[#This Row],[Main SKU]],MD_Main_SKU[Main SKU],MD_Main_SKU[SKU name_gom])</f>
        <v>iSS01</v>
      </c>
    </row>
    <row r="814" spans="1:8" x14ac:dyDescent="0.35">
      <c r="A814">
        <v>2025</v>
      </c>
      <c r="B814">
        <v>6</v>
      </c>
      <c r="C814" t="s">
        <v>26</v>
      </c>
      <c r="D814" t="s">
        <v>27</v>
      </c>
      <c r="E814" t="s">
        <v>132</v>
      </c>
      <c r="F814" t="s">
        <v>133</v>
      </c>
      <c r="G814" s="2">
        <v>4470.764181483607</v>
      </c>
      <c r="H814" t="str">
        <f>_xlfn.XLOOKUP(Data_Xuất[[#This Row],[Main SKU]],MD_Main_SKU[Main SKU],MD_Main_SKU[SKU name_gom])</f>
        <v>iSS01</v>
      </c>
    </row>
    <row r="815" spans="1:8" x14ac:dyDescent="0.35">
      <c r="A815">
        <v>2025</v>
      </c>
      <c r="B815">
        <v>6</v>
      </c>
      <c r="C815" t="s">
        <v>115</v>
      </c>
      <c r="D815" t="s">
        <v>116</v>
      </c>
      <c r="E815" t="s">
        <v>115</v>
      </c>
      <c r="F815" t="s">
        <v>116</v>
      </c>
      <c r="G815" s="2">
        <v>65197.741356877093</v>
      </c>
      <c r="H815" t="str">
        <f>_xlfn.XLOOKUP(Data_Xuất[[#This Row],[Main SKU]],MD_Main_SKU[Main SKU],MD_Main_SKU[SKU name_gom])</f>
        <v>WSS05</v>
      </c>
    </row>
    <row r="816" spans="1:8" x14ac:dyDescent="0.35">
      <c r="A816">
        <v>2025</v>
      </c>
      <c r="B816">
        <v>6</v>
      </c>
      <c r="C816" t="s">
        <v>115</v>
      </c>
      <c r="D816" t="s">
        <v>116</v>
      </c>
      <c r="E816" t="s">
        <v>87</v>
      </c>
      <c r="F816" t="s">
        <v>88</v>
      </c>
      <c r="G816" s="2">
        <v>2171.9197345842463</v>
      </c>
      <c r="H816" t="str">
        <f>_xlfn.XLOOKUP(Data_Xuất[[#This Row],[Main SKU]],MD_Main_SKU[Main SKU],MD_Main_SKU[SKU name_gom])</f>
        <v>WSS05</v>
      </c>
    </row>
    <row r="817" spans="1:8" x14ac:dyDescent="0.35">
      <c r="A817">
        <v>2025</v>
      </c>
      <c r="B817">
        <v>6</v>
      </c>
      <c r="C817" t="s">
        <v>115</v>
      </c>
      <c r="D817" t="s">
        <v>116</v>
      </c>
      <c r="E817" t="s">
        <v>117</v>
      </c>
      <c r="F817" t="s">
        <v>86</v>
      </c>
      <c r="G817" s="2">
        <v>1580.3389085386568</v>
      </c>
      <c r="H817" t="str">
        <f>_xlfn.XLOOKUP(Data_Xuất[[#This Row],[Main SKU]],MD_Main_SKU[Main SKU],MD_Main_SKU[SKU name_gom])</f>
        <v>WSS05</v>
      </c>
    </row>
    <row r="818" spans="1:8" x14ac:dyDescent="0.35">
      <c r="A818">
        <v>2025</v>
      </c>
      <c r="B818">
        <v>7</v>
      </c>
      <c r="C818" t="s">
        <v>8</v>
      </c>
      <c r="D818" t="s">
        <v>9</v>
      </c>
      <c r="E818" t="s">
        <v>8</v>
      </c>
      <c r="F818" t="s">
        <v>9</v>
      </c>
      <c r="G818" s="2">
        <v>311388.2943412725</v>
      </c>
      <c r="H818" t="str">
        <f>_xlfn.XLOOKUP(Data_Xuất[[#This Row],[Main SKU]],MD_Main_SKU[Main SKU],MD_Main_SKU[SKU name_gom])</f>
        <v>WSS01</v>
      </c>
    </row>
    <row r="819" spans="1:8" x14ac:dyDescent="0.35">
      <c r="A819">
        <v>2025</v>
      </c>
      <c r="B819">
        <v>7</v>
      </c>
      <c r="C819" t="s">
        <v>8</v>
      </c>
      <c r="D819" t="s">
        <v>9</v>
      </c>
      <c r="E819" t="s">
        <v>36</v>
      </c>
      <c r="F819" t="s">
        <v>37</v>
      </c>
      <c r="G819" s="2">
        <v>8928.565442438432</v>
      </c>
      <c r="H819" t="str">
        <f>_xlfn.XLOOKUP(Data_Xuất[[#This Row],[Main SKU]],MD_Main_SKU[Main SKU],MD_Main_SKU[SKU name_gom])</f>
        <v>WSS01</v>
      </c>
    </row>
    <row r="820" spans="1:8" x14ac:dyDescent="0.35">
      <c r="A820">
        <v>2025</v>
      </c>
      <c r="B820">
        <v>7</v>
      </c>
      <c r="C820" t="s">
        <v>8</v>
      </c>
      <c r="D820" t="s">
        <v>9</v>
      </c>
      <c r="E820" t="s">
        <v>87</v>
      </c>
      <c r="F820" t="s">
        <v>88</v>
      </c>
      <c r="G820" s="2">
        <v>2891.3779590243266</v>
      </c>
      <c r="H820" t="str">
        <f>_xlfn.XLOOKUP(Data_Xuất[[#This Row],[Main SKU]],MD_Main_SKU[Main SKU],MD_Main_SKU[SKU name_gom])</f>
        <v>WSS01</v>
      </c>
    </row>
    <row r="821" spans="1:8" x14ac:dyDescent="0.35">
      <c r="A821">
        <v>2025</v>
      </c>
      <c r="B821">
        <v>7</v>
      </c>
      <c r="C821" t="s">
        <v>8</v>
      </c>
      <c r="D821" t="s">
        <v>9</v>
      </c>
      <c r="E821" t="s">
        <v>93</v>
      </c>
      <c r="F821" t="s">
        <v>94</v>
      </c>
      <c r="G821" s="2">
        <v>202.98639858072147</v>
      </c>
      <c r="H821" t="str">
        <f>_xlfn.XLOOKUP(Data_Xuất[[#This Row],[Main SKU]],MD_Main_SKU[Main SKU],MD_Main_SKU[SKU name_gom])</f>
        <v>WSS01</v>
      </c>
    </row>
    <row r="822" spans="1:8" x14ac:dyDescent="0.35">
      <c r="A822">
        <v>2025</v>
      </c>
      <c r="B822">
        <v>7</v>
      </c>
      <c r="C822" t="s">
        <v>8</v>
      </c>
      <c r="D822" t="s">
        <v>9</v>
      </c>
      <c r="E822" t="s">
        <v>117</v>
      </c>
      <c r="F822" t="s">
        <v>86</v>
      </c>
      <c r="G822" s="2">
        <v>6980.0162975678686</v>
      </c>
      <c r="H822" t="str">
        <f>_xlfn.XLOOKUP(Data_Xuất[[#This Row],[Main SKU]],MD_Main_SKU[Main SKU],MD_Main_SKU[SKU name_gom])</f>
        <v>WSS01</v>
      </c>
    </row>
    <row r="823" spans="1:8" x14ac:dyDescent="0.35">
      <c r="A823">
        <v>2025</v>
      </c>
      <c r="B823">
        <v>7</v>
      </c>
      <c r="C823" t="s">
        <v>8</v>
      </c>
      <c r="D823" t="s">
        <v>9</v>
      </c>
      <c r="E823" t="s">
        <v>134</v>
      </c>
      <c r="F823" t="s">
        <v>135</v>
      </c>
      <c r="G823" s="2">
        <v>1115.7595611161541</v>
      </c>
      <c r="H823" t="str">
        <f>_xlfn.XLOOKUP(Data_Xuất[[#This Row],[Main SKU]],MD_Main_SKU[Main SKU],MD_Main_SKU[SKU name_gom])</f>
        <v>WSS01</v>
      </c>
    </row>
    <row r="824" spans="1:8" x14ac:dyDescent="0.35">
      <c r="A824">
        <v>2025</v>
      </c>
      <c r="B824">
        <v>7</v>
      </c>
      <c r="C824" t="s">
        <v>14</v>
      </c>
      <c r="D824" t="s">
        <v>15</v>
      </c>
      <c r="E824" t="s">
        <v>14</v>
      </c>
      <c r="F824" t="s">
        <v>15</v>
      </c>
      <c r="G824" s="2">
        <v>328062.04262971377</v>
      </c>
      <c r="H824" t="str">
        <f>_xlfn.XLOOKUP(Data_Xuất[[#This Row],[Main SKU]],MD_Main_SKU[Main SKU],MD_Main_SKU[SKU name_gom])</f>
        <v>iSS01084</v>
      </c>
    </row>
    <row r="825" spans="1:8" x14ac:dyDescent="0.35">
      <c r="A825">
        <v>2025</v>
      </c>
      <c r="B825">
        <v>7</v>
      </c>
      <c r="C825" t="s">
        <v>14</v>
      </c>
      <c r="D825" t="s">
        <v>15</v>
      </c>
      <c r="E825" t="s">
        <v>22</v>
      </c>
      <c r="F825" t="s">
        <v>23</v>
      </c>
      <c r="G825" s="2">
        <v>24548.105036436569</v>
      </c>
      <c r="H825" t="str">
        <f>_xlfn.XLOOKUP(Data_Xuất[[#This Row],[Main SKU]],MD_Main_SKU[Main SKU],MD_Main_SKU[SKU name_gom])</f>
        <v>iSS01084</v>
      </c>
    </row>
    <row r="826" spans="1:8" x14ac:dyDescent="0.35">
      <c r="A826">
        <v>2025</v>
      </c>
      <c r="B826">
        <v>7</v>
      </c>
      <c r="C826" t="s">
        <v>14</v>
      </c>
      <c r="D826" t="s">
        <v>15</v>
      </c>
      <c r="E826" t="s">
        <v>38</v>
      </c>
      <c r="F826" t="s">
        <v>39</v>
      </c>
      <c r="G826" s="2">
        <v>11159.82850805218</v>
      </c>
      <c r="H826" t="str">
        <f>_xlfn.XLOOKUP(Data_Xuất[[#This Row],[Main SKU]],MD_Main_SKU[Main SKU],MD_Main_SKU[SKU name_gom])</f>
        <v>iSS01084</v>
      </c>
    </row>
    <row r="827" spans="1:8" x14ac:dyDescent="0.35">
      <c r="A827">
        <v>2025</v>
      </c>
      <c r="B827">
        <v>7</v>
      </c>
      <c r="C827" t="s">
        <v>14</v>
      </c>
      <c r="D827" t="s">
        <v>15</v>
      </c>
      <c r="E827" t="s">
        <v>34</v>
      </c>
      <c r="F827" t="s">
        <v>35</v>
      </c>
      <c r="G827" s="2">
        <v>6693.8228591159768</v>
      </c>
      <c r="H827" t="str">
        <f>_xlfn.XLOOKUP(Data_Xuất[[#This Row],[Main SKU]],MD_Main_SKU[Main SKU],MD_Main_SKU[SKU name_gom])</f>
        <v>iSS01084</v>
      </c>
    </row>
    <row r="828" spans="1:8" x14ac:dyDescent="0.35">
      <c r="A828">
        <v>2025</v>
      </c>
      <c r="B828">
        <v>7</v>
      </c>
      <c r="C828" t="s">
        <v>14</v>
      </c>
      <c r="D828" t="s">
        <v>15</v>
      </c>
      <c r="E828" t="s">
        <v>87</v>
      </c>
      <c r="F828" t="s">
        <v>88</v>
      </c>
      <c r="G828" s="2">
        <v>5324.8613486576241</v>
      </c>
      <c r="H828" t="str">
        <f>_xlfn.XLOOKUP(Data_Xuất[[#This Row],[Main SKU]],MD_Main_SKU[Main SKU],MD_Main_SKU[SKU name_gom])</f>
        <v>iSS01084</v>
      </c>
    </row>
    <row r="829" spans="1:8" x14ac:dyDescent="0.35">
      <c r="A829">
        <v>2025</v>
      </c>
      <c r="B829">
        <v>7</v>
      </c>
      <c r="C829" t="s">
        <v>14</v>
      </c>
      <c r="D829" t="s">
        <v>15</v>
      </c>
      <c r="E829" t="s">
        <v>117</v>
      </c>
      <c r="F829" t="s">
        <v>86</v>
      </c>
      <c r="G829" s="2">
        <v>7766.5338637751538</v>
      </c>
      <c r="H829" t="str">
        <f>_xlfn.XLOOKUP(Data_Xuất[[#This Row],[Main SKU]],MD_Main_SKU[Main SKU],MD_Main_SKU[SKU name_gom])</f>
        <v>iSS01084</v>
      </c>
    </row>
    <row r="830" spans="1:8" x14ac:dyDescent="0.35">
      <c r="A830">
        <v>2025</v>
      </c>
      <c r="B830">
        <v>7</v>
      </c>
      <c r="C830" t="s">
        <v>14</v>
      </c>
      <c r="D830" t="s">
        <v>15</v>
      </c>
      <c r="E830" t="s">
        <v>126</v>
      </c>
      <c r="F830" t="s">
        <v>127</v>
      </c>
      <c r="G830" s="2">
        <v>3347.8057542487272</v>
      </c>
      <c r="H830" t="str">
        <f>_xlfn.XLOOKUP(Data_Xuất[[#This Row],[Main SKU]],MD_Main_SKU[Main SKU],MD_Main_SKU[SKU name_gom])</f>
        <v>iSS01084</v>
      </c>
    </row>
    <row r="831" spans="1:8" x14ac:dyDescent="0.35">
      <c r="A831">
        <v>2025</v>
      </c>
      <c r="B831">
        <v>7</v>
      </c>
      <c r="C831" t="s">
        <v>16</v>
      </c>
      <c r="D831" t="s">
        <v>17</v>
      </c>
      <c r="E831" t="s">
        <v>14</v>
      </c>
      <c r="F831" t="s">
        <v>15</v>
      </c>
      <c r="G831" s="2">
        <v>1115.2716297786719</v>
      </c>
      <c r="H831" t="str">
        <f>_xlfn.XLOOKUP(Data_Xuất[[#This Row],[Main SKU]],MD_Main_SKU[Main SKU],MD_Main_SKU[SKU name_gom])</f>
        <v>WSS01</v>
      </c>
    </row>
    <row r="832" spans="1:8" x14ac:dyDescent="0.35">
      <c r="A832">
        <v>2025</v>
      </c>
      <c r="B832">
        <v>7</v>
      </c>
      <c r="C832" t="s">
        <v>16</v>
      </c>
      <c r="D832" t="s">
        <v>17</v>
      </c>
      <c r="E832" t="s">
        <v>16</v>
      </c>
      <c r="F832" t="s">
        <v>17</v>
      </c>
      <c r="G832" s="2">
        <v>1546459.903711675</v>
      </c>
      <c r="H832" t="str">
        <f>_xlfn.XLOOKUP(Data_Xuất[[#This Row],[Main SKU]],MD_Main_SKU[Main SKU],MD_Main_SKU[SKU name_gom])</f>
        <v>WSS01</v>
      </c>
    </row>
    <row r="833" spans="1:8" x14ac:dyDescent="0.35">
      <c r="A833">
        <v>2025</v>
      </c>
      <c r="B833">
        <v>7</v>
      </c>
      <c r="C833" t="s">
        <v>16</v>
      </c>
      <c r="D833" t="s">
        <v>17</v>
      </c>
      <c r="E833" t="s">
        <v>18</v>
      </c>
      <c r="F833" t="s">
        <v>19</v>
      </c>
      <c r="G833" s="2">
        <v>79156.58150275395</v>
      </c>
      <c r="H833" t="str">
        <f>_xlfn.XLOOKUP(Data_Xuất[[#This Row],[Main SKU]],MD_Main_SKU[Main SKU],MD_Main_SKU[SKU name_gom])</f>
        <v>WSS01</v>
      </c>
    </row>
    <row r="834" spans="1:8" x14ac:dyDescent="0.35">
      <c r="A834">
        <v>2025</v>
      </c>
      <c r="B834">
        <v>7</v>
      </c>
      <c r="C834" t="s">
        <v>16</v>
      </c>
      <c r="D834" t="s">
        <v>17</v>
      </c>
      <c r="E834" t="s">
        <v>22</v>
      </c>
      <c r="F834" t="s">
        <v>23</v>
      </c>
      <c r="G834" s="2">
        <v>2232.5219636843008</v>
      </c>
      <c r="H834" t="str">
        <f>_xlfn.XLOOKUP(Data_Xuất[[#This Row],[Main SKU]],MD_Main_SKU[Main SKU],MD_Main_SKU[SKU name_gom])</f>
        <v>WSS01</v>
      </c>
    </row>
    <row r="835" spans="1:8" x14ac:dyDescent="0.35">
      <c r="A835">
        <v>2025</v>
      </c>
      <c r="B835">
        <v>7</v>
      </c>
      <c r="C835" t="s">
        <v>16</v>
      </c>
      <c r="D835" t="s">
        <v>17</v>
      </c>
      <c r="E835" t="s">
        <v>40</v>
      </c>
      <c r="F835" t="s">
        <v>41</v>
      </c>
      <c r="G835" s="2">
        <v>106026.96532049544</v>
      </c>
      <c r="H835" t="str">
        <f>_xlfn.XLOOKUP(Data_Xuất[[#This Row],[Main SKU]],MD_Main_SKU[Main SKU],MD_Main_SKU[SKU name_gom])</f>
        <v>WSS01</v>
      </c>
    </row>
    <row r="836" spans="1:8" x14ac:dyDescent="0.35">
      <c r="A836">
        <v>2025</v>
      </c>
      <c r="B836">
        <v>7</v>
      </c>
      <c r="C836" t="s">
        <v>16</v>
      </c>
      <c r="D836" t="s">
        <v>17</v>
      </c>
      <c r="E836" t="s">
        <v>34</v>
      </c>
      <c r="F836" t="s">
        <v>35</v>
      </c>
      <c r="G836" s="2">
        <v>10028.044529789962</v>
      </c>
      <c r="H836" t="str">
        <f>_xlfn.XLOOKUP(Data_Xuất[[#This Row],[Main SKU]],MD_Main_SKU[Main SKU],MD_Main_SKU[SKU name_gom])</f>
        <v>WSS01</v>
      </c>
    </row>
    <row r="837" spans="1:8" x14ac:dyDescent="0.35">
      <c r="A837">
        <v>2025</v>
      </c>
      <c r="B837">
        <v>7</v>
      </c>
      <c r="C837" t="s">
        <v>16</v>
      </c>
      <c r="D837" t="s">
        <v>17</v>
      </c>
      <c r="E837" t="s">
        <v>87</v>
      </c>
      <c r="F837" t="s">
        <v>88</v>
      </c>
      <c r="G837" s="2">
        <v>28857.797050334622</v>
      </c>
      <c r="H837" t="str">
        <f>_xlfn.XLOOKUP(Data_Xuất[[#This Row],[Main SKU]],MD_Main_SKU[Main SKU],MD_Main_SKU[SKU name_gom])</f>
        <v>WSS01</v>
      </c>
    </row>
    <row r="838" spans="1:8" x14ac:dyDescent="0.35">
      <c r="A838">
        <v>2025</v>
      </c>
      <c r="B838">
        <v>7</v>
      </c>
      <c r="C838" t="s">
        <v>16</v>
      </c>
      <c r="D838" t="s">
        <v>17</v>
      </c>
      <c r="E838" t="s">
        <v>91</v>
      </c>
      <c r="F838" t="s">
        <v>92</v>
      </c>
      <c r="G838" s="2">
        <v>4360.996547289591</v>
      </c>
      <c r="H838" t="str">
        <f>_xlfn.XLOOKUP(Data_Xuất[[#This Row],[Main SKU]],MD_Main_SKU[Main SKU],MD_Main_SKU[SKU name_gom])</f>
        <v>WSS01</v>
      </c>
    </row>
    <row r="839" spans="1:8" x14ac:dyDescent="0.35">
      <c r="A839">
        <v>2025</v>
      </c>
      <c r="B839">
        <v>7</v>
      </c>
      <c r="C839" t="s">
        <v>16</v>
      </c>
      <c r="D839" t="s">
        <v>17</v>
      </c>
      <c r="E839" t="s">
        <v>117</v>
      </c>
      <c r="F839" t="s">
        <v>86</v>
      </c>
      <c r="G839" s="2">
        <v>26501.864404143649</v>
      </c>
      <c r="H839" t="str">
        <f>_xlfn.XLOOKUP(Data_Xuất[[#This Row],[Main SKU]],MD_Main_SKU[Main SKU],MD_Main_SKU[SKU name_gom])</f>
        <v>WSS01</v>
      </c>
    </row>
    <row r="840" spans="1:8" x14ac:dyDescent="0.35">
      <c r="A840">
        <v>2025</v>
      </c>
      <c r="B840">
        <v>7</v>
      </c>
      <c r="C840" t="s">
        <v>16</v>
      </c>
      <c r="D840" t="s">
        <v>17</v>
      </c>
      <c r="E840" t="s">
        <v>128</v>
      </c>
      <c r="F840" t="s">
        <v>129</v>
      </c>
      <c r="G840" s="2">
        <v>33462.553340054721</v>
      </c>
      <c r="H840" t="str">
        <f>_xlfn.XLOOKUP(Data_Xuất[[#This Row],[Main SKU]],MD_Main_SKU[Main SKU],MD_Main_SKU[SKU name_gom])</f>
        <v>WSS01</v>
      </c>
    </row>
    <row r="841" spans="1:8" x14ac:dyDescent="0.35">
      <c r="A841">
        <v>2025</v>
      </c>
      <c r="B841">
        <v>7</v>
      </c>
      <c r="C841" t="s">
        <v>18</v>
      </c>
      <c r="D841" t="s">
        <v>19</v>
      </c>
      <c r="E841" t="s">
        <v>16</v>
      </c>
      <c r="F841" t="s">
        <v>17</v>
      </c>
      <c r="G841" s="2">
        <v>10072.918433101577</v>
      </c>
      <c r="H841" t="str">
        <f>_xlfn.XLOOKUP(Data_Xuất[[#This Row],[Main SKU]],MD_Main_SKU[Main SKU],MD_Main_SKU[SKU name_gom])</f>
        <v>iSS01</v>
      </c>
    </row>
    <row r="842" spans="1:8" x14ac:dyDescent="0.35">
      <c r="A842">
        <v>2025</v>
      </c>
      <c r="B842">
        <v>7</v>
      </c>
      <c r="C842" t="s">
        <v>18</v>
      </c>
      <c r="D842" t="s">
        <v>19</v>
      </c>
      <c r="E842" t="s">
        <v>18</v>
      </c>
      <c r="F842" t="s">
        <v>19</v>
      </c>
      <c r="G842" s="2">
        <v>23503.47634390368</v>
      </c>
      <c r="H842" t="str">
        <f>_xlfn.XLOOKUP(Data_Xuất[[#This Row],[Main SKU]],MD_Main_SKU[Main SKU],MD_Main_SKU[SKU name_gom])</f>
        <v>iSS01</v>
      </c>
    </row>
    <row r="843" spans="1:8" x14ac:dyDescent="0.35">
      <c r="A843">
        <v>2025</v>
      </c>
      <c r="B843">
        <v>7</v>
      </c>
      <c r="C843" t="s">
        <v>18</v>
      </c>
      <c r="D843" t="s">
        <v>19</v>
      </c>
      <c r="E843" t="s">
        <v>87</v>
      </c>
      <c r="F843" t="s">
        <v>88</v>
      </c>
      <c r="G843" s="2">
        <v>356.11327793793453</v>
      </c>
      <c r="H843" t="str">
        <f>_xlfn.XLOOKUP(Data_Xuất[[#This Row],[Main SKU]],MD_Main_SKU[Main SKU],MD_Main_SKU[SKU name_gom])</f>
        <v>iSS01</v>
      </c>
    </row>
    <row r="844" spans="1:8" x14ac:dyDescent="0.35">
      <c r="A844">
        <v>2025</v>
      </c>
      <c r="B844">
        <v>7</v>
      </c>
      <c r="C844" t="s">
        <v>18</v>
      </c>
      <c r="D844" t="s">
        <v>19</v>
      </c>
      <c r="E844" t="s">
        <v>117</v>
      </c>
      <c r="F844" t="s">
        <v>86</v>
      </c>
      <c r="G844" s="2">
        <v>2067.4919450568086</v>
      </c>
      <c r="H844" t="str">
        <f>_xlfn.XLOOKUP(Data_Xuất[[#This Row],[Main SKU]],MD_Main_SKU[Main SKU],MD_Main_SKU[SKU name_gom])</f>
        <v>iSS01</v>
      </c>
    </row>
    <row r="845" spans="1:8" x14ac:dyDescent="0.35">
      <c r="A845">
        <v>2025</v>
      </c>
      <c r="B845">
        <v>7</v>
      </c>
      <c r="C845" t="s">
        <v>26</v>
      </c>
      <c r="D845" t="s">
        <v>27</v>
      </c>
      <c r="E845" t="s">
        <v>22</v>
      </c>
      <c r="F845" t="s">
        <v>23</v>
      </c>
      <c r="G845" s="2">
        <v>20057.735722432517</v>
      </c>
      <c r="H845" t="str">
        <f>_xlfn.XLOOKUP(Data_Xuất[[#This Row],[Main SKU]],MD_Main_SKU[Main SKU],MD_Main_SKU[SKU name_gom])</f>
        <v>iSS01</v>
      </c>
    </row>
    <row r="846" spans="1:8" x14ac:dyDescent="0.35">
      <c r="A846">
        <v>2025</v>
      </c>
      <c r="B846">
        <v>7</v>
      </c>
      <c r="C846" t="s">
        <v>26</v>
      </c>
      <c r="D846" t="s">
        <v>27</v>
      </c>
      <c r="E846" t="s">
        <v>24</v>
      </c>
      <c r="F846" t="s">
        <v>25</v>
      </c>
      <c r="G846" s="2">
        <v>59126.613011831891</v>
      </c>
      <c r="H846" t="str">
        <f>_xlfn.XLOOKUP(Data_Xuất[[#This Row],[Main SKU]],MD_Main_SKU[Main SKU],MD_Main_SKU[SKU name_gom])</f>
        <v>iSS01</v>
      </c>
    </row>
    <row r="847" spans="1:8" x14ac:dyDescent="0.35">
      <c r="A847">
        <v>2025</v>
      </c>
      <c r="B847">
        <v>7</v>
      </c>
      <c r="C847" t="s">
        <v>26</v>
      </c>
      <c r="D847" t="s">
        <v>27</v>
      </c>
      <c r="E847" t="s">
        <v>26</v>
      </c>
      <c r="F847" t="s">
        <v>27</v>
      </c>
      <c r="G847" s="2">
        <v>1082039.450589061</v>
      </c>
      <c r="H847" t="str">
        <f>_xlfn.XLOOKUP(Data_Xuất[[#This Row],[Main SKU]],MD_Main_SKU[Main SKU],MD_Main_SKU[SKU name_gom])</f>
        <v>iSS01</v>
      </c>
    </row>
    <row r="848" spans="1:8" x14ac:dyDescent="0.35">
      <c r="A848">
        <v>2025</v>
      </c>
      <c r="B848">
        <v>7</v>
      </c>
      <c r="C848" t="s">
        <v>26</v>
      </c>
      <c r="D848" t="s">
        <v>27</v>
      </c>
      <c r="E848" t="s">
        <v>50</v>
      </c>
      <c r="F848" t="s">
        <v>51</v>
      </c>
      <c r="G848" s="2">
        <v>12265.826827333678</v>
      </c>
      <c r="H848" t="str">
        <f>_xlfn.XLOOKUP(Data_Xuất[[#This Row],[Main SKU]],MD_Main_SKU[Main SKU],MD_Main_SKU[SKU name_gom])</f>
        <v>iSS01</v>
      </c>
    </row>
    <row r="849" spans="1:8" x14ac:dyDescent="0.35">
      <c r="A849">
        <v>2025</v>
      </c>
      <c r="B849">
        <v>7</v>
      </c>
      <c r="C849" t="s">
        <v>26</v>
      </c>
      <c r="D849" t="s">
        <v>27</v>
      </c>
      <c r="E849" t="s">
        <v>87</v>
      </c>
      <c r="F849" t="s">
        <v>88</v>
      </c>
      <c r="G849" s="2">
        <v>34564.587879448227</v>
      </c>
      <c r="H849" t="str">
        <f>_xlfn.XLOOKUP(Data_Xuất[[#This Row],[Main SKU]],MD_Main_SKU[Main SKU],MD_Main_SKU[SKU name_gom])</f>
        <v>iSS01</v>
      </c>
    </row>
    <row r="850" spans="1:8" x14ac:dyDescent="0.35">
      <c r="A850">
        <v>2025</v>
      </c>
      <c r="B850">
        <v>7</v>
      </c>
      <c r="C850" t="s">
        <v>26</v>
      </c>
      <c r="D850" t="s">
        <v>27</v>
      </c>
      <c r="E850" t="s">
        <v>117</v>
      </c>
      <c r="F850" t="s">
        <v>86</v>
      </c>
      <c r="G850" s="2">
        <v>12910.452143383118</v>
      </c>
      <c r="H850" t="str">
        <f>_xlfn.XLOOKUP(Data_Xuất[[#This Row],[Main SKU]],MD_Main_SKU[Main SKU],MD_Main_SKU[SKU name_gom])</f>
        <v>iSS01</v>
      </c>
    </row>
    <row r="851" spans="1:8" x14ac:dyDescent="0.35">
      <c r="A851">
        <v>2025</v>
      </c>
      <c r="B851">
        <v>7</v>
      </c>
      <c r="C851" t="s">
        <v>26</v>
      </c>
      <c r="D851" t="s">
        <v>27</v>
      </c>
      <c r="E851" t="s">
        <v>132</v>
      </c>
      <c r="F851" t="s">
        <v>133</v>
      </c>
      <c r="G851" s="2">
        <v>6693.3338265095626</v>
      </c>
      <c r="H851" t="str">
        <f>_xlfn.XLOOKUP(Data_Xuất[[#This Row],[Main SKU]],MD_Main_SKU[Main SKU],MD_Main_SKU[SKU name_gom])</f>
        <v>iSS01</v>
      </c>
    </row>
    <row r="852" spans="1:8" x14ac:dyDescent="0.35">
      <c r="A852">
        <v>2025</v>
      </c>
      <c r="B852">
        <v>7</v>
      </c>
      <c r="C852" t="s">
        <v>115</v>
      </c>
      <c r="D852" t="s">
        <v>116</v>
      </c>
      <c r="E852" t="s">
        <v>115</v>
      </c>
      <c r="F852" t="s">
        <v>116</v>
      </c>
      <c r="G852" s="2">
        <v>138000.85628544408</v>
      </c>
      <c r="H852" t="str">
        <f>_xlfn.XLOOKUP(Data_Xuất[[#This Row],[Main SKU]],MD_Main_SKU[Main SKU],MD_Main_SKU[SKU name_gom])</f>
        <v>WSS05</v>
      </c>
    </row>
    <row r="853" spans="1:8" x14ac:dyDescent="0.35">
      <c r="A853">
        <v>2025</v>
      </c>
      <c r="B853">
        <v>7</v>
      </c>
      <c r="C853" t="s">
        <v>115</v>
      </c>
      <c r="D853" t="s">
        <v>116</v>
      </c>
      <c r="E853" t="s">
        <v>87</v>
      </c>
      <c r="F853" t="s">
        <v>88</v>
      </c>
      <c r="G853" s="2">
        <v>15233.548399024052</v>
      </c>
      <c r="H853" t="str">
        <f>_xlfn.XLOOKUP(Data_Xuất[[#This Row],[Main SKU]],MD_Main_SKU[Main SKU],MD_Main_SKU[SKU name_gom])</f>
        <v>WSS05</v>
      </c>
    </row>
    <row r="854" spans="1:8" x14ac:dyDescent="0.35">
      <c r="A854">
        <v>2025</v>
      </c>
      <c r="B854">
        <v>7</v>
      </c>
      <c r="C854" t="s">
        <v>115</v>
      </c>
      <c r="D854" t="s">
        <v>116</v>
      </c>
      <c r="E854" t="s">
        <v>117</v>
      </c>
      <c r="F854" t="s">
        <v>86</v>
      </c>
      <c r="G854" s="2">
        <v>3865.5953155318625</v>
      </c>
      <c r="H854" t="str">
        <f>_xlfn.XLOOKUP(Data_Xuất[[#This Row],[Main SKU]],MD_Main_SKU[Main SKU],MD_Main_SKU[SKU name_gom])</f>
        <v>WSS05</v>
      </c>
    </row>
    <row r="855" spans="1:8" x14ac:dyDescent="0.35">
      <c r="A855">
        <v>2025</v>
      </c>
      <c r="B855">
        <v>7</v>
      </c>
      <c r="C855" t="s">
        <v>118</v>
      </c>
      <c r="D855" t="s">
        <v>119</v>
      </c>
      <c r="E855" t="s">
        <v>115</v>
      </c>
      <c r="F855" t="s">
        <v>116</v>
      </c>
      <c r="G855" s="2">
        <v>27790.270381423401</v>
      </c>
      <c r="H855" t="str">
        <f>_xlfn.XLOOKUP(Data_Xuất[[#This Row],[Main SKU]],MD_Main_SKU[Main SKU],MD_Main_SKU[SKU name_gom])</f>
        <v>WSS05</v>
      </c>
    </row>
    <row r="856" spans="1:8" x14ac:dyDescent="0.35">
      <c r="A856">
        <v>2025</v>
      </c>
      <c r="B856">
        <v>7</v>
      </c>
      <c r="C856" t="s">
        <v>118</v>
      </c>
      <c r="D856" t="s">
        <v>119</v>
      </c>
      <c r="E856" t="s">
        <v>124</v>
      </c>
      <c r="F856" t="s">
        <v>125</v>
      </c>
      <c r="G856" s="2">
        <v>18173.782409613221</v>
      </c>
      <c r="H856" t="str">
        <f>_xlfn.XLOOKUP(Data_Xuất[[#This Row],[Main SKU]],MD_Main_SKU[Main SKU],MD_Main_SKU[SKU name_gom])</f>
        <v>WSS05</v>
      </c>
    </row>
    <row r="857" spans="1:8" x14ac:dyDescent="0.35">
      <c r="A857">
        <v>2025</v>
      </c>
      <c r="B857">
        <v>7</v>
      </c>
      <c r="C857" t="s">
        <v>118</v>
      </c>
      <c r="D857" t="s">
        <v>119</v>
      </c>
      <c r="E857" t="s">
        <v>118</v>
      </c>
      <c r="F857" t="s">
        <v>119</v>
      </c>
      <c r="G857" s="2">
        <v>31766.847738384982</v>
      </c>
      <c r="H857" t="str">
        <f>_xlfn.XLOOKUP(Data_Xuất[[#This Row],[Main SKU]],MD_Main_SKU[Main SKU],MD_Main_SKU[SKU name_gom])</f>
        <v>WSS05</v>
      </c>
    </row>
    <row r="858" spans="1:8" x14ac:dyDescent="0.35">
      <c r="A858">
        <v>2025</v>
      </c>
      <c r="B858">
        <v>7</v>
      </c>
      <c r="C858" t="s">
        <v>118</v>
      </c>
      <c r="D858" t="s">
        <v>119</v>
      </c>
      <c r="E858" t="s">
        <v>87</v>
      </c>
      <c r="F858" t="s">
        <v>88</v>
      </c>
      <c r="G858" s="2">
        <v>7763.5642372332768</v>
      </c>
      <c r="H858" t="str">
        <f>_xlfn.XLOOKUP(Data_Xuất[[#This Row],[Main SKU]],MD_Main_SKU[Main SKU],MD_Main_SKU[SKU name_gom])</f>
        <v>WSS05</v>
      </c>
    </row>
    <row r="859" spans="1:8" x14ac:dyDescent="0.35">
      <c r="A859">
        <v>2025</v>
      </c>
      <c r="B859">
        <v>7</v>
      </c>
      <c r="C859" t="s">
        <v>118</v>
      </c>
      <c r="D859" t="s">
        <v>119</v>
      </c>
      <c r="E859" t="s">
        <v>117</v>
      </c>
      <c r="F859" t="s">
        <v>86</v>
      </c>
      <c r="G859" s="2">
        <v>1355.535233345111</v>
      </c>
      <c r="H859" t="str">
        <f>_xlfn.XLOOKUP(Data_Xuất[[#This Row],[Main SKU]],MD_Main_SKU[Main SKU],MD_Main_SKU[SKU name_gom])</f>
        <v>WSS05</v>
      </c>
    </row>
    <row r="860" spans="1:8" x14ac:dyDescent="0.35">
      <c r="A860">
        <v>2025</v>
      </c>
      <c r="B860">
        <v>7</v>
      </c>
      <c r="C860" t="s">
        <v>48</v>
      </c>
      <c r="D860" t="s">
        <v>49</v>
      </c>
      <c r="E860" t="s">
        <v>22</v>
      </c>
      <c r="F860" t="s">
        <v>23</v>
      </c>
      <c r="G860" s="2">
        <v>2232.205956587582</v>
      </c>
      <c r="H860" t="str">
        <f>_xlfn.XLOOKUP(Data_Xuất[[#This Row],[Main SKU]],MD_Main_SKU[Main SKU],MD_Main_SKU[SKU name_gom])</f>
        <v>WSS01</v>
      </c>
    </row>
    <row r="861" spans="1:8" x14ac:dyDescent="0.35">
      <c r="A861">
        <v>2025</v>
      </c>
      <c r="B861">
        <v>7</v>
      </c>
      <c r="C861" t="s">
        <v>48</v>
      </c>
      <c r="D861" t="s">
        <v>49</v>
      </c>
      <c r="E861" t="s">
        <v>48</v>
      </c>
      <c r="F861" t="s">
        <v>49</v>
      </c>
      <c r="G861" s="2">
        <v>169502.38663364816</v>
      </c>
      <c r="H861" t="str">
        <f>_xlfn.XLOOKUP(Data_Xuất[[#This Row],[Main SKU]],MD_Main_SKU[Main SKU],MD_Main_SKU[SKU name_gom])</f>
        <v>WSS01</v>
      </c>
    </row>
    <row r="862" spans="1:8" x14ac:dyDescent="0.35">
      <c r="A862">
        <v>2025</v>
      </c>
      <c r="B862">
        <v>7</v>
      </c>
      <c r="C862" t="s">
        <v>48</v>
      </c>
      <c r="D862" t="s">
        <v>49</v>
      </c>
      <c r="E862" t="s">
        <v>87</v>
      </c>
      <c r="F862" t="s">
        <v>88</v>
      </c>
      <c r="G862" s="2">
        <v>2129.3623174902405</v>
      </c>
      <c r="H862" t="str">
        <f>_xlfn.XLOOKUP(Data_Xuất[[#This Row],[Main SKU]],MD_Main_SKU[Main SKU],MD_Main_SKU[SKU name_gom])</f>
        <v>WSS01</v>
      </c>
    </row>
    <row r="863" spans="1:8" x14ac:dyDescent="0.35">
      <c r="A863">
        <v>2025</v>
      </c>
      <c r="B863">
        <v>7</v>
      </c>
      <c r="C863" t="s">
        <v>48</v>
      </c>
      <c r="D863" t="s">
        <v>49</v>
      </c>
      <c r="E863" t="s">
        <v>91</v>
      </c>
      <c r="F863" t="s">
        <v>92</v>
      </c>
      <c r="G863" s="2">
        <v>1113.934828039939</v>
      </c>
      <c r="H863" t="str">
        <f>_xlfn.XLOOKUP(Data_Xuất[[#This Row],[Main SKU]],MD_Main_SKU[Main SKU],MD_Main_SKU[SKU name_gom])</f>
        <v>WSS01</v>
      </c>
    </row>
    <row r="864" spans="1:8" x14ac:dyDescent="0.35">
      <c r="A864">
        <v>2025</v>
      </c>
      <c r="B864">
        <v>7</v>
      </c>
      <c r="C864" t="s">
        <v>48</v>
      </c>
      <c r="D864" t="s">
        <v>49</v>
      </c>
      <c r="E864" t="s">
        <v>117</v>
      </c>
      <c r="F864" t="s">
        <v>86</v>
      </c>
      <c r="G864" s="2">
        <v>4022.1102642340816</v>
      </c>
      <c r="H864" t="str">
        <f>_xlfn.XLOOKUP(Data_Xuất[[#This Row],[Main SKU]],MD_Main_SKU[Main SKU],MD_Main_SKU[SKU name_gom])</f>
        <v>WSS01</v>
      </c>
    </row>
    <row r="865" spans="1:8" x14ac:dyDescent="0.35">
      <c r="A865">
        <v>2025</v>
      </c>
      <c r="B865">
        <v>8</v>
      </c>
      <c r="C865" t="s">
        <v>8</v>
      </c>
      <c r="D865" t="s">
        <v>9</v>
      </c>
      <c r="E865" t="s">
        <v>8</v>
      </c>
      <c r="F865" t="s">
        <v>9</v>
      </c>
      <c r="G865" s="2">
        <v>180960.62798523164</v>
      </c>
      <c r="H865" t="str">
        <f>_xlfn.XLOOKUP(Data_Xuất[[#This Row],[Main SKU]],MD_Main_SKU[Main SKU],MD_Main_SKU[SKU name_gom])</f>
        <v>WSS01</v>
      </c>
    </row>
    <row r="866" spans="1:8" x14ac:dyDescent="0.35">
      <c r="A866">
        <v>2025</v>
      </c>
      <c r="B866">
        <v>8</v>
      </c>
      <c r="C866" t="s">
        <v>8</v>
      </c>
      <c r="D866" t="s">
        <v>9</v>
      </c>
      <c r="E866" t="s">
        <v>22</v>
      </c>
      <c r="F866" t="s">
        <v>23</v>
      </c>
      <c r="G866" s="2">
        <v>6703.4070049116435</v>
      </c>
      <c r="H866" t="str">
        <f>_xlfn.XLOOKUP(Data_Xuất[[#This Row],[Main SKU]],MD_Main_SKU[Main SKU],MD_Main_SKU[SKU name_gom])</f>
        <v>WSS01</v>
      </c>
    </row>
    <row r="867" spans="1:8" x14ac:dyDescent="0.35">
      <c r="A867">
        <v>2025</v>
      </c>
      <c r="B867">
        <v>8</v>
      </c>
      <c r="C867" t="s">
        <v>8</v>
      </c>
      <c r="D867" t="s">
        <v>9</v>
      </c>
      <c r="E867" t="s">
        <v>36</v>
      </c>
      <c r="F867" t="s">
        <v>37</v>
      </c>
      <c r="G867" s="2">
        <v>2232.4983943481052</v>
      </c>
      <c r="H867" t="str">
        <f>_xlfn.XLOOKUP(Data_Xuất[[#This Row],[Main SKU]],MD_Main_SKU[Main SKU],MD_Main_SKU[SKU name_gom])</f>
        <v>WSS01</v>
      </c>
    </row>
    <row r="868" spans="1:8" x14ac:dyDescent="0.35">
      <c r="A868">
        <v>2025</v>
      </c>
      <c r="B868">
        <v>8</v>
      </c>
      <c r="C868" t="s">
        <v>8</v>
      </c>
      <c r="D868" t="s">
        <v>9</v>
      </c>
      <c r="E868" t="s">
        <v>87</v>
      </c>
      <c r="F868" t="s">
        <v>88</v>
      </c>
      <c r="G868" s="2">
        <v>3199.6721140005893</v>
      </c>
      <c r="H868" t="str">
        <f>_xlfn.XLOOKUP(Data_Xuất[[#This Row],[Main SKU]],MD_Main_SKU[Main SKU],MD_Main_SKU[SKU name_gom])</f>
        <v>WSS01</v>
      </c>
    </row>
    <row r="869" spans="1:8" x14ac:dyDescent="0.35">
      <c r="A869">
        <v>2025</v>
      </c>
      <c r="B869">
        <v>8</v>
      </c>
      <c r="C869" t="s">
        <v>8</v>
      </c>
      <c r="D869" t="s">
        <v>9</v>
      </c>
      <c r="E869" t="s">
        <v>117</v>
      </c>
      <c r="F869" t="s">
        <v>86</v>
      </c>
      <c r="G869" s="2">
        <v>4348.7945015080104</v>
      </c>
      <c r="H869" t="str">
        <f>_xlfn.XLOOKUP(Data_Xuất[[#This Row],[Main SKU]],MD_Main_SKU[Main SKU],MD_Main_SKU[SKU name_gom])</f>
        <v>WSS01</v>
      </c>
    </row>
    <row r="870" spans="1:8" x14ac:dyDescent="0.35">
      <c r="A870">
        <v>2025</v>
      </c>
      <c r="B870">
        <v>8</v>
      </c>
      <c r="C870" t="s">
        <v>14</v>
      </c>
      <c r="D870" t="s">
        <v>15</v>
      </c>
      <c r="E870" t="s">
        <v>14</v>
      </c>
      <c r="F870" t="s">
        <v>15</v>
      </c>
      <c r="G870" s="2">
        <v>634166.36165028333</v>
      </c>
      <c r="H870" t="str">
        <f>_xlfn.XLOOKUP(Data_Xuất[[#This Row],[Main SKU]],MD_Main_SKU[Main SKU],MD_Main_SKU[SKU name_gom])</f>
        <v>iSS01084</v>
      </c>
    </row>
    <row r="871" spans="1:8" x14ac:dyDescent="0.35">
      <c r="A871">
        <v>2025</v>
      </c>
      <c r="B871">
        <v>8</v>
      </c>
      <c r="C871" t="s">
        <v>14</v>
      </c>
      <c r="D871" t="s">
        <v>15</v>
      </c>
      <c r="E871" t="s">
        <v>16</v>
      </c>
      <c r="F871" t="s">
        <v>17</v>
      </c>
      <c r="G871" s="2">
        <v>1115.4333181380741</v>
      </c>
      <c r="H871" t="str">
        <f>_xlfn.XLOOKUP(Data_Xuất[[#This Row],[Main SKU]],MD_Main_SKU[Main SKU],MD_Main_SKU[SKU name_gom])</f>
        <v>iSS01084</v>
      </c>
    </row>
    <row r="872" spans="1:8" x14ac:dyDescent="0.35">
      <c r="A872">
        <v>2025</v>
      </c>
      <c r="B872">
        <v>8</v>
      </c>
      <c r="C872" t="s">
        <v>14</v>
      </c>
      <c r="D872" t="s">
        <v>15</v>
      </c>
      <c r="E872" t="s">
        <v>18</v>
      </c>
      <c r="F872" t="s">
        <v>19</v>
      </c>
      <c r="G872" s="2">
        <v>30139.869774970884</v>
      </c>
      <c r="H872" t="str">
        <f>_xlfn.XLOOKUP(Data_Xuất[[#This Row],[Main SKU]],MD_Main_SKU[Main SKU],MD_Main_SKU[SKU name_gom])</f>
        <v>iSS01084</v>
      </c>
    </row>
    <row r="873" spans="1:8" x14ac:dyDescent="0.35">
      <c r="A873">
        <v>2025</v>
      </c>
      <c r="B873">
        <v>8</v>
      </c>
      <c r="C873" t="s">
        <v>14</v>
      </c>
      <c r="D873" t="s">
        <v>15</v>
      </c>
      <c r="E873" t="s">
        <v>22</v>
      </c>
      <c r="F873" t="s">
        <v>23</v>
      </c>
      <c r="G873" s="2">
        <v>41305.558160683489</v>
      </c>
      <c r="H873" t="str">
        <f>_xlfn.XLOOKUP(Data_Xuất[[#This Row],[Main SKU]],MD_Main_SKU[Main SKU],MD_Main_SKU[SKU name_gom])</f>
        <v>iSS01084</v>
      </c>
    </row>
    <row r="874" spans="1:8" x14ac:dyDescent="0.35">
      <c r="A874">
        <v>2025</v>
      </c>
      <c r="B874">
        <v>8</v>
      </c>
      <c r="C874" t="s">
        <v>14</v>
      </c>
      <c r="D874" t="s">
        <v>15</v>
      </c>
      <c r="E874" t="s">
        <v>40</v>
      </c>
      <c r="F874" t="s">
        <v>41</v>
      </c>
      <c r="G874" s="2">
        <v>6695.2322750197436</v>
      </c>
      <c r="H874" t="str">
        <f>_xlfn.XLOOKUP(Data_Xuất[[#This Row],[Main SKU]],MD_Main_SKU[Main SKU],MD_Main_SKU[SKU name_gom])</f>
        <v>iSS01084</v>
      </c>
    </row>
    <row r="875" spans="1:8" x14ac:dyDescent="0.35">
      <c r="A875">
        <v>2025</v>
      </c>
      <c r="B875">
        <v>8</v>
      </c>
      <c r="C875" t="s">
        <v>14</v>
      </c>
      <c r="D875" t="s">
        <v>15</v>
      </c>
      <c r="E875" t="s">
        <v>42</v>
      </c>
      <c r="F875" t="s">
        <v>43</v>
      </c>
      <c r="G875" s="2">
        <v>1116.749501233724</v>
      </c>
      <c r="H875" t="str">
        <f>_xlfn.XLOOKUP(Data_Xuất[[#This Row],[Main SKU]],MD_Main_SKU[Main SKU],MD_Main_SKU[SKU name_gom])</f>
        <v>iSS01084</v>
      </c>
    </row>
    <row r="876" spans="1:8" x14ac:dyDescent="0.35">
      <c r="A876">
        <v>2025</v>
      </c>
      <c r="B876">
        <v>8</v>
      </c>
      <c r="C876" t="s">
        <v>14</v>
      </c>
      <c r="D876" t="s">
        <v>15</v>
      </c>
      <c r="E876" t="s">
        <v>34</v>
      </c>
      <c r="F876" t="s">
        <v>35</v>
      </c>
      <c r="G876" s="2">
        <v>10552.765514012002</v>
      </c>
      <c r="H876" t="str">
        <f>_xlfn.XLOOKUP(Data_Xuất[[#This Row],[Main SKU]],MD_Main_SKU[Main SKU],MD_Main_SKU[SKU name_gom])</f>
        <v>iSS01084</v>
      </c>
    </row>
    <row r="877" spans="1:8" x14ac:dyDescent="0.35">
      <c r="A877">
        <v>2025</v>
      </c>
      <c r="B877">
        <v>8</v>
      </c>
      <c r="C877" t="s">
        <v>14</v>
      </c>
      <c r="D877" t="s">
        <v>15</v>
      </c>
      <c r="E877" t="s">
        <v>87</v>
      </c>
      <c r="F877" t="s">
        <v>88</v>
      </c>
      <c r="G877" s="2">
        <v>6039.5446609248374</v>
      </c>
      <c r="H877" t="str">
        <f>_xlfn.XLOOKUP(Data_Xuất[[#This Row],[Main SKU]],MD_Main_SKU[Main SKU],MD_Main_SKU[SKU name_gom])</f>
        <v>iSS01084</v>
      </c>
    </row>
    <row r="878" spans="1:8" x14ac:dyDescent="0.35">
      <c r="A878">
        <v>2025</v>
      </c>
      <c r="B878">
        <v>8</v>
      </c>
      <c r="C878" t="s">
        <v>14</v>
      </c>
      <c r="D878" t="s">
        <v>15</v>
      </c>
      <c r="E878" t="s">
        <v>91</v>
      </c>
      <c r="F878" t="s">
        <v>92</v>
      </c>
      <c r="G878" s="2">
        <v>3349.3132253700378</v>
      </c>
      <c r="H878" t="str">
        <f>_xlfn.XLOOKUP(Data_Xuất[[#This Row],[Main SKU]],MD_Main_SKU[Main SKU],MD_Main_SKU[SKU name_gom])</f>
        <v>iSS01084</v>
      </c>
    </row>
    <row r="879" spans="1:8" x14ac:dyDescent="0.35">
      <c r="A879">
        <v>2025</v>
      </c>
      <c r="B879">
        <v>8</v>
      </c>
      <c r="C879" t="s">
        <v>14</v>
      </c>
      <c r="D879" t="s">
        <v>15</v>
      </c>
      <c r="E879" t="s">
        <v>117</v>
      </c>
      <c r="F879" t="s">
        <v>86</v>
      </c>
      <c r="G879" s="2">
        <v>14124.528567916937</v>
      </c>
      <c r="H879" t="str">
        <f>_xlfn.XLOOKUP(Data_Xuất[[#This Row],[Main SKU]],MD_Main_SKU[Main SKU],MD_Main_SKU[SKU name_gom])</f>
        <v>iSS01084</v>
      </c>
    </row>
    <row r="880" spans="1:8" x14ac:dyDescent="0.35">
      <c r="A880">
        <v>2025</v>
      </c>
      <c r="B880">
        <v>8</v>
      </c>
      <c r="C880" t="s">
        <v>14</v>
      </c>
      <c r="D880" t="s">
        <v>15</v>
      </c>
      <c r="E880" t="s">
        <v>126</v>
      </c>
      <c r="F880" t="s">
        <v>127</v>
      </c>
      <c r="G880" s="2">
        <v>4465.6433514468354</v>
      </c>
      <c r="H880" t="str">
        <f>_xlfn.XLOOKUP(Data_Xuất[[#This Row],[Main SKU]],MD_Main_SKU[Main SKU],MD_Main_SKU[SKU name_gom])</f>
        <v>iSS01084</v>
      </c>
    </row>
    <row r="881" spans="1:8" x14ac:dyDescent="0.35">
      <c r="A881">
        <v>2025</v>
      </c>
      <c r="B881">
        <v>8</v>
      </c>
      <c r="C881" t="s">
        <v>16</v>
      </c>
      <c r="D881" t="s">
        <v>17</v>
      </c>
      <c r="E881" t="s">
        <v>14</v>
      </c>
      <c r="F881" t="s">
        <v>15</v>
      </c>
      <c r="G881" s="2">
        <v>2231.4360494040798</v>
      </c>
      <c r="H881" t="str">
        <f>_xlfn.XLOOKUP(Data_Xuất[[#This Row],[Main SKU]],MD_Main_SKU[Main SKU],MD_Main_SKU[SKU name_gom])</f>
        <v>WSS01</v>
      </c>
    </row>
    <row r="882" spans="1:8" x14ac:dyDescent="0.35">
      <c r="A882">
        <v>2025</v>
      </c>
      <c r="B882">
        <v>8</v>
      </c>
      <c r="C882" t="s">
        <v>16</v>
      </c>
      <c r="D882" t="s">
        <v>17</v>
      </c>
      <c r="E882" t="s">
        <v>16</v>
      </c>
      <c r="F882" t="s">
        <v>17</v>
      </c>
      <c r="G882" s="2">
        <v>1653178.1855755451</v>
      </c>
      <c r="H882" t="str">
        <f>_xlfn.XLOOKUP(Data_Xuất[[#This Row],[Main SKU]],MD_Main_SKU[Main SKU],MD_Main_SKU[SKU name_gom])</f>
        <v>WSS01</v>
      </c>
    </row>
    <row r="883" spans="1:8" x14ac:dyDescent="0.35">
      <c r="A883">
        <v>2025</v>
      </c>
      <c r="B883">
        <v>8</v>
      </c>
      <c r="C883" t="s">
        <v>16</v>
      </c>
      <c r="D883" t="s">
        <v>17</v>
      </c>
      <c r="E883" t="s">
        <v>18</v>
      </c>
      <c r="F883" t="s">
        <v>19</v>
      </c>
      <c r="G883" s="2">
        <v>196019.03203003693</v>
      </c>
      <c r="H883" t="str">
        <f>_xlfn.XLOOKUP(Data_Xuất[[#This Row],[Main SKU]],MD_Main_SKU[Main SKU],MD_Main_SKU[SKU name_gom])</f>
        <v>WSS01</v>
      </c>
    </row>
    <row r="884" spans="1:8" x14ac:dyDescent="0.35">
      <c r="A884">
        <v>2025</v>
      </c>
      <c r="B884">
        <v>8</v>
      </c>
      <c r="C884" t="s">
        <v>16</v>
      </c>
      <c r="D884" t="s">
        <v>17</v>
      </c>
      <c r="E884" t="s">
        <v>22</v>
      </c>
      <c r="F884" t="s">
        <v>23</v>
      </c>
      <c r="G884" s="2">
        <v>8949.4082155037395</v>
      </c>
      <c r="H884" t="str">
        <f>_xlfn.XLOOKUP(Data_Xuất[[#This Row],[Main SKU]],MD_Main_SKU[Main SKU],MD_Main_SKU[SKU name_gom])</f>
        <v>WSS01</v>
      </c>
    </row>
    <row r="885" spans="1:8" x14ac:dyDescent="0.35">
      <c r="A885">
        <v>2025</v>
      </c>
      <c r="B885">
        <v>8</v>
      </c>
      <c r="C885" t="s">
        <v>16</v>
      </c>
      <c r="D885" t="s">
        <v>17</v>
      </c>
      <c r="E885" t="s">
        <v>40</v>
      </c>
      <c r="F885" t="s">
        <v>41</v>
      </c>
      <c r="G885" s="2">
        <v>94447.855250421169</v>
      </c>
      <c r="H885" t="str">
        <f>_xlfn.XLOOKUP(Data_Xuất[[#This Row],[Main SKU]],MD_Main_SKU[Main SKU],MD_Main_SKU[SKU name_gom])</f>
        <v>WSS01</v>
      </c>
    </row>
    <row r="886" spans="1:8" x14ac:dyDescent="0.35">
      <c r="A886">
        <v>2025</v>
      </c>
      <c r="B886">
        <v>8</v>
      </c>
      <c r="C886" t="s">
        <v>16</v>
      </c>
      <c r="D886" t="s">
        <v>17</v>
      </c>
      <c r="E886" t="s">
        <v>34</v>
      </c>
      <c r="F886" t="s">
        <v>35</v>
      </c>
      <c r="G886" s="2">
        <v>15716.536463395614</v>
      </c>
      <c r="H886" t="str">
        <f>_xlfn.XLOOKUP(Data_Xuất[[#This Row],[Main SKU]],MD_Main_SKU[Main SKU],MD_Main_SKU[SKU name_gom])</f>
        <v>WSS01</v>
      </c>
    </row>
    <row r="887" spans="1:8" x14ac:dyDescent="0.35">
      <c r="A887">
        <v>2025</v>
      </c>
      <c r="B887">
        <v>8</v>
      </c>
      <c r="C887" t="s">
        <v>16</v>
      </c>
      <c r="D887" t="s">
        <v>17</v>
      </c>
      <c r="E887" t="s">
        <v>87</v>
      </c>
      <c r="F887" t="s">
        <v>88</v>
      </c>
      <c r="G887" s="2">
        <v>30934.934997424887</v>
      </c>
      <c r="H887" t="str">
        <f>_xlfn.XLOOKUP(Data_Xuất[[#This Row],[Main SKU]],MD_Main_SKU[Main SKU],MD_Main_SKU[SKU name_gom])</f>
        <v>WSS01</v>
      </c>
    </row>
    <row r="888" spans="1:8" x14ac:dyDescent="0.35">
      <c r="A888">
        <v>2025</v>
      </c>
      <c r="B888">
        <v>8</v>
      </c>
      <c r="C888" t="s">
        <v>16</v>
      </c>
      <c r="D888" t="s">
        <v>17</v>
      </c>
      <c r="E888" t="s">
        <v>91</v>
      </c>
      <c r="F888" t="s">
        <v>92</v>
      </c>
      <c r="G888" s="2">
        <v>7809.3034578293564</v>
      </c>
      <c r="H888" t="str">
        <f>_xlfn.XLOOKUP(Data_Xuất[[#This Row],[Main SKU]],MD_Main_SKU[Main SKU],MD_Main_SKU[SKU name_gom])</f>
        <v>WSS01</v>
      </c>
    </row>
    <row r="889" spans="1:8" x14ac:dyDescent="0.35">
      <c r="A889">
        <v>2025</v>
      </c>
      <c r="B889">
        <v>8</v>
      </c>
      <c r="C889" t="s">
        <v>16</v>
      </c>
      <c r="D889" t="s">
        <v>17</v>
      </c>
      <c r="E889" t="s">
        <v>93</v>
      </c>
      <c r="F889" t="s">
        <v>94</v>
      </c>
      <c r="G889" s="2">
        <v>232.98217179902755</v>
      </c>
      <c r="H889" t="str">
        <f>_xlfn.XLOOKUP(Data_Xuất[[#This Row],[Main SKU]],MD_Main_SKU[Main SKU],MD_Main_SKU[SKU name_gom])</f>
        <v>WSS01</v>
      </c>
    </row>
    <row r="890" spans="1:8" x14ac:dyDescent="0.35">
      <c r="A890">
        <v>2025</v>
      </c>
      <c r="B890">
        <v>8</v>
      </c>
      <c r="C890" t="s">
        <v>16</v>
      </c>
      <c r="D890" t="s">
        <v>17</v>
      </c>
      <c r="E890" t="s">
        <v>117</v>
      </c>
      <c r="F890" t="s">
        <v>86</v>
      </c>
      <c r="G890" s="2">
        <v>28187.464377053264</v>
      </c>
      <c r="H890" t="str">
        <f>_xlfn.XLOOKUP(Data_Xuất[[#This Row],[Main SKU]],MD_Main_SKU[Main SKU],MD_Main_SKU[SKU name_gom])</f>
        <v>WSS01</v>
      </c>
    </row>
    <row r="891" spans="1:8" x14ac:dyDescent="0.35">
      <c r="A891">
        <v>2025</v>
      </c>
      <c r="B891">
        <v>8</v>
      </c>
      <c r="C891" t="s">
        <v>16</v>
      </c>
      <c r="D891" t="s">
        <v>17</v>
      </c>
      <c r="E891" t="s">
        <v>128</v>
      </c>
      <c r="F891" t="s">
        <v>129</v>
      </c>
      <c r="G891" s="2">
        <v>26874.861411586357</v>
      </c>
      <c r="H891" t="str">
        <f>_xlfn.XLOOKUP(Data_Xuất[[#This Row],[Main SKU]],MD_Main_SKU[Main SKU],MD_Main_SKU[SKU name_gom])</f>
        <v>WSS01</v>
      </c>
    </row>
    <row r="892" spans="1:8" x14ac:dyDescent="0.35">
      <c r="A892">
        <v>2025</v>
      </c>
      <c r="B892">
        <v>8</v>
      </c>
      <c r="C892" t="s">
        <v>26</v>
      </c>
      <c r="D892" t="s">
        <v>27</v>
      </c>
      <c r="E892" t="s">
        <v>22</v>
      </c>
      <c r="F892" t="s">
        <v>23</v>
      </c>
      <c r="G892" s="2">
        <v>7810.8853195555048</v>
      </c>
      <c r="H892" t="str">
        <f>_xlfn.XLOOKUP(Data_Xuất[[#This Row],[Main SKU]],MD_Main_SKU[Main SKU],MD_Main_SKU[SKU name_gom])</f>
        <v>iSS01</v>
      </c>
    </row>
    <row r="893" spans="1:8" x14ac:dyDescent="0.35">
      <c r="A893">
        <v>2025</v>
      </c>
      <c r="B893">
        <v>8</v>
      </c>
      <c r="C893" t="s">
        <v>26</v>
      </c>
      <c r="D893" t="s">
        <v>27</v>
      </c>
      <c r="E893" t="s">
        <v>24</v>
      </c>
      <c r="F893" t="s">
        <v>25</v>
      </c>
      <c r="G893" s="2">
        <v>70303.233583935915</v>
      </c>
      <c r="H893" t="str">
        <f>_xlfn.XLOOKUP(Data_Xuất[[#This Row],[Main SKU]],MD_Main_SKU[Main SKU],MD_Main_SKU[SKU name_gom])</f>
        <v>iSS01</v>
      </c>
    </row>
    <row r="894" spans="1:8" x14ac:dyDescent="0.35">
      <c r="A894">
        <v>2025</v>
      </c>
      <c r="B894">
        <v>8</v>
      </c>
      <c r="C894" t="s">
        <v>26</v>
      </c>
      <c r="D894" t="s">
        <v>27</v>
      </c>
      <c r="E894" t="s">
        <v>26</v>
      </c>
      <c r="F894" t="s">
        <v>27</v>
      </c>
      <c r="G894" s="2">
        <v>1028930.162185979</v>
      </c>
      <c r="H894" t="str">
        <f>_xlfn.XLOOKUP(Data_Xuất[[#This Row],[Main SKU]],MD_Main_SKU[Main SKU],MD_Main_SKU[SKU name_gom])</f>
        <v>iSS01</v>
      </c>
    </row>
    <row r="895" spans="1:8" x14ac:dyDescent="0.35">
      <c r="A895">
        <v>2025</v>
      </c>
      <c r="B895">
        <v>8</v>
      </c>
      <c r="C895" t="s">
        <v>26</v>
      </c>
      <c r="D895" t="s">
        <v>27</v>
      </c>
      <c r="E895" t="s">
        <v>58</v>
      </c>
      <c r="F895" t="s">
        <v>59</v>
      </c>
      <c r="G895" s="2">
        <v>3320.0643235197704</v>
      </c>
      <c r="H895" t="str">
        <f>_xlfn.XLOOKUP(Data_Xuất[[#This Row],[Main SKU]],MD_Main_SKU[Main SKU],MD_Main_SKU[SKU name_gom])</f>
        <v>iSS01</v>
      </c>
    </row>
    <row r="896" spans="1:8" x14ac:dyDescent="0.35">
      <c r="A896">
        <v>2025</v>
      </c>
      <c r="B896">
        <v>8</v>
      </c>
      <c r="C896" t="s">
        <v>26</v>
      </c>
      <c r="D896" t="s">
        <v>27</v>
      </c>
      <c r="E896" t="s">
        <v>50</v>
      </c>
      <c r="F896" t="s">
        <v>51</v>
      </c>
      <c r="G896" s="2">
        <v>14474.993834144518</v>
      </c>
      <c r="H896" t="str">
        <f>_xlfn.XLOOKUP(Data_Xuất[[#This Row],[Main SKU]],MD_Main_SKU[Main SKU],MD_Main_SKU[SKU name_gom])</f>
        <v>iSS01</v>
      </c>
    </row>
    <row r="897" spans="1:8" x14ac:dyDescent="0.35">
      <c r="A897">
        <v>2025</v>
      </c>
      <c r="B897">
        <v>8</v>
      </c>
      <c r="C897" t="s">
        <v>26</v>
      </c>
      <c r="D897" t="s">
        <v>27</v>
      </c>
      <c r="E897" t="s">
        <v>34</v>
      </c>
      <c r="F897" t="s">
        <v>35</v>
      </c>
      <c r="G897" s="2">
        <v>2200</v>
      </c>
      <c r="H897" t="str">
        <f>_xlfn.XLOOKUP(Data_Xuất[[#This Row],[Main SKU]],MD_Main_SKU[Main SKU],MD_Main_SKU[SKU name_gom])</f>
        <v>iSS01</v>
      </c>
    </row>
    <row r="898" spans="1:8" x14ac:dyDescent="0.35">
      <c r="A898">
        <v>2025</v>
      </c>
      <c r="B898">
        <v>8</v>
      </c>
      <c r="C898" t="s">
        <v>26</v>
      </c>
      <c r="D898" t="s">
        <v>27</v>
      </c>
      <c r="E898" t="s">
        <v>87</v>
      </c>
      <c r="F898" t="s">
        <v>88</v>
      </c>
      <c r="G898" s="2">
        <v>34662.050384206181</v>
      </c>
      <c r="H898" t="str">
        <f>_xlfn.XLOOKUP(Data_Xuất[[#This Row],[Main SKU]],MD_Main_SKU[Main SKU],MD_Main_SKU[SKU name_gom])</f>
        <v>iSS01</v>
      </c>
    </row>
    <row r="899" spans="1:8" x14ac:dyDescent="0.35">
      <c r="A899">
        <v>2025</v>
      </c>
      <c r="B899">
        <v>8</v>
      </c>
      <c r="C899" t="s">
        <v>26</v>
      </c>
      <c r="D899" t="s">
        <v>27</v>
      </c>
      <c r="E899" t="s">
        <v>117</v>
      </c>
      <c r="F899" t="s">
        <v>86</v>
      </c>
      <c r="G899" s="2">
        <v>17054.814170873698</v>
      </c>
      <c r="H899" t="str">
        <f>_xlfn.XLOOKUP(Data_Xuất[[#This Row],[Main SKU]],MD_Main_SKU[Main SKU],MD_Main_SKU[SKU name_gom])</f>
        <v>iSS01</v>
      </c>
    </row>
    <row r="900" spans="1:8" x14ac:dyDescent="0.35">
      <c r="A900">
        <v>2025</v>
      </c>
      <c r="B900">
        <v>8</v>
      </c>
      <c r="C900" t="s">
        <v>26</v>
      </c>
      <c r="D900" t="s">
        <v>27</v>
      </c>
      <c r="E900" t="s">
        <v>132</v>
      </c>
      <c r="F900" t="s">
        <v>133</v>
      </c>
      <c r="G900" s="2">
        <v>5580.0461977856148</v>
      </c>
      <c r="H900" t="str">
        <f>_xlfn.XLOOKUP(Data_Xuất[[#This Row],[Main SKU]],MD_Main_SKU[Main SKU],MD_Main_SKU[SKU name_gom])</f>
        <v>iSS01</v>
      </c>
    </row>
    <row r="901" spans="1:8" x14ac:dyDescent="0.35">
      <c r="A901">
        <v>2025</v>
      </c>
      <c r="B901">
        <v>8</v>
      </c>
      <c r="C901" t="s">
        <v>115</v>
      </c>
      <c r="D901" t="s">
        <v>116</v>
      </c>
      <c r="E901" t="s">
        <v>115</v>
      </c>
      <c r="F901" t="s">
        <v>116</v>
      </c>
      <c r="G901" s="2">
        <v>264307.09771252808</v>
      </c>
      <c r="H901" t="str">
        <f>_xlfn.XLOOKUP(Data_Xuất[[#This Row],[Main SKU]],MD_Main_SKU[Main SKU],MD_Main_SKU[SKU name_gom])</f>
        <v>WSS05</v>
      </c>
    </row>
    <row r="902" spans="1:8" x14ac:dyDescent="0.35">
      <c r="A902">
        <v>2025</v>
      </c>
      <c r="B902">
        <v>8</v>
      </c>
      <c r="C902" t="s">
        <v>115</v>
      </c>
      <c r="D902" t="s">
        <v>116</v>
      </c>
      <c r="E902" t="s">
        <v>124</v>
      </c>
      <c r="F902" t="s">
        <v>125</v>
      </c>
      <c r="G902" s="2">
        <v>2144.5</v>
      </c>
      <c r="H902" t="str">
        <f>_xlfn.XLOOKUP(Data_Xuất[[#This Row],[Main SKU]],MD_Main_SKU[Main SKU],MD_Main_SKU[SKU name_gom])</f>
        <v>WSS05</v>
      </c>
    </row>
    <row r="903" spans="1:8" x14ac:dyDescent="0.35">
      <c r="A903">
        <v>2025</v>
      </c>
      <c r="B903">
        <v>8</v>
      </c>
      <c r="C903" t="s">
        <v>115</v>
      </c>
      <c r="D903" t="s">
        <v>116</v>
      </c>
      <c r="E903" t="s">
        <v>87</v>
      </c>
      <c r="F903" t="s">
        <v>88</v>
      </c>
      <c r="G903" s="2">
        <v>19490.244058614036</v>
      </c>
      <c r="H903" t="str">
        <f>_xlfn.XLOOKUP(Data_Xuất[[#This Row],[Main SKU]],MD_Main_SKU[Main SKU],MD_Main_SKU[SKU name_gom])</f>
        <v>WSS05</v>
      </c>
    </row>
    <row r="904" spans="1:8" x14ac:dyDescent="0.35">
      <c r="A904">
        <v>2025</v>
      </c>
      <c r="B904">
        <v>8</v>
      </c>
      <c r="C904" t="s">
        <v>115</v>
      </c>
      <c r="D904" t="s">
        <v>116</v>
      </c>
      <c r="E904" t="s">
        <v>117</v>
      </c>
      <c r="F904" t="s">
        <v>86</v>
      </c>
      <c r="G904" s="2">
        <v>6023.1582288579411</v>
      </c>
      <c r="H904" t="str">
        <f>_xlfn.XLOOKUP(Data_Xuất[[#This Row],[Main SKU]],MD_Main_SKU[Main SKU],MD_Main_SKU[SKU name_gom])</f>
        <v>WSS05</v>
      </c>
    </row>
    <row r="905" spans="1:8" x14ac:dyDescent="0.35">
      <c r="A905">
        <v>2025</v>
      </c>
      <c r="B905">
        <v>9</v>
      </c>
      <c r="C905" t="s">
        <v>8</v>
      </c>
      <c r="D905" t="s">
        <v>9</v>
      </c>
      <c r="E905" t="s">
        <v>8</v>
      </c>
      <c r="F905" t="s">
        <v>9</v>
      </c>
      <c r="G905" s="2">
        <v>244466.98077434173</v>
      </c>
      <c r="H905" t="str">
        <f>_xlfn.XLOOKUP(Data_Xuất[[#This Row],[Main SKU]],MD_Main_SKU[Main SKU],MD_Main_SKU[SKU name_gom])</f>
        <v>WSS01</v>
      </c>
    </row>
    <row r="906" spans="1:8" x14ac:dyDescent="0.35">
      <c r="A906">
        <v>2025</v>
      </c>
      <c r="B906">
        <v>9</v>
      </c>
      <c r="C906" t="s">
        <v>8</v>
      </c>
      <c r="D906" t="s">
        <v>9</v>
      </c>
      <c r="E906" t="s">
        <v>22</v>
      </c>
      <c r="F906" t="s">
        <v>23</v>
      </c>
      <c r="G906" s="2">
        <v>4466.6879821299672</v>
      </c>
      <c r="H906" t="str">
        <f>_xlfn.XLOOKUP(Data_Xuất[[#This Row],[Main SKU]],MD_Main_SKU[Main SKU],MD_Main_SKU[SKU name_gom])</f>
        <v>WSS01</v>
      </c>
    </row>
    <row r="907" spans="1:8" x14ac:dyDescent="0.35">
      <c r="A907">
        <v>2025</v>
      </c>
      <c r="B907">
        <v>9</v>
      </c>
      <c r="C907" t="s">
        <v>8</v>
      </c>
      <c r="D907" t="s">
        <v>9</v>
      </c>
      <c r="E907" t="s">
        <v>36</v>
      </c>
      <c r="F907" t="s">
        <v>37</v>
      </c>
      <c r="G907" s="2">
        <v>4467.912266450041</v>
      </c>
      <c r="H907" t="str">
        <f>_xlfn.XLOOKUP(Data_Xuất[[#This Row],[Main SKU]],MD_Main_SKU[Main SKU],MD_Main_SKU[SKU name_gom])</f>
        <v>WSS01</v>
      </c>
    </row>
    <row r="908" spans="1:8" x14ac:dyDescent="0.35">
      <c r="A908">
        <v>2025</v>
      </c>
      <c r="B908">
        <v>9</v>
      </c>
      <c r="C908" t="s">
        <v>8</v>
      </c>
      <c r="D908" t="s">
        <v>9</v>
      </c>
      <c r="E908" t="s">
        <v>87</v>
      </c>
      <c r="F908" t="s">
        <v>88</v>
      </c>
      <c r="G908" s="2">
        <v>1826.8363370833927</v>
      </c>
      <c r="H908" t="str">
        <f>_xlfn.XLOOKUP(Data_Xuất[[#This Row],[Main SKU]],MD_Main_SKU[Main SKU],MD_Main_SKU[SKU name_gom])</f>
        <v>WSS01</v>
      </c>
    </row>
    <row r="909" spans="1:8" x14ac:dyDescent="0.35">
      <c r="A909">
        <v>2025</v>
      </c>
      <c r="B909">
        <v>9</v>
      </c>
      <c r="C909" t="s">
        <v>8</v>
      </c>
      <c r="D909" t="s">
        <v>9</v>
      </c>
      <c r="E909" t="s">
        <v>91</v>
      </c>
      <c r="F909" t="s">
        <v>92</v>
      </c>
      <c r="G909" s="2">
        <v>1115.4885507040251</v>
      </c>
      <c r="H909" t="str">
        <f>_xlfn.XLOOKUP(Data_Xuất[[#This Row],[Main SKU]],MD_Main_SKU[Main SKU],MD_Main_SKU[SKU name_gom])</f>
        <v>WSS01</v>
      </c>
    </row>
    <row r="910" spans="1:8" x14ac:dyDescent="0.35">
      <c r="A910">
        <v>2025</v>
      </c>
      <c r="B910">
        <v>9</v>
      </c>
      <c r="C910" t="s">
        <v>8</v>
      </c>
      <c r="D910" t="s">
        <v>9</v>
      </c>
      <c r="E910" t="s">
        <v>117</v>
      </c>
      <c r="F910" t="s">
        <v>86</v>
      </c>
      <c r="G910" s="2">
        <v>3956.0940892908402</v>
      </c>
      <c r="H910" t="str">
        <f>_xlfn.XLOOKUP(Data_Xuất[[#This Row],[Main SKU]],MD_Main_SKU[Main SKU],MD_Main_SKU[SKU name_gom])</f>
        <v>WSS01</v>
      </c>
    </row>
    <row r="911" spans="1:8" x14ac:dyDescent="0.35">
      <c r="A911">
        <v>2025</v>
      </c>
      <c r="B911">
        <v>9</v>
      </c>
      <c r="C911" t="s">
        <v>14</v>
      </c>
      <c r="D911" t="s">
        <v>15</v>
      </c>
      <c r="E911" t="s">
        <v>14</v>
      </c>
      <c r="F911" t="s">
        <v>15</v>
      </c>
      <c r="G911" s="2">
        <v>363805.18526119087</v>
      </c>
      <c r="H911" t="str">
        <f>_xlfn.XLOOKUP(Data_Xuất[[#This Row],[Main SKU]],MD_Main_SKU[Main SKU],MD_Main_SKU[SKU name_gom])</f>
        <v>iSS01084</v>
      </c>
    </row>
    <row r="912" spans="1:8" x14ac:dyDescent="0.35">
      <c r="A912">
        <v>2025</v>
      </c>
      <c r="B912">
        <v>9</v>
      </c>
      <c r="C912" t="s">
        <v>14</v>
      </c>
      <c r="D912" t="s">
        <v>15</v>
      </c>
      <c r="E912" t="s">
        <v>16</v>
      </c>
      <c r="F912" t="s">
        <v>17</v>
      </c>
      <c r="G912" s="2">
        <v>3347.3656536532767</v>
      </c>
      <c r="H912" t="str">
        <f>_xlfn.XLOOKUP(Data_Xuất[[#This Row],[Main SKU]],MD_Main_SKU[Main SKU],MD_Main_SKU[SKU name_gom])</f>
        <v>iSS01084</v>
      </c>
    </row>
    <row r="913" spans="1:8" x14ac:dyDescent="0.35">
      <c r="A913">
        <v>2025</v>
      </c>
      <c r="B913">
        <v>9</v>
      </c>
      <c r="C913" t="s">
        <v>14</v>
      </c>
      <c r="D913" t="s">
        <v>15</v>
      </c>
      <c r="E913" t="s">
        <v>18</v>
      </c>
      <c r="F913" t="s">
        <v>19</v>
      </c>
      <c r="G913" s="2">
        <v>3348.4353020741637</v>
      </c>
      <c r="H913" t="str">
        <f>_xlfn.XLOOKUP(Data_Xuất[[#This Row],[Main SKU]],MD_Main_SKU[Main SKU],MD_Main_SKU[SKU name_gom])</f>
        <v>iSS01084</v>
      </c>
    </row>
    <row r="914" spans="1:8" x14ac:dyDescent="0.35">
      <c r="A914">
        <v>2025</v>
      </c>
      <c r="B914">
        <v>9</v>
      </c>
      <c r="C914" t="s">
        <v>14</v>
      </c>
      <c r="D914" t="s">
        <v>15</v>
      </c>
      <c r="E914" t="s">
        <v>22</v>
      </c>
      <c r="F914" t="s">
        <v>23</v>
      </c>
      <c r="G914" s="2">
        <v>20087.402867182318</v>
      </c>
      <c r="H914" t="str">
        <f>_xlfn.XLOOKUP(Data_Xuất[[#This Row],[Main SKU]],MD_Main_SKU[Main SKU],MD_Main_SKU[SKU name_gom])</f>
        <v>iSS01084</v>
      </c>
    </row>
    <row r="915" spans="1:8" x14ac:dyDescent="0.35">
      <c r="A915">
        <v>2025</v>
      </c>
      <c r="B915">
        <v>9</v>
      </c>
      <c r="C915" t="s">
        <v>14</v>
      </c>
      <c r="D915" t="s">
        <v>15</v>
      </c>
      <c r="E915" t="s">
        <v>34</v>
      </c>
      <c r="F915" t="s">
        <v>35</v>
      </c>
      <c r="G915" s="2">
        <v>1116.5016501650166</v>
      </c>
      <c r="H915" t="str">
        <f>_xlfn.XLOOKUP(Data_Xuất[[#This Row],[Main SKU]],MD_Main_SKU[Main SKU],MD_Main_SKU[SKU name_gom])</f>
        <v>iSS01084</v>
      </c>
    </row>
    <row r="916" spans="1:8" x14ac:dyDescent="0.35">
      <c r="A916">
        <v>2025</v>
      </c>
      <c r="B916">
        <v>9</v>
      </c>
      <c r="C916" t="s">
        <v>14</v>
      </c>
      <c r="D916" t="s">
        <v>15</v>
      </c>
      <c r="E916" t="s">
        <v>87</v>
      </c>
      <c r="F916" t="s">
        <v>88</v>
      </c>
      <c r="G916" s="2">
        <v>3195.5530120756825</v>
      </c>
      <c r="H916" t="str">
        <f>_xlfn.XLOOKUP(Data_Xuất[[#This Row],[Main SKU]],MD_Main_SKU[Main SKU],MD_Main_SKU[SKU name_gom])</f>
        <v>iSS01084</v>
      </c>
    </row>
    <row r="917" spans="1:8" x14ac:dyDescent="0.35">
      <c r="A917">
        <v>2025</v>
      </c>
      <c r="B917">
        <v>9</v>
      </c>
      <c r="C917" t="s">
        <v>14</v>
      </c>
      <c r="D917" t="s">
        <v>15</v>
      </c>
      <c r="E917" t="s">
        <v>117</v>
      </c>
      <c r="F917" t="s">
        <v>86</v>
      </c>
      <c r="G917" s="2">
        <v>4731.120951584493</v>
      </c>
      <c r="H917" t="str">
        <f>_xlfn.XLOOKUP(Data_Xuất[[#This Row],[Main SKU]],MD_Main_SKU[Main SKU],MD_Main_SKU[SKU name_gom])</f>
        <v>iSS01084</v>
      </c>
    </row>
    <row r="918" spans="1:8" x14ac:dyDescent="0.35">
      <c r="A918">
        <v>2025</v>
      </c>
      <c r="B918">
        <v>9</v>
      </c>
      <c r="C918" t="s">
        <v>14</v>
      </c>
      <c r="D918" t="s">
        <v>15</v>
      </c>
      <c r="E918" t="s">
        <v>126</v>
      </c>
      <c r="F918" t="s">
        <v>127</v>
      </c>
      <c r="G918" s="2">
        <v>3348.4353020741628</v>
      </c>
      <c r="H918" t="str">
        <f>_xlfn.XLOOKUP(Data_Xuất[[#This Row],[Main SKU]],MD_Main_SKU[Main SKU],MD_Main_SKU[SKU name_gom])</f>
        <v>iSS01084</v>
      </c>
    </row>
    <row r="919" spans="1:8" x14ac:dyDescent="0.35">
      <c r="A919">
        <v>2025</v>
      </c>
      <c r="B919">
        <v>9</v>
      </c>
      <c r="C919" t="s">
        <v>16</v>
      </c>
      <c r="D919" t="s">
        <v>17</v>
      </c>
      <c r="E919" t="s">
        <v>14</v>
      </c>
      <c r="F919" t="s">
        <v>15</v>
      </c>
      <c r="G919" s="2">
        <v>8932.6285714285714</v>
      </c>
      <c r="H919" t="str">
        <f>_xlfn.XLOOKUP(Data_Xuất[[#This Row],[Main SKU]],MD_Main_SKU[Main SKU],MD_Main_SKU[SKU name_gom])</f>
        <v>WSS01</v>
      </c>
    </row>
    <row r="920" spans="1:8" x14ac:dyDescent="0.35">
      <c r="A920">
        <v>2025</v>
      </c>
      <c r="B920">
        <v>9</v>
      </c>
      <c r="C920" t="s">
        <v>16</v>
      </c>
      <c r="D920" t="s">
        <v>17</v>
      </c>
      <c r="E920" t="s">
        <v>16</v>
      </c>
      <c r="F920" t="s">
        <v>17</v>
      </c>
      <c r="G920" s="2">
        <v>1291952.6318169273</v>
      </c>
      <c r="H920" t="str">
        <f>_xlfn.XLOOKUP(Data_Xuất[[#This Row],[Main SKU]],MD_Main_SKU[Main SKU],MD_Main_SKU[SKU name_gom])</f>
        <v>WSS01</v>
      </c>
    </row>
    <row r="921" spans="1:8" x14ac:dyDescent="0.35">
      <c r="A921">
        <v>2025</v>
      </c>
      <c r="B921">
        <v>9</v>
      </c>
      <c r="C921" t="s">
        <v>16</v>
      </c>
      <c r="D921" t="s">
        <v>17</v>
      </c>
      <c r="E921" t="s">
        <v>18</v>
      </c>
      <c r="F921" t="s">
        <v>19</v>
      </c>
      <c r="G921" s="2">
        <v>27917.615277958143</v>
      </c>
      <c r="H921" t="str">
        <f>_xlfn.XLOOKUP(Data_Xuất[[#This Row],[Main SKU]],MD_Main_SKU[Main SKU],MD_Main_SKU[SKU name_gom])</f>
        <v>WSS01</v>
      </c>
    </row>
    <row r="922" spans="1:8" x14ac:dyDescent="0.35">
      <c r="A922">
        <v>2025</v>
      </c>
      <c r="B922">
        <v>9</v>
      </c>
      <c r="C922" t="s">
        <v>16</v>
      </c>
      <c r="D922" t="s">
        <v>17</v>
      </c>
      <c r="E922" t="s">
        <v>22</v>
      </c>
      <c r="F922" t="s">
        <v>23</v>
      </c>
      <c r="G922" s="2">
        <v>3352.3903827663898</v>
      </c>
      <c r="H922" t="str">
        <f>_xlfn.XLOOKUP(Data_Xuất[[#This Row],[Main SKU]],MD_Main_SKU[Main SKU],MD_Main_SKU[SKU name_gom])</f>
        <v>WSS01</v>
      </c>
    </row>
    <row r="923" spans="1:8" x14ac:dyDescent="0.35">
      <c r="A923">
        <v>2025</v>
      </c>
      <c r="B923">
        <v>9</v>
      </c>
      <c r="C923" t="s">
        <v>16</v>
      </c>
      <c r="D923" t="s">
        <v>17</v>
      </c>
      <c r="E923" t="s">
        <v>40</v>
      </c>
      <c r="F923" t="s">
        <v>41</v>
      </c>
      <c r="G923" s="2">
        <v>20093.423960620708</v>
      </c>
      <c r="H923" t="str">
        <f>_xlfn.XLOOKUP(Data_Xuất[[#This Row],[Main SKU]],MD_Main_SKU[Main SKU],MD_Main_SKU[SKU name_gom])</f>
        <v>WSS01</v>
      </c>
    </row>
    <row r="924" spans="1:8" x14ac:dyDescent="0.35">
      <c r="A924">
        <v>2025</v>
      </c>
      <c r="B924">
        <v>9</v>
      </c>
      <c r="C924" t="s">
        <v>16</v>
      </c>
      <c r="D924" t="s">
        <v>17</v>
      </c>
      <c r="E924" t="s">
        <v>42</v>
      </c>
      <c r="F924" t="s">
        <v>43</v>
      </c>
      <c r="G924" s="2">
        <v>1116.9060328331152</v>
      </c>
      <c r="H924" t="str">
        <f>_xlfn.XLOOKUP(Data_Xuất[[#This Row],[Main SKU]],MD_Main_SKU[Main SKU],MD_Main_SKU[SKU name_gom])</f>
        <v>WSS01</v>
      </c>
    </row>
    <row r="925" spans="1:8" x14ac:dyDescent="0.35">
      <c r="A925">
        <v>2025</v>
      </c>
      <c r="B925">
        <v>9</v>
      </c>
      <c r="C925" t="s">
        <v>16</v>
      </c>
      <c r="D925" t="s">
        <v>17</v>
      </c>
      <c r="E925" t="s">
        <v>34</v>
      </c>
      <c r="F925" t="s">
        <v>35</v>
      </c>
      <c r="G925" s="2">
        <v>7815.6120777713604</v>
      </c>
      <c r="H925" t="str">
        <f>_xlfn.XLOOKUP(Data_Xuất[[#This Row],[Main SKU]],MD_Main_SKU[Main SKU],MD_Main_SKU[SKU name_gom])</f>
        <v>WSS01</v>
      </c>
    </row>
    <row r="926" spans="1:8" x14ac:dyDescent="0.35">
      <c r="A926">
        <v>2025</v>
      </c>
      <c r="B926">
        <v>9</v>
      </c>
      <c r="C926" t="s">
        <v>16</v>
      </c>
      <c r="D926" t="s">
        <v>17</v>
      </c>
      <c r="E926" t="s">
        <v>87</v>
      </c>
      <c r="F926" t="s">
        <v>88</v>
      </c>
      <c r="G926" s="2">
        <v>21550.287961811955</v>
      </c>
      <c r="H926" t="str">
        <f>_xlfn.XLOOKUP(Data_Xuất[[#This Row],[Main SKU]],MD_Main_SKU[Main SKU],MD_Main_SKU[SKU name_gom])</f>
        <v>WSS01</v>
      </c>
    </row>
    <row r="927" spans="1:8" x14ac:dyDescent="0.35">
      <c r="A927">
        <v>2025</v>
      </c>
      <c r="B927">
        <v>9</v>
      </c>
      <c r="C927" t="s">
        <v>16</v>
      </c>
      <c r="D927" t="s">
        <v>17</v>
      </c>
      <c r="E927" t="s">
        <v>93</v>
      </c>
      <c r="F927" t="s">
        <v>94</v>
      </c>
      <c r="G927" s="2">
        <v>528.48894377459646</v>
      </c>
      <c r="H927" t="str">
        <f>_xlfn.XLOOKUP(Data_Xuất[[#This Row],[Main SKU]],MD_Main_SKU[Main SKU],MD_Main_SKU[SKU name_gom])</f>
        <v>WSS01</v>
      </c>
    </row>
    <row r="928" spans="1:8" x14ac:dyDescent="0.35">
      <c r="A928">
        <v>2025</v>
      </c>
      <c r="B928">
        <v>9</v>
      </c>
      <c r="C928" t="s">
        <v>16</v>
      </c>
      <c r="D928" t="s">
        <v>17</v>
      </c>
      <c r="E928" t="s">
        <v>117</v>
      </c>
      <c r="F928" t="s">
        <v>86</v>
      </c>
      <c r="G928" s="2">
        <v>25571.810392087176</v>
      </c>
      <c r="H928" t="str">
        <f>_xlfn.XLOOKUP(Data_Xuất[[#This Row],[Main SKU]],MD_Main_SKU[Main SKU],MD_Main_SKU[SKU name_gom])</f>
        <v>WSS01</v>
      </c>
    </row>
    <row r="929" spans="1:8" x14ac:dyDescent="0.35">
      <c r="A929">
        <v>2025</v>
      </c>
      <c r="B929">
        <v>9</v>
      </c>
      <c r="C929" t="s">
        <v>16</v>
      </c>
      <c r="D929" t="s">
        <v>17</v>
      </c>
      <c r="E929" t="s">
        <v>128</v>
      </c>
      <c r="F929" t="s">
        <v>129</v>
      </c>
      <c r="G929" s="2">
        <v>16750.2045820206</v>
      </c>
      <c r="H929" t="str">
        <f>_xlfn.XLOOKUP(Data_Xuất[[#This Row],[Main SKU]],MD_Main_SKU[Main SKU],MD_Main_SKU[SKU name_gom])</f>
        <v>WSS01</v>
      </c>
    </row>
    <row r="930" spans="1:8" x14ac:dyDescent="0.35">
      <c r="A930">
        <v>2025</v>
      </c>
      <c r="B930">
        <v>9</v>
      </c>
      <c r="C930" t="s">
        <v>22</v>
      </c>
      <c r="D930" t="s">
        <v>23</v>
      </c>
      <c r="E930" t="s">
        <v>22</v>
      </c>
      <c r="F930" t="s">
        <v>23</v>
      </c>
      <c r="G930" s="2">
        <v>159657.00553752156</v>
      </c>
      <c r="H930" t="str">
        <f>_xlfn.XLOOKUP(Data_Xuất[[#This Row],[Main SKU]],MD_Main_SKU[Main SKU],MD_Main_SKU[SKU name_gom])</f>
        <v>WSS03</v>
      </c>
    </row>
    <row r="931" spans="1:8" x14ac:dyDescent="0.35">
      <c r="A931">
        <v>2025</v>
      </c>
      <c r="B931">
        <v>9</v>
      </c>
      <c r="C931" t="s">
        <v>22</v>
      </c>
      <c r="D931" t="s">
        <v>23</v>
      </c>
      <c r="E931" t="s">
        <v>87</v>
      </c>
      <c r="F931" t="s">
        <v>88</v>
      </c>
      <c r="G931" s="2">
        <v>2841.9039440084698</v>
      </c>
      <c r="H931" t="str">
        <f>_xlfn.XLOOKUP(Data_Xuất[[#This Row],[Main SKU]],MD_Main_SKU[Main SKU],MD_Main_SKU[SKU name_gom])</f>
        <v>WSS03</v>
      </c>
    </row>
    <row r="932" spans="1:8" x14ac:dyDescent="0.35">
      <c r="A932">
        <v>2025</v>
      </c>
      <c r="B932">
        <v>9</v>
      </c>
      <c r="C932" t="s">
        <v>22</v>
      </c>
      <c r="D932" t="s">
        <v>23</v>
      </c>
      <c r="E932" t="s">
        <v>117</v>
      </c>
      <c r="F932" t="s">
        <v>86</v>
      </c>
      <c r="G932" s="2">
        <v>5501.0905184699768</v>
      </c>
      <c r="H932" t="str">
        <f>_xlfn.XLOOKUP(Data_Xuất[[#This Row],[Main SKU]],MD_Main_SKU[Main SKU],MD_Main_SKU[SKU name_gom])</f>
        <v>WSS03</v>
      </c>
    </row>
    <row r="933" spans="1:8" x14ac:dyDescent="0.35">
      <c r="A933">
        <v>2025</v>
      </c>
      <c r="B933">
        <v>9</v>
      </c>
      <c r="C933" t="s">
        <v>26</v>
      </c>
      <c r="D933" t="s">
        <v>27</v>
      </c>
      <c r="E933" t="s">
        <v>22</v>
      </c>
      <c r="F933" t="s">
        <v>23</v>
      </c>
      <c r="G933" s="2">
        <v>1116.6347414053837</v>
      </c>
      <c r="H933" t="str">
        <f>_xlfn.XLOOKUP(Data_Xuất[[#This Row],[Main SKU]],MD_Main_SKU[Main SKU],MD_Main_SKU[SKU name_gom])</f>
        <v>iSS01</v>
      </c>
    </row>
    <row r="934" spans="1:8" x14ac:dyDescent="0.35">
      <c r="A934">
        <v>2025</v>
      </c>
      <c r="B934">
        <v>9</v>
      </c>
      <c r="C934" t="s">
        <v>26</v>
      </c>
      <c r="D934" t="s">
        <v>27</v>
      </c>
      <c r="E934" t="s">
        <v>24</v>
      </c>
      <c r="F934" t="s">
        <v>25</v>
      </c>
      <c r="G934" s="2">
        <v>35706.284383685757</v>
      </c>
      <c r="H934" t="str">
        <f>_xlfn.XLOOKUP(Data_Xuất[[#This Row],[Main SKU]],MD_Main_SKU[Main SKU],MD_Main_SKU[SKU name_gom])</f>
        <v>iSS01</v>
      </c>
    </row>
    <row r="935" spans="1:8" x14ac:dyDescent="0.35">
      <c r="A935">
        <v>2025</v>
      </c>
      <c r="B935">
        <v>9</v>
      </c>
      <c r="C935" t="s">
        <v>26</v>
      </c>
      <c r="D935" t="s">
        <v>27</v>
      </c>
      <c r="E935" t="s">
        <v>26</v>
      </c>
      <c r="F935" t="s">
        <v>27</v>
      </c>
      <c r="G935" s="2">
        <v>818566.24184183497</v>
      </c>
      <c r="H935" t="str">
        <f>_xlfn.XLOOKUP(Data_Xuất[[#This Row],[Main SKU]],MD_Main_SKU[Main SKU],MD_Main_SKU[SKU name_gom])</f>
        <v>iSS01</v>
      </c>
    </row>
    <row r="936" spans="1:8" x14ac:dyDescent="0.35">
      <c r="A936">
        <v>2025</v>
      </c>
      <c r="B936">
        <v>9</v>
      </c>
      <c r="C936" t="s">
        <v>26</v>
      </c>
      <c r="D936" t="s">
        <v>27</v>
      </c>
      <c r="E936" t="s">
        <v>50</v>
      </c>
      <c r="F936" t="s">
        <v>51</v>
      </c>
      <c r="G936" s="2">
        <v>8938.8706512501449</v>
      </c>
      <c r="H936" t="str">
        <f>_xlfn.XLOOKUP(Data_Xuất[[#This Row],[Main SKU]],MD_Main_SKU[Main SKU],MD_Main_SKU[SKU name_gom])</f>
        <v>iSS01</v>
      </c>
    </row>
    <row r="937" spans="1:8" x14ac:dyDescent="0.35">
      <c r="A937">
        <v>2025</v>
      </c>
      <c r="B937">
        <v>9</v>
      </c>
      <c r="C937" t="s">
        <v>26</v>
      </c>
      <c r="D937" t="s">
        <v>27</v>
      </c>
      <c r="E937" t="s">
        <v>87</v>
      </c>
      <c r="F937" t="s">
        <v>88</v>
      </c>
      <c r="G937" s="2">
        <v>18824.020167955121</v>
      </c>
      <c r="H937" t="str">
        <f>_xlfn.XLOOKUP(Data_Xuất[[#This Row],[Main SKU]],MD_Main_SKU[Main SKU],MD_Main_SKU[SKU name_gom])</f>
        <v>iSS01</v>
      </c>
    </row>
    <row r="938" spans="1:8" x14ac:dyDescent="0.35">
      <c r="A938">
        <v>2025</v>
      </c>
      <c r="B938">
        <v>9</v>
      </c>
      <c r="C938" t="s">
        <v>26</v>
      </c>
      <c r="D938" t="s">
        <v>27</v>
      </c>
      <c r="E938" t="s">
        <v>117</v>
      </c>
      <c r="F938" t="s">
        <v>86</v>
      </c>
      <c r="G938" s="2">
        <v>12680.373618947633</v>
      </c>
      <c r="H938" t="str">
        <f>_xlfn.XLOOKUP(Data_Xuất[[#This Row],[Main SKU]],MD_Main_SKU[Main SKU],MD_Main_SKU[SKU name_gom])</f>
        <v>iSS01</v>
      </c>
    </row>
    <row r="939" spans="1:8" x14ac:dyDescent="0.35">
      <c r="A939">
        <v>2025</v>
      </c>
      <c r="B939">
        <v>9</v>
      </c>
      <c r="C939" t="s">
        <v>26</v>
      </c>
      <c r="D939" t="s">
        <v>27</v>
      </c>
      <c r="E939" t="s">
        <v>132</v>
      </c>
      <c r="F939" t="s">
        <v>133</v>
      </c>
      <c r="G939" s="2">
        <v>2232.5745949208508</v>
      </c>
      <c r="H939" t="str">
        <f>_xlfn.XLOOKUP(Data_Xuất[[#This Row],[Main SKU]],MD_Main_SKU[Main SKU],MD_Main_SKU[SKU name_gom])</f>
        <v>iSS01</v>
      </c>
    </row>
    <row r="940" spans="1:8" x14ac:dyDescent="0.35">
      <c r="A940">
        <v>2025</v>
      </c>
      <c r="B940">
        <v>9</v>
      </c>
      <c r="C940" t="s">
        <v>115</v>
      </c>
      <c r="D940" t="s">
        <v>116</v>
      </c>
      <c r="E940" t="s">
        <v>115</v>
      </c>
      <c r="F940" t="s">
        <v>116</v>
      </c>
      <c r="G940" s="2">
        <v>309464.67364738946</v>
      </c>
      <c r="H940" t="str">
        <f>_xlfn.XLOOKUP(Data_Xuất[[#This Row],[Main SKU]],MD_Main_SKU[Main SKU],MD_Main_SKU[SKU name_gom])</f>
        <v>WSS05</v>
      </c>
    </row>
    <row r="941" spans="1:8" x14ac:dyDescent="0.35">
      <c r="A941">
        <v>2025</v>
      </c>
      <c r="B941">
        <v>9</v>
      </c>
      <c r="C941" t="s">
        <v>115</v>
      </c>
      <c r="D941" t="s">
        <v>116</v>
      </c>
      <c r="E941" t="s">
        <v>124</v>
      </c>
      <c r="F941" t="s">
        <v>125</v>
      </c>
      <c r="G941" s="2">
        <v>11755.504251496581</v>
      </c>
      <c r="H941" t="str">
        <f>_xlfn.XLOOKUP(Data_Xuất[[#This Row],[Main SKU]],MD_Main_SKU[Main SKU],MD_Main_SKU[SKU name_gom])</f>
        <v>WSS05</v>
      </c>
    </row>
    <row r="942" spans="1:8" x14ac:dyDescent="0.35">
      <c r="A942">
        <v>2025</v>
      </c>
      <c r="B942">
        <v>9</v>
      </c>
      <c r="C942" t="s">
        <v>115</v>
      </c>
      <c r="D942" t="s">
        <v>116</v>
      </c>
      <c r="E942" t="s">
        <v>87</v>
      </c>
      <c r="F942" t="s">
        <v>88</v>
      </c>
      <c r="G942" s="2">
        <v>15369.008181198997</v>
      </c>
      <c r="H942" t="str">
        <f>_xlfn.XLOOKUP(Data_Xuất[[#This Row],[Main SKU]],MD_Main_SKU[Main SKU],MD_Main_SKU[SKU name_gom])</f>
        <v>WSS05</v>
      </c>
    </row>
    <row r="943" spans="1:8" x14ac:dyDescent="0.35">
      <c r="A943">
        <v>2025</v>
      </c>
      <c r="B943">
        <v>9</v>
      </c>
      <c r="C943" t="s">
        <v>115</v>
      </c>
      <c r="D943" t="s">
        <v>116</v>
      </c>
      <c r="E943" t="s">
        <v>117</v>
      </c>
      <c r="F943" t="s">
        <v>86</v>
      </c>
      <c r="G943" s="2">
        <v>9357.8139199149718</v>
      </c>
      <c r="H943" t="str">
        <f>_xlfn.XLOOKUP(Data_Xuất[[#This Row],[Main SKU]],MD_Main_SKU[Main SKU],MD_Main_SKU[SKU name_gom])</f>
        <v>WSS05</v>
      </c>
    </row>
    <row r="944" spans="1:8" x14ac:dyDescent="0.35">
      <c r="A944">
        <v>2025</v>
      </c>
      <c r="B944">
        <v>9</v>
      </c>
      <c r="C944" t="s">
        <v>48</v>
      </c>
      <c r="D944" t="s">
        <v>49</v>
      </c>
      <c r="E944" t="s">
        <v>22</v>
      </c>
      <c r="F944" t="s">
        <v>23</v>
      </c>
      <c r="G944" s="2">
        <v>1115.52210724365</v>
      </c>
      <c r="H944" t="str">
        <f>_xlfn.XLOOKUP(Data_Xuất[[#This Row],[Main SKU]],MD_Main_SKU[Main SKU],MD_Main_SKU[SKU name_gom])</f>
        <v>WSS01</v>
      </c>
    </row>
    <row r="945" spans="1:8" x14ac:dyDescent="0.35">
      <c r="A945">
        <v>2025</v>
      </c>
      <c r="B945">
        <v>9</v>
      </c>
      <c r="C945" t="s">
        <v>48</v>
      </c>
      <c r="D945" t="s">
        <v>49</v>
      </c>
      <c r="E945" t="s">
        <v>48</v>
      </c>
      <c r="F945" t="s">
        <v>49</v>
      </c>
      <c r="G945" s="2">
        <v>52429.539040451549</v>
      </c>
      <c r="H945" t="str">
        <f>_xlfn.XLOOKUP(Data_Xuất[[#This Row],[Main SKU]],MD_Main_SKU[Main SKU],MD_Main_SKU[SKU name_gom])</f>
        <v>WSS01</v>
      </c>
    </row>
    <row r="946" spans="1:8" x14ac:dyDescent="0.35">
      <c r="A946">
        <v>2025</v>
      </c>
      <c r="B946">
        <v>9</v>
      </c>
      <c r="C946" t="s">
        <v>48</v>
      </c>
      <c r="D946" t="s">
        <v>49</v>
      </c>
      <c r="E946" t="s">
        <v>87</v>
      </c>
      <c r="F946" t="s">
        <v>88</v>
      </c>
      <c r="G946" s="2">
        <v>354.93885230479776</v>
      </c>
      <c r="H946" t="str">
        <f>_xlfn.XLOOKUP(Data_Xuất[[#This Row],[Main SKU]],MD_Main_SKU[Main SKU],MD_Main_SKU[SKU name_gom])</f>
        <v>WSS01</v>
      </c>
    </row>
    <row r="947" spans="1:8" x14ac:dyDescent="0.35">
      <c r="A947">
        <v>2025</v>
      </c>
      <c r="B947">
        <v>9</v>
      </c>
      <c r="C947" t="s">
        <v>136</v>
      </c>
      <c r="D947" t="s">
        <v>137</v>
      </c>
      <c r="E947" t="s">
        <v>136</v>
      </c>
      <c r="F947" t="s">
        <v>137</v>
      </c>
      <c r="G947" s="2">
        <v>21290.322580645163</v>
      </c>
      <c r="H947" t="str">
        <f>_xlfn.XLOOKUP(Data_Xuất[[#This Row],[Main SKU]],MD_Main_SKU[Main SKU],MD_Main_SKU[SKU name_gom])</f>
        <v>Khác</v>
      </c>
    </row>
    <row r="948" spans="1:8" x14ac:dyDescent="0.35">
      <c r="A948">
        <v>2025</v>
      </c>
      <c r="B948">
        <v>9</v>
      </c>
      <c r="C948" t="s">
        <v>136</v>
      </c>
      <c r="D948" t="s">
        <v>137</v>
      </c>
      <c r="E948" t="s">
        <v>87</v>
      </c>
      <c r="F948" t="s">
        <v>88</v>
      </c>
      <c r="G948" s="2">
        <v>709.67741935483866</v>
      </c>
      <c r="H948" t="str">
        <f>_xlfn.XLOOKUP(Data_Xuất[[#This Row],[Main SKU]],MD_Main_SKU[Main SKU],MD_Main_SKU[SKU name_gom])</f>
        <v>Khác</v>
      </c>
    </row>
    <row r="949" spans="1:8" x14ac:dyDescent="0.35">
      <c r="A949">
        <v>2025</v>
      </c>
      <c r="B949">
        <v>10</v>
      </c>
      <c r="C949" t="s">
        <v>8</v>
      </c>
      <c r="D949" t="s">
        <v>9</v>
      </c>
      <c r="E949" t="s">
        <v>8</v>
      </c>
      <c r="F949" t="s">
        <v>9</v>
      </c>
      <c r="G949" s="2">
        <v>400764.14020819787</v>
      </c>
      <c r="H949" t="str">
        <f>_xlfn.XLOOKUP(Data_Xuất[[#This Row],[Main SKU]],MD_Main_SKU[Main SKU],MD_Main_SKU[SKU name_gom])</f>
        <v>WSS01</v>
      </c>
    </row>
    <row r="950" spans="1:8" x14ac:dyDescent="0.35">
      <c r="A950">
        <v>2025</v>
      </c>
      <c r="B950">
        <v>10</v>
      </c>
      <c r="C950" t="s">
        <v>8</v>
      </c>
      <c r="D950" t="s">
        <v>9</v>
      </c>
      <c r="E950" t="s">
        <v>22</v>
      </c>
      <c r="F950" t="s">
        <v>23</v>
      </c>
      <c r="G950" s="2">
        <v>10047.327868296632</v>
      </c>
      <c r="H950" t="str">
        <f>_xlfn.XLOOKUP(Data_Xuất[[#This Row],[Main SKU]],MD_Main_SKU[Main SKU],MD_Main_SKU[SKU name_gom])</f>
        <v>WSS01</v>
      </c>
    </row>
    <row r="951" spans="1:8" x14ac:dyDescent="0.35">
      <c r="A951">
        <v>2025</v>
      </c>
      <c r="B951">
        <v>10</v>
      </c>
      <c r="C951" t="s">
        <v>8</v>
      </c>
      <c r="D951" t="s">
        <v>9</v>
      </c>
      <c r="E951" t="s">
        <v>36</v>
      </c>
      <c r="F951" t="s">
        <v>37</v>
      </c>
      <c r="G951" s="2">
        <v>3348.7165027777892</v>
      </c>
      <c r="H951" t="str">
        <f>_xlfn.XLOOKUP(Data_Xuất[[#This Row],[Main SKU]],MD_Main_SKU[Main SKU],MD_Main_SKU[SKU name_gom])</f>
        <v>WSS01</v>
      </c>
    </row>
    <row r="952" spans="1:8" x14ac:dyDescent="0.35">
      <c r="A952">
        <v>2025</v>
      </c>
      <c r="B952">
        <v>10</v>
      </c>
      <c r="C952" t="s">
        <v>8</v>
      </c>
      <c r="D952" t="s">
        <v>9</v>
      </c>
      <c r="E952" t="s">
        <v>87</v>
      </c>
      <c r="F952" t="s">
        <v>88</v>
      </c>
      <c r="G952" s="2">
        <v>6918.8948437353756</v>
      </c>
      <c r="H952" t="str">
        <f>_xlfn.XLOOKUP(Data_Xuất[[#This Row],[Main SKU]],MD_Main_SKU[Main SKU],MD_Main_SKU[SKU name_gom])</f>
        <v>WSS01</v>
      </c>
    </row>
    <row r="953" spans="1:8" x14ac:dyDescent="0.35">
      <c r="A953">
        <v>2025</v>
      </c>
      <c r="B953">
        <v>10</v>
      </c>
      <c r="C953" t="s">
        <v>8</v>
      </c>
      <c r="D953" t="s">
        <v>9</v>
      </c>
      <c r="E953" t="s">
        <v>91</v>
      </c>
      <c r="F953" t="s">
        <v>92</v>
      </c>
      <c r="G953" s="2">
        <v>2230.4590314474485</v>
      </c>
      <c r="H953" t="str">
        <f>_xlfn.XLOOKUP(Data_Xuất[[#This Row],[Main SKU]],MD_Main_SKU[Main SKU],MD_Main_SKU[SKU name_gom])</f>
        <v>WSS01</v>
      </c>
    </row>
    <row r="954" spans="1:8" x14ac:dyDescent="0.35">
      <c r="A954">
        <v>2025</v>
      </c>
      <c r="B954">
        <v>10</v>
      </c>
      <c r="C954" t="s">
        <v>8</v>
      </c>
      <c r="D954" t="s">
        <v>9</v>
      </c>
      <c r="E954" t="s">
        <v>117</v>
      </c>
      <c r="F954" t="s">
        <v>86</v>
      </c>
      <c r="G954" s="2">
        <v>4452.1138833239511</v>
      </c>
      <c r="H954" t="str">
        <f>_xlfn.XLOOKUP(Data_Xuất[[#This Row],[Main SKU]],MD_Main_SKU[Main SKU],MD_Main_SKU[SKU name_gom])</f>
        <v>WSS01</v>
      </c>
    </row>
    <row r="955" spans="1:8" x14ac:dyDescent="0.35">
      <c r="A955">
        <v>2025</v>
      </c>
      <c r="B955">
        <v>10</v>
      </c>
      <c r="C955" t="s">
        <v>8</v>
      </c>
      <c r="D955" t="s">
        <v>9</v>
      </c>
      <c r="E955" t="s">
        <v>134</v>
      </c>
      <c r="F955" t="s">
        <v>135</v>
      </c>
      <c r="G955" s="2">
        <v>2233.3476622209628</v>
      </c>
      <c r="H955" t="str">
        <f>_xlfn.XLOOKUP(Data_Xuất[[#This Row],[Main SKU]],MD_Main_SKU[Main SKU],MD_Main_SKU[SKU name_gom])</f>
        <v>WSS01</v>
      </c>
    </row>
    <row r="956" spans="1:8" x14ac:dyDescent="0.35">
      <c r="A956">
        <v>2025</v>
      </c>
      <c r="B956">
        <v>10</v>
      </c>
      <c r="C956" t="s">
        <v>14</v>
      </c>
      <c r="D956" t="s">
        <v>15</v>
      </c>
      <c r="E956" t="s">
        <v>14</v>
      </c>
      <c r="F956" t="s">
        <v>15</v>
      </c>
      <c r="G956" s="2">
        <v>741310.38945694768</v>
      </c>
      <c r="H956" t="str">
        <f>_xlfn.XLOOKUP(Data_Xuất[[#This Row],[Main SKU]],MD_Main_SKU[Main SKU],MD_Main_SKU[SKU name_gom])</f>
        <v>iSS01084</v>
      </c>
    </row>
    <row r="957" spans="1:8" x14ac:dyDescent="0.35">
      <c r="A957">
        <v>2025</v>
      </c>
      <c r="B957">
        <v>10</v>
      </c>
      <c r="C957" t="s">
        <v>14</v>
      </c>
      <c r="D957" t="s">
        <v>15</v>
      </c>
      <c r="E957" t="s">
        <v>16</v>
      </c>
      <c r="F957" t="s">
        <v>17</v>
      </c>
      <c r="G957" s="2">
        <v>107160.84411090105</v>
      </c>
      <c r="H957" t="str">
        <f>_xlfn.XLOOKUP(Data_Xuất[[#This Row],[Main SKU]],MD_Main_SKU[Main SKU],MD_Main_SKU[SKU name_gom])</f>
        <v>iSS01084</v>
      </c>
    </row>
    <row r="958" spans="1:8" x14ac:dyDescent="0.35">
      <c r="A958">
        <v>2025</v>
      </c>
      <c r="B958">
        <v>10</v>
      </c>
      <c r="C958" t="s">
        <v>14</v>
      </c>
      <c r="D958" t="s">
        <v>15</v>
      </c>
      <c r="E958" t="s">
        <v>18</v>
      </c>
      <c r="F958" t="s">
        <v>19</v>
      </c>
      <c r="G958" s="2">
        <v>70325.077643261582</v>
      </c>
      <c r="H958" t="str">
        <f>_xlfn.XLOOKUP(Data_Xuất[[#This Row],[Main SKU]],MD_Main_SKU[Main SKU],MD_Main_SKU[SKU name_gom])</f>
        <v>iSS01084</v>
      </c>
    </row>
    <row r="959" spans="1:8" x14ac:dyDescent="0.35">
      <c r="A959">
        <v>2025</v>
      </c>
      <c r="B959">
        <v>10</v>
      </c>
      <c r="C959" t="s">
        <v>14</v>
      </c>
      <c r="D959" t="s">
        <v>15</v>
      </c>
      <c r="E959" t="s">
        <v>22</v>
      </c>
      <c r="F959" t="s">
        <v>23</v>
      </c>
      <c r="G959" s="2">
        <v>57914.003387189048</v>
      </c>
      <c r="H959" t="str">
        <f>_xlfn.XLOOKUP(Data_Xuất[[#This Row],[Main SKU]],MD_Main_SKU[Main SKU],MD_Main_SKU[SKU name_gom])</f>
        <v>iSS01084</v>
      </c>
    </row>
    <row r="960" spans="1:8" x14ac:dyDescent="0.35">
      <c r="A960">
        <v>2025</v>
      </c>
      <c r="B960">
        <v>10</v>
      </c>
      <c r="C960" t="s">
        <v>14</v>
      </c>
      <c r="D960" t="s">
        <v>15</v>
      </c>
      <c r="E960" t="s">
        <v>40</v>
      </c>
      <c r="F960" t="s">
        <v>41</v>
      </c>
      <c r="G960" s="2">
        <v>16746.762736313573</v>
      </c>
      <c r="H960" t="str">
        <f>_xlfn.XLOOKUP(Data_Xuất[[#This Row],[Main SKU]],MD_Main_SKU[Main SKU],MD_Main_SKU[SKU name_gom])</f>
        <v>iSS01084</v>
      </c>
    </row>
    <row r="961" spans="1:8" x14ac:dyDescent="0.35">
      <c r="A961">
        <v>2025</v>
      </c>
      <c r="B961">
        <v>10</v>
      </c>
      <c r="C961" t="s">
        <v>14</v>
      </c>
      <c r="D961" t="s">
        <v>15</v>
      </c>
      <c r="E961" t="s">
        <v>38</v>
      </c>
      <c r="F961" t="s">
        <v>39</v>
      </c>
      <c r="G961" s="2">
        <v>60266.898468662119</v>
      </c>
      <c r="H961" t="str">
        <f>_xlfn.XLOOKUP(Data_Xuất[[#This Row],[Main SKU]],MD_Main_SKU[Main SKU],MD_Main_SKU[SKU name_gom])</f>
        <v>iSS01084</v>
      </c>
    </row>
    <row r="962" spans="1:8" x14ac:dyDescent="0.35">
      <c r="A962">
        <v>2025</v>
      </c>
      <c r="B962">
        <v>10</v>
      </c>
      <c r="C962" t="s">
        <v>14</v>
      </c>
      <c r="D962" t="s">
        <v>15</v>
      </c>
      <c r="E962" t="s">
        <v>34</v>
      </c>
      <c r="F962" t="s">
        <v>35</v>
      </c>
      <c r="G962" s="2">
        <v>21211.154022298258</v>
      </c>
      <c r="H962" t="str">
        <f>_xlfn.XLOOKUP(Data_Xuất[[#This Row],[Main SKU]],MD_Main_SKU[Main SKU],MD_Main_SKU[SKU name_gom])</f>
        <v>iSS01084</v>
      </c>
    </row>
    <row r="963" spans="1:8" x14ac:dyDescent="0.35">
      <c r="A963">
        <v>2025</v>
      </c>
      <c r="B963">
        <v>10</v>
      </c>
      <c r="C963" t="s">
        <v>14</v>
      </c>
      <c r="D963" t="s">
        <v>15</v>
      </c>
      <c r="E963" t="s">
        <v>87</v>
      </c>
      <c r="F963" t="s">
        <v>88</v>
      </c>
      <c r="G963" s="2">
        <v>11523.545765283439</v>
      </c>
      <c r="H963" t="str">
        <f>_xlfn.XLOOKUP(Data_Xuất[[#This Row],[Main SKU]],MD_Main_SKU[Main SKU],MD_Main_SKU[SKU name_gom])</f>
        <v>iSS01084</v>
      </c>
    </row>
    <row r="964" spans="1:8" x14ac:dyDescent="0.35">
      <c r="A964">
        <v>2025</v>
      </c>
      <c r="B964">
        <v>10</v>
      </c>
      <c r="C964" t="s">
        <v>14</v>
      </c>
      <c r="D964" t="s">
        <v>15</v>
      </c>
      <c r="E964" t="s">
        <v>91</v>
      </c>
      <c r="F964" t="s">
        <v>92</v>
      </c>
      <c r="G964" s="2">
        <v>1116.4122524275781</v>
      </c>
      <c r="H964" t="str">
        <f>_xlfn.XLOOKUP(Data_Xuất[[#This Row],[Main SKU]],MD_Main_SKU[Main SKU],MD_Main_SKU[SKU name_gom])</f>
        <v>iSS01084</v>
      </c>
    </row>
    <row r="965" spans="1:8" x14ac:dyDescent="0.35">
      <c r="A965">
        <v>2025</v>
      </c>
      <c r="B965">
        <v>10</v>
      </c>
      <c r="C965" t="s">
        <v>14</v>
      </c>
      <c r="D965" t="s">
        <v>15</v>
      </c>
      <c r="E965" t="s">
        <v>93</v>
      </c>
      <c r="F965" t="s">
        <v>94</v>
      </c>
      <c r="G965" s="2">
        <v>720.74311545768853</v>
      </c>
      <c r="H965" t="str">
        <f>_xlfn.XLOOKUP(Data_Xuất[[#This Row],[Main SKU]],MD_Main_SKU[Main SKU],MD_Main_SKU[SKU name_gom])</f>
        <v>iSS01084</v>
      </c>
    </row>
    <row r="966" spans="1:8" x14ac:dyDescent="0.35">
      <c r="A966">
        <v>2025</v>
      </c>
      <c r="B966">
        <v>10</v>
      </c>
      <c r="C966" t="s">
        <v>14</v>
      </c>
      <c r="D966" t="s">
        <v>15</v>
      </c>
      <c r="E966" t="s">
        <v>117</v>
      </c>
      <c r="F966" t="s">
        <v>86</v>
      </c>
      <c r="G966" s="2">
        <v>21253.930818566048</v>
      </c>
      <c r="H966" t="str">
        <f>_xlfn.XLOOKUP(Data_Xuất[[#This Row],[Main SKU]],MD_Main_SKU[Main SKU],MD_Main_SKU[SKU name_gom])</f>
        <v>iSS01084</v>
      </c>
    </row>
    <row r="967" spans="1:8" x14ac:dyDescent="0.35">
      <c r="A967">
        <v>2025</v>
      </c>
      <c r="B967">
        <v>10</v>
      </c>
      <c r="C967" t="s">
        <v>14</v>
      </c>
      <c r="D967" t="s">
        <v>15</v>
      </c>
      <c r="E967" t="s">
        <v>126</v>
      </c>
      <c r="F967" t="s">
        <v>127</v>
      </c>
      <c r="G967" s="2">
        <v>4465.2382226920618</v>
      </c>
      <c r="H967" t="str">
        <f>_xlfn.XLOOKUP(Data_Xuất[[#This Row],[Main SKU]],MD_Main_SKU[Main SKU],MD_Main_SKU[SKU name_gom])</f>
        <v>iSS01084</v>
      </c>
    </row>
    <row r="968" spans="1:8" x14ac:dyDescent="0.35">
      <c r="A968">
        <v>2025</v>
      </c>
      <c r="B968">
        <v>10</v>
      </c>
      <c r="C968" t="s">
        <v>16</v>
      </c>
      <c r="D968" t="s">
        <v>17</v>
      </c>
      <c r="E968" t="s">
        <v>14</v>
      </c>
      <c r="F968" t="s">
        <v>15</v>
      </c>
      <c r="G968" s="2">
        <v>12270.467402778777</v>
      </c>
      <c r="H968" t="str">
        <f>_xlfn.XLOOKUP(Data_Xuất[[#This Row],[Main SKU]],MD_Main_SKU[Main SKU],MD_Main_SKU[SKU name_gom])</f>
        <v>WSS01</v>
      </c>
    </row>
    <row r="969" spans="1:8" x14ac:dyDescent="0.35">
      <c r="A969">
        <v>2025</v>
      </c>
      <c r="B969">
        <v>10</v>
      </c>
      <c r="C969" t="s">
        <v>16</v>
      </c>
      <c r="D969" t="s">
        <v>17</v>
      </c>
      <c r="E969" t="s">
        <v>16</v>
      </c>
      <c r="F969" t="s">
        <v>17</v>
      </c>
      <c r="G969" s="2">
        <v>1950164.7573585256</v>
      </c>
      <c r="H969" t="str">
        <f>_xlfn.XLOOKUP(Data_Xuất[[#This Row],[Main SKU]],MD_Main_SKU[Main SKU],MD_Main_SKU[SKU name_gom])</f>
        <v>WSS01</v>
      </c>
    </row>
    <row r="970" spans="1:8" x14ac:dyDescent="0.35">
      <c r="A970">
        <v>2025</v>
      </c>
      <c r="B970">
        <v>10</v>
      </c>
      <c r="C970" t="s">
        <v>16</v>
      </c>
      <c r="D970" t="s">
        <v>17</v>
      </c>
      <c r="E970" t="s">
        <v>18</v>
      </c>
      <c r="F970" t="s">
        <v>19</v>
      </c>
      <c r="G970" s="2">
        <v>61282.503868790431</v>
      </c>
      <c r="H970" t="str">
        <f>_xlfn.XLOOKUP(Data_Xuất[[#This Row],[Main SKU]],MD_Main_SKU[Main SKU],MD_Main_SKU[SKU name_gom])</f>
        <v>WSS01</v>
      </c>
    </row>
    <row r="971" spans="1:8" x14ac:dyDescent="0.35">
      <c r="A971">
        <v>2025</v>
      </c>
      <c r="B971">
        <v>10</v>
      </c>
      <c r="C971" t="s">
        <v>16</v>
      </c>
      <c r="D971" t="s">
        <v>17</v>
      </c>
      <c r="E971" t="s">
        <v>22</v>
      </c>
      <c r="F971" t="s">
        <v>23</v>
      </c>
      <c r="G971" s="2">
        <v>10045.357355061891</v>
      </c>
      <c r="H971" t="str">
        <f>_xlfn.XLOOKUP(Data_Xuất[[#This Row],[Main SKU]],MD_Main_SKU[Main SKU],MD_Main_SKU[SKU name_gom])</f>
        <v>WSS01</v>
      </c>
    </row>
    <row r="972" spans="1:8" x14ac:dyDescent="0.35">
      <c r="A972">
        <v>2025</v>
      </c>
      <c r="B972">
        <v>10</v>
      </c>
      <c r="C972" t="s">
        <v>16</v>
      </c>
      <c r="D972" t="s">
        <v>17</v>
      </c>
      <c r="E972" t="s">
        <v>40</v>
      </c>
      <c r="F972" t="s">
        <v>41</v>
      </c>
      <c r="G972" s="2">
        <v>22303.28267461979</v>
      </c>
      <c r="H972" t="str">
        <f>_xlfn.XLOOKUP(Data_Xuất[[#This Row],[Main SKU]],MD_Main_SKU[Main SKU],MD_Main_SKU[SKU name_gom])</f>
        <v>WSS01</v>
      </c>
    </row>
    <row r="973" spans="1:8" x14ac:dyDescent="0.35">
      <c r="A973">
        <v>2025</v>
      </c>
      <c r="B973">
        <v>10</v>
      </c>
      <c r="C973" t="s">
        <v>16</v>
      </c>
      <c r="D973" t="s">
        <v>17</v>
      </c>
      <c r="E973" t="s">
        <v>34</v>
      </c>
      <c r="F973" t="s">
        <v>35</v>
      </c>
      <c r="G973" s="2">
        <v>33446.397719715911</v>
      </c>
      <c r="H973" t="str">
        <f>_xlfn.XLOOKUP(Data_Xuất[[#This Row],[Main SKU]],MD_Main_SKU[Main SKU],MD_Main_SKU[SKU name_gom])</f>
        <v>WSS01</v>
      </c>
    </row>
    <row r="974" spans="1:8" x14ac:dyDescent="0.35">
      <c r="A974">
        <v>2025</v>
      </c>
      <c r="B974">
        <v>10</v>
      </c>
      <c r="C974" t="s">
        <v>16</v>
      </c>
      <c r="D974" t="s">
        <v>17</v>
      </c>
      <c r="E974" t="s">
        <v>87</v>
      </c>
      <c r="F974" t="s">
        <v>88</v>
      </c>
      <c r="G974" s="2">
        <v>33425.009055080183</v>
      </c>
      <c r="H974" t="str">
        <f>_xlfn.XLOOKUP(Data_Xuất[[#This Row],[Main SKU]],MD_Main_SKU[Main SKU],MD_Main_SKU[SKU name_gom])</f>
        <v>WSS01</v>
      </c>
    </row>
    <row r="975" spans="1:8" x14ac:dyDescent="0.35">
      <c r="A975">
        <v>2025</v>
      </c>
      <c r="B975">
        <v>10</v>
      </c>
      <c r="C975" t="s">
        <v>16</v>
      </c>
      <c r="D975" t="s">
        <v>17</v>
      </c>
      <c r="E975" t="s">
        <v>91</v>
      </c>
      <c r="F975" t="s">
        <v>92</v>
      </c>
      <c r="G975" s="2">
        <v>913.70558375634516</v>
      </c>
      <c r="H975" t="str">
        <f>_xlfn.XLOOKUP(Data_Xuất[[#This Row],[Main SKU]],MD_Main_SKU[Main SKU],MD_Main_SKU[SKU name_gom])</f>
        <v>WSS01</v>
      </c>
    </row>
    <row r="976" spans="1:8" x14ac:dyDescent="0.35">
      <c r="A976">
        <v>2025</v>
      </c>
      <c r="B976">
        <v>10</v>
      </c>
      <c r="C976" t="s">
        <v>16</v>
      </c>
      <c r="D976" t="s">
        <v>17</v>
      </c>
      <c r="E976" t="s">
        <v>93</v>
      </c>
      <c r="F976" t="s">
        <v>94</v>
      </c>
      <c r="G976" s="2">
        <v>253.80710659898477</v>
      </c>
      <c r="H976" t="str">
        <f>_xlfn.XLOOKUP(Data_Xuất[[#This Row],[Main SKU]],MD_Main_SKU[Main SKU],MD_Main_SKU[SKU name_gom])</f>
        <v>WSS01</v>
      </c>
    </row>
    <row r="977" spans="1:8" x14ac:dyDescent="0.35">
      <c r="A977">
        <v>2025</v>
      </c>
      <c r="B977">
        <v>10</v>
      </c>
      <c r="C977" t="s">
        <v>16</v>
      </c>
      <c r="D977" t="s">
        <v>17</v>
      </c>
      <c r="E977" t="s">
        <v>117</v>
      </c>
      <c r="F977" t="s">
        <v>86</v>
      </c>
      <c r="G977" s="2">
        <v>28042.412637311343</v>
      </c>
      <c r="H977" t="str">
        <f>_xlfn.XLOOKUP(Data_Xuất[[#This Row],[Main SKU]],MD_Main_SKU[Main SKU],MD_Main_SKU[SKU name_gom])</f>
        <v>WSS01</v>
      </c>
    </row>
    <row r="978" spans="1:8" x14ac:dyDescent="0.35">
      <c r="A978">
        <v>2025</v>
      </c>
      <c r="B978">
        <v>10</v>
      </c>
      <c r="C978" t="s">
        <v>16</v>
      </c>
      <c r="D978" t="s">
        <v>17</v>
      </c>
      <c r="E978" t="s">
        <v>128</v>
      </c>
      <c r="F978" t="s">
        <v>129</v>
      </c>
      <c r="G978" s="2">
        <v>23419.299237760777</v>
      </c>
      <c r="H978" t="str">
        <f>_xlfn.XLOOKUP(Data_Xuất[[#This Row],[Main SKU]],MD_Main_SKU[Main SKU],MD_Main_SKU[SKU name_gom])</f>
        <v>WSS01</v>
      </c>
    </row>
    <row r="979" spans="1:8" x14ac:dyDescent="0.35">
      <c r="A979">
        <v>2025</v>
      </c>
      <c r="B979">
        <v>10</v>
      </c>
      <c r="C979" t="s">
        <v>22</v>
      </c>
      <c r="D979" t="s">
        <v>23</v>
      </c>
      <c r="E979" t="s">
        <v>34</v>
      </c>
      <c r="F979" t="s">
        <v>35</v>
      </c>
      <c r="G979" s="2">
        <v>33502.538071065988</v>
      </c>
      <c r="H979" t="str">
        <f>_xlfn.XLOOKUP(Data_Xuất[[#This Row],[Main SKU]],MD_Main_SKU[Main SKU],MD_Main_SKU[SKU name_gom])</f>
        <v>WSS03</v>
      </c>
    </row>
    <row r="980" spans="1:8" x14ac:dyDescent="0.35">
      <c r="A980">
        <v>2025</v>
      </c>
      <c r="B980">
        <v>10</v>
      </c>
      <c r="C980" t="s">
        <v>22</v>
      </c>
      <c r="D980" t="s">
        <v>23</v>
      </c>
      <c r="E980" t="s">
        <v>87</v>
      </c>
      <c r="F980" t="s">
        <v>88</v>
      </c>
      <c r="G980" s="2">
        <v>3248.7309644670049</v>
      </c>
      <c r="H980" t="str">
        <f>_xlfn.XLOOKUP(Data_Xuất[[#This Row],[Main SKU]],MD_Main_SKU[Main SKU],MD_Main_SKU[SKU name_gom])</f>
        <v>WSS03</v>
      </c>
    </row>
    <row r="981" spans="1:8" x14ac:dyDescent="0.35">
      <c r="A981">
        <v>2025</v>
      </c>
      <c r="B981">
        <v>10</v>
      </c>
      <c r="C981" t="s">
        <v>22</v>
      </c>
      <c r="D981" t="s">
        <v>23</v>
      </c>
      <c r="E981" t="s">
        <v>117</v>
      </c>
      <c r="F981" t="s">
        <v>86</v>
      </c>
      <c r="G981" s="2">
        <v>3248.7309644670049</v>
      </c>
      <c r="H981" t="str">
        <f>_xlfn.XLOOKUP(Data_Xuất[[#This Row],[Main SKU]],MD_Main_SKU[Main SKU],MD_Main_SKU[SKU name_gom])</f>
        <v>WSS03</v>
      </c>
    </row>
    <row r="982" spans="1:8" x14ac:dyDescent="0.35">
      <c r="A982">
        <v>2025</v>
      </c>
      <c r="B982">
        <v>10</v>
      </c>
      <c r="C982" t="s">
        <v>26</v>
      </c>
      <c r="D982" t="s">
        <v>27</v>
      </c>
      <c r="E982" t="s">
        <v>26</v>
      </c>
      <c r="F982" t="s">
        <v>27</v>
      </c>
      <c r="G982" s="2">
        <v>113750.48879649793</v>
      </c>
      <c r="H982" t="str">
        <f>_xlfn.XLOOKUP(Data_Xuất[[#This Row],[Main SKU]],MD_Main_SKU[Main SKU],MD_Main_SKU[SKU name_gom])</f>
        <v>iSS01</v>
      </c>
    </row>
    <row r="983" spans="1:8" x14ac:dyDescent="0.35">
      <c r="A983">
        <v>2025</v>
      </c>
      <c r="B983">
        <v>10</v>
      </c>
      <c r="C983" t="s">
        <v>26</v>
      </c>
      <c r="D983" t="s">
        <v>27</v>
      </c>
      <c r="E983" t="s">
        <v>50</v>
      </c>
      <c r="F983" t="s">
        <v>51</v>
      </c>
      <c r="G983" s="2">
        <v>12246.110425296498</v>
      </c>
      <c r="H983" t="str">
        <f>_xlfn.XLOOKUP(Data_Xuất[[#This Row],[Main SKU]],MD_Main_SKU[Main SKU],MD_Main_SKU[SKU name_gom])</f>
        <v>iSS01</v>
      </c>
    </row>
    <row r="984" spans="1:8" x14ac:dyDescent="0.35">
      <c r="A984">
        <v>2025</v>
      </c>
      <c r="B984">
        <v>10</v>
      </c>
      <c r="C984" t="s">
        <v>26</v>
      </c>
      <c r="D984" t="s">
        <v>27</v>
      </c>
      <c r="E984" t="s">
        <v>87</v>
      </c>
      <c r="F984" t="s">
        <v>88</v>
      </c>
      <c r="G984" s="2">
        <v>4371.3108035165351</v>
      </c>
      <c r="H984" t="str">
        <f>_xlfn.XLOOKUP(Data_Xuất[[#This Row],[Main SKU]],MD_Main_SKU[Main SKU],MD_Main_SKU[SKU name_gom])</f>
        <v>iSS01</v>
      </c>
    </row>
    <row r="985" spans="1:8" x14ac:dyDescent="0.35">
      <c r="A985">
        <v>2025</v>
      </c>
      <c r="B985">
        <v>10</v>
      </c>
      <c r="C985" t="s">
        <v>26</v>
      </c>
      <c r="D985" t="s">
        <v>27</v>
      </c>
      <c r="E985" t="s">
        <v>91</v>
      </c>
      <c r="F985" t="s">
        <v>92</v>
      </c>
      <c r="G985" s="2">
        <v>2216.8582375478927</v>
      </c>
      <c r="H985" t="str">
        <f>_xlfn.XLOOKUP(Data_Xuất[[#This Row],[Main SKU]],MD_Main_SKU[Main SKU],MD_Main_SKU[SKU name_gom])</f>
        <v>iSS01</v>
      </c>
    </row>
    <row r="986" spans="1:8" x14ac:dyDescent="0.35">
      <c r="A986">
        <v>2025</v>
      </c>
      <c r="B986">
        <v>10</v>
      </c>
      <c r="C986" t="s">
        <v>26</v>
      </c>
      <c r="D986" t="s">
        <v>27</v>
      </c>
      <c r="E986" t="s">
        <v>117</v>
      </c>
      <c r="F986" t="s">
        <v>86</v>
      </c>
      <c r="G986" s="2">
        <v>2736.3179774447294</v>
      </c>
      <c r="H986" t="str">
        <f>_xlfn.XLOOKUP(Data_Xuất[[#This Row],[Main SKU]],MD_Main_SKU[Main SKU],MD_Main_SKU[SKU name_gom])</f>
        <v>iSS01</v>
      </c>
    </row>
    <row r="987" spans="1:8" x14ac:dyDescent="0.35">
      <c r="A987">
        <v>2025</v>
      </c>
      <c r="B987">
        <v>10</v>
      </c>
      <c r="C987" t="s">
        <v>26</v>
      </c>
      <c r="D987" t="s">
        <v>27</v>
      </c>
      <c r="E987" t="s">
        <v>132</v>
      </c>
      <c r="F987" t="s">
        <v>133</v>
      </c>
      <c r="G987" s="2">
        <v>2225.9137596964001</v>
      </c>
      <c r="H987" t="str">
        <f>_xlfn.XLOOKUP(Data_Xuất[[#This Row],[Main SKU]],MD_Main_SKU[Main SKU],MD_Main_SKU[SKU name_gom])</f>
        <v>iSS01</v>
      </c>
    </row>
    <row r="988" spans="1:8" x14ac:dyDescent="0.35">
      <c r="A988">
        <v>2025</v>
      </c>
      <c r="B988">
        <v>10</v>
      </c>
      <c r="C988" t="s">
        <v>115</v>
      </c>
      <c r="D988" t="s">
        <v>116</v>
      </c>
      <c r="E988" t="s">
        <v>115</v>
      </c>
      <c r="F988" t="s">
        <v>116</v>
      </c>
      <c r="G988" s="2">
        <v>262248.45696468884</v>
      </c>
      <c r="H988" t="str">
        <f>_xlfn.XLOOKUP(Data_Xuất[[#This Row],[Main SKU]],MD_Main_SKU[Main SKU],MD_Main_SKU[SKU name_gom])</f>
        <v>WSS05</v>
      </c>
    </row>
    <row r="989" spans="1:8" x14ac:dyDescent="0.35">
      <c r="A989">
        <v>2025</v>
      </c>
      <c r="B989">
        <v>10</v>
      </c>
      <c r="C989" t="s">
        <v>115</v>
      </c>
      <c r="D989" t="s">
        <v>116</v>
      </c>
      <c r="E989" t="s">
        <v>124</v>
      </c>
      <c r="F989" t="s">
        <v>125</v>
      </c>
      <c r="G989" s="2">
        <v>44259.610902064094</v>
      </c>
      <c r="H989" t="str">
        <f>_xlfn.XLOOKUP(Data_Xuất[[#This Row],[Main SKU]],MD_Main_SKU[Main SKU],MD_Main_SKU[SKU name_gom])</f>
        <v>WSS05</v>
      </c>
    </row>
    <row r="990" spans="1:8" x14ac:dyDescent="0.35">
      <c r="A990">
        <v>2025</v>
      </c>
      <c r="B990">
        <v>10</v>
      </c>
      <c r="C990" t="s">
        <v>115</v>
      </c>
      <c r="D990" t="s">
        <v>116</v>
      </c>
      <c r="E990" t="s">
        <v>87</v>
      </c>
      <c r="F990" t="s">
        <v>88</v>
      </c>
      <c r="G990" s="2">
        <v>4903.1233154133624</v>
      </c>
      <c r="H990" t="str">
        <f>_xlfn.XLOOKUP(Data_Xuất[[#This Row],[Main SKU]],MD_Main_SKU[Main SKU],MD_Main_SKU[SKU name_gom])</f>
        <v>WSS05</v>
      </c>
    </row>
    <row r="991" spans="1:8" x14ac:dyDescent="0.35">
      <c r="A991">
        <v>2025</v>
      </c>
      <c r="B991">
        <v>10</v>
      </c>
      <c r="C991" t="s">
        <v>115</v>
      </c>
      <c r="D991" t="s">
        <v>116</v>
      </c>
      <c r="E991" t="s">
        <v>117</v>
      </c>
      <c r="F991" t="s">
        <v>86</v>
      </c>
      <c r="G991" s="2">
        <v>6156.808817833662</v>
      </c>
      <c r="H991" t="str">
        <f>_xlfn.XLOOKUP(Data_Xuất[[#This Row],[Main SKU]],MD_Main_SKU[Main SKU],MD_Main_SKU[SKU name_gom])</f>
        <v>WSS05</v>
      </c>
    </row>
    <row r="992" spans="1:8" x14ac:dyDescent="0.35">
      <c r="A992">
        <v>2025</v>
      </c>
      <c r="B992">
        <v>10</v>
      </c>
      <c r="C992" t="s">
        <v>48</v>
      </c>
      <c r="D992" t="s">
        <v>49</v>
      </c>
      <c r="E992" t="s">
        <v>16</v>
      </c>
      <c r="F992" t="s">
        <v>17</v>
      </c>
      <c r="G992" s="2">
        <v>34571.101981347645</v>
      </c>
      <c r="H992" t="str">
        <f>_xlfn.XLOOKUP(Data_Xuất[[#This Row],[Main SKU]],MD_Main_SKU[Main SKU],MD_Main_SKU[SKU name_gom])</f>
        <v>WSS01</v>
      </c>
    </row>
    <row r="993" spans="1:8" x14ac:dyDescent="0.35">
      <c r="A993">
        <v>2025</v>
      </c>
      <c r="B993">
        <v>10</v>
      </c>
      <c r="C993" t="s">
        <v>48</v>
      </c>
      <c r="D993" t="s">
        <v>49</v>
      </c>
      <c r="E993" t="s">
        <v>22</v>
      </c>
      <c r="F993" t="s">
        <v>23</v>
      </c>
      <c r="G993" s="2">
        <v>1112.5</v>
      </c>
      <c r="H993" t="str">
        <f>_xlfn.XLOOKUP(Data_Xuất[[#This Row],[Main SKU]],MD_Main_SKU[Main SKU],MD_Main_SKU[SKU name_gom])</f>
        <v>WSS01</v>
      </c>
    </row>
    <row r="994" spans="1:8" x14ac:dyDescent="0.35">
      <c r="A994">
        <v>2025</v>
      </c>
      <c r="B994">
        <v>10</v>
      </c>
      <c r="C994" t="s">
        <v>48</v>
      </c>
      <c r="D994" t="s">
        <v>49</v>
      </c>
      <c r="E994" t="s">
        <v>40</v>
      </c>
      <c r="F994" t="s">
        <v>41</v>
      </c>
      <c r="G994" s="2">
        <v>1116.6194523135034</v>
      </c>
      <c r="H994" t="str">
        <f>_xlfn.XLOOKUP(Data_Xuất[[#This Row],[Main SKU]],MD_Main_SKU[Main SKU],MD_Main_SKU[SKU name_gom])</f>
        <v>WSS01</v>
      </c>
    </row>
    <row r="995" spans="1:8" x14ac:dyDescent="0.35">
      <c r="A995">
        <v>2025</v>
      </c>
      <c r="B995">
        <v>10</v>
      </c>
      <c r="C995" t="s">
        <v>48</v>
      </c>
      <c r="D995" t="s">
        <v>49</v>
      </c>
      <c r="E995" t="s">
        <v>48</v>
      </c>
      <c r="F995" t="s">
        <v>49</v>
      </c>
      <c r="G995" s="2">
        <v>109224.30584349</v>
      </c>
      <c r="H995" t="str">
        <f>_xlfn.XLOOKUP(Data_Xuất[[#This Row],[Main SKU]],MD_Main_SKU[Main SKU],MD_Main_SKU[SKU name_gom])</f>
        <v>WSS01</v>
      </c>
    </row>
    <row r="996" spans="1:8" x14ac:dyDescent="0.35">
      <c r="A996">
        <v>2025</v>
      </c>
      <c r="B996">
        <v>10</v>
      </c>
      <c r="C996" t="s">
        <v>48</v>
      </c>
      <c r="D996" t="s">
        <v>49</v>
      </c>
      <c r="E996" t="s">
        <v>60</v>
      </c>
      <c r="F996" t="s">
        <v>61</v>
      </c>
      <c r="G996" s="2">
        <v>1116.6194523135034</v>
      </c>
      <c r="H996" t="str">
        <f>_xlfn.XLOOKUP(Data_Xuất[[#This Row],[Main SKU]],MD_Main_SKU[Main SKU],MD_Main_SKU[SKU name_gom])</f>
        <v>WSS01</v>
      </c>
    </row>
    <row r="997" spans="1:8" x14ac:dyDescent="0.35">
      <c r="A997">
        <v>2025</v>
      </c>
      <c r="B997">
        <v>10</v>
      </c>
      <c r="C997" t="s">
        <v>48</v>
      </c>
      <c r="D997" t="s">
        <v>49</v>
      </c>
      <c r="E997" t="s">
        <v>87</v>
      </c>
      <c r="F997" t="s">
        <v>88</v>
      </c>
      <c r="G997" s="2">
        <v>2037.9278981792061</v>
      </c>
      <c r="H997" t="str">
        <f>_xlfn.XLOOKUP(Data_Xuất[[#This Row],[Main SKU]],MD_Main_SKU[Main SKU],MD_Main_SKU[SKU name_gom])</f>
        <v>WSS01</v>
      </c>
    </row>
    <row r="998" spans="1:8" x14ac:dyDescent="0.35">
      <c r="A998">
        <v>2025</v>
      </c>
      <c r="B998">
        <v>10</v>
      </c>
      <c r="C998" t="s">
        <v>48</v>
      </c>
      <c r="D998" t="s">
        <v>49</v>
      </c>
      <c r="E998" t="s">
        <v>117</v>
      </c>
      <c r="F998" t="s">
        <v>86</v>
      </c>
      <c r="G998" s="2">
        <v>3420.925372356141</v>
      </c>
      <c r="H998" t="str">
        <f>_xlfn.XLOOKUP(Data_Xuất[[#This Row],[Main SKU]],MD_Main_SKU[Main SKU],MD_Main_SKU[SKU name_gom])</f>
        <v>WSS01</v>
      </c>
    </row>
    <row r="999" spans="1:8" x14ac:dyDescent="0.35">
      <c r="A999">
        <v>2025</v>
      </c>
      <c r="B999">
        <v>10</v>
      </c>
      <c r="C999" t="s">
        <v>136</v>
      </c>
      <c r="D999" t="s">
        <v>137</v>
      </c>
      <c r="E999" t="s">
        <v>136</v>
      </c>
      <c r="F999" t="s">
        <v>137</v>
      </c>
      <c r="G999" s="2">
        <v>1943.8775510204082</v>
      </c>
      <c r="H999" t="str">
        <f>_xlfn.XLOOKUP(Data_Xuất[[#This Row],[Main SKU]],MD_Main_SKU[Main SKU],MD_Main_SKU[SKU name_gom])</f>
        <v>Khác</v>
      </c>
    </row>
    <row r="1000" spans="1:8" x14ac:dyDescent="0.35">
      <c r="A1000">
        <v>2025</v>
      </c>
      <c r="B1000">
        <v>10</v>
      </c>
      <c r="C1000" t="s">
        <v>136</v>
      </c>
      <c r="D1000" t="s">
        <v>137</v>
      </c>
      <c r="E1000" t="s">
        <v>87</v>
      </c>
      <c r="F1000" t="s">
        <v>88</v>
      </c>
      <c r="G1000" s="2">
        <v>56.122448979591837</v>
      </c>
      <c r="H1000" t="str">
        <f>_xlfn.XLOOKUP(Data_Xuất[[#This Row],[Main SKU]],MD_Main_SKU[Main SKU],MD_Main_SKU[SKU name_gom])</f>
        <v>Khác</v>
      </c>
    </row>
    <row r="1001" spans="1:8" x14ac:dyDescent="0.35">
      <c r="A1001">
        <v>2025</v>
      </c>
      <c r="B1001">
        <v>11</v>
      </c>
      <c r="C1001" t="s">
        <v>8</v>
      </c>
      <c r="D1001" t="s">
        <v>9</v>
      </c>
      <c r="E1001" t="s">
        <v>8</v>
      </c>
      <c r="F1001" t="s">
        <v>9</v>
      </c>
      <c r="G1001" s="2">
        <v>123946.43143605776</v>
      </c>
      <c r="H1001" t="str">
        <f>_xlfn.XLOOKUP(Data_Xuất[[#This Row],[Main SKU]],MD_Main_SKU[Main SKU],MD_Main_SKU[SKU name_gom])</f>
        <v>WSS01</v>
      </c>
    </row>
    <row r="1002" spans="1:8" x14ac:dyDescent="0.35">
      <c r="A1002">
        <v>2025</v>
      </c>
      <c r="B1002">
        <v>11</v>
      </c>
      <c r="C1002" t="s">
        <v>8</v>
      </c>
      <c r="D1002" t="s">
        <v>9</v>
      </c>
      <c r="E1002" t="s">
        <v>22</v>
      </c>
      <c r="F1002" t="s">
        <v>23</v>
      </c>
      <c r="G1002" s="2">
        <v>3349.7042451787438</v>
      </c>
      <c r="H1002" t="str">
        <f>_xlfn.XLOOKUP(Data_Xuất[[#This Row],[Main SKU]],MD_Main_SKU[Main SKU],MD_Main_SKU[SKU name_gom])</f>
        <v>WSS01</v>
      </c>
    </row>
    <row r="1003" spans="1:8" x14ac:dyDescent="0.35">
      <c r="A1003">
        <v>2025</v>
      </c>
      <c r="B1003">
        <v>11</v>
      </c>
      <c r="C1003" t="s">
        <v>8</v>
      </c>
      <c r="D1003" t="s">
        <v>9</v>
      </c>
      <c r="E1003" t="s">
        <v>34</v>
      </c>
      <c r="F1003" t="s">
        <v>35</v>
      </c>
      <c r="G1003" s="2">
        <v>4465.9081607595972</v>
      </c>
      <c r="H1003" t="str">
        <f>_xlfn.XLOOKUP(Data_Xuất[[#This Row],[Main SKU]],MD_Main_SKU[Main SKU],MD_Main_SKU[SKU name_gom])</f>
        <v>WSS01</v>
      </c>
    </row>
    <row r="1004" spans="1:8" x14ac:dyDescent="0.35">
      <c r="A1004">
        <v>2025</v>
      </c>
      <c r="B1004">
        <v>11</v>
      </c>
      <c r="C1004" t="s">
        <v>8</v>
      </c>
      <c r="D1004" t="s">
        <v>9</v>
      </c>
      <c r="E1004" t="s">
        <v>36</v>
      </c>
      <c r="F1004" t="s">
        <v>37</v>
      </c>
      <c r="G1004" s="2">
        <v>1116.4770401898993</v>
      </c>
      <c r="H1004" t="str">
        <f>_xlfn.XLOOKUP(Data_Xuất[[#This Row],[Main SKU]],MD_Main_SKU[Main SKU],MD_Main_SKU[SKU name_gom])</f>
        <v>WSS01</v>
      </c>
    </row>
    <row r="1005" spans="1:8" x14ac:dyDescent="0.35">
      <c r="A1005">
        <v>2025</v>
      </c>
      <c r="B1005">
        <v>11</v>
      </c>
      <c r="C1005" t="s">
        <v>8</v>
      </c>
      <c r="D1005" t="s">
        <v>9</v>
      </c>
      <c r="E1005" t="s">
        <v>87</v>
      </c>
      <c r="F1005" t="s">
        <v>88</v>
      </c>
      <c r="G1005" s="2">
        <v>710.57229249645047</v>
      </c>
      <c r="H1005" t="str">
        <f>_xlfn.XLOOKUP(Data_Xuất[[#This Row],[Main SKU]],MD_Main_SKU[Main SKU],MD_Main_SKU[SKU name_gom])</f>
        <v>WSS01</v>
      </c>
    </row>
    <row r="1006" spans="1:8" x14ac:dyDescent="0.35">
      <c r="A1006">
        <v>2025</v>
      </c>
      <c r="B1006">
        <v>11</v>
      </c>
      <c r="C1006" t="s">
        <v>8</v>
      </c>
      <c r="D1006" t="s">
        <v>9</v>
      </c>
      <c r="E1006" t="s">
        <v>91</v>
      </c>
      <c r="F1006" t="s">
        <v>92</v>
      </c>
      <c r="G1006" s="2">
        <v>1116.7501647989452</v>
      </c>
      <c r="H1006" t="str">
        <f>_xlfn.XLOOKUP(Data_Xuất[[#This Row],[Main SKU]],MD_Main_SKU[Main SKU],MD_Main_SKU[SKU name_gom])</f>
        <v>WSS01</v>
      </c>
    </row>
    <row r="1007" spans="1:8" x14ac:dyDescent="0.35">
      <c r="A1007">
        <v>2025</v>
      </c>
      <c r="B1007">
        <v>11</v>
      </c>
      <c r="C1007" t="s">
        <v>8</v>
      </c>
      <c r="D1007" t="s">
        <v>9</v>
      </c>
      <c r="E1007" t="s">
        <v>93</v>
      </c>
      <c r="F1007" t="s">
        <v>94</v>
      </c>
      <c r="G1007" s="2">
        <v>507.61371127224788</v>
      </c>
      <c r="H1007" t="str">
        <f>_xlfn.XLOOKUP(Data_Xuất[[#This Row],[Main SKU]],MD_Main_SKU[Main SKU],MD_Main_SKU[SKU name_gom])</f>
        <v>WSS01</v>
      </c>
    </row>
    <row r="1008" spans="1:8" x14ac:dyDescent="0.35">
      <c r="A1008">
        <v>2025</v>
      </c>
      <c r="B1008">
        <v>11</v>
      </c>
      <c r="C1008" t="s">
        <v>8</v>
      </c>
      <c r="D1008" t="s">
        <v>9</v>
      </c>
      <c r="E1008" t="s">
        <v>117</v>
      </c>
      <c r="F1008" t="s">
        <v>86</v>
      </c>
      <c r="G1008" s="2">
        <v>2674.7927844474043</v>
      </c>
      <c r="H1008" t="str">
        <f>_xlfn.XLOOKUP(Data_Xuất[[#This Row],[Main SKU]],MD_Main_SKU[Main SKU],MD_Main_SKU[SKU name_gom])</f>
        <v>WSS01</v>
      </c>
    </row>
    <row r="1009" spans="1:8" x14ac:dyDescent="0.35">
      <c r="A1009">
        <v>2025</v>
      </c>
      <c r="B1009">
        <v>11</v>
      </c>
      <c r="C1009" t="s">
        <v>8</v>
      </c>
      <c r="D1009" t="s">
        <v>9</v>
      </c>
      <c r="E1009" t="s">
        <v>134</v>
      </c>
      <c r="F1009" t="s">
        <v>135</v>
      </c>
      <c r="G1009" s="2">
        <v>1116.7501647989452</v>
      </c>
      <c r="H1009" t="str">
        <f>_xlfn.XLOOKUP(Data_Xuất[[#This Row],[Main SKU]],MD_Main_SKU[Main SKU],MD_Main_SKU[SKU name_gom])</f>
        <v>WSS01</v>
      </c>
    </row>
    <row r="1010" spans="1:8" x14ac:dyDescent="0.35">
      <c r="A1010">
        <v>2025</v>
      </c>
      <c r="B1010">
        <v>11</v>
      </c>
      <c r="C1010" t="s">
        <v>14</v>
      </c>
      <c r="D1010" t="s">
        <v>15</v>
      </c>
      <c r="E1010" t="s">
        <v>14</v>
      </c>
      <c r="F1010" t="s">
        <v>15</v>
      </c>
      <c r="G1010" s="2">
        <v>1029019.7221631813</v>
      </c>
      <c r="H1010" t="str">
        <f>_xlfn.XLOOKUP(Data_Xuất[[#This Row],[Main SKU]],MD_Main_SKU[Main SKU],MD_Main_SKU[SKU name_gom])</f>
        <v>iSS01084</v>
      </c>
    </row>
    <row r="1011" spans="1:8" x14ac:dyDescent="0.35">
      <c r="A1011">
        <v>2025</v>
      </c>
      <c r="B1011">
        <v>11</v>
      </c>
      <c r="C1011" t="s">
        <v>14</v>
      </c>
      <c r="D1011" t="s">
        <v>15</v>
      </c>
      <c r="E1011" t="s">
        <v>16</v>
      </c>
      <c r="F1011" t="s">
        <v>17</v>
      </c>
      <c r="G1011" s="2">
        <v>12283.137956263836</v>
      </c>
      <c r="H1011" t="str">
        <f>_xlfn.XLOOKUP(Data_Xuất[[#This Row],[Main SKU]],MD_Main_SKU[Main SKU],MD_Main_SKU[SKU name_gom])</f>
        <v>iSS01084</v>
      </c>
    </row>
    <row r="1012" spans="1:8" x14ac:dyDescent="0.35">
      <c r="A1012">
        <v>2025</v>
      </c>
      <c r="B1012">
        <v>11</v>
      </c>
      <c r="C1012" t="s">
        <v>14</v>
      </c>
      <c r="D1012" t="s">
        <v>15</v>
      </c>
      <c r="E1012" t="s">
        <v>18</v>
      </c>
      <c r="F1012" t="s">
        <v>19</v>
      </c>
      <c r="G1012" s="2">
        <v>20099.565253839115</v>
      </c>
      <c r="H1012" t="str">
        <f>_xlfn.XLOOKUP(Data_Xuất[[#This Row],[Main SKU]],MD_Main_SKU[Main SKU],MD_Main_SKU[SKU name_gom])</f>
        <v>iSS01084</v>
      </c>
    </row>
    <row r="1013" spans="1:8" x14ac:dyDescent="0.35">
      <c r="A1013">
        <v>2025</v>
      </c>
      <c r="B1013">
        <v>11</v>
      </c>
      <c r="C1013" t="s">
        <v>14</v>
      </c>
      <c r="D1013" t="s">
        <v>15</v>
      </c>
      <c r="E1013" t="s">
        <v>22</v>
      </c>
      <c r="F1013" t="s">
        <v>23</v>
      </c>
      <c r="G1013" s="2">
        <v>80399.651912649584</v>
      </c>
      <c r="H1013" t="str">
        <f>_xlfn.XLOOKUP(Data_Xuất[[#This Row],[Main SKU]],MD_Main_SKU[Main SKU],MD_Main_SKU[SKU name_gom])</f>
        <v>iSS01084</v>
      </c>
    </row>
    <row r="1014" spans="1:8" x14ac:dyDescent="0.35">
      <c r="A1014">
        <v>2025</v>
      </c>
      <c r="B1014">
        <v>11</v>
      </c>
      <c r="C1014" t="s">
        <v>14</v>
      </c>
      <c r="D1014" t="s">
        <v>15</v>
      </c>
      <c r="E1014" t="s">
        <v>38</v>
      </c>
      <c r="F1014" t="s">
        <v>39</v>
      </c>
      <c r="G1014" s="2">
        <v>2233.4582571210781</v>
      </c>
      <c r="H1014" t="str">
        <f>_xlfn.XLOOKUP(Data_Xuất[[#This Row],[Main SKU]],MD_Main_SKU[Main SKU],MD_Main_SKU[SKU name_gom])</f>
        <v>iSS01084</v>
      </c>
    </row>
    <row r="1015" spans="1:8" x14ac:dyDescent="0.35">
      <c r="A1015">
        <v>2025</v>
      </c>
      <c r="B1015">
        <v>11</v>
      </c>
      <c r="C1015" t="s">
        <v>14</v>
      </c>
      <c r="D1015" t="s">
        <v>15</v>
      </c>
      <c r="E1015" t="s">
        <v>34</v>
      </c>
      <c r="F1015" t="s">
        <v>35</v>
      </c>
      <c r="G1015" s="2">
        <v>7817.3557918207371</v>
      </c>
      <c r="H1015" t="str">
        <f>_xlfn.XLOOKUP(Data_Xuất[[#This Row],[Main SKU]],MD_Main_SKU[Main SKU],MD_Main_SKU[SKU name_gom])</f>
        <v>iSS01084</v>
      </c>
    </row>
    <row r="1016" spans="1:8" x14ac:dyDescent="0.35">
      <c r="A1016">
        <v>2025</v>
      </c>
      <c r="B1016">
        <v>11</v>
      </c>
      <c r="C1016" t="s">
        <v>14</v>
      </c>
      <c r="D1016" t="s">
        <v>15</v>
      </c>
      <c r="E1016" t="s">
        <v>87</v>
      </c>
      <c r="F1016" t="s">
        <v>88</v>
      </c>
      <c r="G1016" s="2">
        <v>5725.3081775506234</v>
      </c>
      <c r="H1016" t="str">
        <f>_xlfn.XLOOKUP(Data_Xuất[[#This Row],[Main SKU]],MD_Main_SKU[Main SKU],MD_Main_SKU[SKU name_gom])</f>
        <v>iSS01084</v>
      </c>
    </row>
    <row r="1017" spans="1:8" x14ac:dyDescent="0.35">
      <c r="A1017">
        <v>2025</v>
      </c>
      <c r="B1017">
        <v>11</v>
      </c>
      <c r="C1017" t="s">
        <v>14</v>
      </c>
      <c r="D1017" t="s">
        <v>15</v>
      </c>
      <c r="E1017" t="s">
        <v>91</v>
      </c>
      <c r="F1017" t="s">
        <v>92</v>
      </c>
      <c r="G1017" s="2">
        <v>1116.6855960223115</v>
      </c>
      <c r="H1017" t="str">
        <f>_xlfn.XLOOKUP(Data_Xuất[[#This Row],[Main SKU]],MD_Main_SKU[Main SKU],MD_Main_SKU[SKU name_gom])</f>
        <v>iSS01084</v>
      </c>
    </row>
    <row r="1018" spans="1:8" x14ac:dyDescent="0.35">
      <c r="A1018">
        <v>2025</v>
      </c>
      <c r="B1018">
        <v>11</v>
      </c>
      <c r="C1018" t="s">
        <v>14</v>
      </c>
      <c r="D1018" t="s">
        <v>15</v>
      </c>
      <c r="E1018" t="s">
        <v>93</v>
      </c>
      <c r="F1018" t="s">
        <v>94</v>
      </c>
      <c r="G1018" s="2">
        <v>608.98072281337363</v>
      </c>
      <c r="H1018" t="str">
        <f>_xlfn.XLOOKUP(Data_Xuất[[#This Row],[Main SKU]],MD_Main_SKU[Main SKU],MD_Main_SKU[SKU name_gom])</f>
        <v>iSS01084</v>
      </c>
    </row>
    <row r="1019" spans="1:8" x14ac:dyDescent="0.35">
      <c r="A1019">
        <v>2025</v>
      </c>
      <c r="B1019">
        <v>11</v>
      </c>
      <c r="C1019" t="s">
        <v>14</v>
      </c>
      <c r="D1019" t="s">
        <v>15</v>
      </c>
      <c r="E1019" t="s">
        <v>117</v>
      </c>
      <c r="F1019" t="s">
        <v>86</v>
      </c>
      <c r="G1019" s="2">
        <v>15349.373108266336</v>
      </c>
      <c r="H1019" t="str">
        <f>_xlfn.XLOOKUP(Data_Xuất[[#This Row],[Main SKU]],MD_Main_SKU[Main SKU],MD_Main_SKU[SKU name_gom])</f>
        <v>iSS01084</v>
      </c>
    </row>
    <row r="1020" spans="1:8" x14ac:dyDescent="0.35">
      <c r="A1020">
        <v>2025</v>
      </c>
      <c r="B1020">
        <v>11</v>
      </c>
      <c r="C1020" t="s">
        <v>14</v>
      </c>
      <c r="D1020" t="s">
        <v>15</v>
      </c>
      <c r="E1020" t="s">
        <v>126</v>
      </c>
      <c r="F1020" t="s">
        <v>127</v>
      </c>
      <c r="G1020" s="2">
        <v>4466.7610604718611</v>
      </c>
      <c r="H1020" t="str">
        <f>_xlfn.XLOOKUP(Data_Xuất[[#This Row],[Main SKU]],MD_Main_SKU[Main SKU],MD_Main_SKU[SKU name_gom])</f>
        <v>iSS01084</v>
      </c>
    </row>
    <row r="1021" spans="1:8" x14ac:dyDescent="0.35">
      <c r="A1021">
        <v>2025</v>
      </c>
      <c r="B1021">
        <v>11</v>
      </c>
      <c r="C1021" t="s">
        <v>16</v>
      </c>
      <c r="D1021" t="s">
        <v>17</v>
      </c>
      <c r="E1021" t="s">
        <v>16</v>
      </c>
      <c r="F1021" t="s">
        <v>17</v>
      </c>
      <c r="G1021" s="2">
        <v>194322.68593009515</v>
      </c>
      <c r="H1021" t="str">
        <f>_xlfn.XLOOKUP(Data_Xuất[[#This Row],[Main SKU]],MD_Main_SKU[Main SKU],MD_Main_SKU[SKU name_gom])</f>
        <v>WSS01</v>
      </c>
    </row>
    <row r="1022" spans="1:8" x14ac:dyDescent="0.35">
      <c r="A1022">
        <v>2025</v>
      </c>
      <c r="B1022">
        <v>11</v>
      </c>
      <c r="C1022" t="s">
        <v>16</v>
      </c>
      <c r="D1022" t="s">
        <v>17</v>
      </c>
      <c r="E1022" t="s">
        <v>18</v>
      </c>
      <c r="F1022" t="s">
        <v>19</v>
      </c>
      <c r="G1022" s="2">
        <v>3349.3589743589741</v>
      </c>
      <c r="H1022" t="str">
        <f>_xlfn.XLOOKUP(Data_Xuất[[#This Row],[Main SKU]],MD_Main_SKU[Main SKU],MD_Main_SKU[SKU name_gom])</f>
        <v>WSS01</v>
      </c>
    </row>
    <row r="1023" spans="1:8" x14ac:dyDescent="0.35">
      <c r="A1023">
        <v>2025</v>
      </c>
      <c r="B1023">
        <v>11</v>
      </c>
      <c r="C1023" t="s">
        <v>16</v>
      </c>
      <c r="D1023" t="s">
        <v>17</v>
      </c>
      <c r="E1023" t="s">
        <v>22</v>
      </c>
      <c r="F1023" t="s">
        <v>23</v>
      </c>
      <c r="G1023" s="2">
        <v>1116.8390819077374</v>
      </c>
      <c r="H1023" t="str">
        <f>_xlfn.XLOOKUP(Data_Xuất[[#This Row],[Main SKU]],MD_Main_SKU[Main SKU],MD_Main_SKU[SKU name_gom])</f>
        <v>WSS01</v>
      </c>
    </row>
    <row r="1024" spans="1:8" x14ac:dyDescent="0.35">
      <c r="A1024">
        <v>2025</v>
      </c>
      <c r="B1024">
        <v>11</v>
      </c>
      <c r="C1024" t="s">
        <v>16</v>
      </c>
      <c r="D1024" t="s">
        <v>17</v>
      </c>
      <c r="E1024" t="s">
        <v>40</v>
      </c>
      <c r="F1024" t="s">
        <v>41</v>
      </c>
      <c r="G1024" s="2">
        <v>80366.561760643337</v>
      </c>
      <c r="H1024" t="str">
        <f>_xlfn.XLOOKUP(Data_Xuất[[#This Row],[Main SKU]],MD_Main_SKU[Main SKU],MD_Main_SKU[SKU name_gom])</f>
        <v>WSS01</v>
      </c>
    </row>
    <row r="1025" spans="1:8" x14ac:dyDescent="0.35">
      <c r="A1025">
        <v>2025</v>
      </c>
      <c r="B1025">
        <v>11</v>
      </c>
      <c r="C1025" t="s">
        <v>16</v>
      </c>
      <c r="D1025" t="s">
        <v>17</v>
      </c>
      <c r="E1025" t="s">
        <v>34</v>
      </c>
      <c r="F1025" t="s">
        <v>35</v>
      </c>
      <c r="G1025" s="2">
        <v>5584.1954095386873</v>
      </c>
      <c r="H1025" t="str">
        <f>_xlfn.XLOOKUP(Data_Xuất[[#This Row],[Main SKU]],MD_Main_SKU[Main SKU],MD_Main_SKU[SKU name_gom])</f>
        <v>WSS01</v>
      </c>
    </row>
    <row r="1026" spans="1:8" x14ac:dyDescent="0.35">
      <c r="A1026">
        <v>2025</v>
      </c>
      <c r="B1026">
        <v>11</v>
      </c>
      <c r="C1026" t="s">
        <v>16</v>
      </c>
      <c r="D1026" t="s">
        <v>17</v>
      </c>
      <c r="E1026" t="s">
        <v>87</v>
      </c>
      <c r="F1026" t="s">
        <v>88</v>
      </c>
      <c r="G1026" s="2">
        <v>3725.4682644689492</v>
      </c>
      <c r="H1026" t="str">
        <f>_xlfn.XLOOKUP(Data_Xuất[[#This Row],[Main SKU]],MD_Main_SKU[Main SKU],MD_Main_SKU[SKU name_gom])</f>
        <v>WSS01</v>
      </c>
    </row>
    <row r="1027" spans="1:8" x14ac:dyDescent="0.35">
      <c r="A1027">
        <v>2025</v>
      </c>
      <c r="B1027">
        <v>11</v>
      </c>
      <c r="C1027" t="s">
        <v>16</v>
      </c>
      <c r="D1027" t="s">
        <v>17</v>
      </c>
      <c r="E1027" t="s">
        <v>91</v>
      </c>
      <c r="F1027" t="s">
        <v>92</v>
      </c>
      <c r="G1027" s="2">
        <v>3311.2549168887199</v>
      </c>
      <c r="H1027" t="str">
        <f>_xlfn.XLOOKUP(Data_Xuất[[#This Row],[Main SKU]],MD_Main_SKU[Main SKU],MD_Main_SKU[SKU name_gom])</f>
        <v>WSS01</v>
      </c>
    </row>
    <row r="1028" spans="1:8" x14ac:dyDescent="0.35">
      <c r="A1028">
        <v>2025</v>
      </c>
      <c r="B1028">
        <v>11</v>
      </c>
      <c r="C1028" t="s">
        <v>16</v>
      </c>
      <c r="D1028" t="s">
        <v>17</v>
      </c>
      <c r="E1028" t="s">
        <v>117</v>
      </c>
      <c r="F1028" t="s">
        <v>86</v>
      </c>
      <c r="G1028" s="2">
        <v>4050.3425242744138</v>
      </c>
      <c r="H1028" t="str">
        <f>_xlfn.XLOOKUP(Data_Xuất[[#This Row],[Main SKU]],MD_Main_SKU[Main SKU],MD_Main_SKU[SKU name_gom])</f>
        <v>WSS01</v>
      </c>
    </row>
    <row r="1029" spans="1:8" x14ac:dyDescent="0.35">
      <c r="A1029">
        <v>2025</v>
      </c>
      <c r="B1029">
        <v>11</v>
      </c>
      <c r="C1029" t="s">
        <v>16</v>
      </c>
      <c r="D1029" t="s">
        <v>17</v>
      </c>
      <c r="E1029" t="s">
        <v>128</v>
      </c>
      <c r="F1029" t="s">
        <v>129</v>
      </c>
      <c r="G1029" s="2">
        <v>4466.2931378240264</v>
      </c>
      <c r="H1029" t="str">
        <f>_xlfn.XLOOKUP(Data_Xuất[[#This Row],[Main SKU]],MD_Main_SKU[Main SKU],MD_Main_SKU[SKU name_gom])</f>
        <v>WSS01</v>
      </c>
    </row>
    <row r="1030" spans="1:8" x14ac:dyDescent="0.35">
      <c r="A1030">
        <v>2025</v>
      </c>
      <c r="B1030">
        <v>11</v>
      </c>
      <c r="C1030" t="s">
        <v>18</v>
      </c>
      <c r="D1030" t="s">
        <v>19</v>
      </c>
      <c r="E1030" t="s">
        <v>16</v>
      </c>
      <c r="F1030" t="s">
        <v>17</v>
      </c>
      <c r="G1030" s="2">
        <v>2232.6035702256654</v>
      </c>
      <c r="H1030" t="str">
        <f>_xlfn.XLOOKUP(Data_Xuất[[#This Row],[Main SKU]],MD_Main_SKU[Main SKU],MD_Main_SKU[SKU name_gom])</f>
        <v>iSS01</v>
      </c>
    </row>
    <row r="1031" spans="1:8" x14ac:dyDescent="0.35">
      <c r="A1031">
        <v>2025</v>
      </c>
      <c r="B1031">
        <v>11</v>
      </c>
      <c r="C1031" t="s">
        <v>18</v>
      </c>
      <c r="D1031" t="s">
        <v>19</v>
      </c>
      <c r="E1031" t="s">
        <v>18</v>
      </c>
      <c r="F1031" t="s">
        <v>19</v>
      </c>
      <c r="G1031" s="2">
        <v>23442.337487369485</v>
      </c>
      <c r="H1031" t="str">
        <f>_xlfn.XLOOKUP(Data_Xuất[[#This Row],[Main SKU]],MD_Main_SKU[Main SKU],MD_Main_SKU[SKU name_gom])</f>
        <v>iSS01</v>
      </c>
    </row>
    <row r="1032" spans="1:8" x14ac:dyDescent="0.35">
      <c r="A1032">
        <v>2025</v>
      </c>
      <c r="B1032">
        <v>11</v>
      </c>
      <c r="C1032" t="s">
        <v>18</v>
      </c>
      <c r="D1032" t="s">
        <v>19</v>
      </c>
      <c r="E1032" t="s">
        <v>22</v>
      </c>
      <c r="F1032" t="s">
        <v>23</v>
      </c>
      <c r="G1032" s="2">
        <v>1116.3017851128327</v>
      </c>
      <c r="H1032" t="str">
        <f>_xlfn.XLOOKUP(Data_Xuất[[#This Row],[Main SKU]],MD_Main_SKU[Main SKU],MD_Main_SKU[SKU name_gom])</f>
        <v>iSS01</v>
      </c>
    </row>
    <row r="1033" spans="1:8" x14ac:dyDescent="0.35">
      <c r="A1033">
        <v>2025</v>
      </c>
      <c r="B1033">
        <v>11</v>
      </c>
      <c r="C1033" t="s">
        <v>18</v>
      </c>
      <c r="D1033" t="s">
        <v>19</v>
      </c>
      <c r="E1033" t="s">
        <v>91</v>
      </c>
      <c r="F1033" t="s">
        <v>92</v>
      </c>
      <c r="G1033" s="2">
        <v>2232.6035702256654</v>
      </c>
      <c r="H1033" t="str">
        <f>_xlfn.XLOOKUP(Data_Xuất[[#This Row],[Main SKU]],MD_Main_SKU[Main SKU],MD_Main_SKU[SKU name_gom])</f>
        <v>iSS01</v>
      </c>
    </row>
    <row r="1034" spans="1:8" x14ac:dyDescent="0.35">
      <c r="A1034">
        <v>2025</v>
      </c>
      <c r="B1034">
        <v>11</v>
      </c>
      <c r="C1034" t="s">
        <v>18</v>
      </c>
      <c r="D1034" t="s">
        <v>19</v>
      </c>
      <c r="E1034" t="s">
        <v>117</v>
      </c>
      <c r="F1034" t="s">
        <v>86</v>
      </c>
      <c r="G1034" s="2">
        <v>1106.1535870663522</v>
      </c>
      <c r="H1034" t="str">
        <f>_xlfn.XLOOKUP(Data_Xuất[[#This Row],[Main SKU]],MD_Main_SKU[Main SKU],MD_Main_SKU[SKU name_gom])</f>
        <v>iSS01</v>
      </c>
    </row>
    <row r="1035" spans="1:8" x14ac:dyDescent="0.35">
      <c r="A1035">
        <v>2025</v>
      </c>
      <c r="B1035">
        <v>11</v>
      </c>
      <c r="C1035" t="s">
        <v>99</v>
      </c>
      <c r="D1035" t="s">
        <v>100</v>
      </c>
      <c r="E1035" t="s">
        <v>99</v>
      </c>
      <c r="F1035" t="s">
        <v>100</v>
      </c>
      <c r="G1035" s="2">
        <v>1862.4161073825503</v>
      </c>
      <c r="H1035" t="str">
        <f>_xlfn.XLOOKUP(Data_Xuất[[#This Row],[Main SKU]],MD_Main_SKU[Main SKU],MD_Main_SKU[SKU name_gom])</f>
        <v>WSS04</v>
      </c>
    </row>
    <row r="1036" spans="1:8" x14ac:dyDescent="0.35">
      <c r="A1036">
        <v>2025</v>
      </c>
      <c r="B1036">
        <v>11</v>
      </c>
      <c r="C1036" t="s">
        <v>99</v>
      </c>
      <c r="D1036" t="s">
        <v>100</v>
      </c>
      <c r="E1036" t="s">
        <v>115</v>
      </c>
      <c r="F1036" t="s">
        <v>116</v>
      </c>
      <c r="G1036" s="2">
        <v>5285.2348993288588</v>
      </c>
      <c r="H1036" t="str">
        <f>_xlfn.XLOOKUP(Data_Xuất[[#This Row],[Main SKU]],MD_Main_SKU[Main SKU],MD_Main_SKU[SKU name_gom])</f>
        <v>WSS04</v>
      </c>
    </row>
    <row r="1037" spans="1:8" x14ac:dyDescent="0.35">
      <c r="A1037">
        <v>2025</v>
      </c>
      <c r="B1037">
        <v>11</v>
      </c>
      <c r="C1037" t="s">
        <v>99</v>
      </c>
      <c r="D1037" t="s">
        <v>100</v>
      </c>
      <c r="E1037" t="s">
        <v>87</v>
      </c>
      <c r="F1037" t="s">
        <v>88</v>
      </c>
      <c r="G1037" s="2">
        <v>352.34899328859058</v>
      </c>
      <c r="H1037" t="str">
        <f>_xlfn.XLOOKUP(Data_Xuất[[#This Row],[Main SKU]],MD_Main_SKU[Main SKU],MD_Main_SKU[SKU name_gom])</f>
        <v>WSS04</v>
      </c>
    </row>
    <row r="1038" spans="1:8" x14ac:dyDescent="0.35">
      <c r="A1038">
        <v>2025</v>
      </c>
      <c r="B1038">
        <v>11</v>
      </c>
      <c r="C1038" t="s">
        <v>115</v>
      </c>
      <c r="D1038" t="s">
        <v>116</v>
      </c>
      <c r="E1038" t="s">
        <v>115</v>
      </c>
      <c r="F1038" t="s">
        <v>116</v>
      </c>
      <c r="G1038" s="2">
        <v>11780.719280719281</v>
      </c>
      <c r="H1038" t="str">
        <f>_xlfn.XLOOKUP(Data_Xuất[[#This Row],[Main SKU]],MD_Main_SKU[Main SKU],MD_Main_SKU[SKU name_gom])</f>
        <v>WSS05</v>
      </c>
    </row>
    <row r="1039" spans="1:8" x14ac:dyDescent="0.35">
      <c r="A1039">
        <v>2025</v>
      </c>
      <c r="B1039">
        <v>11</v>
      </c>
      <c r="C1039" t="s">
        <v>115</v>
      </c>
      <c r="D1039" t="s">
        <v>116</v>
      </c>
      <c r="E1039" t="s">
        <v>124</v>
      </c>
      <c r="F1039" t="s">
        <v>125</v>
      </c>
      <c r="G1039" s="2">
        <v>10496.113078899944</v>
      </c>
      <c r="H1039" t="str">
        <f>_xlfn.XLOOKUP(Data_Xuất[[#This Row],[Main SKU]],MD_Main_SKU[Main SKU],MD_Main_SKU[SKU name_gom])</f>
        <v>WSS05</v>
      </c>
    </row>
    <row r="1040" spans="1:8" x14ac:dyDescent="0.35">
      <c r="A1040">
        <v>2025</v>
      </c>
      <c r="B1040">
        <v>11</v>
      </c>
      <c r="C1040" t="s">
        <v>115</v>
      </c>
      <c r="D1040" t="s">
        <v>116</v>
      </c>
      <c r="E1040" t="s">
        <v>87</v>
      </c>
      <c r="F1040" t="s">
        <v>88</v>
      </c>
      <c r="G1040" s="2">
        <v>2294.7885447885451</v>
      </c>
      <c r="H1040" t="str">
        <f>_xlfn.XLOOKUP(Data_Xuất[[#This Row],[Main SKU]],MD_Main_SKU[Main SKU],MD_Main_SKU[SKU name_gom])</f>
        <v>WSS05</v>
      </c>
    </row>
    <row r="1041" spans="1:8" x14ac:dyDescent="0.35">
      <c r="A1041">
        <v>2025</v>
      </c>
      <c r="B1041">
        <v>11</v>
      </c>
      <c r="C1041" t="s">
        <v>115</v>
      </c>
      <c r="D1041" t="s">
        <v>116</v>
      </c>
      <c r="E1041" t="s">
        <v>117</v>
      </c>
      <c r="F1041" t="s">
        <v>86</v>
      </c>
      <c r="G1041" s="2">
        <v>1778.3790955922314</v>
      </c>
      <c r="H1041" t="str">
        <f>_xlfn.XLOOKUP(Data_Xuất[[#This Row],[Main SKU]],MD_Main_SKU[Main SKU],MD_Main_SKU[SKU name_gom])</f>
        <v>WSS05</v>
      </c>
    </row>
    <row r="1042" spans="1:8" x14ac:dyDescent="0.35">
      <c r="A1042">
        <v>2025</v>
      </c>
      <c r="B1042">
        <v>11</v>
      </c>
      <c r="C1042" t="s">
        <v>48</v>
      </c>
      <c r="D1042" t="s">
        <v>49</v>
      </c>
      <c r="E1042" t="s">
        <v>16</v>
      </c>
      <c r="F1042" t="s">
        <v>17</v>
      </c>
      <c r="G1042" s="2">
        <v>18984.771573604063</v>
      </c>
      <c r="H1042" t="str">
        <f>_xlfn.XLOOKUP(Data_Xuất[[#This Row],[Main SKU]],MD_Main_SKU[Main SKU],MD_Main_SKU[SKU name_gom])</f>
        <v>WSS01</v>
      </c>
    </row>
    <row r="1043" spans="1:8" x14ac:dyDescent="0.35">
      <c r="A1043">
        <v>2025</v>
      </c>
      <c r="B1043">
        <v>11</v>
      </c>
      <c r="C1043" t="s">
        <v>48</v>
      </c>
      <c r="D1043" t="s">
        <v>49</v>
      </c>
      <c r="E1043" t="s">
        <v>22</v>
      </c>
      <c r="F1043" t="s">
        <v>23</v>
      </c>
      <c r="G1043" s="2">
        <v>6666.6941028415768</v>
      </c>
      <c r="H1043" t="str">
        <f>_xlfn.XLOOKUP(Data_Xuất[[#This Row],[Main SKU]],MD_Main_SKU[Main SKU],MD_Main_SKU[SKU name_gom])</f>
        <v>WSS01</v>
      </c>
    </row>
    <row r="1044" spans="1:8" x14ac:dyDescent="0.35">
      <c r="A1044">
        <v>2025</v>
      </c>
      <c r="B1044">
        <v>11</v>
      </c>
      <c r="C1044" t="s">
        <v>48</v>
      </c>
      <c r="D1044" t="s">
        <v>49</v>
      </c>
      <c r="E1044" t="s">
        <v>34</v>
      </c>
      <c r="F1044" t="s">
        <v>35</v>
      </c>
      <c r="G1044" s="2">
        <v>1116.7512690355329</v>
      </c>
      <c r="H1044" t="str">
        <f>_xlfn.XLOOKUP(Data_Xuất[[#This Row],[Main SKU]],MD_Main_SKU[Main SKU],MD_Main_SKU[SKU name_gom])</f>
        <v>WSS01</v>
      </c>
    </row>
    <row r="1045" spans="1:8" x14ac:dyDescent="0.35">
      <c r="A1045">
        <v>2025</v>
      </c>
      <c r="B1045">
        <v>11</v>
      </c>
      <c r="C1045" t="s">
        <v>48</v>
      </c>
      <c r="D1045" t="s">
        <v>49</v>
      </c>
      <c r="E1045" t="s">
        <v>48</v>
      </c>
      <c r="F1045" t="s">
        <v>49</v>
      </c>
      <c r="G1045" s="2">
        <v>105735.82022019103</v>
      </c>
      <c r="H1045" t="str">
        <f>_xlfn.XLOOKUP(Data_Xuất[[#This Row],[Main SKU]],MD_Main_SKU[Main SKU],MD_Main_SKU[SKU name_gom])</f>
        <v>WSS01</v>
      </c>
    </row>
    <row r="1046" spans="1:8" x14ac:dyDescent="0.35">
      <c r="A1046">
        <v>2025</v>
      </c>
      <c r="B1046">
        <v>11</v>
      </c>
      <c r="C1046" t="s">
        <v>48</v>
      </c>
      <c r="D1046" t="s">
        <v>49</v>
      </c>
      <c r="E1046" t="s">
        <v>60</v>
      </c>
      <c r="F1046" t="s">
        <v>61</v>
      </c>
      <c r="G1046" s="2">
        <v>1115.009746588694</v>
      </c>
      <c r="H1046" t="str">
        <f>_xlfn.XLOOKUP(Data_Xuất[[#This Row],[Main SKU]],MD_Main_SKU[Main SKU],MD_Main_SKU[SKU name_gom])</f>
        <v>WSS01</v>
      </c>
    </row>
    <row r="1047" spans="1:8" x14ac:dyDescent="0.35">
      <c r="A1047">
        <v>2025</v>
      </c>
      <c r="B1047">
        <v>11</v>
      </c>
      <c r="C1047" t="s">
        <v>48</v>
      </c>
      <c r="D1047" t="s">
        <v>49</v>
      </c>
      <c r="E1047" t="s">
        <v>87</v>
      </c>
      <c r="F1047" t="s">
        <v>88</v>
      </c>
      <c r="G1047" s="2">
        <v>760.86719901841457</v>
      </c>
      <c r="H1047" t="str">
        <f>_xlfn.XLOOKUP(Data_Xuất[[#This Row],[Main SKU]],MD_Main_SKU[Main SKU],MD_Main_SKU[SKU name_gom])</f>
        <v>WSS01</v>
      </c>
    </row>
    <row r="1048" spans="1:8" x14ac:dyDescent="0.35">
      <c r="A1048">
        <v>2025</v>
      </c>
      <c r="B1048">
        <v>11</v>
      </c>
      <c r="C1048" t="s">
        <v>48</v>
      </c>
      <c r="D1048" t="s">
        <v>49</v>
      </c>
      <c r="E1048" t="s">
        <v>91</v>
      </c>
      <c r="F1048" t="s">
        <v>92</v>
      </c>
      <c r="G1048" s="2">
        <v>2130.2381729846329</v>
      </c>
      <c r="H1048" t="str">
        <f>_xlfn.XLOOKUP(Data_Xuất[[#This Row],[Main SKU]],MD_Main_SKU[Main SKU],MD_Main_SKU[SKU name_gom])</f>
        <v>WSS01</v>
      </c>
    </row>
    <row r="1049" spans="1:8" x14ac:dyDescent="0.35">
      <c r="A1049">
        <v>2025</v>
      </c>
      <c r="B1049">
        <v>11</v>
      </c>
      <c r="C1049" t="s">
        <v>48</v>
      </c>
      <c r="D1049" t="s">
        <v>49</v>
      </c>
      <c r="E1049" t="s">
        <v>117</v>
      </c>
      <c r="F1049" t="s">
        <v>86</v>
      </c>
      <c r="G1049" s="2">
        <v>989.84771573604064</v>
      </c>
      <c r="H1049" t="str">
        <f>_xlfn.XLOOKUP(Data_Xuất[[#This Row],[Main SKU]],MD_Main_SKU[Main SKU],MD_Main_SKU[SKU name_gom])</f>
        <v>WSS01</v>
      </c>
    </row>
    <row r="1050" spans="1:8" x14ac:dyDescent="0.35">
      <c r="A1050">
        <v>2025</v>
      </c>
      <c r="B1050">
        <v>12</v>
      </c>
      <c r="C1050" t="s">
        <v>8</v>
      </c>
      <c r="D1050" t="s">
        <v>9</v>
      </c>
      <c r="E1050" t="s">
        <v>8</v>
      </c>
      <c r="F1050" t="s">
        <v>9</v>
      </c>
      <c r="G1050" s="2">
        <v>194348.10171559552</v>
      </c>
      <c r="H1050" t="str">
        <f>_xlfn.XLOOKUP(Data_Xuất[[#This Row],[Main SKU]],MD_Main_SKU[Main SKU],MD_Main_SKU[SKU name_gom])</f>
        <v>WSS01</v>
      </c>
    </row>
    <row r="1051" spans="1:8" x14ac:dyDescent="0.35">
      <c r="A1051">
        <v>2025</v>
      </c>
      <c r="B1051">
        <v>12</v>
      </c>
      <c r="C1051" t="s">
        <v>8</v>
      </c>
      <c r="D1051" t="s">
        <v>9</v>
      </c>
      <c r="E1051" t="s">
        <v>22</v>
      </c>
      <c r="F1051" t="s">
        <v>23</v>
      </c>
      <c r="G1051" s="2">
        <v>5584.634544506529</v>
      </c>
      <c r="H1051" t="str">
        <f>_xlfn.XLOOKUP(Data_Xuất[[#This Row],[Main SKU]],MD_Main_SKU[Main SKU],MD_Main_SKU[SKU name_gom])</f>
        <v>WSS01</v>
      </c>
    </row>
    <row r="1052" spans="1:8" x14ac:dyDescent="0.35">
      <c r="A1052">
        <v>2025</v>
      </c>
      <c r="B1052">
        <v>12</v>
      </c>
      <c r="C1052" t="s">
        <v>8</v>
      </c>
      <c r="D1052" t="s">
        <v>9</v>
      </c>
      <c r="E1052" t="s">
        <v>34</v>
      </c>
      <c r="F1052" t="s">
        <v>35</v>
      </c>
      <c r="G1052" s="2">
        <v>8935.1565009441983</v>
      </c>
      <c r="H1052" t="str">
        <f>_xlfn.XLOOKUP(Data_Xuất[[#This Row],[Main SKU]],MD_Main_SKU[Main SKU],MD_Main_SKU[SKU name_gom])</f>
        <v>WSS01</v>
      </c>
    </row>
    <row r="1053" spans="1:8" x14ac:dyDescent="0.35">
      <c r="A1053">
        <v>2025</v>
      </c>
      <c r="B1053">
        <v>12</v>
      </c>
      <c r="C1053" t="s">
        <v>8</v>
      </c>
      <c r="D1053" t="s">
        <v>9</v>
      </c>
      <c r="E1053" t="s">
        <v>36</v>
      </c>
      <c r="F1053" t="s">
        <v>37</v>
      </c>
      <c r="G1053" s="2">
        <v>30156.541972687286</v>
      </c>
      <c r="H1053" t="str">
        <f>_xlfn.XLOOKUP(Data_Xuất[[#This Row],[Main SKU]],MD_Main_SKU[Main SKU],MD_Main_SKU[SKU name_gom])</f>
        <v>WSS01</v>
      </c>
    </row>
    <row r="1054" spans="1:8" x14ac:dyDescent="0.35">
      <c r="A1054">
        <v>2025</v>
      </c>
      <c r="B1054">
        <v>12</v>
      </c>
      <c r="C1054" t="s">
        <v>8</v>
      </c>
      <c r="D1054" t="s">
        <v>9</v>
      </c>
      <c r="E1054" t="s">
        <v>87</v>
      </c>
      <c r="F1054" t="s">
        <v>88</v>
      </c>
      <c r="G1054" s="2">
        <v>2690.9104553335392</v>
      </c>
      <c r="H1054" t="str">
        <f>_xlfn.XLOOKUP(Data_Xuất[[#This Row],[Main SKU]],MD_Main_SKU[Main SKU],MD_Main_SKU[SKU name_gom])</f>
        <v>WSS01</v>
      </c>
    </row>
    <row r="1055" spans="1:8" x14ac:dyDescent="0.35">
      <c r="A1055">
        <v>2025</v>
      </c>
      <c r="B1055">
        <v>12</v>
      </c>
      <c r="C1055" t="s">
        <v>8</v>
      </c>
      <c r="D1055" t="s">
        <v>9</v>
      </c>
      <c r="E1055" t="s">
        <v>91</v>
      </c>
      <c r="F1055" t="s">
        <v>92</v>
      </c>
      <c r="G1055" s="2">
        <v>934.20503547085821</v>
      </c>
      <c r="H1055" t="str">
        <f>_xlfn.XLOOKUP(Data_Xuất[[#This Row],[Main SKU]],MD_Main_SKU[Main SKU],MD_Main_SKU[SKU name_gom])</f>
        <v>WSS01</v>
      </c>
    </row>
    <row r="1056" spans="1:8" x14ac:dyDescent="0.35">
      <c r="A1056">
        <v>2025</v>
      </c>
      <c r="B1056">
        <v>12</v>
      </c>
      <c r="C1056" t="s">
        <v>8</v>
      </c>
      <c r="D1056" t="s">
        <v>9</v>
      </c>
      <c r="E1056" t="s">
        <v>93</v>
      </c>
      <c r="F1056" t="s">
        <v>94</v>
      </c>
      <c r="G1056" s="2">
        <v>238.60290384810639</v>
      </c>
      <c r="H1056" t="str">
        <f>_xlfn.XLOOKUP(Data_Xuất[[#This Row],[Main SKU]],MD_Main_SKU[Main SKU],MD_Main_SKU[SKU name_gom])</f>
        <v>WSS01</v>
      </c>
    </row>
    <row r="1057" spans="1:8" x14ac:dyDescent="0.35">
      <c r="A1057">
        <v>2025</v>
      </c>
      <c r="B1057">
        <v>12</v>
      </c>
      <c r="C1057" t="s">
        <v>8</v>
      </c>
      <c r="D1057" t="s">
        <v>9</v>
      </c>
      <c r="E1057" t="s">
        <v>117</v>
      </c>
      <c r="F1057" t="s">
        <v>86</v>
      </c>
      <c r="G1057" s="2">
        <v>6111.8468716139605</v>
      </c>
      <c r="H1057" t="str">
        <f>_xlfn.XLOOKUP(Data_Xuất[[#This Row],[Main SKU]],MD_Main_SKU[Main SKU],MD_Main_SKU[SKU name_gom])</f>
        <v>WSS01</v>
      </c>
    </row>
    <row r="1058" spans="1:8" x14ac:dyDescent="0.35">
      <c r="A1058">
        <v>2025</v>
      </c>
      <c r="B1058">
        <v>12</v>
      </c>
      <c r="C1058" t="s">
        <v>14</v>
      </c>
      <c r="D1058" t="s">
        <v>15</v>
      </c>
      <c r="E1058" t="s">
        <v>14</v>
      </c>
      <c r="F1058" t="s">
        <v>15</v>
      </c>
      <c r="G1058" s="2">
        <v>912754.22806823789</v>
      </c>
      <c r="H1058" t="str">
        <f>_xlfn.XLOOKUP(Data_Xuất[[#This Row],[Main SKU]],MD_Main_SKU[Main SKU],MD_Main_SKU[SKU name_gom])</f>
        <v>iSS01084</v>
      </c>
    </row>
    <row r="1059" spans="1:8" x14ac:dyDescent="0.35">
      <c r="A1059">
        <v>2025</v>
      </c>
      <c r="B1059">
        <v>12</v>
      </c>
      <c r="C1059" t="s">
        <v>14</v>
      </c>
      <c r="D1059" t="s">
        <v>15</v>
      </c>
      <c r="E1059" t="s">
        <v>16</v>
      </c>
      <c r="F1059" t="s">
        <v>17</v>
      </c>
      <c r="G1059" s="2">
        <v>16784.056886227547</v>
      </c>
      <c r="H1059" t="str">
        <f>_xlfn.XLOOKUP(Data_Xuất[[#This Row],[Main SKU]],MD_Main_SKU[Main SKU],MD_Main_SKU[SKU name_gom])</f>
        <v>iSS01084</v>
      </c>
    </row>
    <row r="1060" spans="1:8" x14ac:dyDescent="0.35">
      <c r="A1060">
        <v>2025</v>
      </c>
      <c r="B1060">
        <v>12</v>
      </c>
      <c r="C1060" t="s">
        <v>14</v>
      </c>
      <c r="D1060" t="s">
        <v>15</v>
      </c>
      <c r="E1060" t="s">
        <v>18</v>
      </c>
      <c r="F1060" t="s">
        <v>19</v>
      </c>
      <c r="G1060" s="2">
        <v>6708.5843238895341</v>
      </c>
      <c r="H1060" t="str">
        <f>_xlfn.XLOOKUP(Data_Xuất[[#This Row],[Main SKU]],MD_Main_SKU[Main SKU],MD_Main_SKU[SKU name_gom])</f>
        <v>iSS01084</v>
      </c>
    </row>
    <row r="1061" spans="1:8" x14ac:dyDescent="0.35">
      <c r="A1061">
        <v>2025</v>
      </c>
      <c r="B1061">
        <v>12</v>
      </c>
      <c r="C1061" t="s">
        <v>14</v>
      </c>
      <c r="D1061" t="s">
        <v>15</v>
      </c>
      <c r="E1061" t="s">
        <v>22</v>
      </c>
      <c r="F1061" t="s">
        <v>23</v>
      </c>
      <c r="G1061" s="2">
        <v>27919.801317616599</v>
      </c>
      <c r="H1061" t="str">
        <f>_xlfn.XLOOKUP(Data_Xuất[[#This Row],[Main SKU]],MD_Main_SKU[Main SKU],MD_Main_SKU[SKU name_gom])</f>
        <v>iSS01084</v>
      </c>
    </row>
    <row r="1062" spans="1:8" x14ac:dyDescent="0.35">
      <c r="A1062">
        <v>2025</v>
      </c>
      <c r="B1062">
        <v>12</v>
      </c>
      <c r="C1062" t="s">
        <v>14</v>
      </c>
      <c r="D1062" t="s">
        <v>15</v>
      </c>
      <c r="E1062" t="s">
        <v>42</v>
      </c>
      <c r="F1062" t="s">
        <v>43</v>
      </c>
      <c r="G1062" s="2">
        <v>2233.8894229127118</v>
      </c>
      <c r="H1062" t="str">
        <f>_xlfn.XLOOKUP(Data_Xuất[[#This Row],[Main SKU]],MD_Main_SKU[Main SKU],MD_Main_SKU[SKU name_gom])</f>
        <v>iSS01084</v>
      </c>
    </row>
    <row r="1063" spans="1:8" x14ac:dyDescent="0.35">
      <c r="A1063">
        <v>2025</v>
      </c>
      <c r="B1063">
        <v>12</v>
      </c>
      <c r="C1063" t="s">
        <v>14</v>
      </c>
      <c r="D1063" t="s">
        <v>15</v>
      </c>
      <c r="E1063" t="s">
        <v>38</v>
      </c>
      <c r="F1063" t="s">
        <v>39</v>
      </c>
      <c r="G1063" s="2">
        <v>2233.6492029175843</v>
      </c>
      <c r="H1063" t="str">
        <f>_xlfn.XLOOKUP(Data_Xuất[[#This Row],[Main SKU]],MD_Main_SKU[Main SKU],MD_Main_SKU[SKU name_gom])</f>
        <v>iSS01084</v>
      </c>
    </row>
    <row r="1064" spans="1:8" x14ac:dyDescent="0.35">
      <c r="A1064">
        <v>2025</v>
      </c>
      <c r="B1064">
        <v>12</v>
      </c>
      <c r="C1064" t="s">
        <v>14</v>
      </c>
      <c r="D1064" t="s">
        <v>15</v>
      </c>
      <c r="E1064" t="s">
        <v>34</v>
      </c>
      <c r="F1064" t="s">
        <v>35</v>
      </c>
      <c r="G1064" s="2">
        <v>8934.3606258731561</v>
      </c>
      <c r="H1064" t="str">
        <f>_xlfn.XLOOKUP(Data_Xuất[[#This Row],[Main SKU]],MD_Main_SKU[Main SKU],MD_Main_SKU[SKU name_gom])</f>
        <v>iSS01084</v>
      </c>
    </row>
    <row r="1065" spans="1:8" x14ac:dyDescent="0.35">
      <c r="A1065">
        <v>2025</v>
      </c>
      <c r="B1065">
        <v>12</v>
      </c>
      <c r="C1065" t="s">
        <v>14</v>
      </c>
      <c r="D1065" t="s">
        <v>15</v>
      </c>
      <c r="E1065" t="s">
        <v>87</v>
      </c>
      <c r="F1065" t="s">
        <v>88</v>
      </c>
      <c r="G1065" s="2">
        <v>17688.539233040123</v>
      </c>
      <c r="H1065" t="str">
        <f>_xlfn.XLOOKUP(Data_Xuất[[#This Row],[Main SKU]],MD_Main_SKU[Main SKU],MD_Main_SKU[SKU name_gom])</f>
        <v>iSS01084</v>
      </c>
    </row>
    <row r="1066" spans="1:8" x14ac:dyDescent="0.35">
      <c r="A1066">
        <v>2025</v>
      </c>
      <c r="B1066">
        <v>12</v>
      </c>
      <c r="C1066" t="s">
        <v>14</v>
      </c>
      <c r="D1066" t="s">
        <v>15</v>
      </c>
      <c r="E1066" t="s">
        <v>117</v>
      </c>
      <c r="F1066" t="s">
        <v>86</v>
      </c>
      <c r="G1066" s="2">
        <v>20771.529828752762</v>
      </c>
      <c r="H1066" t="str">
        <f>_xlfn.XLOOKUP(Data_Xuất[[#This Row],[Main SKU]],MD_Main_SKU[Main SKU],MD_Main_SKU[SKU name_gom])</f>
        <v>iSS01084</v>
      </c>
    </row>
    <row r="1067" spans="1:8" x14ac:dyDescent="0.35">
      <c r="A1067">
        <v>2025</v>
      </c>
      <c r="B1067">
        <v>12</v>
      </c>
      <c r="C1067" t="s">
        <v>14</v>
      </c>
      <c r="D1067" t="s">
        <v>15</v>
      </c>
      <c r="E1067" t="s">
        <v>126</v>
      </c>
      <c r="F1067" t="s">
        <v>127</v>
      </c>
      <c r="G1067" s="2">
        <v>4471.3610905322003</v>
      </c>
      <c r="H1067" t="str">
        <f>_xlfn.XLOOKUP(Data_Xuất[[#This Row],[Main SKU]],MD_Main_SKU[Main SKU],MD_Main_SKU[SKU name_gom])</f>
        <v>iSS01084</v>
      </c>
    </row>
    <row r="1068" spans="1:8" x14ac:dyDescent="0.35">
      <c r="A1068">
        <v>2025</v>
      </c>
      <c r="B1068">
        <v>12</v>
      </c>
      <c r="C1068" t="s">
        <v>16</v>
      </c>
      <c r="D1068" t="s">
        <v>17</v>
      </c>
      <c r="E1068" t="s">
        <v>14</v>
      </c>
      <c r="F1068" t="s">
        <v>15</v>
      </c>
      <c r="G1068" s="2">
        <v>12285.964883645614</v>
      </c>
      <c r="H1068" t="str">
        <f>_xlfn.XLOOKUP(Data_Xuất[[#This Row],[Main SKU]],MD_Main_SKU[Main SKU],MD_Main_SKU[SKU name_gom])</f>
        <v>WSS01</v>
      </c>
    </row>
    <row r="1069" spans="1:8" x14ac:dyDescent="0.35">
      <c r="A1069">
        <v>2025</v>
      </c>
      <c r="B1069">
        <v>12</v>
      </c>
      <c r="C1069" t="s">
        <v>16</v>
      </c>
      <c r="D1069" t="s">
        <v>17</v>
      </c>
      <c r="E1069" t="s">
        <v>16</v>
      </c>
      <c r="F1069" t="s">
        <v>17</v>
      </c>
      <c r="G1069" s="2">
        <v>1221421.2641618866</v>
      </c>
      <c r="H1069" t="str">
        <f>_xlfn.XLOOKUP(Data_Xuất[[#This Row],[Main SKU]],MD_Main_SKU[Main SKU],MD_Main_SKU[SKU name_gom])</f>
        <v>WSS01</v>
      </c>
    </row>
    <row r="1070" spans="1:8" x14ac:dyDescent="0.35">
      <c r="A1070">
        <v>2025</v>
      </c>
      <c r="B1070">
        <v>12</v>
      </c>
      <c r="C1070" t="s">
        <v>16</v>
      </c>
      <c r="D1070" t="s">
        <v>17</v>
      </c>
      <c r="E1070" t="s">
        <v>18</v>
      </c>
      <c r="F1070" t="s">
        <v>19</v>
      </c>
      <c r="G1070" s="2">
        <v>53555.028483111419</v>
      </c>
      <c r="H1070" t="str">
        <f>_xlfn.XLOOKUP(Data_Xuất[[#This Row],[Main SKU]],MD_Main_SKU[Main SKU],MD_Main_SKU[SKU name_gom])</f>
        <v>WSS01</v>
      </c>
    </row>
    <row r="1071" spans="1:8" x14ac:dyDescent="0.35">
      <c r="A1071">
        <v>2025</v>
      </c>
      <c r="B1071">
        <v>12</v>
      </c>
      <c r="C1071" t="s">
        <v>16</v>
      </c>
      <c r="D1071" t="s">
        <v>17</v>
      </c>
      <c r="E1071" t="s">
        <v>22</v>
      </c>
      <c r="F1071" t="s">
        <v>23</v>
      </c>
      <c r="G1071" s="2">
        <v>15632.53966407139</v>
      </c>
      <c r="H1071" t="str">
        <f>_xlfn.XLOOKUP(Data_Xuất[[#This Row],[Main SKU]],MD_Main_SKU[Main SKU],MD_Main_SKU[SKU name_gom])</f>
        <v>WSS01</v>
      </c>
    </row>
    <row r="1072" spans="1:8" x14ac:dyDescent="0.35">
      <c r="A1072">
        <v>2025</v>
      </c>
      <c r="B1072">
        <v>12</v>
      </c>
      <c r="C1072" t="s">
        <v>16</v>
      </c>
      <c r="D1072" t="s">
        <v>17</v>
      </c>
      <c r="E1072" t="s">
        <v>40</v>
      </c>
      <c r="F1072" t="s">
        <v>41</v>
      </c>
      <c r="G1072" s="2">
        <v>10172.895888775585</v>
      </c>
      <c r="H1072" t="str">
        <f>_xlfn.XLOOKUP(Data_Xuất[[#This Row],[Main SKU]],MD_Main_SKU[Main SKU],MD_Main_SKU[SKU name_gom])</f>
        <v>WSS01</v>
      </c>
    </row>
    <row r="1073" spans="1:8" x14ac:dyDescent="0.35">
      <c r="A1073">
        <v>2025</v>
      </c>
      <c r="B1073">
        <v>12</v>
      </c>
      <c r="C1073" t="s">
        <v>16</v>
      </c>
      <c r="D1073" t="s">
        <v>17</v>
      </c>
      <c r="E1073" t="s">
        <v>34</v>
      </c>
      <c r="F1073" t="s">
        <v>35</v>
      </c>
      <c r="G1073" s="2">
        <v>9059.9007372186134</v>
      </c>
      <c r="H1073" t="str">
        <f>_xlfn.XLOOKUP(Data_Xuất[[#This Row],[Main SKU]],MD_Main_SKU[Main SKU],MD_Main_SKU[SKU name_gom])</f>
        <v>WSS01</v>
      </c>
    </row>
    <row r="1074" spans="1:8" x14ac:dyDescent="0.35">
      <c r="A1074">
        <v>2025</v>
      </c>
      <c r="B1074">
        <v>12</v>
      </c>
      <c r="C1074" t="s">
        <v>16</v>
      </c>
      <c r="D1074" t="s">
        <v>17</v>
      </c>
      <c r="E1074" t="s">
        <v>87</v>
      </c>
      <c r="F1074" t="s">
        <v>88</v>
      </c>
      <c r="G1074" s="2">
        <v>39911.119385225473</v>
      </c>
      <c r="H1074" t="str">
        <f>_xlfn.XLOOKUP(Data_Xuất[[#This Row],[Main SKU]],MD_Main_SKU[Main SKU],MD_Main_SKU[SKU name_gom])</f>
        <v>WSS01</v>
      </c>
    </row>
    <row r="1075" spans="1:8" x14ac:dyDescent="0.35">
      <c r="A1075">
        <v>2025</v>
      </c>
      <c r="B1075">
        <v>12</v>
      </c>
      <c r="C1075" t="s">
        <v>16</v>
      </c>
      <c r="D1075" t="s">
        <v>17</v>
      </c>
      <c r="E1075" t="s">
        <v>91</v>
      </c>
      <c r="F1075" t="s">
        <v>92</v>
      </c>
      <c r="G1075" s="2">
        <v>2613.537465433194</v>
      </c>
      <c r="H1075" t="str">
        <f>_xlfn.XLOOKUP(Data_Xuất[[#This Row],[Main SKU]],MD_Main_SKU[Main SKU],MD_Main_SKU[SKU name_gom])</f>
        <v>WSS01</v>
      </c>
    </row>
    <row r="1076" spans="1:8" x14ac:dyDescent="0.35">
      <c r="A1076">
        <v>2025</v>
      </c>
      <c r="B1076">
        <v>12</v>
      </c>
      <c r="C1076" t="s">
        <v>16</v>
      </c>
      <c r="D1076" t="s">
        <v>17</v>
      </c>
      <c r="E1076" t="s">
        <v>93</v>
      </c>
      <c r="F1076" t="s">
        <v>94</v>
      </c>
      <c r="G1076" s="2">
        <v>815.03461918892185</v>
      </c>
      <c r="H1076" t="str">
        <f>_xlfn.XLOOKUP(Data_Xuất[[#This Row],[Main SKU]],MD_Main_SKU[Main SKU],MD_Main_SKU[SKU name_gom])</f>
        <v>WSS01</v>
      </c>
    </row>
    <row r="1077" spans="1:8" x14ac:dyDescent="0.35">
      <c r="A1077">
        <v>2025</v>
      </c>
      <c r="B1077">
        <v>12</v>
      </c>
      <c r="C1077" t="s">
        <v>16</v>
      </c>
      <c r="D1077" t="s">
        <v>17</v>
      </c>
      <c r="E1077" t="s">
        <v>117</v>
      </c>
      <c r="F1077" t="s">
        <v>86</v>
      </c>
      <c r="G1077" s="2">
        <v>14401.506509905736</v>
      </c>
      <c r="H1077" t="str">
        <f>_xlfn.XLOOKUP(Data_Xuất[[#This Row],[Main SKU]],MD_Main_SKU[Main SKU],MD_Main_SKU[SKU name_gom])</f>
        <v>WSS01</v>
      </c>
    </row>
    <row r="1078" spans="1:8" x14ac:dyDescent="0.35">
      <c r="A1078">
        <v>2025</v>
      </c>
      <c r="B1078">
        <v>12</v>
      </c>
      <c r="C1078" t="s">
        <v>16</v>
      </c>
      <c r="D1078" t="s">
        <v>17</v>
      </c>
      <c r="E1078" t="s">
        <v>128</v>
      </c>
      <c r="F1078" t="s">
        <v>129</v>
      </c>
      <c r="G1078" s="2">
        <v>8931.2082015374981</v>
      </c>
      <c r="H1078" t="str">
        <f>_xlfn.XLOOKUP(Data_Xuất[[#This Row],[Main SKU]],MD_Main_SKU[Main SKU],MD_Main_SKU[SKU name_gom])</f>
        <v>WSS01</v>
      </c>
    </row>
    <row r="1079" spans="1:8" x14ac:dyDescent="0.35">
      <c r="A1079">
        <v>2025</v>
      </c>
      <c r="B1079">
        <v>12</v>
      </c>
      <c r="C1079" t="s">
        <v>18</v>
      </c>
      <c r="D1079" t="s">
        <v>19</v>
      </c>
      <c r="E1079" t="s">
        <v>16</v>
      </c>
      <c r="F1079" t="s">
        <v>17</v>
      </c>
      <c r="G1079" s="2">
        <v>3348.7664108581212</v>
      </c>
      <c r="H1079" t="str">
        <f>_xlfn.XLOOKUP(Data_Xuất[[#This Row],[Main SKU]],MD_Main_SKU[Main SKU],MD_Main_SKU[SKU name_gom])</f>
        <v>iSS01</v>
      </c>
    </row>
    <row r="1080" spans="1:8" x14ac:dyDescent="0.35">
      <c r="A1080">
        <v>2025</v>
      </c>
      <c r="B1080">
        <v>12</v>
      </c>
      <c r="C1080" t="s">
        <v>18</v>
      </c>
      <c r="D1080" t="s">
        <v>19</v>
      </c>
      <c r="E1080" t="s">
        <v>18</v>
      </c>
      <c r="F1080" t="s">
        <v>19</v>
      </c>
      <c r="G1080" s="2">
        <v>26790.131286864969</v>
      </c>
      <c r="H1080" t="str">
        <f>_xlfn.XLOOKUP(Data_Xuất[[#This Row],[Main SKU]],MD_Main_SKU[Main SKU],MD_Main_SKU[SKU name_gom])</f>
        <v>iSS01</v>
      </c>
    </row>
    <row r="1081" spans="1:8" x14ac:dyDescent="0.35">
      <c r="A1081">
        <v>2025</v>
      </c>
      <c r="B1081">
        <v>12</v>
      </c>
      <c r="C1081" t="s">
        <v>18</v>
      </c>
      <c r="D1081" t="s">
        <v>19</v>
      </c>
      <c r="E1081" t="s">
        <v>87</v>
      </c>
      <c r="F1081" t="s">
        <v>88</v>
      </c>
      <c r="G1081" s="2">
        <v>1420.6887803640516</v>
      </c>
      <c r="H1081" t="str">
        <f>_xlfn.XLOOKUP(Data_Xuất[[#This Row],[Main SKU]],MD_Main_SKU[Main SKU],MD_Main_SKU[SKU name_gom])</f>
        <v>iSS01</v>
      </c>
    </row>
    <row r="1082" spans="1:8" x14ac:dyDescent="0.35">
      <c r="A1082">
        <v>2025</v>
      </c>
      <c r="B1082">
        <v>12</v>
      </c>
      <c r="C1082" t="s">
        <v>18</v>
      </c>
      <c r="D1082" t="s">
        <v>19</v>
      </c>
      <c r="E1082" t="s">
        <v>117</v>
      </c>
      <c r="F1082" t="s">
        <v>86</v>
      </c>
      <c r="G1082" s="2">
        <v>440.41352191285597</v>
      </c>
      <c r="H1082" t="str">
        <f>_xlfn.XLOOKUP(Data_Xuất[[#This Row],[Main SKU]],MD_Main_SKU[Main SKU],MD_Main_SKU[SKU name_gom])</f>
        <v>iSS01</v>
      </c>
    </row>
    <row r="1083" spans="1:8" x14ac:dyDescent="0.35">
      <c r="A1083">
        <v>2025</v>
      </c>
      <c r="B1083">
        <v>12</v>
      </c>
      <c r="C1083" t="s">
        <v>22</v>
      </c>
      <c r="D1083" t="s">
        <v>23</v>
      </c>
      <c r="E1083" t="s">
        <v>22</v>
      </c>
      <c r="F1083" t="s">
        <v>23</v>
      </c>
      <c r="G1083" s="2">
        <v>514831.79697495047</v>
      </c>
      <c r="H1083" t="str">
        <f>_xlfn.XLOOKUP(Data_Xuất[[#This Row],[Main SKU]],MD_Main_SKU[Main SKU],MD_Main_SKU[SKU name_gom])</f>
        <v>WSS03</v>
      </c>
    </row>
    <row r="1084" spans="1:8" x14ac:dyDescent="0.35">
      <c r="A1084">
        <v>2025</v>
      </c>
      <c r="B1084">
        <v>12</v>
      </c>
      <c r="C1084" t="s">
        <v>22</v>
      </c>
      <c r="D1084" t="s">
        <v>23</v>
      </c>
      <c r="E1084" t="s">
        <v>34</v>
      </c>
      <c r="F1084" t="s">
        <v>35</v>
      </c>
      <c r="G1084" s="2">
        <v>6698.8430690609694</v>
      </c>
      <c r="H1084" t="str">
        <f>_xlfn.XLOOKUP(Data_Xuất[[#This Row],[Main SKU]],MD_Main_SKU[Main SKU],MD_Main_SKU[SKU name_gom])</f>
        <v>WSS03</v>
      </c>
    </row>
    <row r="1085" spans="1:8" x14ac:dyDescent="0.35">
      <c r="A1085">
        <v>2025</v>
      </c>
      <c r="B1085">
        <v>12</v>
      </c>
      <c r="C1085" t="s">
        <v>22</v>
      </c>
      <c r="D1085" t="s">
        <v>23</v>
      </c>
      <c r="E1085" t="s">
        <v>87</v>
      </c>
      <c r="F1085" t="s">
        <v>88</v>
      </c>
      <c r="G1085" s="2">
        <v>24995.285057949168</v>
      </c>
      <c r="H1085" t="str">
        <f>_xlfn.XLOOKUP(Data_Xuất[[#This Row],[Main SKU]],MD_Main_SKU[Main SKU],MD_Main_SKU[SKU name_gom])</f>
        <v>WSS03</v>
      </c>
    </row>
    <row r="1086" spans="1:8" x14ac:dyDescent="0.35">
      <c r="A1086">
        <v>2025</v>
      </c>
      <c r="B1086">
        <v>12</v>
      </c>
      <c r="C1086" t="s">
        <v>22</v>
      </c>
      <c r="D1086" t="s">
        <v>23</v>
      </c>
      <c r="E1086" t="s">
        <v>117</v>
      </c>
      <c r="F1086" t="s">
        <v>86</v>
      </c>
      <c r="G1086" s="2">
        <v>11302.016368774699</v>
      </c>
      <c r="H1086" t="str">
        <f>_xlfn.XLOOKUP(Data_Xuất[[#This Row],[Main SKU]],MD_Main_SKU[Main SKU],MD_Main_SKU[SKU name_gom])</f>
        <v>WSS03</v>
      </c>
    </row>
    <row r="1087" spans="1:8" x14ac:dyDescent="0.35">
      <c r="A1087">
        <v>2025</v>
      </c>
      <c r="B1087">
        <v>12</v>
      </c>
      <c r="C1087" t="s">
        <v>22</v>
      </c>
      <c r="D1087" t="s">
        <v>23</v>
      </c>
      <c r="E1087" t="s">
        <v>138</v>
      </c>
      <c r="F1087" t="s">
        <v>139</v>
      </c>
      <c r="G1087" s="2">
        <v>1117.0585292646324</v>
      </c>
      <c r="H1087" t="str">
        <f>_xlfn.XLOOKUP(Data_Xuất[[#This Row],[Main SKU]],MD_Main_SKU[Main SKU],MD_Main_SKU[SKU name_gom])</f>
        <v>WSS03</v>
      </c>
    </row>
    <row r="1088" spans="1:8" x14ac:dyDescent="0.35">
      <c r="A1088">
        <v>2025</v>
      </c>
      <c r="B1088">
        <v>12</v>
      </c>
      <c r="C1088" t="s">
        <v>115</v>
      </c>
      <c r="D1088" t="s">
        <v>116</v>
      </c>
      <c r="E1088" t="s">
        <v>115</v>
      </c>
      <c r="F1088" t="s">
        <v>116</v>
      </c>
      <c r="G1088" s="2">
        <v>9633.0275229357794</v>
      </c>
      <c r="H1088" t="str">
        <f>_xlfn.XLOOKUP(Data_Xuất[[#This Row],[Main SKU]],MD_Main_SKU[Main SKU],MD_Main_SKU[SKU name_gom])</f>
        <v>WSS05</v>
      </c>
    </row>
    <row r="1089" spans="1:8" x14ac:dyDescent="0.35">
      <c r="A1089">
        <v>2025</v>
      </c>
      <c r="B1089">
        <v>12</v>
      </c>
      <c r="C1089" t="s">
        <v>115</v>
      </c>
      <c r="D1089" t="s">
        <v>116</v>
      </c>
      <c r="E1089" t="s">
        <v>117</v>
      </c>
      <c r="F1089" t="s">
        <v>86</v>
      </c>
      <c r="G1089" s="2">
        <v>366.97247706422019</v>
      </c>
      <c r="H1089" t="str">
        <f>_xlfn.XLOOKUP(Data_Xuất[[#This Row],[Main SKU]],MD_Main_SKU[Main SKU],MD_Main_SKU[SKU name_gom])</f>
        <v>WSS05</v>
      </c>
    </row>
    <row r="1090" spans="1:8" x14ac:dyDescent="0.35">
      <c r="A1090">
        <v>2025</v>
      </c>
      <c r="B1090">
        <v>12</v>
      </c>
      <c r="C1090" t="s">
        <v>48</v>
      </c>
      <c r="D1090" t="s">
        <v>49</v>
      </c>
      <c r="E1090" t="s">
        <v>16</v>
      </c>
      <c r="F1090" t="s">
        <v>17</v>
      </c>
      <c r="G1090" s="2">
        <v>2346.6666666666665</v>
      </c>
      <c r="H1090" t="str">
        <f>_xlfn.XLOOKUP(Data_Xuất[[#This Row],[Main SKU]],MD_Main_SKU[Main SKU],MD_Main_SKU[SKU name_gom])</f>
        <v>WSS01</v>
      </c>
    </row>
    <row r="1091" spans="1:8" x14ac:dyDescent="0.35">
      <c r="A1091">
        <v>2025</v>
      </c>
      <c r="B1091">
        <v>12</v>
      </c>
      <c r="C1091" t="s">
        <v>48</v>
      </c>
      <c r="D1091" t="s">
        <v>49</v>
      </c>
      <c r="E1091" t="s">
        <v>48</v>
      </c>
      <c r="F1091" t="s">
        <v>49</v>
      </c>
      <c r="G1091" s="2">
        <v>35200</v>
      </c>
      <c r="H1091" t="str">
        <f>_xlfn.XLOOKUP(Data_Xuất[[#This Row],[Main SKU]],MD_Main_SKU[Main SKU],MD_Main_SKU[SKU name_gom])</f>
        <v>WSS01</v>
      </c>
    </row>
    <row r="1092" spans="1:8" x14ac:dyDescent="0.35">
      <c r="A1092">
        <v>2025</v>
      </c>
      <c r="B1092">
        <v>12</v>
      </c>
      <c r="C1092" t="s">
        <v>48</v>
      </c>
      <c r="D1092" t="s">
        <v>49</v>
      </c>
      <c r="E1092" t="s">
        <v>87</v>
      </c>
      <c r="F1092" t="s">
        <v>88</v>
      </c>
      <c r="G1092" s="2">
        <v>373.33333333333331</v>
      </c>
      <c r="H1092" t="str">
        <f>_xlfn.XLOOKUP(Data_Xuất[[#This Row],[Main SKU]],MD_Main_SKU[Main SKU],MD_Main_SKU[SKU name_gom])</f>
        <v>WSS01</v>
      </c>
    </row>
    <row r="1093" spans="1:8" x14ac:dyDescent="0.35">
      <c r="A1093">
        <v>2025</v>
      </c>
      <c r="B1093">
        <v>12</v>
      </c>
      <c r="C1093" t="s">
        <v>48</v>
      </c>
      <c r="D1093" t="s">
        <v>49</v>
      </c>
      <c r="E1093" t="s">
        <v>117</v>
      </c>
      <c r="F1093" t="s">
        <v>86</v>
      </c>
      <c r="G1093" s="2">
        <v>2080</v>
      </c>
      <c r="H1093" t="str">
        <f>_xlfn.XLOOKUP(Data_Xuất[[#This Row],[Main SKU]],MD_Main_SKU[Main SKU],MD_Main_SKU[SKU name_gom])</f>
        <v>WSS01</v>
      </c>
    </row>
    <row r="1094" spans="1:8" x14ac:dyDescent="0.35">
      <c r="A1094">
        <v>2026</v>
      </c>
      <c r="B1094">
        <v>1</v>
      </c>
      <c r="C1094" t="s">
        <v>8</v>
      </c>
      <c r="D1094" t="s">
        <v>9</v>
      </c>
      <c r="E1094" t="s">
        <v>8</v>
      </c>
      <c r="F1094" t="s">
        <v>9</v>
      </c>
      <c r="G1094" s="2">
        <v>25701.36376287225</v>
      </c>
      <c r="H1094" t="str">
        <f>_xlfn.XLOOKUP(Data_Xuất[[#This Row],[Main SKU]],MD_Main_SKU[Main SKU],MD_Main_SKU[SKU name_gom])</f>
        <v>WSS01</v>
      </c>
    </row>
    <row r="1095" spans="1:8" x14ac:dyDescent="0.35">
      <c r="A1095">
        <v>2026</v>
      </c>
      <c r="B1095">
        <v>1</v>
      </c>
      <c r="C1095" t="s">
        <v>8</v>
      </c>
      <c r="D1095" t="s">
        <v>9</v>
      </c>
      <c r="E1095" t="s">
        <v>22</v>
      </c>
      <c r="F1095" t="s">
        <v>23</v>
      </c>
      <c r="G1095" s="2">
        <v>2234.9011967715001</v>
      </c>
      <c r="H1095" t="str">
        <f>_xlfn.XLOOKUP(Data_Xuất[[#This Row],[Main SKU]],MD_Main_SKU[Main SKU],MD_Main_SKU[SKU name_gom])</f>
        <v>WSS01</v>
      </c>
    </row>
    <row r="1096" spans="1:8" x14ac:dyDescent="0.35">
      <c r="A1096">
        <v>2026</v>
      </c>
      <c r="B1096">
        <v>1</v>
      </c>
      <c r="C1096" t="s">
        <v>8</v>
      </c>
      <c r="D1096" t="s">
        <v>9</v>
      </c>
      <c r="E1096" t="s">
        <v>36</v>
      </c>
      <c r="F1096" t="s">
        <v>37</v>
      </c>
      <c r="G1096" s="2">
        <v>6704.7035903145006</v>
      </c>
      <c r="H1096" t="str">
        <f>_xlfn.XLOOKUP(Data_Xuất[[#This Row],[Main SKU]],MD_Main_SKU[Main SKU],MD_Main_SKU[SKU name_gom])</f>
        <v>WSS01</v>
      </c>
    </row>
    <row r="1097" spans="1:8" x14ac:dyDescent="0.35">
      <c r="A1097">
        <v>2026</v>
      </c>
      <c r="B1097">
        <v>1</v>
      </c>
      <c r="C1097" t="s">
        <v>8</v>
      </c>
      <c r="D1097" t="s">
        <v>9</v>
      </c>
      <c r="E1097" t="s">
        <v>87</v>
      </c>
      <c r="F1097" t="s">
        <v>88</v>
      </c>
      <c r="G1097" s="2">
        <v>1254.5922627330922</v>
      </c>
      <c r="H1097" t="str">
        <f>_xlfn.XLOOKUP(Data_Xuất[[#This Row],[Main SKU]],MD_Main_SKU[Main SKU],MD_Main_SKU[SKU name_gom])</f>
        <v>WSS01</v>
      </c>
    </row>
    <row r="1098" spans="1:8" x14ac:dyDescent="0.35">
      <c r="A1098">
        <v>2026</v>
      </c>
      <c r="B1098">
        <v>1</v>
      </c>
      <c r="C1098" t="s">
        <v>8</v>
      </c>
      <c r="D1098" t="s">
        <v>9</v>
      </c>
      <c r="E1098" t="s">
        <v>117</v>
      </c>
      <c r="F1098" t="s">
        <v>86</v>
      </c>
      <c r="G1098" s="2">
        <v>604.43918730865573</v>
      </c>
      <c r="H1098" t="str">
        <f>_xlfn.XLOOKUP(Data_Xuất[[#This Row],[Main SKU]],MD_Main_SKU[Main SKU],MD_Main_SKU[SKU name_gom])</f>
        <v>WSS01</v>
      </c>
    </row>
    <row r="1099" spans="1:8" x14ac:dyDescent="0.35">
      <c r="A1099">
        <v>2026</v>
      </c>
      <c r="B1099">
        <v>1</v>
      </c>
      <c r="C1099" t="s">
        <v>14</v>
      </c>
      <c r="D1099" t="s">
        <v>15</v>
      </c>
      <c r="E1099" t="s">
        <v>14</v>
      </c>
      <c r="F1099" t="s">
        <v>15</v>
      </c>
      <c r="G1099" s="2">
        <v>306707.33385281148</v>
      </c>
      <c r="H1099" t="str">
        <f>_xlfn.XLOOKUP(Data_Xuất[[#This Row],[Main SKU]],MD_Main_SKU[Main SKU],MD_Main_SKU[SKU name_gom])</f>
        <v>iSS01084</v>
      </c>
    </row>
    <row r="1100" spans="1:8" x14ac:dyDescent="0.35">
      <c r="A1100">
        <v>2026</v>
      </c>
      <c r="B1100">
        <v>1</v>
      </c>
      <c r="C1100" t="s">
        <v>14</v>
      </c>
      <c r="D1100" t="s">
        <v>15</v>
      </c>
      <c r="E1100" t="s">
        <v>18</v>
      </c>
      <c r="F1100" t="s">
        <v>19</v>
      </c>
      <c r="G1100" s="2">
        <v>1121.1136952976717</v>
      </c>
      <c r="H1100" t="str">
        <f>_xlfn.XLOOKUP(Data_Xuất[[#This Row],[Main SKU]],MD_Main_SKU[Main SKU],MD_Main_SKU[SKU name_gom])</f>
        <v>iSS01084</v>
      </c>
    </row>
    <row r="1101" spans="1:8" x14ac:dyDescent="0.35">
      <c r="A1101">
        <v>2026</v>
      </c>
      <c r="B1101">
        <v>1</v>
      </c>
      <c r="C1101" t="s">
        <v>14</v>
      </c>
      <c r="D1101" t="s">
        <v>15</v>
      </c>
      <c r="E1101" t="s">
        <v>22</v>
      </c>
      <c r="F1101" t="s">
        <v>23</v>
      </c>
      <c r="G1101" s="2">
        <v>27991.780596875717</v>
      </c>
      <c r="H1101" t="str">
        <f>_xlfn.XLOOKUP(Data_Xuất[[#This Row],[Main SKU]],MD_Main_SKU[Main SKU],MD_Main_SKU[SKU name_gom])</f>
        <v>iSS01084</v>
      </c>
    </row>
    <row r="1102" spans="1:8" x14ac:dyDescent="0.35">
      <c r="A1102">
        <v>2026</v>
      </c>
      <c r="B1102">
        <v>1</v>
      </c>
      <c r="C1102" t="s">
        <v>14</v>
      </c>
      <c r="D1102" t="s">
        <v>15</v>
      </c>
      <c r="E1102" t="s">
        <v>42</v>
      </c>
      <c r="F1102" t="s">
        <v>43</v>
      </c>
      <c r="G1102" s="2">
        <v>2236.217093000997</v>
      </c>
      <c r="H1102" t="str">
        <f>_xlfn.XLOOKUP(Data_Xuất[[#This Row],[Main SKU]],MD_Main_SKU[Main SKU],MD_Main_SKU[SKU name_gom])</f>
        <v>iSS01084</v>
      </c>
    </row>
    <row r="1103" spans="1:8" x14ac:dyDescent="0.35">
      <c r="A1103">
        <v>2026</v>
      </c>
      <c r="B1103">
        <v>1</v>
      </c>
      <c r="C1103" t="s">
        <v>14</v>
      </c>
      <c r="D1103" t="s">
        <v>15</v>
      </c>
      <c r="E1103" t="s">
        <v>87</v>
      </c>
      <c r="F1103" t="s">
        <v>88</v>
      </c>
      <c r="G1103" s="2">
        <v>5647.102950501665</v>
      </c>
      <c r="H1103" t="str">
        <f>_xlfn.XLOOKUP(Data_Xuất[[#This Row],[Main SKU]],MD_Main_SKU[Main SKU],MD_Main_SKU[SKU name_gom])</f>
        <v>iSS01084</v>
      </c>
    </row>
    <row r="1104" spans="1:8" x14ac:dyDescent="0.35">
      <c r="A1104">
        <v>2026</v>
      </c>
      <c r="B1104">
        <v>1</v>
      </c>
      <c r="C1104" t="s">
        <v>14</v>
      </c>
      <c r="D1104" t="s">
        <v>15</v>
      </c>
      <c r="E1104" t="s">
        <v>117</v>
      </c>
      <c r="F1104" t="s">
        <v>86</v>
      </c>
      <c r="G1104" s="2">
        <v>9457.338116214758</v>
      </c>
      <c r="H1104" t="str">
        <f>_xlfn.XLOOKUP(Data_Xuất[[#This Row],[Main SKU]],MD_Main_SKU[Main SKU],MD_Main_SKU[SKU name_gom])</f>
        <v>iSS01084</v>
      </c>
    </row>
    <row r="1105" spans="1:8" x14ac:dyDescent="0.35">
      <c r="A1105">
        <v>2026</v>
      </c>
      <c r="B1105">
        <v>1</v>
      </c>
      <c r="C1105" t="s">
        <v>14</v>
      </c>
      <c r="D1105" t="s">
        <v>15</v>
      </c>
      <c r="E1105" t="s">
        <v>126</v>
      </c>
      <c r="F1105" t="s">
        <v>127</v>
      </c>
      <c r="G1105" s="2">
        <v>1121.1136952976715</v>
      </c>
      <c r="H1105" t="str">
        <f>_xlfn.XLOOKUP(Data_Xuất[[#This Row],[Main SKU]],MD_Main_SKU[Main SKU],MD_Main_SKU[SKU name_gom])</f>
        <v>iSS01084</v>
      </c>
    </row>
    <row r="1106" spans="1:8" x14ac:dyDescent="0.35">
      <c r="A1106">
        <v>2026</v>
      </c>
      <c r="B1106">
        <v>1</v>
      </c>
      <c r="C1106" t="s">
        <v>16</v>
      </c>
      <c r="D1106" t="s">
        <v>17</v>
      </c>
      <c r="E1106" t="s">
        <v>16</v>
      </c>
      <c r="F1106" t="s">
        <v>17</v>
      </c>
      <c r="G1106" s="2">
        <v>1850948.3684418891</v>
      </c>
      <c r="H1106" t="str">
        <f>_xlfn.XLOOKUP(Data_Xuất[[#This Row],[Main SKU]],MD_Main_SKU[Main SKU],MD_Main_SKU[SKU name_gom])</f>
        <v>WSS01</v>
      </c>
    </row>
    <row r="1107" spans="1:8" x14ac:dyDescent="0.35">
      <c r="A1107">
        <v>2026</v>
      </c>
      <c r="B1107">
        <v>1</v>
      </c>
      <c r="C1107" t="s">
        <v>16</v>
      </c>
      <c r="D1107" t="s">
        <v>17</v>
      </c>
      <c r="E1107" t="s">
        <v>22</v>
      </c>
      <c r="F1107" t="s">
        <v>23</v>
      </c>
      <c r="G1107" s="2">
        <v>13415.826378285972</v>
      </c>
      <c r="H1107" t="str">
        <f>_xlfn.XLOOKUP(Data_Xuất[[#This Row],[Main SKU]],MD_Main_SKU[Main SKU],MD_Main_SKU[SKU name_gom])</f>
        <v>WSS01</v>
      </c>
    </row>
    <row r="1108" spans="1:8" x14ac:dyDescent="0.35">
      <c r="A1108">
        <v>2026</v>
      </c>
      <c r="B1108">
        <v>1</v>
      </c>
      <c r="C1108" t="s">
        <v>16</v>
      </c>
      <c r="D1108" t="s">
        <v>17</v>
      </c>
      <c r="E1108" t="s">
        <v>40</v>
      </c>
      <c r="F1108" t="s">
        <v>41</v>
      </c>
      <c r="G1108" s="2">
        <v>6716.3700660643754</v>
      </c>
      <c r="H1108" t="str">
        <f>_xlfn.XLOOKUP(Data_Xuất[[#This Row],[Main SKU]],MD_Main_SKU[Main SKU],MD_Main_SKU[SKU name_gom])</f>
        <v>WSS01</v>
      </c>
    </row>
    <row r="1109" spans="1:8" x14ac:dyDescent="0.35">
      <c r="A1109">
        <v>2026</v>
      </c>
      <c r="B1109">
        <v>1</v>
      </c>
      <c r="C1109" t="s">
        <v>16</v>
      </c>
      <c r="D1109" t="s">
        <v>17</v>
      </c>
      <c r="E1109" t="s">
        <v>42</v>
      </c>
      <c r="F1109" t="s">
        <v>43</v>
      </c>
      <c r="G1109" s="2">
        <v>2236.7223065250378</v>
      </c>
      <c r="H1109" t="str">
        <f>_xlfn.XLOOKUP(Data_Xuất[[#This Row],[Main SKU]],MD_Main_SKU[Main SKU],MD_Main_SKU[SKU name_gom])</f>
        <v>WSS01</v>
      </c>
    </row>
    <row r="1110" spans="1:8" x14ac:dyDescent="0.35">
      <c r="A1110">
        <v>2026</v>
      </c>
      <c r="B1110">
        <v>1</v>
      </c>
      <c r="C1110" t="s">
        <v>16</v>
      </c>
      <c r="D1110" t="s">
        <v>17</v>
      </c>
      <c r="E1110" t="s">
        <v>34</v>
      </c>
      <c r="F1110" t="s">
        <v>35</v>
      </c>
      <c r="G1110" s="2">
        <v>7783.9369949875399</v>
      </c>
      <c r="H1110" t="str">
        <f>_xlfn.XLOOKUP(Data_Xuất[[#This Row],[Main SKU]],MD_Main_SKU[Main SKU],MD_Main_SKU[SKU name_gom])</f>
        <v>WSS01</v>
      </c>
    </row>
    <row r="1111" spans="1:8" x14ac:dyDescent="0.35">
      <c r="A1111">
        <v>2026</v>
      </c>
      <c r="B1111">
        <v>1</v>
      </c>
      <c r="C1111" t="s">
        <v>16</v>
      </c>
      <c r="D1111" t="s">
        <v>17</v>
      </c>
      <c r="E1111" t="s">
        <v>87</v>
      </c>
      <c r="F1111" t="s">
        <v>88</v>
      </c>
      <c r="G1111" s="2">
        <v>27200.120958764506</v>
      </c>
      <c r="H1111" t="str">
        <f>_xlfn.XLOOKUP(Data_Xuất[[#This Row],[Main SKU]],MD_Main_SKU[Main SKU],MD_Main_SKU[SKU name_gom])</f>
        <v>WSS01</v>
      </c>
    </row>
    <row r="1112" spans="1:8" x14ac:dyDescent="0.35">
      <c r="A1112">
        <v>2026</v>
      </c>
      <c r="B1112">
        <v>1</v>
      </c>
      <c r="C1112" t="s">
        <v>16</v>
      </c>
      <c r="D1112" t="s">
        <v>17</v>
      </c>
      <c r="E1112" t="s">
        <v>91</v>
      </c>
      <c r="F1112" t="s">
        <v>92</v>
      </c>
      <c r="G1112" s="2">
        <v>2233.8944807257703</v>
      </c>
      <c r="H1112" t="str">
        <f>_xlfn.XLOOKUP(Data_Xuất[[#This Row],[Main SKU]],MD_Main_SKU[Main SKU],MD_Main_SKU[SKU name_gom])</f>
        <v>WSS01</v>
      </c>
    </row>
    <row r="1113" spans="1:8" x14ac:dyDescent="0.35">
      <c r="A1113">
        <v>2026</v>
      </c>
      <c r="B1113">
        <v>1</v>
      </c>
      <c r="C1113" t="s">
        <v>16</v>
      </c>
      <c r="D1113" t="s">
        <v>17</v>
      </c>
      <c r="E1113" t="s">
        <v>93</v>
      </c>
      <c r="F1113" t="s">
        <v>94</v>
      </c>
      <c r="G1113" s="2">
        <v>253.8552877461328</v>
      </c>
      <c r="H1113" t="str">
        <f>_xlfn.XLOOKUP(Data_Xuất[[#This Row],[Main SKU]],MD_Main_SKU[Main SKU],MD_Main_SKU[SKU name_gom])</f>
        <v>WSS01</v>
      </c>
    </row>
    <row r="1114" spans="1:8" x14ac:dyDescent="0.35">
      <c r="A1114">
        <v>2026</v>
      </c>
      <c r="B1114">
        <v>1</v>
      </c>
      <c r="C1114" t="s">
        <v>16</v>
      </c>
      <c r="D1114" t="s">
        <v>17</v>
      </c>
      <c r="E1114" t="s">
        <v>117</v>
      </c>
      <c r="F1114" t="s">
        <v>86</v>
      </c>
      <c r="G1114" s="2">
        <v>19842.209490223267</v>
      </c>
      <c r="H1114" t="str">
        <f>_xlfn.XLOOKUP(Data_Xuất[[#This Row],[Main SKU]],MD_Main_SKU[Main SKU],MD_Main_SKU[SKU name_gom])</f>
        <v>WSS01</v>
      </c>
    </row>
    <row r="1115" spans="1:8" x14ac:dyDescent="0.35">
      <c r="A1115">
        <v>2026</v>
      </c>
      <c r="B1115">
        <v>1</v>
      </c>
      <c r="C1115" t="s">
        <v>16</v>
      </c>
      <c r="D1115" t="s">
        <v>17</v>
      </c>
      <c r="E1115" t="s">
        <v>128</v>
      </c>
      <c r="F1115" t="s">
        <v>129</v>
      </c>
      <c r="G1115" s="2">
        <v>5584.695594787936</v>
      </c>
      <c r="H1115" t="str">
        <f>_xlfn.XLOOKUP(Data_Xuất[[#This Row],[Main SKU]],MD_Main_SKU[Main SKU],MD_Main_SKU[SKU name_gom])</f>
        <v>WSS01</v>
      </c>
    </row>
    <row r="1116" spans="1:8" x14ac:dyDescent="0.35">
      <c r="A1116">
        <v>2026</v>
      </c>
      <c r="B1116">
        <v>1</v>
      </c>
      <c r="C1116" t="s">
        <v>22</v>
      </c>
      <c r="D1116" t="s">
        <v>23</v>
      </c>
      <c r="E1116" t="s">
        <v>22</v>
      </c>
      <c r="F1116" t="s">
        <v>23</v>
      </c>
      <c r="G1116" s="2">
        <v>382050.90939834353</v>
      </c>
      <c r="H1116" t="str">
        <f>_xlfn.XLOOKUP(Data_Xuất[[#This Row],[Main SKU]],MD_Main_SKU[Main SKU],MD_Main_SKU[SKU name_gom])</f>
        <v>WSS03</v>
      </c>
    </row>
    <row r="1117" spans="1:8" x14ac:dyDescent="0.35">
      <c r="A1117">
        <v>2026</v>
      </c>
      <c r="B1117">
        <v>1</v>
      </c>
      <c r="C1117" t="s">
        <v>22</v>
      </c>
      <c r="D1117" t="s">
        <v>23</v>
      </c>
      <c r="E1117" t="s">
        <v>34</v>
      </c>
      <c r="F1117" t="s">
        <v>35</v>
      </c>
      <c r="G1117" s="2">
        <v>2234.3511358280684</v>
      </c>
      <c r="H1117" t="str">
        <f>_xlfn.XLOOKUP(Data_Xuất[[#This Row],[Main SKU]],MD_Main_SKU[Main SKU],MD_Main_SKU[SKU name_gom])</f>
        <v>WSS03</v>
      </c>
    </row>
    <row r="1118" spans="1:8" x14ac:dyDescent="0.35">
      <c r="A1118">
        <v>2026</v>
      </c>
      <c r="B1118">
        <v>1</v>
      </c>
      <c r="C1118" t="s">
        <v>22</v>
      </c>
      <c r="D1118" t="s">
        <v>23</v>
      </c>
      <c r="E1118" t="s">
        <v>87</v>
      </c>
      <c r="F1118" t="s">
        <v>88</v>
      </c>
      <c r="G1118" s="2">
        <v>5942.3448702895921</v>
      </c>
      <c r="H1118" t="str">
        <f>_xlfn.XLOOKUP(Data_Xuất[[#This Row],[Main SKU]],MD_Main_SKU[Main SKU],MD_Main_SKU[SKU name_gom])</f>
        <v>WSS03</v>
      </c>
    </row>
    <row r="1119" spans="1:8" x14ac:dyDescent="0.35">
      <c r="A1119">
        <v>2026</v>
      </c>
      <c r="B1119">
        <v>1</v>
      </c>
      <c r="C1119" t="s">
        <v>22</v>
      </c>
      <c r="D1119" t="s">
        <v>23</v>
      </c>
      <c r="E1119" t="s">
        <v>117</v>
      </c>
      <c r="F1119" t="s">
        <v>86</v>
      </c>
      <c r="G1119" s="2">
        <v>5820.3382853216381</v>
      </c>
      <c r="H1119" t="str">
        <f>_xlfn.XLOOKUP(Data_Xuất[[#This Row],[Main SKU]],MD_Main_SKU[Main SKU],MD_Main_SKU[SKU name_gom])</f>
        <v>WSS03</v>
      </c>
    </row>
    <row r="1120" spans="1:8" x14ac:dyDescent="0.35">
      <c r="A1120">
        <v>2026</v>
      </c>
      <c r="B1120">
        <v>1</v>
      </c>
      <c r="C1120" t="s">
        <v>22</v>
      </c>
      <c r="D1120" t="s">
        <v>23</v>
      </c>
      <c r="E1120" t="s">
        <v>138</v>
      </c>
      <c r="F1120" t="s">
        <v>139</v>
      </c>
      <c r="G1120" s="2">
        <v>2235.0563102171354</v>
      </c>
      <c r="H1120" t="str">
        <f>_xlfn.XLOOKUP(Data_Xuất[[#This Row],[Main SKU]],MD_Main_SKU[Main SKU],MD_Main_SKU[SKU name_gom])</f>
        <v>WSS03</v>
      </c>
    </row>
    <row r="1121" spans="1:8" x14ac:dyDescent="0.35">
      <c r="A1121">
        <v>2026</v>
      </c>
      <c r="B1121">
        <v>1</v>
      </c>
      <c r="C1121" t="s">
        <v>99</v>
      </c>
      <c r="D1121" t="s">
        <v>100</v>
      </c>
      <c r="E1121" t="s">
        <v>99</v>
      </c>
      <c r="F1121" t="s">
        <v>100</v>
      </c>
      <c r="G1121" s="2">
        <v>1570</v>
      </c>
      <c r="H1121" t="str">
        <f>_xlfn.XLOOKUP(Data_Xuất[[#This Row],[Main SKU]],MD_Main_SKU[Main SKU],MD_Main_SKU[SKU name_gom])</f>
        <v>WSS04</v>
      </c>
    </row>
    <row r="1122" spans="1:8" x14ac:dyDescent="0.35">
      <c r="A1122">
        <v>2026</v>
      </c>
      <c r="B1122">
        <v>1</v>
      </c>
      <c r="C1122" t="s">
        <v>99</v>
      </c>
      <c r="D1122" t="s">
        <v>100</v>
      </c>
      <c r="E1122" t="s">
        <v>115</v>
      </c>
      <c r="F1122" t="s">
        <v>116</v>
      </c>
      <c r="G1122" s="2">
        <v>8046.5486604702019</v>
      </c>
      <c r="H1122" t="str">
        <f>_xlfn.XLOOKUP(Data_Xuất[[#This Row],[Main SKU]],MD_Main_SKU[Main SKU],MD_Main_SKU[SKU name_gom])</f>
        <v>WSS04</v>
      </c>
    </row>
    <row r="1123" spans="1:8" x14ac:dyDescent="0.35">
      <c r="A1123">
        <v>2026</v>
      </c>
      <c r="B1123">
        <v>1</v>
      </c>
      <c r="C1123" t="s">
        <v>99</v>
      </c>
      <c r="D1123" t="s">
        <v>100</v>
      </c>
      <c r="E1123" t="s">
        <v>87</v>
      </c>
      <c r="F1123" t="s">
        <v>88</v>
      </c>
      <c r="G1123" s="2">
        <v>775</v>
      </c>
      <c r="H1123" t="str">
        <f>_xlfn.XLOOKUP(Data_Xuất[[#This Row],[Main SKU]],MD_Main_SKU[Main SKU],MD_Main_SKU[SKU name_gom])</f>
        <v>WSS04</v>
      </c>
    </row>
    <row r="1124" spans="1:8" x14ac:dyDescent="0.35">
      <c r="A1124">
        <v>2026</v>
      </c>
      <c r="B1124">
        <v>1</v>
      </c>
      <c r="C1124" t="s">
        <v>99</v>
      </c>
      <c r="D1124" t="s">
        <v>100</v>
      </c>
      <c r="E1124" t="s">
        <v>117</v>
      </c>
      <c r="F1124" t="s">
        <v>86</v>
      </c>
      <c r="G1124" s="2">
        <v>1178.4513395297977</v>
      </c>
      <c r="H1124" t="str">
        <f>_xlfn.XLOOKUP(Data_Xuất[[#This Row],[Main SKU]],MD_Main_SKU[Main SKU],MD_Main_SKU[SKU name_gom])</f>
        <v>WSS04</v>
      </c>
    </row>
    <row r="1125" spans="1:8" x14ac:dyDescent="0.35">
      <c r="A1125">
        <v>2026</v>
      </c>
      <c r="B1125">
        <v>1</v>
      </c>
      <c r="C1125" t="s">
        <v>115</v>
      </c>
      <c r="D1125" t="s">
        <v>116</v>
      </c>
      <c r="E1125" t="s">
        <v>95</v>
      </c>
      <c r="F1125" t="s">
        <v>96</v>
      </c>
      <c r="G1125" s="2">
        <v>6929.9972919648726</v>
      </c>
      <c r="H1125" t="str">
        <f>_xlfn.XLOOKUP(Data_Xuất[[#This Row],[Main SKU]],MD_Main_SKU[Main SKU],MD_Main_SKU[SKU name_gom])</f>
        <v>WSS05</v>
      </c>
    </row>
    <row r="1126" spans="1:8" x14ac:dyDescent="0.35">
      <c r="A1126">
        <v>2026</v>
      </c>
      <c r="B1126">
        <v>1</v>
      </c>
      <c r="C1126" t="s">
        <v>115</v>
      </c>
      <c r="D1126" t="s">
        <v>116</v>
      </c>
      <c r="E1126" t="s">
        <v>115</v>
      </c>
      <c r="F1126" t="s">
        <v>116</v>
      </c>
      <c r="G1126" s="2">
        <v>38441.981084104547</v>
      </c>
      <c r="H1126" t="str">
        <f>_xlfn.XLOOKUP(Data_Xuất[[#This Row],[Main SKU]],MD_Main_SKU[Main SKU],MD_Main_SKU[SKU name_gom])</f>
        <v>WSS05</v>
      </c>
    </row>
    <row r="1127" spans="1:8" x14ac:dyDescent="0.35">
      <c r="A1127">
        <v>2026</v>
      </c>
      <c r="B1127">
        <v>1</v>
      </c>
      <c r="C1127" t="s">
        <v>115</v>
      </c>
      <c r="D1127" t="s">
        <v>116</v>
      </c>
      <c r="E1127" t="s">
        <v>124</v>
      </c>
      <c r="F1127" t="s">
        <v>125</v>
      </c>
      <c r="G1127" s="2">
        <v>1615.0193688988613</v>
      </c>
      <c r="H1127" t="str">
        <f>_xlfn.XLOOKUP(Data_Xuất[[#This Row],[Main SKU]],MD_Main_SKU[Main SKU],MD_Main_SKU[SKU name_gom])</f>
        <v>WSS05</v>
      </c>
    </row>
    <row r="1128" spans="1:8" x14ac:dyDescent="0.35">
      <c r="A1128">
        <v>2026</v>
      </c>
      <c r="B1128">
        <v>1</v>
      </c>
      <c r="C1128" t="s">
        <v>115</v>
      </c>
      <c r="D1128" t="s">
        <v>116</v>
      </c>
      <c r="E1128" t="s">
        <v>140</v>
      </c>
      <c r="F1128" t="s">
        <v>141</v>
      </c>
      <c r="G1128" s="2">
        <v>36035.985918217339</v>
      </c>
      <c r="H1128" t="str">
        <f>_xlfn.XLOOKUP(Data_Xuất[[#This Row],[Main SKU]],MD_Main_SKU[Main SKU],MD_Main_SKU[SKU name_gom])</f>
        <v>WSS05</v>
      </c>
    </row>
    <row r="1129" spans="1:8" x14ac:dyDescent="0.35">
      <c r="A1129">
        <v>2026</v>
      </c>
      <c r="B1129">
        <v>1</v>
      </c>
      <c r="C1129" t="s">
        <v>115</v>
      </c>
      <c r="D1129" t="s">
        <v>116</v>
      </c>
      <c r="E1129" t="s">
        <v>87</v>
      </c>
      <c r="F1129" t="s">
        <v>88</v>
      </c>
      <c r="G1129" s="2">
        <v>355.94426929726433</v>
      </c>
      <c r="H1129" t="str">
        <f>_xlfn.XLOOKUP(Data_Xuất[[#This Row],[Main SKU]],MD_Main_SKU[Main SKU],MD_Main_SKU[SKU name_gom])</f>
        <v>WSS05</v>
      </c>
    </row>
    <row r="1130" spans="1:8" x14ac:dyDescent="0.35">
      <c r="A1130">
        <v>2026</v>
      </c>
      <c r="B1130">
        <v>1</v>
      </c>
      <c r="C1130" t="s">
        <v>115</v>
      </c>
      <c r="D1130" t="s">
        <v>116</v>
      </c>
      <c r="E1130" t="s">
        <v>117</v>
      </c>
      <c r="F1130" t="s">
        <v>86</v>
      </c>
      <c r="G1130" s="2">
        <v>7802.072067517116</v>
      </c>
      <c r="H1130" t="str">
        <f>_xlfn.XLOOKUP(Data_Xuất[[#This Row],[Main SKU]],MD_Main_SKU[Main SKU],MD_Main_SKU[SKU name_gom])</f>
        <v>WSS05</v>
      </c>
    </row>
    <row r="1131" spans="1:8" x14ac:dyDescent="0.35">
      <c r="A1131">
        <v>2026</v>
      </c>
      <c r="B1131">
        <v>1</v>
      </c>
      <c r="C1131" t="s">
        <v>142</v>
      </c>
      <c r="D1131" t="s">
        <v>143</v>
      </c>
      <c r="E1131" t="s">
        <v>142</v>
      </c>
      <c r="F1131" t="s">
        <v>143</v>
      </c>
      <c r="G1131" s="2">
        <v>6000</v>
      </c>
      <c r="H1131" t="str">
        <f>_xlfn.XLOOKUP(Data_Xuất[[#This Row],[Main SKU]],MD_Main_SKU[Main SKU],MD_Main_SKU[SKU name_gom])</f>
        <v>Khác</v>
      </c>
    </row>
    <row r="1132" spans="1:8" x14ac:dyDescent="0.35">
      <c r="A1132">
        <v>2026</v>
      </c>
      <c r="B1132">
        <v>2</v>
      </c>
      <c r="C1132" t="s">
        <v>8</v>
      </c>
      <c r="D1132" t="s">
        <v>9</v>
      </c>
      <c r="E1132" t="s">
        <v>8</v>
      </c>
      <c r="F1132" t="s">
        <v>9</v>
      </c>
      <c r="G1132" s="2">
        <v>22811.769230769234</v>
      </c>
      <c r="H1132" t="str">
        <f>_xlfn.XLOOKUP(Data_Xuất[[#This Row],[Main SKU]],MD_Main_SKU[Main SKU],MD_Main_SKU[SKU name_gom])</f>
        <v>WSS01</v>
      </c>
    </row>
    <row r="1133" spans="1:8" x14ac:dyDescent="0.35">
      <c r="A1133">
        <v>2026</v>
      </c>
      <c r="B1133">
        <v>2</v>
      </c>
      <c r="C1133" t="s">
        <v>8</v>
      </c>
      <c r="D1133" t="s">
        <v>9</v>
      </c>
      <c r="E1133" t="s">
        <v>36</v>
      </c>
      <c r="F1133" t="s">
        <v>37</v>
      </c>
      <c r="G1133" s="2">
        <v>6843.5307692307706</v>
      </c>
      <c r="H1133" t="str">
        <f>_xlfn.XLOOKUP(Data_Xuất[[#This Row],[Main SKU]],MD_Main_SKU[Main SKU],MD_Main_SKU[SKU name_gom])</f>
        <v>WSS01</v>
      </c>
    </row>
    <row r="1134" spans="1:8" x14ac:dyDescent="0.35">
      <c r="A1134">
        <v>2026</v>
      </c>
      <c r="B1134">
        <v>2</v>
      </c>
      <c r="C1134" t="s">
        <v>14</v>
      </c>
      <c r="D1134" t="s">
        <v>15</v>
      </c>
      <c r="E1134" t="s">
        <v>14</v>
      </c>
      <c r="F1134" t="s">
        <v>15</v>
      </c>
      <c r="G1134" s="2">
        <v>304968.05780858075</v>
      </c>
      <c r="H1134" t="str">
        <f>_xlfn.XLOOKUP(Data_Xuất[[#This Row],[Main SKU]],MD_Main_SKU[Main SKU],MD_Main_SKU[SKU name_gom])</f>
        <v>iSS01084</v>
      </c>
    </row>
    <row r="1135" spans="1:8" x14ac:dyDescent="0.35">
      <c r="A1135">
        <v>2026</v>
      </c>
      <c r="B1135">
        <v>2</v>
      </c>
      <c r="C1135" t="s">
        <v>14</v>
      </c>
      <c r="D1135" t="s">
        <v>15</v>
      </c>
      <c r="E1135" t="s">
        <v>18</v>
      </c>
      <c r="F1135" t="s">
        <v>19</v>
      </c>
      <c r="G1135" s="2">
        <v>25696.448285974468</v>
      </c>
      <c r="H1135" t="str">
        <f>_xlfn.XLOOKUP(Data_Xuất[[#This Row],[Main SKU]],MD_Main_SKU[Main SKU],MD_Main_SKU[SKU name_gom])</f>
        <v>iSS01084</v>
      </c>
    </row>
    <row r="1136" spans="1:8" x14ac:dyDescent="0.35">
      <c r="A1136">
        <v>2026</v>
      </c>
      <c r="B1136">
        <v>2</v>
      </c>
      <c r="C1136" t="s">
        <v>14</v>
      </c>
      <c r="D1136" t="s">
        <v>15</v>
      </c>
      <c r="E1136" t="s">
        <v>22</v>
      </c>
      <c r="F1136" t="s">
        <v>23</v>
      </c>
      <c r="G1136" s="2">
        <v>23459.185598181422</v>
      </c>
      <c r="H1136" t="str">
        <f>_xlfn.XLOOKUP(Data_Xuất[[#This Row],[Main SKU]],MD_Main_SKU[Main SKU],MD_Main_SKU[SKU name_gom])</f>
        <v>iSS01084</v>
      </c>
    </row>
    <row r="1137" spans="1:8" x14ac:dyDescent="0.35">
      <c r="A1137">
        <v>2026</v>
      </c>
      <c r="B1137">
        <v>2</v>
      </c>
      <c r="C1137" t="s">
        <v>14</v>
      </c>
      <c r="D1137" t="s">
        <v>15</v>
      </c>
      <c r="E1137" t="s">
        <v>42</v>
      </c>
      <c r="F1137" t="s">
        <v>43</v>
      </c>
      <c r="G1137" s="2">
        <v>4468.5465246320418</v>
      </c>
      <c r="H1137" t="str">
        <f>_xlfn.XLOOKUP(Data_Xuất[[#This Row],[Main SKU]],MD_Main_SKU[Main SKU],MD_Main_SKU[SKU name_gom])</f>
        <v>iSS01084</v>
      </c>
    </row>
    <row r="1138" spans="1:8" x14ac:dyDescent="0.35">
      <c r="A1138">
        <v>2026</v>
      </c>
      <c r="B1138">
        <v>2</v>
      </c>
      <c r="C1138" t="s">
        <v>14</v>
      </c>
      <c r="D1138" t="s">
        <v>15</v>
      </c>
      <c r="E1138" t="s">
        <v>34</v>
      </c>
      <c r="F1138" t="s">
        <v>35</v>
      </c>
      <c r="G1138" s="2">
        <v>2234.025936841274</v>
      </c>
      <c r="H1138" t="str">
        <f>_xlfn.XLOOKUP(Data_Xuất[[#This Row],[Main SKU]],MD_Main_SKU[Main SKU],MD_Main_SKU[SKU name_gom])</f>
        <v>iSS01084</v>
      </c>
    </row>
    <row r="1139" spans="1:8" x14ac:dyDescent="0.35">
      <c r="A1139">
        <v>2026</v>
      </c>
      <c r="B1139">
        <v>2</v>
      </c>
      <c r="C1139" t="s">
        <v>14</v>
      </c>
      <c r="D1139" t="s">
        <v>15</v>
      </c>
      <c r="E1139" t="s">
        <v>87</v>
      </c>
      <c r="F1139" t="s">
        <v>88</v>
      </c>
      <c r="G1139" s="2">
        <v>2590.0530000253239</v>
      </c>
      <c r="H1139" t="str">
        <f>_xlfn.XLOOKUP(Data_Xuất[[#This Row],[Main SKU]],MD_Main_SKU[Main SKU],MD_Main_SKU[SKU name_gom])</f>
        <v>iSS01084</v>
      </c>
    </row>
    <row r="1140" spans="1:8" x14ac:dyDescent="0.35">
      <c r="A1140">
        <v>2026</v>
      </c>
      <c r="B1140">
        <v>2</v>
      </c>
      <c r="C1140" t="s">
        <v>14</v>
      </c>
      <c r="D1140" t="s">
        <v>15</v>
      </c>
      <c r="E1140" t="s">
        <v>91</v>
      </c>
      <c r="F1140" t="s">
        <v>92</v>
      </c>
      <c r="G1140" s="2">
        <v>2234.025936841274</v>
      </c>
      <c r="H1140" t="str">
        <f>_xlfn.XLOOKUP(Data_Xuất[[#This Row],[Main SKU]],MD_Main_SKU[Main SKU],MD_Main_SKU[SKU name_gom])</f>
        <v>iSS01084</v>
      </c>
    </row>
    <row r="1141" spans="1:8" x14ac:dyDescent="0.35">
      <c r="A1141">
        <v>2026</v>
      </c>
      <c r="B1141">
        <v>2</v>
      </c>
      <c r="C1141" t="s">
        <v>14</v>
      </c>
      <c r="D1141" t="s">
        <v>15</v>
      </c>
      <c r="E1141" t="s">
        <v>117</v>
      </c>
      <c r="F1141" t="s">
        <v>86</v>
      </c>
      <c r="G1141" s="2">
        <v>6930.6569089234572</v>
      </c>
      <c r="H1141" t="str">
        <f>_xlfn.XLOOKUP(Data_Xuất[[#This Row],[Main SKU]],MD_Main_SKU[Main SKU],MD_Main_SKU[SKU name_gom])</f>
        <v>iSS01084</v>
      </c>
    </row>
    <row r="1142" spans="1:8" x14ac:dyDescent="0.35">
      <c r="A1142">
        <v>2026</v>
      </c>
      <c r="B1142">
        <v>2</v>
      </c>
      <c r="C1142" t="s">
        <v>16</v>
      </c>
      <c r="D1142" t="s">
        <v>17</v>
      </c>
      <c r="E1142" t="s">
        <v>16</v>
      </c>
      <c r="F1142" t="s">
        <v>17</v>
      </c>
      <c r="G1142" s="2">
        <v>706258.15252727491</v>
      </c>
      <c r="H1142" t="str">
        <f>_xlfn.XLOOKUP(Data_Xuất[[#This Row],[Main SKU]],MD_Main_SKU[Main SKU],MD_Main_SKU[SKU name_gom])</f>
        <v>WSS01</v>
      </c>
    </row>
    <row r="1143" spans="1:8" x14ac:dyDescent="0.35">
      <c r="A1143">
        <v>2026</v>
      </c>
      <c r="B1143">
        <v>2</v>
      </c>
      <c r="C1143" t="s">
        <v>16</v>
      </c>
      <c r="D1143" t="s">
        <v>17</v>
      </c>
      <c r="E1143" t="s">
        <v>18</v>
      </c>
      <c r="F1143" t="s">
        <v>19</v>
      </c>
      <c r="G1143" s="2">
        <v>91607.480271727341</v>
      </c>
      <c r="H1143" t="str">
        <f>_xlfn.XLOOKUP(Data_Xuất[[#This Row],[Main SKU]],MD_Main_SKU[Main SKU],MD_Main_SKU[SKU name_gom])</f>
        <v>WSS01</v>
      </c>
    </row>
    <row r="1144" spans="1:8" x14ac:dyDescent="0.35">
      <c r="A1144">
        <v>2026</v>
      </c>
      <c r="B1144">
        <v>2</v>
      </c>
      <c r="C1144" t="s">
        <v>16</v>
      </c>
      <c r="D1144" t="s">
        <v>17</v>
      </c>
      <c r="E1144" t="s">
        <v>22</v>
      </c>
      <c r="F1144" t="s">
        <v>23</v>
      </c>
      <c r="G1144" s="2">
        <v>11169.665365838982</v>
      </c>
      <c r="H1144" t="str">
        <f>_xlfn.XLOOKUP(Data_Xuất[[#This Row],[Main SKU]],MD_Main_SKU[Main SKU],MD_Main_SKU[SKU name_gom])</f>
        <v>WSS01</v>
      </c>
    </row>
    <row r="1145" spans="1:8" x14ac:dyDescent="0.35">
      <c r="A1145">
        <v>2026</v>
      </c>
      <c r="B1145">
        <v>2</v>
      </c>
      <c r="C1145" t="s">
        <v>16</v>
      </c>
      <c r="D1145" t="s">
        <v>17</v>
      </c>
      <c r="E1145" t="s">
        <v>40</v>
      </c>
      <c r="F1145" t="s">
        <v>41</v>
      </c>
      <c r="G1145" s="2">
        <v>25693.03423680456</v>
      </c>
      <c r="H1145" t="str">
        <f>_xlfn.XLOOKUP(Data_Xuất[[#This Row],[Main SKU]],MD_Main_SKU[Main SKU],MD_Main_SKU[SKU name_gom])</f>
        <v>WSS01</v>
      </c>
    </row>
    <row r="1146" spans="1:8" x14ac:dyDescent="0.35">
      <c r="A1146">
        <v>2026</v>
      </c>
      <c r="B1146">
        <v>2</v>
      </c>
      <c r="C1146" t="s">
        <v>16</v>
      </c>
      <c r="D1146" t="s">
        <v>17</v>
      </c>
      <c r="E1146" t="s">
        <v>42</v>
      </c>
      <c r="F1146" t="s">
        <v>43</v>
      </c>
      <c r="G1146" s="2">
        <v>1117.1590886459142</v>
      </c>
      <c r="H1146" t="str">
        <f>_xlfn.XLOOKUP(Data_Xuất[[#This Row],[Main SKU]],MD_Main_SKU[Main SKU],MD_Main_SKU[SKU name_gom])</f>
        <v>WSS01</v>
      </c>
    </row>
    <row r="1147" spans="1:8" x14ac:dyDescent="0.35">
      <c r="A1147">
        <v>2026</v>
      </c>
      <c r="B1147">
        <v>2</v>
      </c>
      <c r="C1147" t="s">
        <v>16</v>
      </c>
      <c r="D1147" t="s">
        <v>17</v>
      </c>
      <c r="E1147" t="s">
        <v>34</v>
      </c>
      <c r="F1147" t="s">
        <v>35</v>
      </c>
      <c r="G1147" s="2">
        <v>7816.2500413751404</v>
      </c>
      <c r="H1147" t="str">
        <f>_xlfn.XLOOKUP(Data_Xuất[[#This Row],[Main SKU]],MD_Main_SKU[Main SKU],MD_Main_SKU[SKU name_gom])</f>
        <v>WSS01</v>
      </c>
    </row>
    <row r="1148" spans="1:8" x14ac:dyDescent="0.35">
      <c r="A1148">
        <v>2026</v>
      </c>
      <c r="B1148">
        <v>2</v>
      </c>
      <c r="C1148" t="s">
        <v>16</v>
      </c>
      <c r="D1148" t="s">
        <v>17</v>
      </c>
      <c r="E1148" t="s">
        <v>87</v>
      </c>
      <c r="F1148" t="s">
        <v>88</v>
      </c>
      <c r="G1148" s="2">
        <v>14960.08288337147</v>
      </c>
      <c r="H1148" t="str">
        <f>_xlfn.XLOOKUP(Data_Xuất[[#This Row],[Main SKU]],MD_Main_SKU[Main SKU],MD_Main_SKU[SKU name_gom])</f>
        <v>WSS01</v>
      </c>
    </row>
    <row r="1149" spans="1:8" x14ac:dyDescent="0.35">
      <c r="A1149">
        <v>2026</v>
      </c>
      <c r="B1149">
        <v>2</v>
      </c>
      <c r="C1149" t="s">
        <v>16</v>
      </c>
      <c r="D1149" t="s">
        <v>17</v>
      </c>
      <c r="E1149" t="s">
        <v>91</v>
      </c>
      <c r="F1149" t="s">
        <v>92</v>
      </c>
      <c r="G1149" s="2">
        <v>1118.0792975716834</v>
      </c>
      <c r="H1149" t="str">
        <f>_xlfn.XLOOKUP(Data_Xuất[[#This Row],[Main SKU]],MD_Main_SKU[Main SKU],MD_Main_SKU[SKU name_gom])</f>
        <v>WSS01</v>
      </c>
    </row>
    <row r="1150" spans="1:8" x14ac:dyDescent="0.35">
      <c r="A1150">
        <v>2026</v>
      </c>
      <c r="B1150">
        <v>2</v>
      </c>
      <c r="C1150" t="s">
        <v>16</v>
      </c>
      <c r="D1150" t="s">
        <v>17</v>
      </c>
      <c r="E1150" t="s">
        <v>93</v>
      </c>
      <c r="F1150" t="s">
        <v>94</v>
      </c>
      <c r="G1150" s="2">
        <v>558.9293746577971</v>
      </c>
      <c r="H1150" t="str">
        <f>_xlfn.XLOOKUP(Data_Xuất[[#This Row],[Main SKU]],MD_Main_SKU[Main SKU],MD_Main_SKU[SKU name_gom])</f>
        <v>WSS01</v>
      </c>
    </row>
    <row r="1151" spans="1:8" x14ac:dyDescent="0.35">
      <c r="A1151">
        <v>2026</v>
      </c>
      <c r="B1151">
        <v>2</v>
      </c>
      <c r="C1151" t="s">
        <v>16</v>
      </c>
      <c r="D1151" t="s">
        <v>17</v>
      </c>
      <c r="E1151" t="s">
        <v>117</v>
      </c>
      <c r="F1151" t="s">
        <v>86</v>
      </c>
      <c r="G1151" s="2">
        <v>15962.535858122217</v>
      </c>
      <c r="H1151" t="str">
        <f>_xlfn.XLOOKUP(Data_Xuất[[#This Row],[Main SKU]],MD_Main_SKU[Main SKU],MD_Main_SKU[SKU name_gom])</f>
        <v>WSS01</v>
      </c>
    </row>
    <row r="1152" spans="1:8" x14ac:dyDescent="0.35">
      <c r="A1152">
        <v>2026</v>
      </c>
      <c r="B1152">
        <v>2</v>
      </c>
      <c r="C1152" t="s">
        <v>16</v>
      </c>
      <c r="D1152" t="s">
        <v>17</v>
      </c>
      <c r="E1152" t="s">
        <v>128</v>
      </c>
      <c r="F1152" t="s">
        <v>129</v>
      </c>
      <c r="G1152" s="2">
        <v>2235.6733889799707</v>
      </c>
      <c r="H1152" t="str">
        <f>_xlfn.XLOOKUP(Data_Xuất[[#This Row],[Main SKU]],MD_Main_SKU[Main SKU],MD_Main_SKU[SKU name_gom])</f>
        <v>WSS01</v>
      </c>
    </row>
    <row r="1153" spans="1:8" x14ac:dyDescent="0.35">
      <c r="A1153">
        <v>2026</v>
      </c>
      <c r="B1153">
        <v>2</v>
      </c>
      <c r="C1153" t="s">
        <v>16</v>
      </c>
      <c r="D1153" t="s">
        <v>17</v>
      </c>
      <c r="E1153" t="s">
        <v>138</v>
      </c>
      <c r="F1153" t="s">
        <v>139</v>
      </c>
      <c r="G1153" s="2">
        <v>1116.957665630232</v>
      </c>
      <c r="H1153" t="str">
        <f>_xlfn.XLOOKUP(Data_Xuất[[#This Row],[Main SKU]],MD_Main_SKU[Main SKU],MD_Main_SKU[SKU name_gom])</f>
        <v>WSS01</v>
      </c>
    </row>
    <row r="1154" spans="1:8" x14ac:dyDescent="0.35">
      <c r="A1154">
        <v>2026</v>
      </c>
      <c r="B1154">
        <v>2</v>
      </c>
      <c r="C1154" t="s">
        <v>99</v>
      </c>
      <c r="D1154" t="s">
        <v>100</v>
      </c>
      <c r="E1154" t="s">
        <v>99</v>
      </c>
      <c r="F1154" t="s">
        <v>100</v>
      </c>
      <c r="G1154" s="2">
        <v>12100.008451026404</v>
      </c>
      <c r="H1154" t="str">
        <f>_xlfn.XLOOKUP(Data_Xuất[[#This Row],[Main SKU]],MD_Main_SKU[Main SKU],MD_Main_SKU[SKU name_gom])</f>
        <v>WSS04</v>
      </c>
    </row>
    <row r="1155" spans="1:8" x14ac:dyDescent="0.35">
      <c r="A1155">
        <v>2026</v>
      </c>
      <c r="B1155">
        <v>2</v>
      </c>
      <c r="C1155" t="s">
        <v>99</v>
      </c>
      <c r="D1155" t="s">
        <v>100</v>
      </c>
      <c r="E1155" t="s">
        <v>115</v>
      </c>
      <c r="F1155" t="s">
        <v>116</v>
      </c>
      <c r="G1155" s="2">
        <v>4928.7973600293681</v>
      </c>
      <c r="H1155" t="str">
        <f>_xlfn.XLOOKUP(Data_Xuất[[#This Row],[Main SKU]],MD_Main_SKU[Main SKU],MD_Main_SKU[SKU name_gom])</f>
        <v>WSS04</v>
      </c>
    </row>
    <row r="1156" spans="1:8" x14ac:dyDescent="0.35">
      <c r="A1156">
        <v>2026</v>
      </c>
      <c r="B1156">
        <v>2</v>
      </c>
      <c r="C1156" t="s">
        <v>99</v>
      </c>
      <c r="D1156" t="s">
        <v>100</v>
      </c>
      <c r="E1156" t="s">
        <v>117</v>
      </c>
      <c r="F1156" t="s">
        <v>86</v>
      </c>
      <c r="G1156" s="2">
        <v>1471.1941889442292</v>
      </c>
      <c r="H1156" t="str">
        <f>_xlfn.XLOOKUP(Data_Xuất[[#This Row],[Main SKU]],MD_Main_SKU[Main SKU],MD_Main_SKU[SKU name_gom])</f>
        <v>WSS04</v>
      </c>
    </row>
    <row r="1157" spans="1:8" x14ac:dyDescent="0.35">
      <c r="A1157">
        <v>2026</v>
      </c>
      <c r="B1157">
        <v>3</v>
      </c>
      <c r="C1157" t="s">
        <v>8</v>
      </c>
      <c r="D1157" t="s">
        <v>9</v>
      </c>
      <c r="E1157" t="s">
        <v>8</v>
      </c>
      <c r="F1157" t="s">
        <v>9</v>
      </c>
      <c r="G1157" s="2">
        <v>127391.0458623099</v>
      </c>
      <c r="H1157" t="str">
        <f>_xlfn.XLOOKUP(Data_Xuất[[#This Row],[Main SKU]],MD_Main_SKU[Main SKU],MD_Main_SKU[SKU name_gom])</f>
        <v>WSS01</v>
      </c>
    </row>
    <row r="1158" spans="1:8" x14ac:dyDescent="0.35">
      <c r="A1158">
        <v>2026</v>
      </c>
      <c r="B1158">
        <v>3</v>
      </c>
      <c r="C1158" t="s">
        <v>8</v>
      </c>
      <c r="D1158" t="s">
        <v>9</v>
      </c>
      <c r="E1158" t="s">
        <v>22</v>
      </c>
      <c r="F1158" t="s">
        <v>23</v>
      </c>
      <c r="G1158" s="2">
        <v>2234.8149085735622</v>
      </c>
      <c r="H1158" t="str">
        <f>_xlfn.XLOOKUP(Data_Xuất[[#This Row],[Main SKU]],MD_Main_SKU[Main SKU],MD_Main_SKU[SKU name_gom])</f>
        <v>WSS01</v>
      </c>
    </row>
    <row r="1159" spans="1:8" x14ac:dyDescent="0.35">
      <c r="A1159">
        <v>2026</v>
      </c>
      <c r="B1159">
        <v>3</v>
      </c>
      <c r="C1159" t="s">
        <v>8</v>
      </c>
      <c r="D1159" t="s">
        <v>9</v>
      </c>
      <c r="E1159" t="s">
        <v>36</v>
      </c>
      <c r="F1159" t="s">
        <v>37</v>
      </c>
      <c r="G1159" s="2">
        <v>3352.6029055690074</v>
      </c>
      <c r="H1159" t="str">
        <f>_xlfn.XLOOKUP(Data_Xuất[[#This Row],[Main SKU]],MD_Main_SKU[Main SKU],MD_Main_SKU[SKU name_gom])</f>
        <v>WSS01</v>
      </c>
    </row>
    <row r="1160" spans="1:8" x14ac:dyDescent="0.35">
      <c r="A1160">
        <v>2026</v>
      </c>
      <c r="B1160">
        <v>3</v>
      </c>
      <c r="C1160" t="s">
        <v>8</v>
      </c>
      <c r="D1160" t="s">
        <v>9</v>
      </c>
      <c r="E1160" t="s">
        <v>87</v>
      </c>
      <c r="F1160" t="s">
        <v>88</v>
      </c>
      <c r="G1160" s="2">
        <v>2001.2362855971114</v>
      </c>
      <c r="H1160" t="str">
        <f>_xlfn.XLOOKUP(Data_Xuất[[#This Row],[Main SKU]],MD_Main_SKU[Main SKU],MD_Main_SKU[SKU name_gom])</f>
        <v>WSS01</v>
      </c>
    </row>
    <row r="1161" spans="1:8" x14ac:dyDescent="0.35">
      <c r="A1161">
        <v>2026</v>
      </c>
      <c r="B1161">
        <v>3</v>
      </c>
      <c r="C1161" t="s">
        <v>8</v>
      </c>
      <c r="D1161" t="s">
        <v>9</v>
      </c>
      <c r="E1161" t="s">
        <v>93</v>
      </c>
      <c r="F1161" t="s">
        <v>94</v>
      </c>
      <c r="G1161" s="2">
        <v>304.71289274106175</v>
      </c>
      <c r="H1161" t="str">
        <f>_xlfn.XLOOKUP(Data_Xuất[[#This Row],[Main SKU]],MD_Main_SKU[Main SKU],MD_Main_SKU[SKU name_gom])</f>
        <v>WSS01</v>
      </c>
    </row>
    <row r="1162" spans="1:8" x14ac:dyDescent="0.35">
      <c r="A1162">
        <v>2026</v>
      </c>
      <c r="B1162">
        <v>3</v>
      </c>
      <c r="C1162" t="s">
        <v>8</v>
      </c>
      <c r="D1162" t="s">
        <v>9</v>
      </c>
      <c r="E1162" t="s">
        <v>117</v>
      </c>
      <c r="F1162" t="s">
        <v>86</v>
      </c>
      <c r="G1162" s="2">
        <v>1798.0528433530344</v>
      </c>
      <c r="H1162" t="str">
        <f>_xlfn.XLOOKUP(Data_Xuất[[#This Row],[Main SKU]],MD_Main_SKU[Main SKU],MD_Main_SKU[SKU name_gom])</f>
        <v>WSS01</v>
      </c>
    </row>
    <row r="1163" spans="1:8" x14ac:dyDescent="0.35">
      <c r="A1163">
        <v>2026</v>
      </c>
      <c r="B1163">
        <v>3</v>
      </c>
      <c r="C1163" t="s">
        <v>8</v>
      </c>
      <c r="D1163" t="s">
        <v>9</v>
      </c>
      <c r="E1163" t="s">
        <v>134</v>
      </c>
      <c r="F1163" t="s">
        <v>135</v>
      </c>
      <c r="G1163" s="2">
        <v>1117.5343018563358</v>
      </c>
      <c r="H1163" t="str">
        <f>_xlfn.XLOOKUP(Data_Xuất[[#This Row],[Main SKU]],MD_Main_SKU[Main SKU],MD_Main_SKU[SKU name_gom])</f>
        <v>WSS01</v>
      </c>
    </row>
    <row r="1164" spans="1:8" x14ac:dyDescent="0.35">
      <c r="A1164">
        <v>2026</v>
      </c>
      <c r="B1164">
        <v>3</v>
      </c>
      <c r="C1164" t="s">
        <v>14</v>
      </c>
      <c r="D1164" t="s">
        <v>15</v>
      </c>
      <c r="E1164" t="s">
        <v>14</v>
      </c>
      <c r="F1164" t="s">
        <v>15</v>
      </c>
      <c r="G1164" s="2">
        <v>625650.86768931232</v>
      </c>
      <c r="H1164" t="str">
        <f>_xlfn.XLOOKUP(Data_Xuất[[#This Row],[Main SKU]],MD_Main_SKU[Main SKU],MD_Main_SKU[SKU name_gom])</f>
        <v>iSS01084</v>
      </c>
    </row>
    <row r="1165" spans="1:8" x14ac:dyDescent="0.35">
      <c r="A1165">
        <v>2026</v>
      </c>
      <c r="B1165">
        <v>3</v>
      </c>
      <c r="C1165" t="s">
        <v>14</v>
      </c>
      <c r="D1165" t="s">
        <v>15</v>
      </c>
      <c r="E1165" t="s">
        <v>18</v>
      </c>
      <c r="F1165" t="s">
        <v>19</v>
      </c>
      <c r="G1165" s="2">
        <v>1116.4936562860439</v>
      </c>
      <c r="H1165" t="str">
        <f>_xlfn.XLOOKUP(Data_Xuất[[#This Row],[Main SKU]],MD_Main_SKU[Main SKU],MD_Main_SKU[SKU name_gom])</f>
        <v>iSS01084</v>
      </c>
    </row>
    <row r="1166" spans="1:8" x14ac:dyDescent="0.35">
      <c r="A1166">
        <v>2026</v>
      </c>
      <c r="B1166">
        <v>3</v>
      </c>
      <c r="C1166" t="s">
        <v>14</v>
      </c>
      <c r="D1166" t="s">
        <v>15</v>
      </c>
      <c r="E1166" t="s">
        <v>22</v>
      </c>
      <c r="F1166" t="s">
        <v>23</v>
      </c>
      <c r="G1166" s="2">
        <v>8937.1539060542036</v>
      </c>
      <c r="H1166" t="str">
        <f>_xlfn.XLOOKUP(Data_Xuất[[#This Row],[Main SKU]],MD_Main_SKU[Main SKU],MD_Main_SKU[SKU name_gom])</f>
        <v>iSS01084</v>
      </c>
    </row>
    <row r="1167" spans="1:8" x14ac:dyDescent="0.35">
      <c r="A1167">
        <v>2026</v>
      </c>
      <c r="B1167">
        <v>3</v>
      </c>
      <c r="C1167" t="s">
        <v>14</v>
      </c>
      <c r="D1167" t="s">
        <v>15</v>
      </c>
      <c r="E1167" t="s">
        <v>42</v>
      </c>
      <c r="F1167" t="s">
        <v>43</v>
      </c>
      <c r="G1167" s="2">
        <v>6701.3229065719534</v>
      </c>
      <c r="H1167" t="str">
        <f>_xlfn.XLOOKUP(Data_Xuất[[#This Row],[Main SKU]],MD_Main_SKU[Main SKU],MD_Main_SKU[SKU name_gom])</f>
        <v>iSS01084</v>
      </c>
    </row>
    <row r="1168" spans="1:8" x14ac:dyDescent="0.35">
      <c r="A1168">
        <v>2026</v>
      </c>
      <c r="B1168">
        <v>3</v>
      </c>
      <c r="C1168" t="s">
        <v>14</v>
      </c>
      <c r="D1168" t="s">
        <v>15</v>
      </c>
      <c r="E1168" t="s">
        <v>87</v>
      </c>
      <c r="F1168" t="s">
        <v>88</v>
      </c>
      <c r="G1168" s="2">
        <v>17681.027595155079</v>
      </c>
      <c r="H1168" t="str">
        <f>_xlfn.XLOOKUP(Data_Xuất[[#This Row],[Main SKU]],MD_Main_SKU[Main SKU],MD_Main_SKU[SKU name_gom])</f>
        <v>iSS01084</v>
      </c>
    </row>
    <row r="1169" spans="1:8" x14ac:dyDescent="0.35">
      <c r="A1169">
        <v>2026</v>
      </c>
      <c r="B1169">
        <v>3</v>
      </c>
      <c r="C1169" t="s">
        <v>14</v>
      </c>
      <c r="D1169" t="s">
        <v>15</v>
      </c>
      <c r="E1169" t="s">
        <v>91</v>
      </c>
      <c r="F1169" t="s">
        <v>92</v>
      </c>
      <c r="G1169" s="2">
        <v>2233.0530949981435</v>
      </c>
      <c r="H1169" t="str">
        <f>_xlfn.XLOOKUP(Data_Xuất[[#This Row],[Main SKU]],MD_Main_SKU[Main SKU],MD_Main_SKU[SKU name_gom])</f>
        <v>iSS01084</v>
      </c>
    </row>
    <row r="1170" spans="1:8" x14ac:dyDescent="0.35">
      <c r="A1170">
        <v>2026</v>
      </c>
      <c r="B1170">
        <v>3</v>
      </c>
      <c r="C1170" t="s">
        <v>14</v>
      </c>
      <c r="D1170" t="s">
        <v>15</v>
      </c>
      <c r="E1170" t="s">
        <v>117</v>
      </c>
      <c r="F1170" t="s">
        <v>86</v>
      </c>
      <c r="G1170" s="2">
        <v>9710.0811516223312</v>
      </c>
      <c r="H1170" t="str">
        <f>_xlfn.XLOOKUP(Data_Xuất[[#This Row],[Main SKU]],MD_Main_SKU[Main SKU],MD_Main_SKU[SKU name_gom])</f>
        <v>iSS01084</v>
      </c>
    </row>
    <row r="1171" spans="1:8" x14ac:dyDescent="0.35">
      <c r="A1171">
        <v>2026</v>
      </c>
      <c r="B1171">
        <v>3</v>
      </c>
      <c r="C1171" t="s">
        <v>16</v>
      </c>
      <c r="D1171" t="s">
        <v>17</v>
      </c>
      <c r="E1171" t="s">
        <v>16</v>
      </c>
      <c r="F1171" t="s">
        <v>17</v>
      </c>
      <c r="G1171" s="2">
        <v>2119314.5383953745</v>
      </c>
      <c r="H1171" t="str">
        <f>_xlfn.XLOOKUP(Data_Xuất[[#This Row],[Main SKU]],MD_Main_SKU[Main SKU],MD_Main_SKU[SKU name_gom])</f>
        <v>WSS01</v>
      </c>
    </row>
    <row r="1172" spans="1:8" x14ac:dyDescent="0.35">
      <c r="A1172">
        <v>2026</v>
      </c>
      <c r="B1172">
        <v>3</v>
      </c>
      <c r="C1172" t="s">
        <v>16</v>
      </c>
      <c r="D1172" t="s">
        <v>17</v>
      </c>
      <c r="E1172" t="s">
        <v>22</v>
      </c>
      <c r="F1172" t="s">
        <v>23</v>
      </c>
      <c r="G1172" s="2">
        <v>36890.822813927676</v>
      </c>
      <c r="H1172" t="str">
        <f>_xlfn.XLOOKUP(Data_Xuất[[#This Row],[Main SKU]],MD_Main_SKU[Main SKU],MD_Main_SKU[SKU name_gom])</f>
        <v>WSS01</v>
      </c>
    </row>
    <row r="1173" spans="1:8" x14ac:dyDescent="0.35">
      <c r="A1173">
        <v>2026</v>
      </c>
      <c r="B1173">
        <v>3</v>
      </c>
      <c r="C1173" t="s">
        <v>16</v>
      </c>
      <c r="D1173" t="s">
        <v>17</v>
      </c>
      <c r="E1173" t="s">
        <v>24</v>
      </c>
      <c r="F1173" t="s">
        <v>25</v>
      </c>
      <c r="G1173" s="2">
        <v>86069.019209314254</v>
      </c>
      <c r="H1173" t="str">
        <f>_xlfn.XLOOKUP(Data_Xuất[[#This Row],[Main SKU]],MD_Main_SKU[Main SKU],MD_Main_SKU[SKU name_gom])</f>
        <v>WSS01</v>
      </c>
    </row>
    <row r="1174" spans="1:8" x14ac:dyDescent="0.35">
      <c r="A1174">
        <v>2026</v>
      </c>
      <c r="B1174">
        <v>3</v>
      </c>
      <c r="C1174" t="s">
        <v>16</v>
      </c>
      <c r="D1174" t="s">
        <v>17</v>
      </c>
      <c r="E1174" t="s">
        <v>26</v>
      </c>
      <c r="F1174" t="s">
        <v>27</v>
      </c>
      <c r="G1174" s="2">
        <v>21236.694791714053</v>
      </c>
      <c r="H1174" t="str">
        <f>_xlfn.XLOOKUP(Data_Xuất[[#This Row],[Main SKU]],MD_Main_SKU[Main SKU],MD_Main_SKU[SKU name_gom])</f>
        <v>WSS01</v>
      </c>
    </row>
    <row r="1175" spans="1:8" x14ac:dyDescent="0.35">
      <c r="A1175">
        <v>2026</v>
      </c>
      <c r="B1175">
        <v>3</v>
      </c>
      <c r="C1175" t="s">
        <v>16</v>
      </c>
      <c r="D1175" t="s">
        <v>17</v>
      </c>
      <c r="E1175" t="s">
        <v>40</v>
      </c>
      <c r="F1175" t="s">
        <v>41</v>
      </c>
      <c r="G1175" s="2">
        <v>3351.3277364511077</v>
      </c>
      <c r="H1175" t="str">
        <f>_xlfn.XLOOKUP(Data_Xuất[[#This Row],[Main SKU]],MD_Main_SKU[Main SKU],MD_Main_SKU[SKU name_gom])</f>
        <v>WSS01</v>
      </c>
    </row>
    <row r="1176" spans="1:8" x14ac:dyDescent="0.35">
      <c r="A1176">
        <v>2026</v>
      </c>
      <c r="B1176">
        <v>3</v>
      </c>
      <c r="C1176" t="s">
        <v>16</v>
      </c>
      <c r="D1176" t="s">
        <v>17</v>
      </c>
      <c r="E1176" t="s">
        <v>42</v>
      </c>
      <c r="F1176" t="s">
        <v>43</v>
      </c>
      <c r="G1176" s="2">
        <v>3351.7594106566048</v>
      </c>
      <c r="H1176" t="str">
        <f>_xlfn.XLOOKUP(Data_Xuất[[#This Row],[Main SKU]],MD_Main_SKU[Main SKU],MD_Main_SKU[SKU name_gom])</f>
        <v>WSS01</v>
      </c>
    </row>
    <row r="1177" spans="1:8" x14ac:dyDescent="0.35">
      <c r="A1177">
        <v>2026</v>
      </c>
      <c r="B1177">
        <v>3</v>
      </c>
      <c r="C1177" t="s">
        <v>16</v>
      </c>
      <c r="D1177" t="s">
        <v>17</v>
      </c>
      <c r="E1177" t="s">
        <v>34</v>
      </c>
      <c r="F1177" t="s">
        <v>35</v>
      </c>
      <c r="G1177" s="2">
        <v>3352.0832729275999</v>
      </c>
      <c r="H1177" t="str">
        <f>_xlfn.XLOOKUP(Data_Xuất[[#This Row],[Main SKU]],MD_Main_SKU[Main SKU],MD_Main_SKU[SKU name_gom])</f>
        <v>WSS01</v>
      </c>
    </row>
    <row r="1178" spans="1:8" x14ac:dyDescent="0.35">
      <c r="A1178">
        <v>2026</v>
      </c>
      <c r="B1178">
        <v>3</v>
      </c>
      <c r="C1178" t="s">
        <v>16</v>
      </c>
      <c r="D1178" t="s">
        <v>17</v>
      </c>
      <c r="E1178" t="s">
        <v>87</v>
      </c>
      <c r="F1178" t="s">
        <v>88</v>
      </c>
      <c r="G1178" s="2">
        <v>41097.405240801731</v>
      </c>
      <c r="H1178" t="str">
        <f>_xlfn.XLOOKUP(Data_Xuất[[#This Row],[Main SKU]],MD_Main_SKU[Main SKU],MD_Main_SKU[SKU name_gom])</f>
        <v>WSS01</v>
      </c>
    </row>
    <row r="1179" spans="1:8" x14ac:dyDescent="0.35">
      <c r="A1179">
        <v>2026</v>
      </c>
      <c r="B1179">
        <v>3</v>
      </c>
      <c r="C1179" t="s">
        <v>16</v>
      </c>
      <c r="D1179" t="s">
        <v>17</v>
      </c>
      <c r="E1179" t="s">
        <v>91</v>
      </c>
      <c r="F1179" t="s">
        <v>92</v>
      </c>
      <c r="G1179" s="2">
        <v>1117.6968670618121</v>
      </c>
      <c r="H1179" t="str">
        <f>_xlfn.XLOOKUP(Data_Xuất[[#This Row],[Main SKU]],MD_Main_SKU[Main SKU],MD_Main_SKU[SKU name_gom])</f>
        <v>WSS01</v>
      </c>
    </row>
    <row r="1180" spans="1:8" x14ac:dyDescent="0.35">
      <c r="A1180">
        <v>2026</v>
      </c>
      <c r="B1180">
        <v>3</v>
      </c>
      <c r="C1180" t="s">
        <v>16</v>
      </c>
      <c r="D1180" t="s">
        <v>17</v>
      </c>
      <c r="E1180" t="s">
        <v>93</v>
      </c>
      <c r="F1180" t="s">
        <v>94</v>
      </c>
      <c r="G1180" s="2">
        <v>268.21463769286697</v>
      </c>
      <c r="H1180" t="str">
        <f>_xlfn.XLOOKUP(Data_Xuất[[#This Row],[Main SKU]],MD_Main_SKU[Main SKU],MD_Main_SKU[SKU name_gom])</f>
        <v>WSS01</v>
      </c>
    </row>
    <row r="1181" spans="1:8" x14ac:dyDescent="0.35">
      <c r="A1181">
        <v>2026</v>
      </c>
      <c r="B1181">
        <v>3</v>
      </c>
      <c r="C1181" t="s">
        <v>16</v>
      </c>
      <c r="D1181" t="s">
        <v>17</v>
      </c>
      <c r="E1181" t="s">
        <v>117</v>
      </c>
      <c r="F1181" t="s">
        <v>86</v>
      </c>
      <c r="G1181" s="2">
        <v>21772.537912399941</v>
      </c>
      <c r="H1181" t="str">
        <f>_xlfn.XLOOKUP(Data_Xuất[[#This Row],[Main SKU]],MD_Main_SKU[Main SKU],MD_Main_SKU[SKU name_gom])</f>
        <v>WSS01</v>
      </c>
    </row>
    <row r="1182" spans="1:8" x14ac:dyDescent="0.35">
      <c r="A1182">
        <v>2026</v>
      </c>
      <c r="B1182">
        <v>3</v>
      </c>
      <c r="C1182" t="s">
        <v>16</v>
      </c>
      <c r="D1182" t="s">
        <v>17</v>
      </c>
      <c r="E1182" t="s">
        <v>128</v>
      </c>
      <c r="F1182" t="s">
        <v>129</v>
      </c>
      <c r="G1182" s="2">
        <v>6708.8997116780884</v>
      </c>
      <c r="H1182" t="str">
        <f>_xlfn.XLOOKUP(Data_Xuất[[#This Row],[Main SKU]],MD_Main_SKU[Main SKU],MD_Main_SKU[SKU name_gom])</f>
        <v>WSS01</v>
      </c>
    </row>
    <row r="1183" spans="1:8" x14ac:dyDescent="0.35">
      <c r="A1183">
        <v>2026</v>
      </c>
      <c r="B1183">
        <v>3</v>
      </c>
      <c r="C1183" t="s">
        <v>18</v>
      </c>
      <c r="D1183" t="s">
        <v>19</v>
      </c>
      <c r="E1183" t="s">
        <v>16</v>
      </c>
      <c r="F1183" t="s">
        <v>17</v>
      </c>
      <c r="G1183" s="2">
        <v>1117.0953941066964</v>
      </c>
      <c r="H1183" t="str">
        <f>_xlfn.XLOOKUP(Data_Xuất[[#This Row],[Main SKU]],MD_Main_SKU[Main SKU],MD_Main_SKU[SKU name_gom])</f>
        <v>iSS01</v>
      </c>
    </row>
    <row r="1184" spans="1:8" x14ac:dyDescent="0.35">
      <c r="A1184">
        <v>2026</v>
      </c>
      <c r="B1184">
        <v>3</v>
      </c>
      <c r="C1184" t="s">
        <v>18</v>
      </c>
      <c r="D1184" t="s">
        <v>19</v>
      </c>
      <c r="E1184" t="s">
        <v>18</v>
      </c>
      <c r="F1184" t="s">
        <v>19</v>
      </c>
      <c r="G1184" s="2">
        <v>198842.98015099193</v>
      </c>
      <c r="H1184" t="str">
        <f>_xlfn.XLOOKUP(Data_Xuất[[#This Row],[Main SKU]],MD_Main_SKU[Main SKU],MD_Main_SKU[SKU name_gom])</f>
        <v>iSS01</v>
      </c>
    </row>
    <row r="1185" spans="1:8" x14ac:dyDescent="0.35">
      <c r="A1185">
        <v>2026</v>
      </c>
      <c r="B1185">
        <v>3</v>
      </c>
      <c r="C1185" t="s">
        <v>18</v>
      </c>
      <c r="D1185" t="s">
        <v>19</v>
      </c>
      <c r="E1185" t="s">
        <v>42</v>
      </c>
      <c r="F1185" t="s">
        <v>43</v>
      </c>
      <c r="G1185" s="2">
        <v>1117.0953941066964</v>
      </c>
      <c r="H1185" t="str">
        <f>_xlfn.XLOOKUP(Data_Xuất[[#This Row],[Main SKU]],MD_Main_SKU[Main SKU],MD_Main_SKU[SKU name_gom])</f>
        <v>iSS01</v>
      </c>
    </row>
    <row r="1186" spans="1:8" x14ac:dyDescent="0.35">
      <c r="A1186">
        <v>2026</v>
      </c>
      <c r="B1186">
        <v>3</v>
      </c>
      <c r="C1186" t="s">
        <v>18</v>
      </c>
      <c r="D1186" t="s">
        <v>19</v>
      </c>
      <c r="E1186" t="s">
        <v>87</v>
      </c>
      <c r="F1186" t="s">
        <v>88</v>
      </c>
      <c r="G1186" s="2">
        <v>3393.9389155496178</v>
      </c>
      <c r="H1186" t="str">
        <f>_xlfn.XLOOKUP(Data_Xuất[[#This Row],[Main SKU]],MD_Main_SKU[Main SKU],MD_Main_SKU[SKU name_gom])</f>
        <v>iSS01</v>
      </c>
    </row>
    <row r="1187" spans="1:8" x14ac:dyDescent="0.35">
      <c r="A1187">
        <v>2026</v>
      </c>
      <c r="B1187">
        <v>3</v>
      </c>
      <c r="C1187" t="s">
        <v>18</v>
      </c>
      <c r="D1187" t="s">
        <v>19</v>
      </c>
      <c r="E1187" t="s">
        <v>117</v>
      </c>
      <c r="F1187" t="s">
        <v>86</v>
      </c>
      <c r="G1187" s="2">
        <v>1599.4774961073153</v>
      </c>
      <c r="H1187" t="str">
        <f>_xlfn.XLOOKUP(Data_Xuất[[#This Row],[Main SKU]],MD_Main_SKU[Main SKU],MD_Main_SKU[SKU name_gom])</f>
        <v>iSS01</v>
      </c>
    </row>
    <row r="1188" spans="1:8" x14ac:dyDescent="0.35">
      <c r="A1188">
        <v>2026</v>
      </c>
      <c r="B1188">
        <v>3</v>
      </c>
      <c r="C1188" t="s">
        <v>18</v>
      </c>
      <c r="D1188" t="s">
        <v>19</v>
      </c>
      <c r="E1188" t="s">
        <v>144</v>
      </c>
      <c r="F1188" t="s">
        <v>145</v>
      </c>
      <c r="G1188" s="2">
        <v>680.41264913771499</v>
      </c>
      <c r="H1188" t="str">
        <f>_xlfn.XLOOKUP(Data_Xuất[[#This Row],[Main SKU]],MD_Main_SKU[Main SKU],MD_Main_SKU[SKU name_gom])</f>
        <v>iSS01</v>
      </c>
    </row>
    <row r="1189" spans="1:8" x14ac:dyDescent="0.35">
      <c r="A1189">
        <v>2026</v>
      </c>
      <c r="B1189">
        <v>3</v>
      </c>
      <c r="C1189" t="s">
        <v>22</v>
      </c>
      <c r="D1189" t="s">
        <v>23</v>
      </c>
      <c r="E1189" t="s">
        <v>22</v>
      </c>
      <c r="F1189" t="s">
        <v>23</v>
      </c>
      <c r="G1189" s="2">
        <v>252362.47974143145</v>
      </c>
      <c r="H1189" t="str">
        <f>_xlfn.XLOOKUP(Data_Xuất[[#This Row],[Main SKU]],MD_Main_SKU[Main SKU],MD_Main_SKU[SKU name_gom])</f>
        <v>WSS03</v>
      </c>
    </row>
    <row r="1190" spans="1:8" x14ac:dyDescent="0.35">
      <c r="A1190">
        <v>2026</v>
      </c>
      <c r="B1190">
        <v>3</v>
      </c>
      <c r="C1190" t="s">
        <v>22</v>
      </c>
      <c r="D1190" t="s">
        <v>23</v>
      </c>
      <c r="E1190" t="s">
        <v>34</v>
      </c>
      <c r="F1190" t="s">
        <v>35</v>
      </c>
      <c r="G1190" s="2">
        <v>23461.283853419878</v>
      </c>
      <c r="H1190" t="str">
        <f>_xlfn.XLOOKUP(Data_Xuất[[#This Row],[Main SKU]],MD_Main_SKU[Main SKU],MD_Main_SKU[SKU name_gom])</f>
        <v>WSS03</v>
      </c>
    </row>
    <row r="1191" spans="1:8" x14ac:dyDescent="0.35">
      <c r="A1191">
        <v>2026</v>
      </c>
      <c r="B1191">
        <v>3</v>
      </c>
      <c r="C1191" t="s">
        <v>22</v>
      </c>
      <c r="D1191" t="s">
        <v>23</v>
      </c>
      <c r="E1191" t="s">
        <v>87</v>
      </c>
      <c r="F1191" t="s">
        <v>88</v>
      </c>
      <c r="G1191" s="2">
        <v>1675.7740525774668</v>
      </c>
      <c r="H1191" t="str">
        <f>_xlfn.XLOOKUP(Data_Xuất[[#This Row],[Main SKU]],MD_Main_SKU[Main SKU],MD_Main_SKU[SKU name_gom])</f>
        <v>WSS03</v>
      </c>
    </row>
    <row r="1192" spans="1:8" x14ac:dyDescent="0.35">
      <c r="A1192">
        <v>2026</v>
      </c>
      <c r="B1192">
        <v>3</v>
      </c>
      <c r="C1192" t="s">
        <v>22</v>
      </c>
      <c r="D1192" t="s">
        <v>23</v>
      </c>
      <c r="E1192" t="s">
        <v>117</v>
      </c>
      <c r="F1192" t="s">
        <v>86</v>
      </c>
      <c r="G1192" s="2">
        <v>4761.2677017539218</v>
      </c>
      <c r="H1192" t="str">
        <f>_xlfn.XLOOKUP(Data_Xuất[[#This Row],[Main SKU]],MD_Main_SKU[Main SKU],MD_Main_SKU[SKU name_gom])</f>
        <v>WSS03</v>
      </c>
    </row>
    <row r="1193" spans="1:8" x14ac:dyDescent="0.35">
      <c r="A1193">
        <v>2026</v>
      </c>
      <c r="B1193">
        <v>3</v>
      </c>
      <c r="C1193" t="s">
        <v>22</v>
      </c>
      <c r="D1193" t="s">
        <v>23</v>
      </c>
      <c r="E1193" t="s">
        <v>138</v>
      </c>
      <c r="F1193" t="s">
        <v>139</v>
      </c>
      <c r="G1193" s="2">
        <v>1117.1946508172364</v>
      </c>
      <c r="H1193" t="str">
        <f>_xlfn.XLOOKUP(Data_Xuất[[#This Row],[Main SKU]],MD_Main_SKU[Main SKU],MD_Main_SKU[SKU name_gom])</f>
        <v>WSS03</v>
      </c>
    </row>
    <row r="1194" spans="1:8" x14ac:dyDescent="0.35">
      <c r="A1194">
        <v>2026</v>
      </c>
      <c r="B1194">
        <v>3</v>
      </c>
      <c r="C1194" t="s">
        <v>26</v>
      </c>
      <c r="D1194" t="s">
        <v>27</v>
      </c>
      <c r="E1194" t="s">
        <v>22</v>
      </c>
      <c r="F1194" t="s">
        <v>23</v>
      </c>
      <c r="G1194" s="2">
        <v>5583.6077062186441</v>
      </c>
      <c r="H1194" t="str">
        <f>_xlfn.XLOOKUP(Data_Xuất[[#This Row],[Main SKU]],MD_Main_SKU[Main SKU],MD_Main_SKU[SKU name_gom])</f>
        <v>iSS01</v>
      </c>
    </row>
    <row r="1195" spans="1:8" x14ac:dyDescent="0.35">
      <c r="A1195">
        <v>2026</v>
      </c>
      <c r="B1195">
        <v>3</v>
      </c>
      <c r="C1195" t="s">
        <v>26</v>
      </c>
      <c r="D1195" t="s">
        <v>27</v>
      </c>
      <c r="E1195" t="s">
        <v>24</v>
      </c>
      <c r="F1195" t="s">
        <v>25</v>
      </c>
      <c r="G1195" s="2">
        <v>36838.587057473298</v>
      </c>
      <c r="H1195" t="str">
        <f>_xlfn.XLOOKUP(Data_Xuất[[#This Row],[Main SKU]],MD_Main_SKU[Main SKU],MD_Main_SKU[SKU name_gom])</f>
        <v>iSS01</v>
      </c>
    </row>
    <row r="1196" spans="1:8" x14ac:dyDescent="0.35">
      <c r="A1196">
        <v>2026</v>
      </c>
      <c r="B1196">
        <v>3</v>
      </c>
      <c r="C1196" t="s">
        <v>26</v>
      </c>
      <c r="D1196" t="s">
        <v>27</v>
      </c>
      <c r="E1196" t="s">
        <v>26</v>
      </c>
      <c r="F1196" t="s">
        <v>27</v>
      </c>
      <c r="G1196" s="2">
        <v>523581.66263132059</v>
      </c>
      <c r="H1196" t="str">
        <f>_xlfn.XLOOKUP(Data_Xuất[[#This Row],[Main SKU]],MD_Main_SKU[Main SKU],MD_Main_SKU[SKU name_gom])</f>
        <v>iSS01</v>
      </c>
    </row>
    <row r="1197" spans="1:8" x14ac:dyDescent="0.35">
      <c r="A1197">
        <v>2026</v>
      </c>
      <c r="B1197">
        <v>3</v>
      </c>
      <c r="C1197" t="s">
        <v>26</v>
      </c>
      <c r="D1197" t="s">
        <v>27</v>
      </c>
      <c r="E1197" t="s">
        <v>50</v>
      </c>
      <c r="F1197" t="s">
        <v>51</v>
      </c>
      <c r="G1197" s="2">
        <v>12286.12473060752</v>
      </c>
      <c r="H1197" t="str">
        <f>_xlfn.XLOOKUP(Data_Xuất[[#This Row],[Main SKU]],MD_Main_SKU[Main SKU],MD_Main_SKU[SKU name_gom])</f>
        <v>iSS01</v>
      </c>
    </row>
    <row r="1198" spans="1:8" x14ac:dyDescent="0.35">
      <c r="A1198">
        <v>2026</v>
      </c>
      <c r="B1198">
        <v>3</v>
      </c>
      <c r="C1198" t="s">
        <v>26</v>
      </c>
      <c r="D1198" t="s">
        <v>27</v>
      </c>
      <c r="E1198" t="s">
        <v>87</v>
      </c>
      <c r="F1198" t="s">
        <v>88</v>
      </c>
      <c r="G1198" s="2">
        <v>20706.874684680748</v>
      </c>
      <c r="H1198" t="str">
        <f>_xlfn.XLOOKUP(Data_Xuất[[#This Row],[Main SKU]],MD_Main_SKU[Main SKU],MD_Main_SKU[SKU name_gom])</f>
        <v>iSS01</v>
      </c>
    </row>
    <row r="1199" spans="1:8" x14ac:dyDescent="0.35">
      <c r="A1199">
        <v>2026</v>
      </c>
      <c r="B1199">
        <v>3</v>
      </c>
      <c r="C1199" t="s">
        <v>26</v>
      </c>
      <c r="D1199" t="s">
        <v>27</v>
      </c>
      <c r="E1199" t="s">
        <v>117</v>
      </c>
      <c r="F1199" t="s">
        <v>86</v>
      </c>
      <c r="G1199" s="2">
        <v>5461.3157097893472</v>
      </c>
      <c r="H1199" t="str">
        <f>_xlfn.XLOOKUP(Data_Xuất[[#This Row],[Main SKU]],MD_Main_SKU[Main SKU],MD_Main_SKU[SKU name_gom])</f>
        <v>iSS01</v>
      </c>
    </row>
    <row r="1200" spans="1:8" x14ac:dyDescent="0.35">
      <c r="A1200">
        <v>2026</v>
      </c>
      <c r="B1200">
        <v>3</v>
      </c>
      <c r="C1200" t="s">
        <v>26</v>
      </c>
      <c r="D1200" t="s">
        <v>27</v>
      </c>
      <c r="E1200" t="s">
        <v>62</v>
      </c>
      <c r="F1200" t="s">
        <v>63</v>
      </c>
      <c r="G1200" s="2">
        <v>3549.9712726228095</v>
      </c>
      <c r="H1200" t="str">
        <f>_xlfn.XLOOKUP(Data_Xuất[[#This Row],[Main SKU]],MD_Main_SKU[Main SKU],MD_Main_SKU[SKU name_gom])</f>
        <v>iSS01</v>
      </c>
    </row>
    <row r="1201" spans="1:8" x14ac:dyDescent="0.35">
      <c r="A1201">
        <v>2026</v>
      </c>
      <c r="B1201">
        <v>3</v>
      </c>
      <c r="C1201" t="s">
        <v>26</v>
      </c>
      <c r="D1201" t="s">
        <v>27</v>
      </c>
      <c r="E1201" t="s">
        <v>132</v>
      </c>
      <c r="F1201" t="s">
        <v>133</v>
      </c>
      <c r="G1201" s="2">
        <v>2232.8562072869554</v>
      </c>
      <c r="H1201" t="str">
        <f>_xlfn.XLOOKUP(Data_Xuất[[#This Row],[Main SKU]],MD_Main_SKU[Main SKU],MD_Main_SKU[SKU name_gom])</f>
        <v>iSS01</v>
      </c>
    </row>
    <row r="1202" spans="1:8" x14ac:dyDescent="0.35">
      <c r="A1202">
        <v>2026</v>
      </c>
      <c r="B1202">
        <v>3</v>
      </c>
      <c r="C1202" t="s">
        <v>99</v>
      </c>
      <c r="D1202" t="s">
        <v>100</v>
      </c>
      <c r="E1202" t="s">
        <v>99</v>
      </c>
      <c r="F1202" t="s">
        <v>100</v>
      </c>
      <c r="G1202" s="2">
        <v>2375.8405235290752</v>
      </c>
      <c r="H1202" t="str">
        <f>_xlfn.XLOOKUP(Data_Xuất[[#This Row],[Main SKU]],MD_Main_SKU[Main SKU],MD_Main_SKU[SKU name_gom])</f>
        <v>WSS04</v>
      </c>
    </row>
    <row r="1203" spans="1:8" x14ac:dyDescent="0.35">
      <c r="A1203">
        <v>2026</v>
      </c>
      <c r="B1203">
        <v>3</v>
      </c>
      <c r="C1203" t="s">
        <v>99</v>
      </c>
      <c r="D1203" t="s">
        <v>100</v>
      </c>
      <c r="E1203" t="s">
        <v>115</v>
      </c>
      <c r="F1203" t="s">
        <v>116</v>
      </c>
      <c r="G1203" s="2">
        <v>1740.5757368060315</v>
      </c>
      <c r="H1203" t="str">
        <f>_xlfn.XLOOKUP(Data_Xuất[[#This Row],[Main SKU]],MD_Main_SKU[Main SKU],MD_Main_SKU[SKU name_gom])</f>
        <v>WSS04</v>
      </c>
    </row>
    <row r="1204" spans="1:8" x14ac:dyDescent="0.35">
      <c r="A1204">
        <v>2026</v>
      </c>
      <c r="B1204">
        <v>3</v>
      </c>
      <c r="C1204" t="s">
        <v>99</v>
      </c>
      <c r="D1204" t="s">
        <v>100</v>
      </c>
      <c r="E1204" t="s">
        <v>117</v>
      </c>
      <c r="F1204" t="s">
        <v>86</v>
      </c>
      <c r="G1204" s="2">
        <v>383.58373966489336</v>
      </c>
      <c r="H1204" t="str">
        <f>_xlfn.XLOOKUP(Data_Xuất[[#This Row],[Main SKU]],MD_Main_SKU[Main SKU],MD_Main_SKU[SKU name_gom])</f>
        <v>WSS04</v>
      </c>
    </row>
    <row r="1205" spans="1:8" x14ac:dyDescent="0.35">
      <c r="A1205">
        <v>2026</v>
      </c>
      <c r="B1205">
        <v>3</v>
      </c>
      <c r="C1205" t="s">
        <v>115</v>
      </c>
      <c r="D1205" t="s">
        <v>116</v>
      </c>
      <c r="E1205" t="s">
        <v>99</v>
      </c>
      <c r="F1205" t="s">
        <v>100</v>
      </c>
      <c r="G1205" s="2">
        <v>1071.4285714285713</v>
      </c>
      <c r="H1205" t="str">
        <f>_xlfn.XLOOKUP(Data_Xuất[[#This Row],[Main SKU]],MD_Main_SKU[Main SKU],MD_Main_SKU[SKU name_gom])</f>
        <v>WSS05</v>
      </c>
    </row>
    <row r="1206" spans="1:8" x14ac:dyDescent="0.35">
      <c r="A1206">
        <v>2026</v>
      </c>
      <c r="B1206">
        <v>3</v>
      </c>
      <c r="C1206" t="s">
        <v>115</v>
      </c>
      <c r="D1206" t="s">
        <v>116</v>
      </c>
      <c r="E1206" t="s">
        <v>115</v>
      </c>
      <c r="F1206" t="s">
        <v>116</v>
      </c>
      <c r="G1206" s="2">
        <v>52232.806617000024</v>
      </c>
      <c r="H1206" t="str">
        <f>_xlfn.XLOOKUP(Data_Xuất[[#This Row],[Main SKU]],MD_Main_SKU[Main SKU],MD_Main_SKU[SKU name_gom])</f>
        <v>WSS05</v>
      </c>
    </row>
    <row r="1207" spans="1:8" x14ac:dyDescent="0.35">
      <c r="A1207">
        <v>2026</v>
      </c>
      <c r="B1207">
        <v>3</v>
      </c>
      <c r="C1207" t="s">
        <v>115</v>
      </c>
      <c r="D1207" t="s">
        <v>116</v>
      </c>
      <c r="E1207" t="s">
        <v>140</v>
      </c>
      <c r="F1207" t="s">
        <v>141</v>
      </c>
      <c r="G1207" s="2">
        <v>3609.625010256831</v>
      </c>
      <c r="H1207" t="str">
        <f>_xlfn.XLOOKUP(Data_Xuất[[#This Row],[Main SKU]],MD_Main_SKU[Main SKU],MD_Main_SKU[SKU name_gom])</f>
        <v>WSS05</v>
      </c>
    </row>
    <row r="1208" spans="1:8" x14ac:dyDescent="0.35">
      <c r="A1208">
        <v>2026</v>
      </c>
      <c r="B1208">
        <v>3</v>
      </c>
      <c r="C1208" t="s">
        <v>115</v>
      </c>
      <c r="D1208" t="s">
        <v>116</v>
      </c>
      <c r="E1208" t="s">
        <v>87</v>
      </c>
      <c r="F1208" t="s">
        <v>88</v>
      </c>
      <c r="G1208" s="2">
        <v>1529.7435367817034</v>
      </c>
      <c r="H1208" t="str">
        <f>_xlfn.XLOOKUP(Data_Xuất[[#This Row],[Main SKU]],MD_Main_SKU[Main SKU],MD_Main_SKU[SKU name_gom])</f>
        <v>WSS05</v>
      </c>
    </row>
    <row r="1209" spans="1:8" x14ac:dyDescent="0.35">
      <c r="A1209">
        <v>2026</v>
      </c>
      <c r="B1209">
        <v>3</v>
      </c>
      <c r="C1209" t="s">
        <v>115</v>
      </c>
      <c r="D1209" t="s">
        <v>116</v>
      </c>
      <c r="E1209" t="s">
        <v>117</v>
      </c>
      <c r="F1209" t="s">
        <v>86</v>
      </c>
      <c r="G1209" s="2">
        <v>1237.3962645328686</v>
      </c>
      <c r="H1209" t="str">
        <f>_xlfn.XLOOKUP(Data_Xuất[[#This Row],[Main SKU]],MD_Main_SKU[Main SKU],MD_Main_SKU[SKU name_gom])</f>
        <v>WSS05</v>
      </c>
    </row>
    <row r="1210" spans="1:8" x14ac:dyDescent="0.35">
      <c r="A1210">
        <v>2026</v>
      </c>
      <c r="B1210">
        <v>4</v>
      </c>
      <c r="C1210" t="s">
        <v>14</v>
      </c>
      <c r="D1210" t="s">
        <v>15</v>
      </c>
      <c r="E1210" t="s">
        <v>14</v>
      </c>
      <c r="F1210" t="s">
        <v>15</v>
      </c>
      <c r="G1210" s="2">
        <v>862167.89766277943</v>
      </c>
      <c r="H1210" t="str">
        <f>_xlfn.XLOOKUP(Data_Xuất[[#This Row],[Main SKU]],MD_Main_SKU[Main SKU],MD_Main_SKU[SKU name_gom])</f>
        <v>iSS01084</v>
      </c>
    </row>
    <row r="1211" spans="1:8" x14ac:dyDescent="0.35">
      <c r="A1211">
        <v>2026</v>
      </c>
      <c r="B1211">
        <v>4</v>
      </c>
      <c r="C1211" t="s">
        <v>14</v>
      </c>
      <c r="D1211" t="s">
        <v>15</v>
      </c>
      <c r="E1211" t="s">
        <v>16</v>
      </c>
      <c r="F1211" t="s">
        <v>17</v>
      </c>
      <c r="G1211" s="2">
        <v>48053.507678500195</v>
      </c>
      <c r="H1211" t="str">
        <f>_xlfn.XLOOKUP(Data_Xuất[[#This Row],[Main SKU]],MD_Main_SKU[Main SKU],MD_Main_SKU[SKU name_gom])</f>
        <v>iSS01084</v>
      </c>
    </row>
    <row r="1212" spans="1:8" x14ac:dyDescent="0.35">
      <c r="A1212">
        <v>2026</v>
      </c>
      <c r="B1212">
        <v>4</v>
      </c>
      <c r="C1212" t="s">
        <v>14</v>
      </c>
      <c r="D1212" t="s">
        <v>15</v>
      </c>
      <c r="E1212" t="s">
        <v>18</v>
      </c>
      <c r="F1212" t="s">
        <v>19</v>
      </c>
      <c r="G1212" s="2">
        <v>13410.281212604707</v>
      </c>
      <c r="H1212" t="str">
        <f>_xlfn.XLOOKUP(Data_Xuất[[#This Row],[Main SKU]],MD_Main_SKU[Main SKU],MD_Main_SKU[SKU name_gom])</f>
        <v>iSS01084</v>
      </c>
    </row>
    <row r="1213" spans="1:8" x14ac:dyDescent="0.35">
      <c r="A1213">
        <v>2026</v>
      </c>
      <c r="B1213">
        <v>4</v>
      </c>
      <c r="C1213" t="s">
        <v>14</v>
      </c>
      <c r="D1213" t="s">
        <v>15</v>
      </c>
      <c r="E1213" t="s">
        <v>22</v>
      </c>
      <c r="F1213" t="s">
        <v>23</v>
      </c>
      <c r="G1213" s="2">
        <v>13327.49130929037</v>
      </c>
      <c r="H1213" t="str">
        <f>_xlfn.XLOOKUP(Data_Xuất[[#This Row],[Main SKU]],MD_Main_SKU[Main SKU],MD_Main_SKU[SKU name_gom])</f>
        <v>iSS01084</v>
      </c>
    </row>
    <row r="1214" spans="1:8" x14ac:dyDescent="0.35">
      <c r="A1214">
        <v>2026</v>
      </c>
      <c r="B1214">
        <v>4</v>
      </c>
      <c r="C1214" t="s">
        <v>14</v>
      </c>
      <c r="D1214" t="s">
        <v>15</v>
      </c>
      <c r="E1214" t="s">
        <v>42</v>
      </c>
      <c r="F1214" t="s">
        <v>43</v>
      </c>
      <c r="G1214" s="2">
        <v>2235.0706211866541</v>
      </c>
      <c r="H1214" t="str">
        <f>_xlfn.XLOOKUP(Data_Xuất[[#This Row],[Main SKU]],MD_Main_SKU[Main SKU],MD_Main_SKU[SKU name_gom])</f>
        <v>iSS01084</v>
      </c>
    </row>
    <row r="1215" spans="1:8" x14ac:dyDescent="0.35">
      <c r="A1215">
        <v>2026</v>
      </c>
      <c r="B1215">
        <v>4</v>
      </c>
      <c r="C1215" t="s">
        <v>14</v>
      </c>
      <c r="D1215" t="s">
        <v>15</v>
      </c>
      <c r="E1215" t="s">
        <v>38</v>
      </c>
      <c r="F1215" t="s">
        <v>39</v>
      </c>
      <c r="G1215" s="2">
        <v>2235.0468687674515</v>
      </c>
      <c r="H1215" t="str">
        <f>_xlfn.XLOOKUP(Data_Xuất[[#This Row],[Main SKU]],MD_Main_SKU[Main SKU],MD_Main_SKU[SKU name_gom])</f>
        <v>iSS01084</v>
      </c>
    </row>
    <row r="1216" spans="1:8" x14ac:dyDescent="0.35">
      <c r="A1216">
        <v>2026</v>
      </c>
      <c r="B1216">
        <v>4</v>
      </c>
      <c r="C1216" t="s">
        <v>14</v>
      </c>
      <c r="D1216" t="s">
        <v>15</v>
      </c>
      <c r="E1216" t="s">
        <v>34</v>
      </c>
      <c r="F1216" t="s">
        <v>35</v>
      </c>
      <c r="G1216" s="2">
        <v>2233.36177084476</v>
      </c>
      <c r="H1216" t="str">
        <f>_xlfn.XLOOKUP(Data_Xuất[[#This Row],[Main SKU]],MD_Main_SKU[Main SKU],MD_Main_SKU[SKU name_gom])</f>
        <v>iSS01084</v>
      </c>
    </row>
    <row r="1217" spans="1:8" x14ac:dyDescent="0.35">
      <c r="A1217">
        <v>2026</v>
      </c>
      <c r="B1217">
        <v>4</v>
      </c>
      <c r="C1217" t="s">
        <v>14</v>
      </c>
      <c r="D1217" t="s">
        <v>15</v>
      </c>
      <c r="E1217" t="s">
        <v>87</v>
      </c>
      <c r="F1217" t="s">
        <v>88</v>
      </c>
      <c r="G1217" s="2">
        <v>7820.1104196895894</v>
      </c>
      <c r="H1217" t="str">
        <f>_xlfn.XLOOKUP(Data_Xuất[[#This Row],[Main SKU]],MD_Main_SKU[Main SKU],MD_Main_SKU[SKU name_gom])</f>
        <v>iSS01084</v>
      </c>
    </row>
    <row r="1218" spans="1:8" x14ac:dyDescent="0.35">
      <c r="A1218">
        <v>2026</v>
      </c>
      <c r="B1218">
        <v>4</v>
      </c>
      <c r="C1218" t="s">
        <v>14</v>
      </c>
      <c r="D1218" t="s">
        <v>15</v>
      </c>
      <c r="E1218" t="s">
        <v>91</v>
      </c>
      <c r="F1218" t="s">
        <v>92</v>
      </c>
      <c r="G1218" s="2">
        <v>1116.2134897579838</v>
      </c>
      <c r="H1218" t="str">
        <f>_xlfn.XLOOKUP(Data_Xuất[[#This Row],[Main SKU]],MD_Main_SKU[Main SKU],MD_Main_SKU[SKU name_gom])</f>
        <v>iSS01084</v>
      </c>
    </row>
    <row r="1219" spans="1:8" x14ac:dyDescent="0.35">
      <c r="A1219">
        <v>2026</v>
      </c>
      <c r="B1219">
        <v>4</v>
      </c>
      <c r="C1219" t="s">
        <v>14</v>
      </c>
      <c r="D1219" t="s">
        <v>15</v>
      </c>
      <c r="E1219" t="s">
        <v>117</v>
      </c>
      <c r="F1219" t="s">
        <v>86</v>
      </c>
      <c r="G1219" s="2">
        <v>11182.01896657844</v>
      </c>
      <c r="H1219" t="str">
        <f>_xlfn.XLOOKUP(Data_Xuất[[#This Row],[Main SKU]],MD_Main_SKU[Main SKU],MD_Main_SKU[SKU name_gom])</f>
        <v>iSS01084</v>
      </c>
    </row>
    <row r="1220" spans="1:8" x14ac:dyDescent="0.35">
      <c r="A1220">
        <v>2026</v>
      </c>
      <c r="B1220">
        <v>4</v>
      </c>
      <c r="C1220" t="s">
        <v>16</v>
      </c>
      <c r="D1220" t="s">
        <v>17</v>
      </c>
      <c r="E1220" t="s">
        <v>16</v>
      </c>
      <c r="F1220" t="s">
        <v>17</v>
      </c>
      <c r="G1220" s="2">
        <v>2012862.3238663052</v>
      </c>
      <c r="H1220" t="str">
        <f>_xlfn.XLOOKUP(Data_Xuất[[#This Row],[Main SKU]],MD_Main_SKU[Main SKU],MD_Main_SKU[SKU name_gom])</f>
        <v>WSS01</v>
      </c>
    </row>
    <row r="1221" spans="1:8" x14ac:dyDescent="0.35">
      <c r="A1221">
        <v>2026</v>
      </c>
      <c r="B1221">
        <v>4</v>
      </c>
      <c r="C1221" t="s">
        <v>16</v>
      </c>
      <c r="D1221" t="s">
        <v>17</v>
      </c>
      <c r="E1221" t="s">
        <v>18</v>
      </c>
      <c r="F1221" t="s">
        <v>19</v>
      </c>
      <c r="G1221" s="2">
        <v>33480.586482255188</v>
      </c>
      <c r="H1221" t="str">
        <f>_xlfn.XLOOKUP(Data_Xuất[[#This Row],[Main SKU]],MD_Main_SKU[Main SKU],MD_Main_SKU[SKU name_gom])</f>
        <v>WSS01</v>
      </c>
    </row>
    <row r="1222" spans="1:8" x14ac:dyDescent="0.35">
      <c r="A1222">
        <v>2026</v>
      </c>
      <c r="B1222">
        <v>4</v>
      </c>
      <c r="C1222" t="s">
        <v>16</v>
      </c>
      <c r="D1222" t="s">
        <v>17</v>
      </c>
      <c r="E1222" t="s">
        <v>22</v>
      </c>
      <c r="F1222" t="s">
        <v>23</v>
      </c>
      <c r="G1222" s="2">
        <v>40217.383274196938</v>
      </c>
      <c r="H1222" t="str">
        <f>_xlfn.XLOOKUP(Data_Xuất[[#This Row],[Main SKU]],MD_Main_SKU[Main SKU],MD_Main_SKU[SKU name_gom])</f>
        <v>WSS01</v>
      </c>
    </row>
    <row r="1223" spans="1:8" x14ac:dyDescent="0.35">
      <c r="A1223">
        <v>2026</v>
      </c>
      <c r="B1223">
        <v>4</v>
      </c>
      <c r="C1223" t="s">
        <v>16</v>
      </c>
      <c r="D1223" t="s">
        <v>17</v>
      </c>
      <c r="E1223" t="s">
        <v>40</v>
      </c>
      <c r="F1223" t="s">
        <v>41</v>
      </c>
      <c r="G1223" s="2">
        <v>5586.117141378877</v>
      </c>
      <c r="H1223" t="str">
        <f>_xlfn.XLOOKUP(Data_Xuất[[#This Row],[Main SKU]],MD_Main_SKU[Main SKU],MD_Main_SKU[SKU name_gom])</f>
        <v>WSS01</v>
      </c>
    </row>
    <row r="1224" spans="1:8" x14ac:dyDescent="0.35">
      <c r="A1224">
        <v>2026</v>
      </c>
      <c r="B1224">
        <v>4</v>
      </c>
      <c r="C1224" t="s">
        <v>16</v>
      </c>
      <c r="D1224" t="s">
        <v>17</v>
      </c>
      <c r="E1224" t="s">
        <v>87</v>
      </c>
      <c r="F1224" t="s">
        <v>88</v>
      </c>
      <c r="G1224" s="2">
        <v>42805.797258063321</v>
      </c>
      <c r="H1224" t="str">
        <f>_xlfn.XLOOKUP(Data_Xuất[[#This Row],[Main SKU]],MD_Main_SKU[Main SKU],MD_Main_SKU[SKU name_gom])</f>
        <v>WSS01</v>
      </c>
    </row>
    <row r="1225" spans="1:8" x14ac:dyDescent="0.35">
      <c r="A1225">
        <v>2026</v>
      </c>
      <c r="B1225">
        <v>4</v>
      </c>
      <c r="C1225" t="s">
        <v>16</v>
      </c>
      <c r="D1225" t="s">
        <v>17</v>
      </c>
      <c r="E1225" t="s">
        <v>91</v>
      </c>
      <c r="F1225" t="s">
        <v>92</v>
      </c>
      <c r="G1225" s="2">
        <v>3351.7863821119995</v>
      </c>
      <c r="H1225" t="str">
        <f>_xlfn.XLOOKUP(Data_Xuất[[#This Row],[Main SKU]],MD_Main_SKU[Main SKU],MD_Main_SKU[SKU name_gom])</f>
        <v>WSS01</v>
      </c>
    </row>
    <row r="1226" spans="1:8" x14ac:dyDescent="0.35">
      <c r="A1226">
        <v>2026</v>
      </c>
      <c r="B1226">
        <v>4</v>
      </c>
      <c r="C1226" t="s">
        <v>16</v>
      </c>
      <c r="D1226" t="s">
        <v>17</v>
      </c>
      <c r="E1226" t="s">
        <v>93</v>
      </c>
      <c r="F1226" t="s">
        <v>94</v>
      </c>
      <c r="G1226" s="2">
        <v>203.09319576910002</v>
      </c>
      <c r="H1226" t="str">
        <f>_xlfn.XLOOKUP(Data_Xuất[[#This Row],[Main SKU]],MD_Main_SKU[Main SKU],MD_Main_SKU[SKU name_gom])</f>
        <v>WSS01</v>
      </c>
    </row>
    <row r="1227" spans="1:8" x14ac:dyDescent="0.35">
      <c r="A1227">
        <v>2026</v>
      </c>
      <c r="B1227">
        <v>4</v>
      </c>
      <c r="C1227" t="s">
        <v>16</v>
      </c>
      <c r="D1227" t="s">
        <v>17</v>
      </c>
      <c r="E1227" t="s">
        <v>117</v>
      </c>
      <c r="F1227" t="s">
        <v>86</v>
      </c>
      <c r="G1227" s="2">
        <v>27054.824409982197</v>
      </c>
      <c r="H1227" t="str">
        <f>_xlfn.XLOOKUP(Data_Xuất[[#This Row],[Main SKU]],MD_Main_SKU[Main SKU],MD_Main_SKU[SKU name_gom])</f>
        <v>WSS01</v>
      </c>
    </row>
    <row r="1228" spans="1:8" x14ac:dyDescent="0.35">
      <c r="A1228">
        <v>2026</v>
      </c>
      <c r="B1228">
        <v>4</v>
      </c>
      <c r="C1228" t="s">
        <v>16</v>
      </c>
      <c r="D1228" t="s">
        <v>17</v>
      </c>
      <c r="E1228" t="s">
        <v>128</v>
      </c>
      <c r="F1228" t="s">
        <v>129</v>
      </c>
      <c r="G1228" s="2">
        <v>6904.9879899366078</v>
      </c>
      <c r="H1228" t="str">
        <f>_xlfn.XLOOKUP(Data_Xuất[[#This Row],[Main SKU]],MD_Main_SKU[Main SKU],MD_Main_SKU[SKU name_gom])</f>
        <v>WSS01</v>
      </c>
    </row>
    <row r="1229" spans="1:8" x14ac:dyDescent="0.35">
      <c r="A1229">
        <v>2026</v>
      </c>
      <c r="B1229">
        <v>4</v>
      </c>
      <c r="C1229" t="s">
        <v>22</v>
      </c>
      <c r="D1229" t="s">
        <v>23</v>
      </c>
      <c r="E1229" t="s">
        <v>22</v>
      </c>
      <c r="F1229" t="s">
        <v>23</v>
      </c>
      <c r="G1229" s="2">
        <v>1044697.4286744914</v>
      </c>
      <c r="H1229" t="str">
        <f>_xlfn.XLOOKUP(Data_Xuất[[#This Row],[Main SKU]],MD_Main_SKU[Main SKU],MD_Main_SKU[SKU name_gom])</f>
        <v>WSS03</v>
      </c>
    </row>
    <row r="1230" spans="1:8" x14ac:dyDescent="0.35">
      <c r="A1230">
        <v>2026</v>
      </c>
      <c r="B1230">
        <v>4</v>
      </c>
      <c r="C1230" t="s">
        <v>22</v>
      </c>
      <c r="D1230" t="s">
        <v>23</v>
      </c>
      <c r="E1230" t="s">
        <v>34</v>
      </c>
      <c r="F1230" t="s">
        <v>35</v>
      </c>
      <c r="G1230" s="2">
        <v>7794.0196154456553</v>
      </c>
      <c r="H1230" t="str">
        <f>_xlfn.XLOOKUP(Data_Xuất[[#This Row],[Main SKU]],MD_Main_SKU[Main SKU],MD_Main_SKU[SKU name_gom])</f>
        <v>WSS03</v>
      </c>
    </row>
    <row r="1231" spans="1:8" x14ac:dyDescent="0.35">
      <c r="A1231">
        <v>2026</v>
      </c>
      <c r="B1231">
        <v>4</v>
      </c>
      <c r="C1231" t="s">
        <v>22</v>
      </c>
      <c r="D1231" t="s">
        <v>23</v>
      </c>
      <c r="E1231" t="s">
        <v>87</v>
      </c>
      <c r="F1231" t="s">
        <v>88</v>
      </c>
      <c r="G1231" s="2">
        <v>9738.0999900865281</v>
      </c>
      <c r="H1231" t="str">
        <f>_xlfn.XLOOKUP(Data_Xuất[[#This Row],[Main SKU]],MD_Main_SKU[Main SKU],MD_Main_SKU[SKU name_gom])</f>
        <v>WSS03</v>
      </c>
    </row>
    <row r="1232" spans="1:8" x14ac:dyDescent="0.35">
      <c r="A1232">
        <v>2026</v>
      </c>
      <c r="B1232">
        <v>4</v>
      </c>
      <c r="C1232" t="s">
        <v>22</v>
      </c>
      <c r="D1232" t="s">
        <v>23</v>
      </c>
      <c r="E1232" t="s">
        <v>117</v>
      </c>
      <c r="F1232" t="s">
        <v>86</v>
      </c>
      <c r="G1232" s="2">
        <v>10383.181085887483</v>
      </c>
      <c r="H1232" t="str">
        <f>_xlfn.XLOOKUP(Data_Xuất[[#This Row],[Main SKU]],MD_Main_SKU[Main SKU],MD_Main_SKU[SKU name_gom])</f>
        <v>WSS03</v>
      </c>
    </row>
    <row r="1233" spans="1:8" x14ac:dyDescent="0.35">
      <c r="A1233">
        <v>2026</v>
      </c>
      <c r="B1233">
        <v>4</v>
      </c>
      <c r="C1233" t="s">
        <v>22</v>
      </c>
      <c r="D1233" t="s">
        <v>23</v>
      </c>
      <c r="E1233" t="s">
        <v>138</v>
      </c>
      <c r="F1233" t="s">
        <v>139</v>
      </c>
      <c r="G1233" s="2">
        <v>5579.2706340892364</v>
      </c>
      <c r="H1233" t="str">
        <f>_xlfn.XLOOKUP(Data_Xuất[[#This Row],[Main SKU]],MD_Main_SKU[Main SKU],MD_Main_SKU[SKU name_gom])</f>
        <v>WSS03</v>
      </c>
    </row>
    <row r="1234" spans="1:8" x14ac:dyDescent="0.35">
      <c r="A1234">
        <v>2026</v>
      </c>
      <c r="B1234">
        <v>4</v>
      </c>
      <c r="C1234" t="s">
        <v>99</v>
      </c>
      <c r="D1234" t="s">
        <v>100</v>
      </c>
      <c r="E1234" t="s">
        <v>140</v>
      </c>
      <c r="F1234" t="s">
        <v>141</v>
      </c>
      <c r="G1234" s="2">
        <v>1473.850197109067</v>
      </c>
      <c r="H1234" t="str">
        <f>_xlfn.XLOOKUP(Data_Xuất[[#This Row],[Main SKU]],MD_Main_SKU[Main SKU],MD_Main_SKU[SKU name_gom])</f>
        <v>WSS04</v>
      </c>
    </row>
    <row r="1235" spans="1:8" x14ac:dyDescent="0.35">
      <c r="A1235">
        <v>2026</v>
      </c>
      <c r="B1235">
        <v>4</v>
      </c>
      <c r="C1235" t="s">
        <v>99</v>
      </c>
      <c r="D1235" t="s">
        <v>100</v>
      </c>
      <c r="E1235" t="s">
        <v>117</v>
      </c>
      <c r="F1235" t="s">
        <v>86</v>
      </c>
      <c r="G1235" s="2">
        <v>126.14980289093299</v>
      </c>
      <c r="H1235" t="str">
        <f>_xlfn.XLOOKUP(Data_Xuất[[#This Row],[Main SKU]],MD_Main_SKU[Main SKU],MD_Main_SKU[SKU name_gom])</f>
        <v>WSS04</v>
      </c>
    </row>
    <row r="1236" spans="1:8" x14ac:dyDescent="0.35">
      <c r="A1236">
        <v>2026</v>
      </c>
      <c r="B1236">
        <v>4</v>
      </c>
      <c r="C1236" t="s">
        <v>115</v>
      </c>
      <c r="D1236" t="s">
        <v>116</v>
      </c>
      <c r="E1236" t="s">
        <v>115</v>
      </c>
      <c r="F1236" t="s">
        <v>116</v>
      </c>
      <c r="G1236" s="2">
        <v>36415.957288044025</v>
      </c>
      <c r="H1236" t="str">
        <f>_xlfn.XLOOKUP(Data_Xuất[[#This Row],[Main SKU]],MD_Main_SKU[Main SKU],MD_Main_SKU[SKU name_gom])</f>
        <v>WSS05</v>
      </c>
    </row>
    <row r="1237" spans="1:8" x14ac:dyDescent="0.35">
      <c r="A1237">
        <v>2026</v>
      </c>
      <c r="B1237">
        <v>4</v>
      </c>
      <c r="C1237" t="s">
        <v>115</v>
      </c>
      <c r="D1237" t="s">
        <v>116</v>
      </c>
      <c r="E1237" t="s">
        <v>140</v>
      </c>
      <c r="F1237" t="s">
        <v>141</v>
      </c>
      <c r="G1237" s="2">
        <v>504.85436893203882</v>
      </c>
      <c r="H1237" t="str">
        <f>_xlfn.XLOOKUP(Data_Xuất[[#This Row],[Main SKU]],MD_Main_SKU[Main SKU],MD_Main_SKU[SKU name_gom])</f>
        <v>WSS05</v>
      </c>
    </row>
    <row r="1238" spans="1:8" x14ac:dyDescent="0.35">
      <c r="A1238">
        <v>2026</v>
      </c>
      <c r="B1238">
        <v>4</v>
      </c>
      <c r="C1238" t="s">
        <v>115</v>
      </c>
      <c r="D1238" t="s">
        <v>116</v>
      </c>
      <c r="E1238" t="s">
        <v>87</v>
      </c>
      <c r="F1238" t="s">
        <v>88</v>
      </c>
      <c r="G1238" s="2">
        <v>1062.5259920121152</v>
      </c>
      <c r="H1238" t="str">
        <f>_xlfn.XLOOKUP(Data_Xuất[[#This Row],[Main SKU]],MD_Main_SKU[Main SKU],MD_Main_SKU[SKU name_gom])</f>
        <v>WSS05</v>
      </c>
    </row>
    <row r="1239" spans="1:8" x14ac:dyDescent="0.35">
      <c r="A1239">
        <v>2026</v>
      </c>
      <c r="B1239">
        <v>4</v>
      </c>
      <c r="C1239" t="s">
        <v>115</v>
      </c>
      <c r="D1239" t="s">
        <v>116</v>
      </c>
      <c r="E1239" t="s">
        <v>117</v>
      </c>
      <c r="F1239" t="s">
        <v>86</v>
      </c>
      <c r="G1239" s="2">
        <v>1016.662351011825</v>
      </c>
      <c r="H1239" t="str">
        <f>_xlfn.XLOOKUP(Data_Xuất[[#This Row],[Main SKU]],MD_Main_SKU[Main SKU],MD_Main_SKU[SKU name_gom])</f>
        <v>WSS05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100D-D293-478F-94E0-F6999E403B8A}">
  <dimension ref="A2:C61"/>
  <sheetViews>
    <sheetView showGridLines="0" zoomScale="115" zoomScaleNormal="115" workbookViewId="0">
      <pane ySplit="2" topLeftCell="A3" activePane="bottomLeft" state="frozen"/>
      <selection pane="bottomLeft" activeCell="C39" sqref="C39"/>
    </sheetView>
  </sheetViews>
  <sheetFormatPr defaultRowHeight="14.5" x14ac:dyDescent="0.35"/>
  <cols>
    <col min="1" max="1" width="12.6640625" bestFit="1" customWidth="1"/>
    <col min="2" max="2" width="36.6640625" bestFit="1" customWidth="1"/>
    <col min="3" max="3" width="21.4140625" bestFit="1" customWidth="1"/>
    <col min="5" max="5" width="12.6640625" bestFit="1" customWidth="1"/>
  </cols>
  <sheetData>
    <row r="2" spans="1:3" x14ac:dyDescent="0.35">
      <c r="A2" s="3" t="s">
        <v>2</v>
      </c>
      <c r="B2" s="3" t="s">
        <v>3</v>
      </c>
      <c r="C2" s="3" t="s">
        <v>66</v>
      </c>
    </row>
    <row r="3" spans="1:3" x14ac:dyDescent="0.35">
      <c r="A3" t="s">
        <v>14</v>
      </c>
      <c r="B3" t="s">
        <v>15</v>
      </c>
      <c r="C3" t="s">
        <v>68</v>
      </c>
    </row>
    <row r="4" spans="1:3" x14ac:dyDescent="0.35">
      <c r="A4" t="s">
        <v>28</v>
      </c>
      <c r="B4" t="s">
        <v>29</v>
      </c>
      <c r="C4" t="s">
        <v>68</v>
      </c>
    </row>
    <row r="5" spans="1:3" x14ac:dyDescent="0.35">
      <c r="A5" t="s">
        <v>18</v>
      </c>
      <c r="B5" t="s">
        <v>19</v>
      </c>
      <c r="C5" t="s">
        <v>69</v>
      </c>
    </row>
    <row r="6" spans="1:3" x14ac:dyDescent="0.35">
      <c r="A6" t="s">
        <v>26</v>
      </c>
      <c r="B6" t="s">
        <v>27</v>
      </c>
      <c r="C6" t="s">
        <v>69</v>
      </c>
    </row>
    <row r="7" spans="1:3" x14ac:dyDescent="0.35">
      <c r="A7" t="s">
        <v>52</v>
      </c>
      <c r="B7" t="s">
        <v>53</v>
      </c>
      <c r="C7" t="s">
        <v>69</v>
      </c>
    </row>
    <row r="8" spans="1:3" x14ac:dyDescent="0.35">
      <c r="A8" t="s">
        <v>44</v>
      </c>
      <c r="B8" t="s">
        <v>45</v>
      </c>
      <c r="C8" t="s">
        <v>69</v>
      </c>
    </row>
    <row r="9" spans="1:3" x14ac:dyDescent="0.35">
      <c r="A9" t="s">
        <v>16</v>
      </c>
      <c r="B9" t="s">
        <v>17</v>
      </c>
      <c r="C9" t="s">
        <v>70</v>
      </c>
    </row>
    <row r="10" spans="1:3" x14ac:dyDescent="0.35">
      <c r="A10" t="s">
        <v>24</v>
      </c>
      <c r="B10" t="s">
        <v>25</v>
      </c>
      <c r="C10" t="s">
        <v>70</v>
      </c>
    </row>
    <row r="11" spans="1:3" x14ac:dyDescent="0.35">
      <c r="A11" t="s">
        <v>48</v>
      </c>
      <c r="B11" t="s">
        <v>49</v>
      </c>
      <c r="C11" t="s">
        <v>70</v>
      </c>
    </row>
    <row r="12" spans="1:3" x14ac:dyDescent="0.35">
      <c r="A12" t="s">
        <v>54</v>
      </c>
      <c r="B12" t="s">
        <v>55</v>
      </c>
      <c r="C12" t="s">
        <v>70</v>
      </c>
    </row>
    <row r="13" spans="1:3" x14ac:dyDescent="0.35">
      <c r="A13" t="s">
        <v>8</v>
      </c>
      <c r="B13" t="s">
        <v>9</v>
      </c>
      <c r="C13" t="s">
        <v>70</v>
      </c>
    </row>
    <row r="14" spans="1:3" x14ac:dyDescent="0.35">
      <c r="A14" t="s">
        <v>22</v>
      </c>
      <c r="B14" t="s">
        <v>23</v>
      </c>
      <c r="C14" t="s">
        <v>71</v>
      </c>
    </row>
    <row r="15" spans="1:3" x14ac:dyDescent="0.35">
      <c r="A15" t="s">
        <v>38</v>
      </c>
      <c r="B15" t="s">
        <v>39</v>
      </c>
      <c r="C15" t="s">
        <v>72</v>
      </c>
    </row>
    <row r="16" spans="1:3" x14ac:dyDescent="0.35">
      <c r="A16" t="s">
        <v>42</v>
      </c>
      <c r="B16" t="s">
        <v>43</v>
      </c>
      <c r="C16" t="s">
        <v>73</v>
      </c>
    </row>
    <row r="17" spans="1:3" x14ac:dyDescent="0.35">
      <c r="A17" t="s">
        <v>50</v>
      </c>
      <c r="B17" t="s">
        <v>51</v>
      </c>
      <c r="C17" t="s">
        <v>73</v>
      </c>
    </row>
    <row r="18" spans="1:3" x14ac:dyDescent="0.35">
      <c r="A18" t="s">
        <v>46</v>
      </c>
      <c r="B18" t="s">
        <v>47</v>
      </c>
      <c r="C18" t="s">
        <v>73</v>
      </c>
    </row>
    <row r="19" spans="1:3" x14ac:dyDescent="0.35">
      <c r="A19" t="s">
        <v>30</v>
      </c>
      <c r="B19" t="s">
        <v>31</v>
      </c>
      <c r="C19" t="s">
        <v>69</v>
      </c>
    </row>
    <row r="20" spans="1:3" x14ac:dyDescent="0.35">
      <c r="A20" t="s">
        <v>36</v>
      </c>
      <c r="B20" t="s">
        <v>37</v>
      </c>
      <c r="C20" t="s">
        <v>74</v>
      </c>
    </row>
    <row r="21" spans="1:3" x14ac:dyDescent="0.35">
      <c r="A21" t="s">
        <v>40</v>
      </c>
      <c r="B21" t="s">
        <v>41</v>
      </c>
      <c r="C21" t="s">
        <v>74</v>
      </c>
    </row>
    <row r="22" spans="1:3" x14ac:dyDescent="0.35">
      <c r="A22" t="s">
        <v>58</v>
      </c>
      <c r="B22" t="s">
        <v>59</v>
      </c>
      <c r="C22" t="s">
        <v>74</v>
      </c>
    </row>
    <row r="23" spans="1:3" x14ac:dyDescent="0.35">
      <c r="A23" t="s">
        <v>60</v>
      </c>
      <c r="B23" t="s">
        <v>61</v>
      </c>
      <c r="C23" t="s">
        <v>74</v>
      </c>
    </row>
    <row r="24" spans="1:3" x14ac:dyDescent="0.35">
      <c r="A24" t="s">
        <v>56</v>
      </c>
      <c r="B24" t="s">
        <v>57</v>
      </c>
      <c r="C24" t="s">
        <v>74</v>
      </c>
    </row>
    <row r="25" spans="1:3" x14ac:dyDescent="0.35">
      <c r="A25" t="s">
        <v>10</v>
      </c>
      <c r="B25" t="s">
        <v>11</v>
      </c>
      <c r="C25" t="s">
        <v>67</v>
      </c>
    </row>
    <row r="26" spans="1:3" x14ac:dyDescent="0.35">
      <c r="A26" t="s">
        <v>20</v>
      </c>
      <c r="B26" t="s">
        <v>21</v>
      </c>
      <c r="C26" t="s">
        <v>67</v>
      </c>
    </row>
    <row r="27" spans="1:3" x14ac:dyDescent="0.35">
      <c r="A27" t="s">
        <v>12</v>
      </c>
      <c r="B27" t="s">
        <v>13</v>
      </c>
      <c r="C27" t="s">
        <v>71</v>
      </c>
    </row>
    <row r="28" spans="1:3" x14ac:dyDescent="0.35">
      <c r="A28" t="s">
        <v>32</v>
      </c>
      <c r="B28" t="s">
        <v>33</v>
      </c>
      <c r="C28" t="s">
        <v>71</v>
      </c>
    </row>
    <row r="29" spans="1:3" x14ac:dyDescent="0.35">
      <c r="A29" t="s">
        <v>34</v>
      </c>
      <c r="B29" t="s">
        <v>35</v>
      </c>
      <c r="C29" t="s">
        <v>75</v>
      </c>
    </row>
    <row r="30" spans="1:3" x14ac:dyDescent="0.35">
      <c r="A30" t="s">
        <v>62</v>
      </c>
      <c r="B30" t="s">
        <v>63</v>
      </c>
      <c r="C30" t="s">
        <v>76</v>
      </c>
    </row>
    <row r="31" spans="1:3" x14ac:dyDescent="0.35">
      <c r="A31" t="s">
        <v>136</v>
      </c>
      <c r="B31" t="s">
        <v>137</v>
      </c>
      <c r="C31" t="s">
        <v>76</v>
      </c>
    </row>
    <row r="32" spans="1:3" x14ac:dyDescent="0.35">
      <c r="A32" t="s">
        <v>85</v>
      </c>
      <c r="B32" t="s">
        <v>86</v>
      </c>
      <c r="C32" t="s">
        <v>146</v>
      </c>
    </row>
    <row r="33" spans="1:3" x14ac:dyDescent="0.35">
      <c r="A33" t="s">
        <v>87</v>
      </c>
      <c r="B33" t="s">
        <v>88</v>
      </c>
      <c r="C33" t="s">
        <v>146</v>
      </c>
    </row>
    <row r="34" spans="1:3" x14ac:dyDescent="0.35">
      <c r="A34" t="s">
        <v>89</v>
      </c>
      <c r="B34" t="s">
        <v>90</v>
      </c>
      <c r="C34" t="s">
        <v>146</v>
      </c>
    </row>
    <row r="35" spans="1:3" x14ac:dyDescent="0.35">
      <c r="A35" t="s">
        <v>91</v>
      </c>
      <c r="B35" t="s">
        <v>92</v>
      </c>
      <c r="C35" t="s">
        <v>146</v>
      </c>
    </row>
    <row r="36" spans="1:3" x14ac:dyDescent="0.35">
      <c r="A36" t="s">
        <v>93</v>
      </c>
      <c r="B36" t="s">
        <v>94</v>
      </c>
      <c r="C36" t="s">
        <v>146</v>
      </c>
    </row>
    <row r="37" spans="1:3" x14ac:dyDescent="0.35">
      <c r="A37" t="s">
        <v>97</v>
      </c>
      <c r="B37" t="s">
        <v>98</v>
      </c>
      <c r="C37" t="s">
        <v>147</v>
      </c>
    </row>
    <row r="38" spans="1:3" x14ac:dyDescent="0.35">
      <c r="A38" t="s">
        <v>101</v>
      </c>
      <c r="B38" t="s">
        <v>102</v>
      </c>
      <c r="C38" t="s">
        <v>71</v>
      </c>
    </row>
    <row r="39" spans="1:3" x14ac:dyDescent="0.35">
      <c r="A39" t="s">
        <v>103</v>
      </c>
      <c r="B39" t="s">
        <v>104</v>
      </c>
      <c r="C39" t="s">
        <v>146</v>
      </c>
    </row>
    <row r="40" spans="1:3" x14ac:dyDescent="0.35">
      <c r="A40" t="s">
        <v>105</v>
      </c>
      <c r="B40" t="s">
        <v>106</v>
      </c>
      <c r="C40" t="s">
        <v>146</v>
      </c>
    </row>
    <row r="41" spans="1:3" x14ac:dyDescent="0.35">
      <c r="A41" t="s">
        <v>107</v>
      </c>
      <c r="B41" t="s">
        <v>108</v>
      </c>
      <c r="C41" t="s">
        <v>147</v>
      </c>
    </row>
    <row r="42" spans="1:3" x14ac:dyDescent="0.35">
      <c r="A42" t="s">
        <v>109</v>
      </c>
      <c r="B42" t="s">
        <v>110</v>
      </c>
      <c r="C42" t="s">
        <v>146</v>
      </c>
    </row>
    <row r="43" spans="1:3" x14ac:dyDescent="0.35">
      <c r="A43" t="s">
        <v>111</v>
      </c>
      <c r="B43" t="s">
        <v>112</v>
      </c>
      <c r="C43" t="s">
        <v>146</v>
      </c>
    </row>
    <row r="44" spans="1:3" x14ac:dyDescent="0.35">
      <c r="A44" t="s">
        <v>113</v>
      </c>
      <c r="B44" t="s">
        <v>114</v>
      </c>
      <c r="C44" t="s">
        <v>146</v>
      </c>
    </row>
    <row r="45" spans="1:3" x14ac:dyDescent="0.35">
      <c r="A45" t="s">
        <v>115</v>
      </c>
      <c r="B45" t="s">
        <v>116</v>
      </c>
      <c r="C45" t="s">
        <v>147</v>
      </c>
    </row>
    <row r="46" spans="1:3" x14ac:dyDescent="0.35">
      <c r="A46" t="s">
        <v>117</v>
      </c>
      <c r="B46" t="s">
        <v>86</v>
      </c>
      <c r="C46" t="s">
        <v>146</v>
      </c>
    </row>
    <row r="47" spans="1:3" x14ac:dyDescent="0.35">
      <c r="A47" t="s">
        <v>99</v>
      </c>
      <c r="B47" t="s">
        <v>100</v>
      </c>
      <c r="C47" t="s">
        <v>148</v>
      </c>
    </row>
    <row r="48" spans="1:3" x14ac:dyDescent="0.35">
      <c r="A48" t="s">
        <v>120</v>
      </c>
      <c r="B48" t="s">
        <v>121</v>
      </c>
      <c r="C48" t="s">
        <v>146</v>
      </c>
    </row>
    <row r="49" spans="1:3" x14ac:dyDescent="0.35">
      <c r="A49" t="s">
        <v>122</v>
      </c>
      <c r="B49" t="s">
        <v>123</v>
      </c>
      <c r="C49" t="s">
        <v>146</v>
      </c>
    </row>
    <row r="50" spans="1:3" x14ac:dyDescent="0.35">
      <c r="A50" t="s">
        <v>124</v>
      </c>
      <c r="B50" t="s">
        <v>125</v>
      </c>
      <c r="C50" t="s">
        <v>149</v>
      </c>
    </row>
    <row r="51" spans="1:3" x14ac:dyDescent="0.35">
      <c r="A51" t="s">
        <v>118</v>
      </c>
      <c r="B51" t="s">
        <v>119</v>
      </c>
      <c r="C51" t="s">
        <v>147</v>
      </c>
    </row>
    <row r="52" spans="1:3" x14ac:dyDescent="0.35">
      <c r="A52" t="s">
        <v>126</v>
      </c>
      <c r="B52" t="s">
        <v>127</v>
      </c>
      <c r="C52" t="s">
        <v>146</v>
      </c>
    </row>
    <row r="53" spans="1:3" x14ac:dyDescent="0.35">
      <c r="A53" t="s">
        <v>128</v>
      </c>
      <c r="B53" t="s">
        <v>129</v>
      </c>
      <c r="C53" t="s">
        <v>146</v>
      </c>
    </row>
    <row r="54" spans="1:3" x14ac:dyDescent="0.35">
      <c r="A54" t="s">
        <v>130</v>
      </c>
      <c r="B54" t="s">
        <v>131</v>
      </c>
      <c r="C54" t="s">
        <v>146</v>
      </c>
    </row>
    <row r="55" spans="1:3" x14ac:dyDescent="0.35">
      <c r="A55" t="s">
        <v>132</v>
      </c>
      <c r="B55" t="s">
        <v>133</v>
      </c>
      <c r="C55" t="s">
        <v>146</v>
      </c>
    </row>
    <row r="56" spans="1:3" x14ac:dyDescent="0.35">
      <c r="A56" t="s">
        <v>134</v>
      </c>
      <c r="B56" t="s">
        <v>135</v>
      </c>
      <c r="C56" t="s">
        <v>146</v>
      </c>
    </row>
    <row r="57" spans="1:3" x14ac:dyDescent="0.35">
      <c r="A57" t="s">
        <v>138</v>
      </c>
      <c r="B57" t="s">
        <v>139</v>
      </c>
      <c r="C57" t="s">
        <v>146</v>
      </c>
    </row>
    <row r="58" spans="1:3" x14ac:dyDescent="0.35">
      <c r="A58" t="s">
        <v>95</v>
      </c>
      <c r="B58" t="s">
        <v>96</v>
      </c>
      <c r="C58" t="s">
        <v>148</v>
      </c>
    </row>
    <row r="59" spans="1:3" x14ac:dyDescent="0.35">
      <c r="A59" t="s">
        <v>140</v>
      </c>
      <c r="B59" t="s">
        <v>141</v>
      </c>
      <c r="C59" t="s">
        <v>150</v>
      </c>
    </row>
    <row r="60" spans="1:3" x14ac:dyDescent="0.35">
      <c r="A60" t="s">
        <v>142</v>
      </c>
      <c r="B60" t="s">
        <v>143</v>
      </c>
      <c r="C60" t="s">
        <v>76</v>
      </c>
    </row>
    <row r="61" spans="1:3" x14ac:dyDescent="0.35">
      <c r="A61" t="s">
        <v>144</v>
      </c>
      <c r="B61" t="s">
        <v>145</v>
      </c>
      <c r="C61" t="s">
        <v>146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2024-2026</vt:lpstr>
      <vt:lpstr>2026</vt:lpstr>
      <vt:lpstr>2025</vt:lpstr>
      <vt:lpstr>2024</vt:lpstr>
      <vt:lpstr>Data-Nhập</vt:lpstr>
      <vt:lpstr>Data-Xuất</vt:lpstr>
      <vt:lpstr>MD-SKU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Cư, Lê Hoành</cp:lastModifiedBy>
  <dcterms:created xsi:type="dcterms:W3CDTF">2026-05-21T03:41:02Z</dcterms:created>
  <dcterms:modified xsi:type="dcterms:W3CDTF">2026-05-26T13:39:43Z</dcterms:modified>
</cp:coreProperties>
</file>